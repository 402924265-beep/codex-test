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urak.asefler\Desktop\"/>
    </mc:Choice>
  </mc:AlternateContent>
  <xr:revisionPtr revIDLastSave="0" documentId="13_ncr:1_{C3E61886-AFD0-4459-B111-F205E611050C}" xr6:coauthVersionLast="47" xr6:coauthVersionMax="47" xr10:uidLastSave="{00000000-0000-0000-0000-000000000000}"/>
  <bookViews>
    <workbookView xWindow="28680" yWindow="-120" windowWidth="38640" windowHeight="21120" xr2:uid="{556974A5-38FF-4A19-B27E-7EC94B488767}"/>
  </bookViews>
  <sheets>
    <sheet name="CK P&amp;L by account 2026" sheetId="2" r:id="rId1"/>
  </sheets>
  <definedNames>
    <definedName name="\1">#REF!</definedName>
    <definedName name="\2">#REF!</definedName>
    <definedName name="\3">#REF!</definedName>
    <definedName name="\4">#REF!</definedName>
    <definedName name="\A">#REF!</definedName>
    <definedName name="\B">#REF!</definedName>
    <definedName name="\C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__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_GG1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CON1">#REF!</definedName>
    <definedName name="___CON2">#REF!</definedName>
    <definedName name="___ddn400">#REF!</definedName>
    <definedName name="___ddn600">#REF!</definedName>
    <definedName name="___E99999">#REF!</definedName>
    <definedName name="___ETI2">#REF!</definedName>
    <definedName name="___GG1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>#REF!</definedName>
    <definedName name="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IV999999">#REF!</definedName>
    <definedName name="___IZ53">#REF!</definedName>
    <definedName name="___JZ123">#REF!</definedName>
    <definedName name="___lap1">#REF!</definedName>
    <definedName name="___lap2">#REF!</definedName>
    <definedName name="___LI1">OFFSET(#REF!,4,0,COUNTA(#REF!)-1,1)</definedName>
    <definedName name="___LI10">OFFSET(#REF!,4,0,COUNTA(#REF!)-1,1)</definedName>
    <definedName name="___LI11">OFFSET(#REF!,4,0,COUNTA(#REF!)-1,1)</definedName>
    <definedName name="___LI12">OFFSET(#REF!,4,0,COUNTA(#REF!)-1,1)</definedName>
    <definedName name="___LI13">OFFSET(#REF!,4,0,COUNTA(#REF!)-1,1)</definedName>
    <definedName name="___LI14">OFFSET(#REF!,4,0,COUNTA(#REF!)-1,1)</definedName>
    <definedName name="___LI15">OFFSET(#REF!,4,0,COUNTA(#REF!)-1,1)</definedName>
    <definedName name="___LI16">OFFSET(#REF!,4,0,COUNTA(#REF!)-1,1)</definedName>
    <definedName name="___LI17">OFFSET(#REF!,4,0,COUNTA(#REF!)-1,1)</definedName>
    <definedName name="___LI18">OFFSET(#REF!,4,0,COUNTA(#REF!)-1,1)</definedName>
    <definedName name="___LI19">OFFSET(#REF!,4,0,COUNTA(#REF!)-1,1)</definedName>
    <definedName name="___LI2">OFFSET(#REF!,4,0,COUNTA(#REF!)-1,1)</definedName>
    <definedName name="___LI20">OFFSET(#REF!,4,0,COUNTA(#REF!)-1,1)</definedName>
    <definedName name="___LI21">OFFSET(#REF!,4,0,COUNTA(#REF!)-1,1)</definedName>
    <definedName name="___LI22">OFFSET(#REF!,4,0,COUNTA(#REF!)-1,1)</definedName>
    <definedName name="___LI23">OFFSET(#REF!,4,0,COUNTA(#REF!)-1,1)</definedName>
    <definedName name="___LI24">OFFSET(#REF!,4,0,COUNTA(#REF!)-1,1)</definedName>
    <definedName name="___LI25">OFFSET(#REF!,4,0,COUNTA(#REF!)-1,1)</definedName>
    <definedName name="___LI3">OFFSET(#REF!,4,0,COUNTA(#REF!)-1,1)</definedName>
    <definedName name="___LI30">OFFSET(#REF!,4,0,COUNTA(#REF!)-1,1)</definedName>
    <definedName name="___LI4">OFFSET(#REF!,4,0,COUNTA(#REF!)-1,1)</definedName>
    <definedName name="___LI5">OFFSET(#REF!,4,0,COUNTA(#REF!)-1,1)</definedName>
    <definedName name="___LI6">OFFSET(#REF!,4,0,COUNTA(#REF!)-1,1)</definedName>
    <definedName name="___LI7">OFFSET(#REF!,4,0,COUNTA(#REF!)-1,1)</definedName>
    <definedName name="___LI8">OFFSET(#REF!,4,0,COUNTA(#REF!)-1,1)</definedName>
    <definedName name="___LI9">OFFSET(#REF!,4,0,COUNTA(#REF!)-1,1)</definedName>
    <definedName name="___LZ123">#REF!</definedName>
    <definedName name="___MAC12">#REF!</definedName>
    <definedName name="___MAC46">#REF!</definedName>
    <definedName name="___MZ53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sc1">#REF!</definedName>
    <definedName name="___SC2">#REF!</definedName>
    <definedName name="___sc3">#REF!</definedName>
    <definedName name="___SN3">#REF!</definedName>
    <definedName name="___tab1">#REF!</definedName>
    <definedName name="___tab10">#REF!</definedName>
    <definedName name="___tab11">#REF!</definedName>
    <definedName name="___tab12">#REF!</definedName>
    <definedName name="___tab2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_XY123">#REF!</definedName>
    <definedName name="__1">#REF!</definedName>
    <definedName name="__123Graph_C" hidden="1">#REF!</definedName>
    <definedName name="__2">#REF!</definedName>
    <definedName name="__CON1">#REF!</definedName>
    <definedName name="__CON2">#REF!</definedName>
    <definedName name="__ddn400">#REF!</definedName>
    <definedName name="__ddn600">#REF!</definedName>
    <definedName name="__E99999">#REF!</definedName>
    <definedName name="__ETI2">#REF!</definedName>
    <definedName name="__GG1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>#REF!</definedName>
    <definedName name="__IV17532">#REF!</definedName>
    <definedName name="__IV19999">#REF!</definedName>
    <definedName name="__IV20000">#REF!</definedName>
    <definedName name="__IV60000">#REF!</definedName>
    <definedName name="__IV999999">#REF!</definedName>
    <definedName name="__IZ53">#REF!</definedName>
    <definedName name="__JZ123">#REF!</definedName>
    <definedName name="__lap1">#REF!</definedName>
    <definedName name="__lap2">#REF!</definedName>
    <definedName name="__LI1">OFFSET(#REF!,4,0,COUNTA(#REF!)-1,1)</definedName>
    <definedName name="__LI10">OFFSET(#REF!,4,0,COUNTA(#REF!)-1,1)</definedName>
    <definedName name="__LI11">OFFSET(#REF!,4,0,COUNTA(#REF!)-1,1)</definedName>
    <definedName name="__LI12">OFFSET(#REF!,4,0,COUNTA(#REF!)-1,1)</definedName>
    <definedName name="__LI13">OFFSET(#REF!,4,0,COUNTA(#REF!)-1,1)</definedName>
    <definedName name="__LI14">OFFSET(#REF!,4,0,COUNTA(#REF!)-1,1)</definedName>
    <definedName name="__LI15">OFFSET(#REF!,4,0,COUNTA(#REF!)-1,1)</definedName>
    <definedName name="__LI16">OFFSET(#REF!,4,0,COUNTA(#REF!)-1,1)</definedName>
    <definedName name="__LI17">OFFSET(#REF!,4,0,COUNTA(#REF!)-1,1)</definedName>
    <definedName name="__LI18">OFFSET(#REF!,4,0,COUNTA(#REF!)-1,1)</definedName>
    <definedName name="__LI19">OFFSET(#REF!,4,0,COUNTA(#REF!)-1,1)</definedName>
    <definedName name="__LI2">OFFSET(#REF!,4,0,COUNTA(#REF!)-1,1)</definedName>
    <definedName name="__LI20">OFFSET(#REF!,4,0,COUNTA(#REF!)-1,1)</definedName>
    <definedName name="__LI21">OFFSET(#REF!,4,0,COUNTA(#REF!)-1,1)</definedName>
    <definedName name="__LI22">OFFSET(#REF!,4,0,COUNTA(#REF!)-1,1)</definedName>
    <definedName name="__LI23">OFFSET(#REF!,4,0,COUNTA(#REF!)-1,1)</definedName>
    <definedName name="__LI24">OFFSET(#REF!,4,0,COUNTA(#REF!)-1,1)</definedName>
    <definedName name="__LI25">OFFSET(#REF!,4,0,COUNTA(#REF!)-1,1)</definedName>
    <definedName name="__LI3">OFFSET(#REF!,4,0,COUNTA(#REF!)-1,1)</definedName>
    <definedName name="__LI30">OFFSET(#REF!,4,0,COUNTA(#REF!)-1,1)</definedName>
    <definedName name="__LI4">OFFSET(#REF!,4,0,COUNTA(#REF!)-1,1)</definedName>
    <definedName name="__LI5">OFFSET(#REF!,4,0,COUNTA(#REF!)-1,1)</definedName>
    <definedName name="__LI6">OFFSET(#REF!,4,0,COUNTA(#REF!)-1,1)</definedName>
    <definedName name="__LI7">OFFSET(#REF!,4,0,COUNTA(#REF!)-1,1)</definedName>
    <definedName name="__LI8">OFFSET(#REF!,4,0,COUNTA(#REF!)-1,1)</definedName>
    <definedName name="__LI9">OFFSET(#REF!,4,0,COUNTA(#REF!)-1,1)</definedName>
    <definedName name="__LZ123">#REF!</definedName>
    <definedName name="__MAC12">#REF!</definedName>
    <definedName name="__MAC46">#REF!</definedName>
    <definedName name="__MZ53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sc1">#REF!</definedName>
    <definedName name="__SC2">#REF!</definedName>
    <definedName name="__sc3">#REF!</definedName>
    <definedName name="__SN3">#REF!</definedName>
    <definedName name="__tab1">#REF!</definedName>
    <definedName name="__tab10">#REF!</definedName>
    <definedName name="__tab11">#REF!</definedName>
    <definedName name="__tab12">#REF!</definedName>
    <definedName name="__tab2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B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VL100">#REF!</definedName>
    <definedName name="__VL200">#REF!</definedName>
    <definedName name="__VL250">#REF!</definedName>
    <definedName name="__XY123">#REF!</definedName>
    <definedName name="_000139">#REF!</definedName>
    <definedName name="_00103工资及附加费">#REF!</definedName>
    <definedName name="_0013600">#REF!</definedName>
    <definedName name="_012月">#REF!</definedName>
    <definedName name="_0136">#REF!</definedName>
    <definedName name="_0139">#REF!</definedName>
    <definedName name="_0170608">#REF!</definedName>
    <definedName name="_02制造费用">#REF!</definedName>
    <definedName name="_02差异">#REF!</definedName>
    <definedName name="_02标准">#REF!</definedName>
    <definedName name="_03差异">#REF!</definedName>
    <definedName name="_03标准">#REF!</definedName>
    <definedName name="_03费用">#REF!</definedName>
    <definedName name="_04">#REF!</definedName>
    <definedName name="_04差异">#REF!</definedName>
    <definedName name="_04标准">#REF!</definedName>
    <definedName name="_050202">#REF!</definedName>
    <definedName name="_05B箱体差异">#REF!</definedName>
    <definedName name="_05B箱体材料">#REF!</definedName>
    <definedName name="_05G机差异">#REF!</definedName>
    <definedName name="_05G机材料">#REF!</definedName>
    <definedName name="_05G箱体差异">#REF!</definedName>
    <definedName name="_05G箱体材料">#REF!</definedName>
    <definedName name="_05Q机差异">#REF!</definedName>
    <definedName name="_05Q机材料">#REF!</definedName>
    <definedName name="_05吹塑差异">#REF!</definedName>
    <definedName name="_05吹塑材料">#REF!</definedName>
    <definedName name="_05差异">#REF!</definedName>
    <definedName name="_05月">#REF!</definedName>
    <definedName name="_05标准">#REF!</definedName>
    <definedName name="_05注塑差异">#REF!</definedName>
    <definedName name="_05注塑材料">#REF!</definedName>
    <definedName name="_05费用">#REF!</definedName>
    <definedName name="_06差异">#REF!</definedName>
    <definedName name="_06月">#REF!</definedName>
    <definedName name="_06月差异">#REF!</definedName>
    <definedName name="_06月材料">#REF!</definedName>
    <definedName name="_06标准">#REF!</definedName>
    <definedName name="_06费用">#REF!</definedName>
    <definedName name="_07制造费用">#REF!</definedName>
    <definedName name="_07差异">#REF!</definedName>
    <definedName name="_07材料">#REF!</definedName>
    <definedName name="_07费用">#REF!</definedName>
    <definedName name="_08制造费用">#REF!</definedName>
    <definedName name="_08差异">#REF!</definedName>
    <definedName name="_08标准">#REF!</definedName>
    <definedName name="_09">#REF!</definedName>
    <definedName name="_0901">#REF!</definedName>
    <definedName name="_0902">#REF!</definedName>
    <definedName name="_0903">#REF!</definedName>
    <definedName name="_0904">#REF!</definedName>
    <definedName name="_0910制造费用">#REF!</definedName>
    <definedName name="_09制造费用">#REF!</definedName>
    <definedName name="_09差异">#REF!</definedName>
    <definedName name="_09标准">#REF!</definedName>
    <definedName name="_09销售">#REF!</definedName>
    <definedName name="_0出口机">#REF!</definedName>
    <definedName name="_1">#N/A</definedName>
    <definedName name="_1_119_7">#REF!</definedName>
    <definedName name="_1_231060302固话">#REF!</definedName>
    <definedName name="_10_2">#REF!</definedName>
    <definedName name="_10_231060505出差补助">#REF!</definedName>
    <definedName name="_1000A01">#N/A</definedName>
    <definedName name="_1001">#REF!</definedName>
    <definedName name="_1002">#REF!</definedName>
    <definedName name="_1003">#REF!</definedName>
    <definedName name="_1005">#REF!</definedName>
    <definedName name="_1006">#REF!</definedName>
    <definedName name="_1007">#REF!</definedName>
    <definedName name="_10IV19999_">#REF!</definedName>
    <definedName name="_10THAØNH_TIEÀN">#REF!</definedName>
    <definedName name="_10差异">#REF!</definedName>
    <definedName name="_10标准">#REF!</definedName>
    <definedName name="_10预提">#REF!</definedName>
    <definedName name="_11_231060506住宿费">#REF!</definedName>
    <definedName name="_1101">#REF!</definedName>
    <definedName name="_1102">#REF!</definedName>
    <definedName name="_1103">#REF!</definedName>
    <definedName name="_1104">#REF!</definedName>
    <definedName name="_1105">#REF!</definedName>
    <definedName name="_111">#REF!</definedName>
    <definedName name="_11IV20000_">#REF!</definedName>
    <definedName name="_11TRÒ_GIAÙ">#REF!</definedName>
    <definedName name="_11差异">#REF!</definedName>
    <definedName name="_11月费用">#REF!</definedName>
    <definedName name="_11标准">#REF!</definedName>
    <definedName name="_12_231060510杂费">#REF!</definedName>
    <definedName name="_1201">#REF!</definedName>
    <definedName name="_1202">#REF!</definedName>
    <definedName name="_1203">#REF!</definedName>
    <definedName name="_123">#REF!</definedName>
    <definedName name="_12IV60000_">#REF!</definedName>
    <definedName name="_12TRÒ_GIAÙ__VAT">#REF!</definedName>
    <definedName name="_12月差异">#REF!</definedName>
    <definedName name="_12月费用">#REF!</definedName>
    <definedName name="_12标准">#REF!</definedName>
    <definedName name="_13_231060601至经营部运费">#REF!</definedName>
    <definedName name="_136_出口滚筒">#REF!</definedName>
    <definedName name="_136产成">#REF!</definedName>
    <definedName name="_136产成品">#REF!</definedName>
    <definedName name="_136产成品12">#REF!</definedName>
    <definedName name="_136产成品12月">#REF!</definedName>
    <definedName name="_136产成品出口机仓库">#REF!</definedName>
    <definedName name="_136出口">#REF!</definedName>
    <definedName name="_136出口1">#REF!</definedName>
    <definedName name="_136出口仓">#REF!</definedName>
    <definedName name="_136出口仓库">#REF!</definedName>
    <definedName name="_136出口机">#REF!</definedName>
    <definedName name="_136出口机仓">#REF!</definedName>
    <definedName name="_136出口机仓库12">#REF!</definedName>
    <definedName name="_136出口机仓库12月">#REF!</definedName>
    <definedName name="_136出口机仓新">#REF!</definedName>
    <definedName name="_137">#REF!</definedName>
    <definedName name="_1370101">#REF!</definedName>
    <definedName name="_1370202">#REF!</definedName>
    <definedName name="_13703">#REF!</definedName>
    <definedName name="_139">#REF!</definedName>
    <definedName name="_139产成品12月">#REF!</definedName>
    <definedName name="_139产成品发出">#REF!</definedName>
    <definedName name="_139发出">#REF!</definedName>
    <definedName name="_139发出12">#REF!</definedName>
    <definedName name="_139发出12月">#REF!</definedName>
    <definedName name="_139发出商品">#REF!</definedName>
    <definedName name="_13MAÕ_HAØNG">#REF!</definedName>
    <definedName name="_14_231060604其他运费">#REF!</definedName>
    <definedName name="_14MAÕ_SOÁ_THUEÁ">#REF!</definedName>
    <definedName name="_15_231060605至客户运费">#REF!</definedName>
    <definedName name="_15ÑÔN_GIAÙ">#REF!</definedName>
    <definedName name="_16_231060701赠送品">#REF!</definedName>
    <definedName name="_160201">#REF!</definedName>
    <definedName name="_160202">#REF!</definedName>
    <definedName name="_160203">#REF!</definedName>
    <definedName name="_160402">#REF!</definedName>
    <definedName name="_16SOÁ_CTÖØ">#REF!</definedName>
    <definedName name="_17_231060702促销活动费">#REF!</definedName>
    <definedName name="_17SOÁ_LÖÔÏNG">#REF!</definedName>
    <definedName name="_18_2310608办公室租金">#REF!</definedName>
    <definedName name="_19_2310609贴息费用">#REF!</definedName>
    <definedName name="_19T02_">{"Book1"}</definedName>
    <definedName name="_1BA2500">#REF!</definedName>
    <definedName name="_1BA3250">#REF!</definedName>
    <definedName name="_1BA400P">#REF!</definedName>
    <definedName name="_1CAP001">#REF!</definedName>
    <definedName name="_1CAP011">#REF!</definedName>
    <definedName name="_1CAP012">#REF!</definedName>
    <definedName name="_1CDHT03">#REF!</definedName>
    <definedName name="_1CHANG2">#REF!</definedName>
    <definedName name="_1DADOI1">#REF!</definedName>
    <definedName name="_1DAU002">#REF!</definedName>
    <definedName name="_1DDAY03">#REF!</definedName>
    <definedName name="_1DDTT01">#REF!</definedName>
    <definedName name="_1FCO101">#REF!</definedName>
    <definedName name="_1GG1_" hidden="1">{#N/A,#N/A,FALSE,"Aging Summary";#N/A,#N/A,FALSE,"Ratio Analysis";#N/A,#N/A,FALSE,"Test 120 Day Accts";#N/A,#N/A,FALSE,"Tickmarks"}</definedName>
    <definedName name="_1GIA101">#REF!</definedName>
    <definedName name="_1LA1001">#REF!</definedName>
    <definedName name="_1LP">#REF!</definedName>
    <definedName name="_1MCCBO2">#REF!</definedName>
    <definedName name="_1Personal_Einga_e">#REF!,#REF!,#REF!,#REF!,#REF!,#REF!,#REF!,#REF!,#REF!,#REF!,#REF!,#REF!,#REF!</definedName>
    <definedName name="_1PKCAP1">#REF!</definedName>
    <definedName name="_1PKIEN2">#REF!</definedName>
    <definedName name="_1PKTT01">#REF!</definedName>
    <definedName name="_1TCD101">#REF!</definedName>
    <definedName name="_1TCD201">#REF!</definedName>
    <definedName name="_1TCD203">#REF!</definedName>
    <definedName name="_1TD2001">#REF!</definedName>
    <definedName name="_1TIHT01">#REF!</definedName>
    <definedName name="_1TIHT06">#REF!</definedName>
    <definedName name="_1TIHT07">#REF!</definedName>
    <definedName name="_1TRU121">#REF!</definedName>
    <definedName name="_1月">#REF!</definedName>
    <definedName name="_1月G机差异">#REF!</definedName>
    <definedName name="_1月G机标准">#REF!</definedName>
    <definedName name="_1月差异">#REF!</definedName>
    <definedName name="_1月总装波轮机差异">#REF!</definedName>
    <definedName name="_1月标准">#REF!</definedName>
    <definedName name="_1月波轮总装标准">#REF!</definedName>
    <definedName name="_1月直接">#REF!</definedName>
    <definedName name="_1月费用">#REF!</definedName>
    <definedName name="_1月间接">#REF!</definedName>
    <definedName name="_2">#N/A</definedName>
    <definedName name="_2_231060401邮寄电汇费">#REF!</definedName>
    <definedName name="_20_231061001维修零件费用">#REF!</definedName>
    <definedName name="_201601">#REF!</definedName>
    <definedName name="_201601001">#REF!</definedName>
    <definedName name="_201601002">#REF!</definedName>
    <definedName name="_201601003">#REF!</definedName>
    <definedName name="_201601005">#REF!</definedName>
    <definedName name="_201601预提">#REF!</definedName>
    <definedName name="_201602">#REF!</definedName>
    <definedName name="_201602在产品">#REF!</definedName>
    <definedName name="_201602差异">#REF!</definedName>
    <definedName name="_201603">#REF!</definedName>
    <definedName name="_20160301">#REF!</definedName>
    <definedName name="_20160302">#REF!</definedName>
    <definedName name="_20160306">#REF!</definedName>
    <definedName name="_20160307">#REF!</definedName>
    <definedName name="_20160502">#REF!</definedName>
    <definedName name="_20160503">#REF!</definedName>
    <definedName name="_20160504">#REF!</definedName>
    <definedName name="_20160505">#REF!</definedName>
    <definedName name="_20160507">#REF!</definedName>
    <definedName name="_201606007">#REF!</definedName>
    <definedName name="_20160601">#REF!</definedName>
    <definedName name="_20160602">#REF!</definedName>
    <definedName name="_20160603">#REF!</definedName>
    <definedName name="_20160701">#REF!</definedName>
    <definedName name="_20160702">#REF!</definedName>
    <definedName name="_20160703">#REF!</definedName>
    <definedName name="_20160705">#REF!</definedName>
    <definedName name="_20160801">#REF!</definedName>
    <definedName name="_20160802">#REF!</definedName>
    <definedName name="_20160804">#REF!</definedName>
    <definedName name="_20160805">#REF!</definedName>
    <definedName name="_20160806">#REF!</definedName>
    <definedName name="_20160807">#REF!</definedName>
    <definedName name="_201608预提">#REF!</definedName>
    <definedName name="_201609">#REF!</definedName>
    <definedName name="_20161101">#REF!</definedName>
    <definedName name="_20161102">#REF!</definedName>
    <definedName name="_20161103">#REF!</definedName>
    <definedName name="_20161104">#REF!</definedName>
    <definedName name="_20161105">#REF!</definedName>
    <definedName name="_20161201">#REF!</definedName>
    <definedName name="_20161204">#REF!</definedName>
    <definedName name="_20161206">#REF!</definedName>
    <definedName name="_20161208">#REF!</definedName>
    <definedName name="_2016年水">#REF!</definedName>
    <definedName name="_201701">#REF!</definedName>
    <definedName name="_20170101">#REF!</definedName>
    <definedName name="_20170102">#REF!</definedName>
    <definedName name="_20170103">#REF!</definedName>
    <definedName name="_20170104">#REF!</definedName>
    <definedName name="_20170105">#REF!</definedName>
    <definedName name="_20170109">#REF!</definedName>
    <definedName name="_201701销售">#REF!</definedName>
    <definedName name="_20170201">#REF!</definedName>
    <definedName name="_20170202">#REF!</definedName>
    <definedName name="_20170203">#REF!</definedName>
    <definedName name="_20170204">#REF!</definedName>
    <definedName name="_20170205">#REF!</definedName>
    <definedName name="_20170206">#REF!</definedName>
    <definedName name="_20170207">#REF!</definedName>
    <definedName name="_201702224210">#REF!</definedName>
    <definedName name="_20170301">#REF!</definedName>
    <definedName name="_20170302">#REF!</definedName>
    <definedName name="_20170303">#REF!</definedName>
    <definedName name="_20170304">#REF!</definedName>
    <definedName name="_20170306">#REF!</definedName>
    <definedName name="_20170401">#REF!</definedName>
    <definedName name="_20170402">#REF!</definedName>
    <definedName name="_20170403">#REF!</definedName>
    <definedName name="_20170404">#REF!</definedName>
    <definedName name="_20170405">#REF!</definedName>
    <definedName name="_20170501">#REF!</definedName>
    <definedName name="_20170502">#REF!</definedName>
    <definedName name="_20170503">#REF!</definedName>
    <definedName name="_20170504">#REF!</definedName>
    <definedName name="_20170505">#REF!</definedName>
    <definedName name="_20170507">#REF!</definedName>
    <definedName name="_20170508">#REF!</definedName>
    <definedName name="_20170509">#REF!</definedName>
    <definedName name="_20170601">#REF!</definedName>
    <definedName name="_20170602">#REF!</definedName>
    <definedName name="_20170603">#REF!</definedName>
    <definedName name="_20170604">#REF!</definedName>
    <definedName name="_20170605">#REF!</definedName>
    <definedName name="_201706预提">#REF!</definedName>
    <definedName name="_20170701">#REF!</definedName>
    <definedName name="_20170702">#REF!</definedName>
    <definedName name="_20170703">#REF!</definedName>
    <definedName name="_20170704">#REF!</definedName>
    <definedName name="_20170801">#REF!</definedName>
    <definedName name="_20170802">#REF!</definedName>
    <definedName name="_20170803">#REF!</definedName>
    <definedName name="_20170804">#REF!</definedName>
    <definedName name="_20170805">#REF!</definedName>
    <definedName name="_20170806">#REF!</definedName>
    <definedName name="_20170901">#REF!</definedName>
    <definedName name="_20170902">#REF!</definedName>
    <definedName name="_20170903">#REF!</definedName>
    <definedName name="_20171001">#REF!</definedName>
    <definedName name="_20171101">#REF!</definedName>
    <definedName name="_20171102">#REF!</definedName>
    <definedName name="_20171103">#REF!</definedName>
    <definedName name="_20171104">#REF!</definedName>
    <definedName name="_20171105">#REF!</definedName>
    <definedName name="_20171106">#REF!</definedName>
    <definedName name="_20171107">#REF!</definedName>
    <definedName name="_20171201">#REF!</definedName>
    <definedName name="_20171202">#REF!</definedName>
    <definedName name="_20171203">#REF!</definedName>
    <definedName name="_20171204">#REF!</definedName>
    <definedName name="_20171205">#REF!</definedName>
    <definedName name="_20171206">#REF!</definedName>
    <definedName name="_2017年水">#REF!</definedName>
    <definedName name="_20180101">#REF!</definedName>
    <definedName name="_20180102">#REF!</definedName>
    <definedName name="_20180103">#REF!</definedName>
    <definedName name="_20180104">#REF!</definedName>
    <definedName name="_20180105">#REF!</definedName>
    <definedName name="_20180201">#REF!</definedName>
    <definedName name="_20180202">#REF!</definedName>
    <definedName name="_20180203">#REF!</definedName>
    <definedName name="_20180204">#REF!</definedName>
    <definedName name="_20180205">#REF!</definedName>
    <definedName name="_20180208">#REF!</definedName>
    <definedName name="_20180301">#REF!</definedName>
    <definedName name="_20180302">#REF!</definedName>
    <definedName name="_20180303">#REF!</definedName>
    <definedName name="_20180305">#REF!</definedName>
    <definedName name="_20180306">#REF!</definedName>
    <definedName name="_20180309">#REF!</definedName>
    <definedName name="_20180401">#REF!</definedName>
    <definedName name="_20180402">#REF!</definedName>
    <definedName name="_20180403">#REF!</definedName>
    <definedName name="_20180404">#REF!</definedName>
    <definedName name="_20180501">#REF!</definedName>
    <definedName name="_20180502">#REF!</definedName>
    <definedName name="_20180503">#REF!</definedName>
    <definedName name="_20180504">#REF!</definedName>
    <definedName name="_20180506">#REF!</definedName>
    <definedName name="_20180601">#REF!</definedName>
    <definedName name="_20180602">#REF!</definedName>
    <definedName name="_20180603">#REF!</definedName>
    <definedName name="_20180605">#REF!</definedName>
    <definedName name="_201806预提">#REF!</definedName>
    <definedName name="_20180701">#REF!</definedName>
    <definedName name="_20180702">#REF!</definedName>
    <definedName name="_20180703">#REF!</definedName>
    <definedName name="_20180704">#REF!</definedName>
    <definedName name="_20180705">#REF!</definedName>
    <definedName name="_20180709">#REF!</definedName>
    <definedName name="_20180801">#REF!</definedName>
    <definedName name="_20180802">#REF!</definedName>
    <definedName name="_20180803">#REF!</definedName>
    <definedName name="_20180804">#REF!</definedName>
    <definedName name="_20180805">#REF!</definedName>
    <definedName name="_20180808">#REF!</definedName>
    <definedName name="_20180901">#REF!</definedName>
    <definedName name="_20180902">#REF!</definedName>
    <definedName name="_20180903">#REF!</definedName>
    <definedName name="_20180904">#REF!</definedName>
    <definedName name="_20180905">#REF!</definedName>
    <definedName name="_20180906">#REF!</definedName>
    <definedName name="_20180907">#REF!</definedName>
    <definedName name="_20181001">#REF!</definedName>
    <definedName name="_20181002">#REF!</definedName>
    <definedName name="_20181003">#REF!</definedName>
    <definedName name="_20181004">#REF!</definedName>
    <definedName name="_20181005">#REF!</definedName>
    <definedName name="_20181006">#REF!</definedName>
    <definedName name="_20181101">#REF!</definedName>
    <definedName name="_20181102">#REF!</definedName>
    <definedName name="_20181103">#REF!</definedName>
    <definedName name="_20181104">#REF!</definedName>
    <definedName name="_20181105">#REF!</definedName>
    <definedName name="_201811预提">#REF!</definedName>
    <definedName name="_201812">#REF!</definedName>
    <definedName name="_20181201">#REF!</definedName>
    <definedName name="_20181202">#REF!</definedName>
    <definedName name="_20181203">#REF!</definedName>
    <definedName name="_20181204">#REF!</definedName>
    <definedName name="_20181205">#REF!</definedName>
    <definedName name="_20181206">#REF!</definedName>
    <definedName name="_201901">#REF!</definedName>
    <definedName name="_20190101">#REF!</definedName>
    <definedName name="_20190102">#REF!</definedName>
    <definedName name="_20190103">#REF!</definedName>
    <definedName name="_20190105">#REF!</definedName>
    <definedName name="_20190201">#REF!</definedName>
    <definedName name="_20190203">#REF!</definedName>
    <definedName name="_20190205">#REF!</definedName>
    <definedName name="_20190206">#REF!</definedName>
    <definedName name="_20190208">#REF!</definedName>
    <definedName name="_20190301">#REF!</definedName>
    <definedName name="_20190302">#REF!</definedName>
    <definedName name="_20190303">#REF!</definedName>
    <definedName name="_20190306">#REF!</definedName>
    <definedName name="_20190309">#REF!</definedName>
    <definedName name="_20190401">#REF!</definedName>
    <definedName name="_20190402">#REF!</definedName>
    <definedName name="_20190403">#REF!</definedName>
    <definedName name="_20190404">#REF!</definedName>
    <definedName name="_20190406">#REF!</definedName>
    <definedName name="_20190409">#REF!</definedName>
    <definedName name="_20190410">#REF!</definedName>
    <definedName name="_20190501">#REF!</definedName>
    <definedName name="_20190502">#REF!</definedName>
    <definedName name="_20190503">#REF!</definedName>
    <definedName name="_20190504">#REF!</definedName>
    <definedName name="_20190505">#REF!</definedName>
    <definedName name="_20190507">#REF!</definedName>
    <definedName name="_20190508">#REF!</definedName>
    <definedName name="_20190509">#REF!</definedName>
    <definedName name="_20190510">#REF!</definedName>
    <definedName name="_20190601">#REF!</definedName>
    <definedName name="_20190602">#REF!</definedName>
    <definedName name="_20190603">#REF!</definedName>
    <definedName name="_20190605">#REF!</definedName>
    <definedName name="_20190606">#REF!</definedName>
    <definedName name="_20190701">#REF!</definedName>
    <definedName name="_20190702">#REF!</definedName>
    <definedName name="_20190703">#REF!</definedName>
    <definedName name="_20190705">#REF!</definedName>
    <definedName name="_20190706">#REF!</definedName>
    <definedName name="_20190801">#REF!</definedName>
    <definedName name="_20190802">#REF!</definedName>
    <definedName name="_20190803">#REF!</definedName>
    <definedName name="_20190804">#REF!</definedName>
    <definedName name="_20190805">#REF!</definedName>
    <definedName name="_20190806">#REF!</definedName>
    <definedName name="_20190807">#REF!</definedName>
    <definedName name="_20190901">#REF!</definedName>
    <definedName name="_20190902">#REF!</definedName>
    <definedName name="_20190903">#REF!</definedName>
    <definedName name="_20190904">#REF!</definedName>
    <definedName name="_20190905">#REF!</definedName>
    <definedName name="_20190908">#REF!</definedName>
    <definedName name="_20190909">#REF!</definedName>
    <definedName name="_20190910">#REF!</definedName>
    <definedName name="_20190911">#REF!</definedName>
    <definedName name="_20191001">#REF!</definedName>
    <definedName name="_20191002">#REF!</definedName>
    <definedName name="_20191003">#REF!</definedName>
    <definedName name="_20191004">#REF!</definedName>
    <definedName name="_20191005">#REF!</definedName>
    <definedName name="_20191008">#REF!</definedName>
    <definedName name="_20191101">#REF!</definedName>
    <definedName name="_20191102">#REF!</definedName>
    <definedName name="_20191103">#REF!</definedName>
    <definedName name="_20191105">#REF!</definedName>
    <definedName name="_20191201">#REF!</definedName>
    <definedName name="_20191202">#REF!</definedName>
    <definedName name="_20191203">#REF!</definedName>
    <definedName name="_20191204">#REF!</definedName>
    <definedName name="_20191205">#REF!</definedName>
    <definedName name="_20191206">#REF!</definedName>
    <definedName name="_20191207">#REF!</definedName>
    <definedName name="_20191208">#REF!</definedName>
    <definedName name="_20191209">#REF!</definedName>
    <definedName name="_20191210">#REF!</definedName>
    <definedName name="_20200110">#REF!</definedName>
    <definedName name="_20200201">#REF!</definedName>
    <definedName name="_20200202">#REF!</definedName>
    <definedName name="_20200203">#REF!</definedName>
    <definedName name="_20200301">#REF!</definedName>
    <definedName name="_20200302">#REF!</definedName>
    <definedName name="_20200303">#REF!</definedName>
    <definedName name="_20200304">#REF!</definedName>
    <definedName name="_20200305">#REF!</definedName>
    <definedName name="_20200309">#REF!</definedName>
    <definedName name="_20200401">#REF!</definedName>
    <definedName name="_20200402">#REF!</definedName>
    <definedName name="_20200403">#REF!</definedName>
    <definedName name="_20200405">#REF!</definedName>
    <definedName name="_20200501">#REF!</definedName>
    <definedName name="_20200502">#REF!</definedName>
    <definedName name="_20200503">#REF!</definedName>
    <definedName name="_20200504">#REF!</definedName>
    <definedName name="_20200601">#REF!</definedName>
    <definedName name="_20200602">#REF!</definedName>
    <definedName name="_20200603">#REF!</definedName>
    <definedName name="_20200701">#REF!</definedName>
    <definedName name="_20200702">#REF!</definedName>
    <definedName name="_20200703">#REF!</definedName>
    <definedName name="_20200706">#REF!</definedName>
    <definedName name="_20200801">#REF!</definedName>
    <definedName name="_20200802">#REF!</definedName>
    <definedName name="_20200803">#REF!</definedName>
    <definedName name="_20200804">#REF!</definedName>
    <definedName name="_20200805">#REF!</definedName>
    <definedName name="_20200901">#REF!</definedName>
    <definedName name="_20200902">#REF!</definedName>
    <definedName name="_20200903">#REF!</definedName>
    <definedName name="_20200904">#REF!</definedName>
    <definedName name="_20201001">#REF!</definedName>
    <definedName name="_20201002">#REF!</definedName>
    <definedName name="_20201003">#REF!</definedName>
    <definedName name="_20201102">#REF!</definedName>
    <definedName name="_20201103">#REF!</definedName>
    <definedName name="_20201105">#REF!</definedName>
    <definedName name="_20201203">#REF!</definedName>
    <definedName name="_20201205">#REF!</definedName>
    <definedName name="_20210202">#REF!</definedName>
    <definedName name="_20210203">#REF!</definedName>
    <definedName name="_20210301">#REF!</definedName>
    <definedName name="_20210302">#REF!</definedName>
    <definedName name="_20210401">#REF!</definedName>
    <definedName name="_20210402">#REF!</definedName>
    <definedName name="_20210403">#REF!</definedName>
    <definedName name="_20210404">#REF!</definedName>
    <definedName name="_2021年">#REF!</definedName>
    <definedName name="_20TEÂN_HAØNG">#REF!</definedName>
    <definedName name="_21">#REF!</definedName>
    <definedName name="_21_231061101电视收音机">#REF!</definedName>
    <definedName name="_21TEÂN_KHAÙCH_HAØ">#REF!</definedName>
    <definedName name="_22_231061102出版物">#REF!</definedName>
    <definedName name="_224210">#REF!</definedName>
    <definedName name="_22421002">#REF!</definedName>
    <definedName name="_22421006">#REF!</definedName>
    <definedName name="_2242100601">#REF!</definedName>
    <definedName name="_22THAØNH_TIEÀN">#REF!</definedName>
    <definedName name="_23_231061103海报广告">#REF!</definedName>
    <definedName name="_231060302固话">#REF!</definedName>
    <definedName name="_231060401邮寄费">#REF!</definedName>
    <definedName name="_231060402文具印刷">#REF!</definedName>
    <definedName name="_231060402文具印刷费">#REF!</definedName>
    <definedName name="_231060403办公其他费用">#REF!</definedName>
    <definedName name="_231060501飞机票费">#REF!</definedName>
    <definedName name="_231060502火车轮船">#REF!</definedName>
    <definedName name="_231060503其他交通费">#REF!</definedName>
    <definedName name="_231060505出差补助">#REF!</definedName>
    <definedName name="_231060506住宿费">#REF!</definedName>
    <definedName name="_231060510杂费">#REF!</definedName>
    <definedName name="_231060601至经营部运费">#REF!</definedName>
    <definedName name="_231060604其他运费">#REF!</definedName>
    <definedName name="_231060605至客户运费">#REF!</definedName>
    <definedName name="_231060701赠送品">#REF!</definedName>
    <definedName name="_231060702促销活动费">#REF!</definedName>
    <definedName name="_2310608办公室租金">#REF!</definedName>
    <definedName name="_2310609贴息费用">#REF!</definedName>
    <definedName name="_231061001维修零件费用">#REF!</definedName>
    <definedName name="_231061101电视收音机">#REF!</definedName>
    <definedName name="_231061102出版物">#REF!</definedName>
    <definedName name="_231061103海报广告">#REF!</definedName>
    <definedName name="_231061105目录和手册">#REF!</definedName>
    <definedName name="_231061106门头广告">#REF!</definedName>
    <definedName name="_231061107商场展销费">#REF!</definedName>
    <definedName name="_231061108展会费">#REF!</definedName>
    <definedName name="_231061110其他">#REF!</definedName>
    <definedName name="_231061203">#REF!</definedName>
    <definedName name="_231061301电费">#REF!</definedName>
    <definedName name="_231061302燃油">#REF!</definedName>
    <definedName name="_231061303保暖费">#REF!</definedName>
    <definedName name="_231061304">#REF!</definedName>
    <definedName name="_231061304水">#REF!</definedName>
    <definedName name="_231061401客户">#REF!</definedName>
    <definedName name="_231061402个人">#REF!</definedName>
    <definedName name="_2310615安装费">#REF!</definedName>
    <definedName name="_231061601进场费">#REF!</definedName>
    <definedName name="_231061602节庆店庆费">#REF!</definedName>
    <definedName name="_231061603赞助费">#REF!</definedName>
    <definedName name="_231061604促销员管理费">#REF!</definedName>
    <definedName name="_231061610渠道费其他">#REF!</definedName>
    <definedName name="_2310617折旧修理费">#REF!</definedName>
    <definedName name="_2310621仓租">#REF!</definedName>
    <definedName name="_2310622仓库管理成本">#REF!</definedName>
    <definedName name="_2310650其他">#REF!</definedName>
    <definedName name="_23TRÒ_GIAÙ">#REF!</definedName>
    <definedName name="_24_231061105目录和手册">#REF!</definedName>
    <definedName name="_24TRÒ_GIAÙ__VAT">#REF!</definedName>
    <definedName name="_25_231061106门头广告">#REF!</definedName>
    <definedName name="_26_231061107商场展销费">#REF!</definedName>
    <definedName name="_261203">#REF!</definedName>
    <definedName name="_27_231061108展会费">#REF!</definedName>
    <definedName name="_28_231061110其他">#REF!</definedName>
    <definedName name="_29_231061203">#REF!</definedName>
    <definedName name="_2BLA100">#REF!</definedName>
    <definedName name="_2CHANG1">#REF!</definedName>
    <definedName name="_2CHANG2">#REF!</definedName>
    <definedName name="_2DADOI1">#REF!</definedName>
    <definedName name="_2DAL201">#REF!</definedName>
    <definedName name="_2GG2_" hidden="1">{#N/A,#N/A,FALSE,"Aging Summary";#N/A,#N/A,FALSE,"Ratio Analysis";#N/A,#N/A,FALSE,"Test 120 Day Accts";#N/A,#N/A,FALSE,"Tickmarks"}</definedName>
    <definedName name="_2KD0222">#REF!</definedName>
    <definedName name="_2LP">#REF!</definedName>
    <definedName name="_2TD2001">#REF!</definedName>
    <definedName name="_2月">#REF!</definedName>
    <definedName name="_2月G机差异">#REF!</definedName>
    <definedName name="_2月G机标准">#REF!</definedName>
    <definedName name="_2月Q机差异">#REF!</definedName>
    <definedName name="_2月Q机标准">#REF!</definedName>
    <definedName name="_3_119_8">#REF!</definedName>
    <definedName name="_3_20190418">#REF!</definedName>
    <definedName name="_3_231060401邮寄费">#REF!</definedName>
    <definedName name="_30_231061301电费">#REF!</definedName>
    <definedName name="_31__123Graph_AGRAPHIQUE_1A" hidden="1">#REF!</definedName>
    <definedName name="_31_231061302">#REF!</definedName>
    <definedName name="_32__123Graph_AGRAPHIQUE_2A" hidden="1">#REF!</definedName>
    <definedName name="_32_231061302燃油">#REF!</definedName>
    <definedName name="_33__123Graph_XGRAPHIQUE_1A" hidden="1">#REF!</definedName>
    <definedName name="_33_231061303保暖费">#REF!</definedName>
    <definedName name="_34__123Graph_XGRAPHIQUE_2A" hidden="1">#REF!</definedName>
    <definedName name="_34_231061304">#REF!</definedName>
    <definedName name="_35_231061304水">#REF!</definedName>
    <definedName name="_36_231061401客户">#REF!</definedName>
    <definedName name="_37_231061402个人">#REF!</definedName>
    <definedName name="_38_2310615安装费">#REF!</definedName>
    <definedName name="_39_231061601进场费">#REF!</definedName>
    <definedName name="_3BLXMD">#REF!</definedName>
    <definedName name="_3BOAG01">#REF!</definedName>
    <definedName name="_3COSSE1">#REF!</definedName>
    <definedName name="_3CTKHAC">#REF!</definedName>
    <definedName name="_3DMINO1">#REF!</definedName>
    <definedName name="_3DMINO2">#REF!</definedName>
    <definedName name="_3DUPSSS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MAÕ_HAØNG">#REF!</definedName>
    <definedName name="_3PKDOM1">#REF!</definedName>
    <definedName name="_3PKDOM2">#REF!</definedName>
    <definedName name="_3TRU122">#REF!</definedName>
    <definedName name="_3TU0609">#REF!</definedName>
    <definedName name="_3月">#REF!</definedName>
    <definedName name="_3月G机差异">#REF!</definedName>
    <definedName name="_3月G机标准">#REF!</definedName>
    <definedName name="_3月Q机差异">#REF!</definedName>
    <definedName name="_3月Q机标准">#REF!</definedName>
    <definedName name="_4_123">#REF!</definedName>
    <definedName name="_4_231060402文具印刷">#REF!</definedName>
    <definedName name="_40_231061602节庆店庆费">#REF!</definedName>
    <definedName name="_4010103在产品差异">#REF!</definedName>
    <definedName name="_41_231061603赞助费">#REF!</definedName>
    <definedName name="_42_231061604促销员管理费">#REF!</definedName>
    <definedName name="_43_231061610渠道费其他">#REF!</definedName>
    <definedName name="_430.001">#REF!</definedName>
    <definedName name="_44_2310617折旧修理费">#REF!</definedName>
    <definedName name="_45_2310621仓租">#REF!</definedName>
    <definedName name="_456">#REF!</definedName>
    <definedName name="_46_2310622仓库管理成本">#REF!</definedName>
    <definedName name="_47_2310650其他">#REF!</definedName>
    <definedName name="_48_80001">#REF!</definedName>
    <definedName name="_49_86003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MAÕ_SOÁ_THUEÁ">#REF!</definedName>
    <definedName name="_4OSLCTT">#REF!</definedName>
    <definedName name="_4月">#REF!</definedName>
    <definedName name="_4月B箱体差异">#REF!</definedName>
    <definedName name="_4月B箱体材料">#REF!</definedName>
    <definedName name="_4月G机箱体差异">#REF!</definedName>
    <definedName name="_4月G机箱体材料">#REF!</definedName>
    <definedName name="_4月G机车间差异">#REF!</definedName>
    <definedName name="_4月G机车间材料">#REF!</definedName>
    <definedName name="_4月Q机车间差异">#REF!</definedName>
    <definedName name="_4月Q机车间材料">#REF!</definedName>
    <definedName name="_4月制造费用">#REF!</definedName>
    <definedName name="_4月注塑差异">#REF!</definedName>
    <definedName name="_4月注塑材料">#REF!</definedName>
    <definedName name="_5_131">#REF!</definedName>
    <definedName name="_5_231060402文具印刷费">#REF!</definedName>
    <definedName name="_50_86004">#REF!</definedName>
    <definedName name="_5001010201">#REF!</definedName>
    <definedName name="_5001010202">#REF!</definedName>
    <definedName name="_500101020601">#REF!</definedName>
    <definedName name="_500102">#REF!</definedName>
    <definedName name="_501">#REF!</definedName>
    <definedName name="_501_2">#REF!</definedName>
    <definedName name="_502">#REF!</definedName>
    <definedName name="_50202">#REF!</definedName>
    <definedName name="_50202出口">#REF!</definedName>
    <definedName name="_50202出口12月">#REF!</definedName>
    <definedName name="_50202出口销售">#REF!</definedName>
    <definedName name="_50202出口销机">#REF!</definedName>
    <definedName name="_50203">#REF!</definedName>
    <definedName name="_50203出口CANDY">#REF!</definedName>
    <definedName name="_50203出口CANDY12月">#REF!</definedName>
    <definedName name="_50203直接出口CANDY">#REF!</definedName>
    <definedName name="_50205定牌销售">#REF!</definedName>
    <definedName name="_502出口">#REF!</definedName>
    <definedName name="_5080591">#REF!</definedName>
    <definedName name="_51_86005">#REF!</definedName>
    <definedName name="_51010401">#REF!</definedName>
    <definedName name="_51010402">#REF!</definedName>
    <definedName name="_51010403">#REF!</definedName>
    <definedName name="_51010404">#REF!</definedName>
    <definedName name="_510105">#REF!</definedName>
    <definedName name="_510142">#REF!</definedName>
    <definedName name="_52_86006">#REF!</definedName>
    <definedName name="_53_86007">#REF!</definedName>
    <definedName name="_54_86008">#REF!</definedName>
    <definedName name="_5GG1_" hidden="1">{#N/A,#N/A,FALSE,"Aging Summary";#N/A,#N/A,FALSE,"Ratio Analysis";#N/A,#N/A,FALSE,"Test 120 Day Accts";#N/A,#N/A,FALSE,"Tickmarks"}</definedName>
    <definedName name="_5ÑÔN_GIAÙ">#REF!</definedName>
    <definedName name="_6">#REF!</definedName>
    <definedName name="_6_13120">#REF!</definedName>
    <definedName name="_6_231060403办公其他费用">#REF!</definedName>
    <definedName name="_65">#REF!</definedName>
    <definedName name="_67">#REF!</definedName>
    <definedName name="_6SOÁ_CTÖØ">#REF!</definedName>
    <definedName name="_6月">#REF!</definedName>
    <definedName name="_7_134_138">#REF!</definedName>
    <definedName name="_7_231060501飞机票费">#REF!</definedName>
    <definedName name="_7GG2_" hidden="1">{#N/A,#N/A,FALSE,"Aging Summary";#N/A,#N/A,FALSE,"Ratio Analysis";#N/A,#N/A,FALSE,"Test 120 Day Accts";#N/A,#N/A,FALSE,"Tickmarks"}</definedName>
    <definedName name="_7SOÁ_LÖÔÏNG">#REF!</definedName>
    <definedName name="_7月销售">#REF!</definedName>
    <definedName name="_8">#REF!</definedName>
    <definedName name="_8_231060502火车轮船">#REF!</definedName>
    <definedName name="_80001">#REF!</definedName>
    <definedName name="_86003">#REF!</definedName>
    <definedName name="_86004">#REF!</definedName>
    <definedName name="_86005">#REF!</definedName>
    <definedName name="_86006">#REF!</definedName>
    <definedName name="_86007">#REF!</definedName>
    <definedName name="_86008">#REF!</definedName>
    <definedName name="_8IV16532_">#REF!</definedName>
    <definedName name="_8TEÂN_HAØNG">#REF!</definedName>
    <definedName name="_9">#REF!</definedName>
    <definedName name="_9_231060503其他交通费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IV17532_">#REF!</definedName>
    <definedName name="_9TEÂN_KHAÙCH_HAØ">#REF!</definedName>
    <definedName name="_9月预提">#REF!</definedName>
    <definedName name="_A">#REF!</definedName>
    <definedName name="_BQ4.10" hidden="1">#REF!</definedName>
    <definedName name="_BQ4.5" hidden="1">#REF!</definedName>
    <definedName name="_BQ4.8" hidden="1">#REF!</definedName>
    <definedName name="_BQ4.9" hidden="1">#REF!</definedName>
    <definedName name="_CON1">#REF!</definedName>
    <definedName name="_CON2">#REF!</definedName>
    <definedName name="_ddn400">#REF!</definedName>
    <definedName name="_ddn600">#REF!</definedName>
    <definedName name="_E99999">#REF!</definedName>
    <definedName name="_ETI2">#REF!</definedName>
    <definedName name="_Fill" hidden="1">#REF!</definedName>
    <definedName name="_xlnm._FilterDatabase" localSheetId="0" hidden="1">'CK P&amp;L by account 2026'!$A$4:$Q$194</definedName>
    <definedName name="_xlnm._FilterDatabase">#REF!</definedName>
    <definedName name="_GG1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>#REF!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IV16532">#REF!</definedName>
    <definedName name="_IV17532">#REF!</definedName>
    <definedName name="_IV19999">#REF!</definedName>
    <definedName name="_IV20000">#REF!</definedName>
    <definedName name="_IV60000">#REF!</definedName>
    <definedName name="_IV999999">#REF!</definedName>
    <definedName name="_IZ53">#REF!</definedName>
    <definedName name="_JZ123">#REF!</definedName>
    <definedName name="_Key1" hidden="1">#REF!</definedName>
    <definedName name="_key10000" hidden="1">#REF!</definedName>
    <definedName name="_Key10000000000" hidden="1">#REF!</definedName>
    <definedName name="_Key2" hidden="1">#REF!</definedName>
    <definedName name="_lap1">#REF!</definedName>
    <definedName name="_lap2">#REF!</definedName>
    <definedName name="_LI1">OFFSET(#REF!,4,0,COUNTA(#REF!)-1,1)</definedName>
    <definedName name="_LI10">OFFSET(#REF!,4,0,COUNTA(#REF!)-1,1)</definedName>
    <definedName name="_LI11">OFFSET(#REF!,4,0,COUNTA(#REF!)-1,1)</definedName>
    <definedName name="_LI12">OFFSET(#REF!,4,0,COUNTA(#REF!)-1,1)</definedName>
    <definedName name="_LI13">OFFSET(#REF!,4,0,COUNTA(#REF!)-1,1)</definedName>
    <definedName name="_LI14">OFFSET(#REF!,4,0,COUNTA(#REF!)-1,1)</definedName>
    <definedName name="_LI15">OFFSET(#REF!,4,0,COUNTA(#REF!)-1,1)</definedName>
    <definedName name="_LI16">OFFSET(#REF!,4,0,COUNTA(#REF!)-1,1)</definedName>
    <definedName name="_LI17">OFFSET(#REF!,4,0,COUNTA(#REF!)-1,1)</definedName>
    <definedName name="_LI18">OFFSET(#REF!,4,0,COUNTA(#REF!)-1,1)</definedName>
    <definedName name="_LI19">OFFSET(#REF!,4,0,COUNTA(#REF!)-1,1)</definedName>
    <definedName name="_LI2">OFFSET(#REF!,4,0,COUNTA(#REF!)-1,1)</definedName>
    <definedName name="_LI20">OFFSET(#REF!,4,0,COUNTA(#REF!)-1,1)</definedName>
    <definedName name="_LI21">OFFSET(#REF!,4,0,COUNTA(#REF!)-1,1)</definedName>
    <definedName name="_LI22">OFFSET(#REF!,4,0,COUNTA(#REF!)-1,1)</definedName>
    <definedName name="_LI23">OFFSET(#REF!,4,0,COUNTA(#REF!)-1,1)</definedName>
    <definedName name="_LI24">OFFSET(#REF!,4,0,COUNTA(#REF!)-1,1)</definedName>
    <definedName name="_LI25">OFFSET(#REF!,4,0,COUNTA(#REF!)-1,1)</definedName>
    <definedName name="_LI3">OFFSET(#REF!,4,0,COUNTA(#REF!)-1,1)</definedName>
    <definedName name="_LI30">OFFSET(#REF!,4,0,COUNTA(#REF!)-1,1)</definedName>
    <definedName name="_LI4">OFFSET(#REF!,4,0,COUNTA(#REF!)-1,1)</definedName>
    <definedName name="_LI5">OFFSET(#REF!,4,0,COUNTA(#REF!)-1,1)</definedName>
    <definedName name="_LI6">OFFSET(#REF!,4,0,COUNTA(#REF!)-1,1)</definedName>
    <definedName name="_LI7">OFFSET(#REF!,4,0,COUNTA(#REF!)-1,1)</definedName>
    <definedName name="_LI8">OFFSET(#REF!,4,0,COUNTA(#REF!)-1,1)</definedName>
    <definedName name="_LI9">OFFSET(#REF!,4,0,COUNTA(#REF!)-1,1)</definedName>
    <definedName name="_LZ123">#REF!</definedName>
    <definedName name="_M1110" hidden="1">{#N/A,#N/A,FALSE,"Aging"}</definedName>
    <definedName name="_M136">#REF!</definedName>
    <definedName name="_M139">#REF!</definedName>
    <definedName name="_MAC12">#REF!</definedName>
    <definedName name="_MAC46">#REF!</definedName>
    <definedName name="_MZ53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 hidden="1">255</definedName>
    <definedName name="_Order2" hidden="1">255</definedName>
    <definedName name="_Parse_Out" hidden="1">#REF!</definedName>
    <definedName name="_Regression_X" hidden="1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02">{"Book1"}</definedName>
    <definedName name="_tab1">#REF!</definedName>
    <definedName name="_tab10">#REF!</definedName>
    <definedName name="_tab11">#REF!</definedName>
    <definedName name="_tab12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2_In1" hidden="1">#REF!</definedName>
    <definedName name="_Table2_In2" hidden="1">#REF!</definedName>
    <definedName name="_TB1">#REF!</definedName>
    <definedName name="_TC07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UNDO_UPS_" hidden="1">#REF!</definedName>
    <definedName name="_UNDO_UPS_SEL_" hidden="1">#REF!</definedName>
    <definedName name="_UNDO31X31X_" hidden="1">#REF!</definedName>
    <definedName name="_VL100">#REF!</definedName>
    <definedName name="_VL200">#REF!</definedName>
    <definedName name="_VL250">#REF!</definedName>
    <definedName name="_XY123">#REF!</definedName>
    <definedName name="_销售09">#REF!</definedName>
    <definedName name="_预提06">#REF!</definedName>
    <definedName name="_预提08">#REF!</definedName>
    <definedName name="a">{"Book1"}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_SIZE">#REF!</definedName>
    <definedName name="aaa" hidden="1">#REF!</definedName>
    <definedName name="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BC">#REF!</definedName>
    <definedName name="AC" hidden="1">{"'Actual'!$A$1:$F$25"}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"Z:\FI\Finance\Liuxj\Export sales\pastdue-e 2004\France 04.mdb"</definedName>
    <definedName name="actpl">#REF!</definedName>
    <definedName name="ad">#REF!</definedName>
    <definedName name="Address">#REF!</definedName>
    <definedName name="adsa" hidden="1">{"'Actual'!$A$1:$F$25"}</definedName>
    <definedName name="All_Item">#REF!</definedName>
    <definedName name="ALPIN">#N/A</definedName>
    <definedName name="ALPJYOU">#N/A</definedName>
    <definedName name="ALPTOI">#N/A</definedName>
    <definedName name="April">#REF!</definedName>
    <definedName name="Arbeitsinhalte_Bemerkungen">#REF!,#REF!</definedName>
    <definedName name="Arbeitsinhalte_Eingabe">#REF!,#REF!,#REF!,#REF!</definedName>
    <definedName name="ARCHIVO">#REF!</definedName>
    <definedName name="Area_access_852">#REF!</definedName>
    <definedName name="Area_stampa_MI">#REF!</definedName>
    <definedName name="a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2DocOpenMode" hidden="1">"AS2DocumentEdit"</definedName>
    <definedName name="a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sessment">#REF!</definedName>
    <definedName name="assumptionProductionOverhead">#REF!</definedName>
    <definedName name="AuraStyleDefaultsReset" hidden="1">#N/A</definedName>
    <definedName name="b">#REF!</definedName>
    <definedName name="b_240">#REF!</definedName>
    <definedName name="b_280">#REF!</definedName>
    <definedName name="b_320">#REF!</definedName>
    <definedName name="B_AM_act">#REF!</definedName>
    <definedName name="B_AM_plan">#REF!</definedName>
    <definedName name="B_AS_act">#REF!</definedName>
    <definedName name="B_AS_plan">#REF!</definedName>
    <definedName name="B_EU_act">#REF!</definedName>
    <definedName name="B_EU_plan">#REF!</definedName>
    <definedName name="B_tinh">#REF!</definedName>
    <definedName name="b70_">#REF!</definedName>
    <definedName name="Bang_cly">#REF!</definedName>
    <definedName name="Bang_CVC">#REF!</definedName>
    <definedName name="bang_gia">#REF!</definedName>
    <definedName name="Bang_travl">#REF!</definedName>
    <definedName name="BarData">#REF!</definedName>
    <definedName name="Basisdaten_Eingabe">#REF!,#REF!,#REF!,#REF!,#REF!,#REF!,#REF!,#REF!,#REF!,#REF!,#REF!,#REF!,#REF!,#REF!,#REF!,#REF!</definedName>
    <definedName name="BB">#REF!</definedName>
    <definedName name="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egin10">#REF!</definedName>
    <definedName name="BEL">#REF!</definedName>
    <definedName name="BIL_NO">"MO85110026"</definedName>
    <definedName name="blkh">#REF!</definedName>
    <definedName name="blkh1">#REF!</definedName>
    <definedName name="BLOCK">#REF!</definedName>
    <definedName name="BLOCK1">#REF!</definedName>
    <definedName name="BLOCK2">#REF!</definedName>
    <definedName name="BLOCK3">#REF!</definedName>
    <definedName name="b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OQ">#REF!</definedName>
    <definedName name="BREAKDOWN">#REF!</definedName>
    <definedName name="BS_Date">#REF!</definedName>
    <definedName name="BTLT1pm">#REF!</definedName>
    <definedName name="BTLT3pm">#REF!</definedName>
    <definedName name="BTLTct">#REF!</definedName>
    <definedName name="BTLTHTDL">#REF!</definedName>
    <definedName name="BTLTHTHH">#REF!</definedName>
    <definedName name="BTRAM">#REF!</definedName>
    <definedName name="Build">1</definedName>
    <definedName name="BVCISUMMARY">#REF!</definedName>
    <definedName name="BZ">#REF!</definedName>
    <definedName name="C_O">#REF!</definedName>
    <definedName name="C_SIZE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lculocosthora">#REF!</definedName>
    <definedName name="cap">#REF!</definedName>
    <definedName name="cap0.7">#REF!</definedName>
    <definedName name="capdat">#REF!</definedName>
    <definedName name="Cape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Cor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AL">#REF!</definedName>
    <definedName name="CB1_END_DD">"2008-05-13"</definedName>
    <definedName name="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S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um">#REF!</definedName>
    <definedName name="CellaValuta">#REF!</definedName>
    <definedName name="ceri">#REF!</definedName>
    <definedName name="CH">#REF!</definedName>
    <definedName name="chang1pm">#REF!</definedName>
    <definedName name="chang3pm">#REF!</definedName>
    <definedName name="changct">#REF!</definedName>
    <definedName name="changht">#REF!</definedName>
    <definedName name="changHTDL">#REF!</definedName>
    <definedName name="changHTHH">#REF!</definedName>
    <definedName name="China">#REF!</definedName>
    <definedName name="China_critera">#REF!</definedName>
    <definedName name="China_criteria">#REF!</definedName>
    <definedName name="choice">#REF!</definedName>
    <definedName name="City">#REF!</definedName>
    <definedName name="CK">#REF!</definedName>
    <definedName name="CL">#REF!</definedName>
    <definedName name="CLA">#REF!</definedName>
    <definedName name="clvc">#REF!</definedName>
    <definedName name="CLVC3">0.1</definedName>
    <definedName name="CLVC35">#REF!</definedName>
    <definedName name="CLVCTB">#REF!</definedName>
    <definedName name="CLVL">#REF!</definedName>
    <definedName name="Co">#REF!</definedName>
    <definedName name="Code" hidden="1">#REF!</definedName>
    <definedName name="Code_to_Position_Name">#REF!</definedName>
    <definedName name="COLUMNS10">#N/A</definedName>
    <definedName name="COMMON">#REF!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y">#REF!</definedName>
    <definedName name="COMPARATIVO">#REF!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SUMOACUMULAD">#REF!</definedName>
    <definedName name="consumomes">#REF!</definedName>
    <definedName name="CONTABILE">#REF!</definedName>
    <definedName name="Cost">#REF!</definedName>
    <definedName name="COSTO">#REF!</definedName>
    <definedName name="Count_In_OnePage">1</definedName>
    <definedName name="Countr">#REF!</definedName>
    <definedName name="Country">#REF!</definedName>
    <definedName name="Country_Source">#REF!</definedName>
    <definedName name="COVER">#REF!</definedName>
    <definedName name="Cöï_ly_vaän_chuyeãn">#REF!</definedName>
    <definedName name="CÖÏ_LY_VAÄN_CHUYEÅN">#REF!</definedName>
    <definedName name="CPC">#REF!</definedName>
    <definedName name="CPVC35">#REF!</definedName>
    <definedName name="CPVCDN">#REF!</definedName>
    <definedName name="cr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dn9697">#REF!</definedName>
    <definedName name="CTIET">#REF!</definedName>
    <definedName name="ctiep">#REF!</definedName>
    <definedName name="CURRENCY">#REF!</definedName>
    <definedName name="Currency_list">#REF!</definedName>
    <definedName name="Current_Qtr">#REF!</definedName>
    <definedName name="CX">#REF!</definedName>
    <definedName name="Cycle">#REF!</definedName>
    <definedName name="Cycle_Name">#REF!</definedName>
    <definedName name="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_7101A_B">#REF!</definedName>
    <definedName name="D_SIZE">"Dsize"</definedName>
    <definedName name="D300A" hidden="1">#REF!</definedName>
    <definedName name="da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nhmuc">#REF!</definedName>
    <definedName name="data">OFFSET(#REF!,0,0,COUNTA(#REF!),COUNTA(#REF!))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DATA498">OFFSET(#REF!,,,COUNTA(#REF!)-6,COUNTA(#REF!))</definedName>
    <definedName name="_xlnm.Database">#REF!</definedName>
    <definedName name="DATACAS">OFFSET(#REF!,,,COUNTA(#REF!),COUNTA(#REF!))</definedName>
    <definedName name="DATATKDT">#REF!</definedName>
    <definedName name="DAY">#N/A</definedName>
    <definedName name="DB_Input_Dol">#REF!</definedName>
    <definedName name="dcfg" hidden="1">{"'Actual'!$A$1:$F$25"}</definedName>
    <definedName name="DD">#REF!</definedName>
    <definedName name="DDAY">#REF!</definedName>
    <definedName name="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dddddd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e" hidden="1">{"'Actual'!$A$1:$F$25"}</definedName>
    <definedName name="Delta_pcs">#REF!</definedName>
    <definedName name="den_bu">#REF!</definedName>
    <definedName name="DEP">"外1线"</definedName>
    <definedName name="DEP_NM">""</definedName>
    <definedName name="DEPT">#REF!</definedName>
    <definedName name="df">#REF!</definedName>
    <definedName name="dfdfd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dffg" hidden="1">{"'Actual'!$A$1:$F$25"}</definedName>
    <definedName name="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d">#REF!</definedName>
    <definedName name="dfgfg" hidden="1">{"'Actual'!$A$1:$F$25"}</definedName>
    <definedName name="dft" hidden="1">{"'Actual'!$A$1:$F$25"}</definedName>
    <definedName name="DGCTI592">#REF!</definedName>
    <definedName name="DGNC">#REF!</definedName>
    <definedName name="DGTV">#REF!</definedName>
    <definedName name="dgvc">#REF!</definedName>
    <definedName name="DGVT">#REF!</definedName>
    <definedName name="DIARIO46">#REF!</definedName>
    <definedName name="DIARIO47">#REF!</definedName>
    <definedName name="Diagramm_Eingabe">#REF!,#REF!,#REF!,#REF!,#REF!</definedName>
    <definedName name="Direct_Labor_Cost_Per_H_2022">#REF!</definedName>
    <definedName name="directlabor">#REF!</definedName>
    <definedName name="Discount" hidden="1">#REF!</definedName>
    <definedName name="display_area_2" hidden="1">#REF!</definedName>
    <definedName name="DLCC">#REF!</definedName>
    <definedName name="DM">#REF!</definedName>
    <definedName name="dobt">#REF!</definedName>
    <definedName name="Document_array">{"Thuxm2.xls","Sheet1"}</definedName>
    <definedName name="DruckeMitVorschau">#N/A</definedName>
    <definedName name="DS1p1vc">#REF!</definedName>
    <definedName name="ds1p2nc">#REF!</definedName>
    <definedName name="ds1p2vc">#REF!</definedName>
    <definedName name="ds1p2vl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mnc">#REF!</definedName>
    <definedName name="ds3pmvc">#REF!</definedName>
    <definedName name="ds3pm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dt">#REF!</definedName>
    <definedName name="Durchführng">"AutoForm 5"</definedName>
    <definedName name="Durchführung">"AutoForm 5"</definedName>
    <definedName name="d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WHAM0011">OFFSET(#REF!,,,COUNTA(#REF!),COUNTA(#REF!))</definedName>
    <definedName name="e">#REF!</definedName>
    <definedName name="ED_DEP_NM">"外1线"</definedName>
    <definedName name="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FFETTIVO">#REF!</definedName>
    <definedName name="Einmalaufwand_Bemerkungen">#REF!,#REF!,#REF!,#REF!</definedName>
    <definedName name="Einmalaufwand_Eingabe">#REF!,#REF!,#REF!,#REF!,#REF!,#REF!,#REF!,#REF!,#REF!</definedName>
    <definedName name="ej">#REF!</definedName>
    <definedName name="Emai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">"AutoForm 3"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">#N/A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t">#REF!</definedName>
    <definedName name="EV__LASTREFTIME__" hidden="1">"20/10/2004 PM 4:03:03"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134217735</definedName>
    <definedName name="EV__WBVERSION__" hidden="1">0</definedName>
    <definedName name="EV__WSINFO__" hidden="1">"everest"</definedName>
    <definedName name="Ext_factor">#REF!</definedName>
    <definedName name="F">#REF!</definedName>
    <definedName name="f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CTOR">#REF!</definedName>
    <definedName name="Fan" hidden="1">{"'Actual'!$A$1:$F$25"}</definedName>
    <definedName name="FAS_TABLE_BODY">"6;1;51;6;"</definedName>
    <definedName name="FAS_TABLE_BODY_AUTOSIZE">"FALSE"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x">#REF!</definedName>
    <definedName name="FCode" hidden="1">#REF!</definedName>
    <definedName name="fd">#REF!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ebruary">#REF!</definedName>
    <definedName name="Fertigungsart">#REF!</definedName>
    <definedName name="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">#REF!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ST">"BRSUM FFST"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Servic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L">IF(ISERROR(FIND("PE薄膜",V_12)),IF(ISERROR(FIND("牛皮",V_12)),"其他","包装材料_包装箱体"),"包装材料_PE")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">#REF!</definedName>
    <definedName name="G_ME">#REF!</definedName>
    <definedName name="gelb">"Ellipse 245"</definedName>
    <definedName name="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IAVLIEUTN">#REF!</definedName>
    <definedName name="gia">#REF!</definedName>
    <definedName name="Gia_CT">#REF!</definedName>
    <definedName name="gia_tien">#REF!</definedName>
    <definedName name="gia_tien_BTN">#REF!</definedName>
    <definedName name="Gia_VT">#REF!</definedName>
    <definedName name="Giocong">#REF!</definedName>
    <definedName name="gl3p">#REF!</definedName>
    <definedName name="GROSS">#REF!</definedName>
    <definedName name="GROUP">#REF!</definedName>
    <definedName name="Growth">#REF!</definedName>
    <definedName name="grün">"Ellipse 246"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T">#REF!</definedName>
    <definedName name="GTXL">#REF!</definedName>
    <definedName name="h">#REF!</definedName>
    <definedName name="H_THUCHTHH">#REF!</definedName>
    <definedName name="H_THUCTT">#REF!</definedName>
    <definedName name="hay">#REF!</definedName>
    <definedName name="Haytabel">#REF!</definedName>
    <definedName name="H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ä_soá_laép_xaø_H">1.7</definedName>
    <definedName name="heä_soá_sình_laày">#REF!</definedName>
    <definedName name="hfi">#REF!</definedName>
    <definedName name="hh" hidden="1">{"'Actual'!$A$1:$F$25"}</definedName>
    <definedName name="HHTT">#REF!</definedName>
    <definedName name="HIEU" hidden="1">{"'Sheet1'!$L$16"}</definedName>
    <definedName name="HiddenRows" hidden="1">#REF!</definedName>
    <definedName name="hien">#REF!</definedName>
    <definedName name="Hinh_thuc">"bangtra"</definedName>
    <definedName name="hjlx">#REF!</definedName>
    <definedName name="HOME_MANP">#REF!</definedName>
    <definedName name="HOMEOFFICE_COST">#REF!</definedName>
    <definedName name="hoten">#REF!</definedName>
    <definedName name="Hours">#REF!</definedName>
    <definedName name="Hoü_vaì_tãn">#REF!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SCT3">0.1</definedName>
    <definedName name="hsdc">#REF!</definedName>
    <definedName name="hsdc1">#REF!</definedName>
    <definedName name="HSDN">#REF!</definedName>
    <definedName name="HSHH">#REF!</definedName>
    <definedName name="HSHHUT">#REF!</definedName>
    <definedName name="hsk">#REF!</definedName>
    <definedName name="hskd">#REF!</definedName>
    <definedName name="hskk">#REF!</definedName>
    <definedName name="HSKK35">#REF!</definedName>
    <definedName name="hslx">#REF!</definedName>
    <definedName name="hslxh">#REF!</definedName>
    <definedName name="HSLXP">#REF!</definedName>
    <definedName name="HSSL">#REF!</definedName>
    <definedName name="HSVC1">#REF!</definedName>
    <definedName name="HSVC2">#REF!</definedName>
    <definedName name="HSVC3">#REF!</definedName>
    <definedName name="HTHH">#REF!</definedName>
    <definedName name="HTML_CodePage" hidden="1">1252</definedName>
    <definedName name="HTML_Control" hidden="1">{"'Foglio1'!$J$12:$M$12"}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PathTemplate" hidden="1">"Z:\2000 seasonalized\htmlfiles\TESTBORDER.HTM"</definedName>
    <definedName name="HTML_Title" hidden="1">"Auspeit"</definedName>
    <definedName name="HTNC">#REF!</definedName>
    <definedName name="HTVL">#REF!</definedName>
    <definedName name="huy" hidden="1">{"'Sheet1'!$L$16"}</definedName>
    <definedName name="I">#REF!</definedName>
    <definedName name="IDLAB_COST">#REF!</definedName>
    <definedName name="IND_LAB">#REF!</definedName>
    <definedName name="INDMANP">#REF!</definedName>
    <definedName name="IV">#REF!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">#REF!</definedName>
    <definedName name="j356C8">#REF!</definedName>
    <definedName name="ja">#REF!</definedName>
    <definedName name="January">#REF!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L">#REF!</definedName>
    <definedName name="Job_Family_Code___Title">#REF!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P">#REF!</definedName>
    <definedName name="JULY">#N/A</definedName>
    <definedName name="K">#REF!</definedName>
    <definedName name="k2b">#REF!</definedName>
    <definedName name="kcong">#REF!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H_Chang">#REF!</definedName>
    <definedName name="khoi" hidden="1">{"'Sheet1'!$L$16"}</definedName>
    <definedName name="kind">#REF!</definedName>
    <definedName name="kl_ME">#REF!</definedName>
    <definedName name="KLTHDN">#REF!</definedName>
    <definedName name="KLVANKHUON">#REF!</definedName>
    <definedName name="korea">#REF!</definedName>
    <definedName name="Kosa_aktuell">#REF!</definedName>
    <definedName name="kp1ph">#REF!</definedName>
    <definedName name="KSTK">#REF!</definedName>
    <definedName name="KVC">#REF!</definedName>
    <definedName name="L">#REF!</definedName>
    <definedName name="L_AM_act">#REF!</definedName>
    <definedName name="L_AM_plan">#REF!</definedName>
    <definedName name="L_AS_act">#REF!</definedName>
    <definedName name="L_AS_plan">#REF!</definedName>
    <definedName name="L_EU_act">#REF!</definedName>
    <definedName name="L_EU_plan">#REF!</definedName>
    <definedName name="L_mong">#REF!</definedName>
    <definedName name="lan" hidden="1">{#N/A,#N/A,TRUE,"BT M200 da 10x20"}</definedName>
    <definedName name="laychua">{"Thuxm2.xls","Sheet1"}</definedName>
    <definedName name="LI">OFFSET(#REF!,4,0,COUNTA(#REF!)-1,1)</definedName>
    <definedName name="LINE">#REF!</definedName>
    <definedName name="LINK">INDIRECT(#REF!&amp;"!A1")</definedName>
    <definedName name="list">#REF!</definedName>
    <definedName name="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_hathe">#REF!</definedName>
    <definedName name="llll">#REF!</definedName>
    <definedName name="LLLLL" hidden="1">{#N/A,#N/A,FALSE,"Chi tiÆt"}</definedName>
    <definedName name="Lmk">#REF!</definedName>
    <definedName name="LN">#REF!</definedName>
    <definedName name="lo" hidden="1">#REF!</definedName>
    <definedName name="Loai_TD">#REF!</definedName>
    <definedName name="LOC">#REF!</definedName>
    <definedName name="location">#REF!</definedName>
    <definedName name="location1">#REF!</definedName>
    <definedName name="lois" hidden="1">{"'Actual'!$A$1:$F$25"}</definedName>
    <definedName name="LOis_Greg" hidden="1">{"'Actual'!$A$1:$F$25"}</definedName>
    <definedName name="Losses">#REF!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VC">#REF!</definedName>
    <definedName name="m">#REF!</definedName>
    <definedName name="M102bnnc">#REF!</definedName>
    <definedName name="M102bnvl">#REF!</definedName>
    <definedName name="M10aanc">#REF!</definedName>
    <definedName name="M10aavc">#REF!</definedName>
    <definedName name="M10aavl">#REF!</definedName>
    <definedName name="M10banc">#REF!</definedName>
    <definedName name="M10bavl">#REF!</definedName>
    <definedName name="M12a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36出口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NV">#REF!</definedName>
    <definedName name="March">#REF!</definedName>
    <definedName name="MAVANKHUON">#REF!</definedName>
    <definedName name="MAVLTHDN">#REF!</definedName>
    <definedName name="May">#REF!</definedName>
    <definedName name="Mba1p">#REF!</definedName>
    <definedName name="Mba3p">#REF!</definedName>
    <definedName name="Mbb3p">#REF!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Bnc">#REF!</definedName>
    <definedName name="MBvl">#REF!</definedName>
    <definedName name="MC">#REF!</definedName>
    <definedName name="Meilenstein">"AutoForm 4"</definedName>
    <definedName name="MERIT">#REF!</definedName>
    <definedName name="MG_A">#REF!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O_NO">"MO85110026"</definedName>
    <definedName name="mod">#REF!,#REF!,#REF!,#REF!,#REF!</definedName>
    <definedName name="mong1pm">#REF!</definedName>
    <definedName name="mong3pm">#REF!</definedName>
    <definedName name="mongct">#REF!</definedName>
    <definedName name="monght">#REF!</definedName>
    <definedName name="mongHTDL">#REF!</definedName>
    <definedName name="mongHTHH">#REF!</definedName>
    <definedName name="mongneo1pm">#REF!</definedName>
    <definedName name="mongneo3pm">#REF!</definedName>
    <definedName name="mongneoct">#REF!</definedName>
    <definedName name="mongneoht">#REF!</definedName>
    <definedName name="mongneoHTDL">#REF!</definedName>
    <definedName name="mongneoHTHH">#REF!</definedName>
    <definedName name="Moùng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>#REF!</definedName>
    <definedName name="MTC1P">#REF!</definedName>
    <definedName name="MTC3P">#REF!</definedName>
    <definedName name="MTCMB">#REF!</definedName>
    <definedName name="MTMAC12">#REF!</definedName>
    <definedName name="mtram">#REF!</definedName>
    <definedName name="MULTIPLICA">#REF!</definedName>
    <definedName name="n">#REF!</definedName>
    <definedName name="N1pIGnc">#REF!</definedName>
    <definedName name="N1pIGvc">#REF!</definedName>
    <definedName name="N1pIGvl">#REF!</definedName>
    <definedName name="N1pINDnc">#REF!</definedName>
    <definedName name="N1pINDvc">#REF!</definedName>
    <definedName name="N1pINDvl">#REF!</definedName>
    <definedName name="N1pINGnc">#REF!</definedName>
    <definedName name="N1pINGvc">#REF!</definedName>
    <definedName name="N1pINGvl">#REF!</definedName>
    <definedName name="N1pINTnc">#REF!</definedName>
    <definedName name="N1pINTvc">#REF!</definedName>
    <definedName name="N1pINTvl">#REF!</definedName>
    <definedName name="n1pig">#REF!</definedName>
    <definedName name="n1pind">#REF!</definedName>
    <definedName name="n1ping">#REF!</definedName>
    <definedName name="n1pint">#REF!</definedName>
    <definedName name="N1pNLnc">#REF!</definedName>
    <definedName name="N1pNLvc">#REF!</definedName>
    <definedName name="N1pNLvl">#REF!</definedName>
    <definedName name="NA">#REF!</definedName>
    <definedName name="Ñaép_ñaát">#REF!</definedName>
    <definedName name="name">#REF!</definedName>
    <definedName name="Ñaøo_ñaát_tieáp_ñòa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ØY">#REF!</definedName>
    <definedName name="NH">#REF!</definedName>
    <definedName name="NHAÂN_COÂNG">#REF!</definedName>
    <definedName name="Nhapsolieu">#REF!</definedName>
    <definedName name="nhn">#REF!</definedName>
    <definedName name="NHot">#REF!</definedName>
    <definedName name="NIGnc">#REF!</definedName>
    <definedName name="NIGvc">#REF!</definedName>
    <definedName name="NIGvl">#REF!</definedName>
    <definedName name="NIN190nc">#REF!</definedName>
    <definedName name="NIN190vl">#REF!</definedName>
    <definedName name="NINDnc">#REF!</definedName>
    <definedName name="NINDvc">#REF!</definedName>
    <definedName name="NINDvl">#REF!</definedName>
    <definedName name="NINnc">#REF!</definedName>
    <definedName name="NINvc">#REF!</definedName>
    <definedName name="NINvl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90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vl1p">#REF!</definedName>
    <definedName name="ning1p">#REF!</definedName>
    <definedName name="ningnc1p">#REF!</definedName>
    <definedName name="ningvl1p">#REF!</definedName>
    <definedName name="nint1p">#REF!</definedName>
    <definedName name="nintnc1p">#REF!</definedName>
    <definedName name="nintvl1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TK1p">#REF!</definedName>
    <definedName name="nmTemplate">#REF!</definedName>
    <definedName name="nn">#REF!</definedName>
    <definedName name="nn1p">#REF!</definedName>
    <definedName name="nn3p">#REF!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">#REF!</definedName>
    <definedName name="NomeTabella">"Dummy"</definedName>
    <definedName name="nota02">#REF!</definedName>
    <definedName name="nota04">#REF!</definedName>
    <definedName name="nota10">#REF!</definedName>
    <definedName name="nota11">#REF!</definedName>
    <definedName name="nota12">#REF!</definedName>
    <definedName name="NOW">#REF!</definedName>
    <definedName name="nsl">#REF!</definedName>
    <definedName name="nx">#REF!</definedName>
    <definedName name="OneP_AM_act">#REF!</definedName>
    <definedName name="OneP_AM_plan">#REF!</definedName>
    <definedName name="OneP_AS_act">#REF!</definedName>
    <definedName name="OneP_AS_plan">#REF!</definedName>
    <definedName name="OneP_EU_act">#REF!</definedName>
    <definedName name="OneP_EU_plan">#REF!</definedName>
    <definedName name="op">#REF!</definedName>
    <definedName name="OrderTable" hidden="1">#REF!</definedName>
    <definedName name="Org_Size">#REF!</definedName>
    <definedName name="osc">#REF!</definedName>
    <definedName name="overall">#REF!</definedName>
    <definedName name="P_12">!$V1</definedName>
    <definedName name="p_all">#REF!</definedName>
    <definedName name="P_Attributi">25</definedName>
    <definedName name="P_Dimensione">"Account"</definedName>
    <definedName name="Pais">#REF!</definedName>
    <definedName name="PAPELLINER">#REF!</definedName>
    <definedName name="PAPER_LINER">#REF!</definedName>
    <definedName name="PAymentType">#REF!</definedName>
    <definedName name="PDR">#REF!</definedName>
    <definedName name="Performance">#REF!</definedName>
    <definedName name="Period">#REF!</definedName>
    <definedName name="Personal_Bemerkungen">#REF!,#REF!,#REF!,#REF!,#REF!,#REF!,#REF!</definedName>
    <definedName name="PfcstQtr">#REF!</definedName>
    <definedName name="Phanbothue">#REF!</definedName>
    <definedName name="Phone">#REF!</definedName>
    <definedName name="phu_luc_vua">#REF!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K">#REF!</definedName>
    <definedName name="Plan96b" hidden="1">#REF!</definedName>
    <definedName name="PLANENE99">#REF!</definedName>
    <definedName name="planmonthly">#REF!</definedName>
    <definedName name="planqtr">#REF!</definedName>
    <definedName name="Potential">#REF!</definedName>
    <definedName name="pp" hidden="1">#REF!</definedName>
    <definedName name="pp_1XDM">#REF!</definedName>
    <definedName name="pp_3NC">#REF!</definedName>
    <definedName name="pp_3XDM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>#REF!</definedName>
    <definedName name="PRICE">#REF!</definedName>
    <definedName name="PRICE1">#REF!</definedName>
    <definedName name="PRINTA">#REF!</definedName>
    <definedName name="PRINTB">#REF!</definedName>
    <definedName name="PRINTC">#REF!</definedName>
    <definedName name="_xlnm.Print_Area">#REF!</definedName>
    <definedName name="_xlnm.Print_Titles">#REF!</definedName>
    <definedName name="Print_Titles_MI">#REF!</definedName>
    <definedName name="pro" hidden="1">{"'Foglio1'!$J$12:$M$12"}</definedName>
    <definedName name="ProdForm" hidden="1">#REF!</definedName>
    <definedName name="Product" hidden="1">#REF!</definedName>
    <definedName name="Projekt">#REF!</definedName>
    <definedName name="PROPOSAL">#REF!</definedName>
    <definedName name="PT_Duong">#REF!</definedName>
    <definedName name="ptdg">#REF!</definedName>
    <definedName name="PTDG_cau">#REF!</definedName>
    <definedName name="PtichDTL">#N/A</definedName>
    <definedName name="PTNC">#REF!</definedName>
    <definedName name="PYQtr_prod">#REF!</definedName>
    <definedName name="q">#REF!</definedName>
    <definedName name="qq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TY_RSV">150</definedName>
    <definedName name="QTYB_RTN">1.2</definedName>
    <definedName name="QTYMBC">150</definedName>
    <definedName name="QUERY_DAT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nge2">#REF!</definedName>
    <definedName name="RANK">#REF!</definedName>
    <definedName name="rate">14000</definedName>
    <definedName name="RATIOD">#REF!</definedName>
    <definedName name="RB">#REF!</definedName>
    <definedName name="RCArea" hidden="1">#REF!</definedName>
    <definedName name="_xlnm.Recorder">#REF!</definedName>
    <definedName name="Recorder1">#REF!</definedName>
    <definedName name="RECOUT">#N/A</definedName>
    <definedName name="Recover">#REF!</definedName>
    <definedName name="Ref">#REF!</definedName>
    <definedName name="REMARK_H">""</definedName>
    <definedName name="RESULT99">#REF!</definedName>
    <definedName name="RESUME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t">"Ellipse 244"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t">#REF!</definedName>
    <definedName name="s">{"Folie 3",#N/A,FALSE,"Jahresumsätze";"Folie 4",#N/A,FALSE,"Jahresumsätze";"Folie 5",#N/A,FALSE,"Jahresumsätze";"Folie 6",#N/A,FALSE,"Jahresumsätze";"Folie 7",#N/A,FALSE,"Jahresumsätze";"Folie 8",#N/A,FALSE,"Jahresumsätze"}</definedName>
    <definedName name="sad">#REF!</definedName>
    <definedName name="Safety1" hidden="1">{"'Actual'!$A$1:$F$25"}</definedName>
    <definedName name="SAPBEXdnldView" hidden="1">"3UZMH742MMSVV8IA3B4G5296Z"</definedName>
    <definedName name="SAPBEXREVISIONN" hidden="1">25</definedName>
    <definedName name="SAPBEXrevision" hidden="1">5</definedName>
    <definedName name="SAPBEXsysID" hidden="1">"B10"</definedName>
    <definedName name="SAPBEXwbID" hidden="1">"0422K8FL3VHURLAH1ZE0FYH10"</definedName>
    <definedName name="SAV">#REF!</definedName>
    <definedName name="SBDATA">OFFSET(#REF!,0,0,COUNTA(#REF!),COUNTA(#REF!))</definedName>
    <definedName name="SC">#REF!</definedName>
    <definedName name="SCH">#REF!</definedName>
    <definedName name="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1p">#REF!</definedName>
    <definedName name="sd3p">#REF!</definedName>
    <definedName name="SDDK">#REF!</definedName>
    <definedName name="s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MONG">#REF!</definedName>
    <definedName name="sd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s">#REF!</definedName>
    <definedName name="sells">#REF!</definedName>
    <definedName name="s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heet1">#REF!</definedName>
    <definedName name="ShowZeroValues">"TRUE"</definedName>
    <definedName name="sht">#REF!</definedName>
    <definedName name="sht1p">#REF!</definedName>
    <definedName name="sht3p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lBTLT1pm">#REF!</definedName>
    <definedName name="slBTLT3pm">#REF!</definedName>
    <definedName name="slBTLTct">#REF!</definedName>
    <definedName name="slBTLTHTDL">#REF!</definedName>
    <definedName name="slBTLTHTHH">#REF!</definedName>
    <definedName name="slchang1pm">#REF!</definedName>
    <definedName name="slchang3pm">#REF!</definedName>
    <definedName name="slchangct">#REF!</definedName>
    <definedName name="slchanght">#REF!</definedName>
    <definedName name="slchangHTDL">#REF!</definedName>
    <definedName name="slchangHTHH">#REF!</definedName>
    <definedName name="slmong1pm">#REF!</definedName>
    <definedName name="slmong3pm">#REF!</definedName>
    <definedName name="slmongct">#REF!</definedName>
    <definedName name="slmonght">#REF!</definedName>
    <definedName name="slmongHTDL">#REF!</definedName>
    <definedName name="slmongHTHH">#REF!</definedName>
    <definedName name="slmongneo1pm">#REF!</definedName>
    <definedName name="slmongneo3pm">#REF!</definedName>
    <definedName name="slmongneoct">#REF!</definedName>
    <definedName name="slmongneoht">#REF!</definedName>
    <definedName name="slmongneoHTDL">#REF!</definedName>
    <definedName name="slmongneoHTHH">#REF!</definedName>
    <definedName name="sltdll1pm">#REF!</definedName>
    <definedName name="sltdll3pm">#REF!</definedName>
    <definedName name="sltdllct">#REF!</definedName>
    <definedName name="sltdllHTDL">#REF!</definedName>
    <definedName name="sltdllHTHH">#REF!</definedName>
    <definedName name="slxa1pm">#REF!</definedName>
    <definedName name="slxa3pm">#REF!</definedName>
    <definedName name="slxact">#REF!</definedName>
    <definedName name="Smart_Chart_Data_Table_27f4f82f0c0f4057bbbab2f04b9c894e">#REF!</definedName>
    <definedName name="Smart_Chart_Data_Table_5b72017a517240a799186d1337bfdfce">#REF!</definedName>
    <definedName name="Smart_Chart_Data_Table_64e0f834349d4de3b0d1a7cf5e3f4513">#REF!</definedName>
    <definedName name="Smart_Chart_Data_Table_6f6ecac17fd3421681dd9724a8c66d84">#REF!</definedName>
    <definedName name="Smart_Chart_Data_Table_91c1bef4fd55481e901bf0bd8383a99e">#REF!</definedName>
    <definedName name="Smart_Chart_Data_Table_a957bfd43f894968aaa002649366cc27">#REF!</definedName>
    <definedName name="Smart_Chart_Data_Table_c6a74c0a7dc945569ee569cd5a307e16">#REF!</definedName>
    <definedName name="Smart_Chart_Data_Table_d45706aa413a4b538c90f42abcbf26d2">#REF!</definedName>
    <definedName name="Smart_Chart_Data_Table_dbe9a02b1a194c4e9c625fa64958b6a4">#REF!</definedName>
    <definedName name="Smart_Chart_Data_Table_f05b9a942e73421db797b135b2784000">#REF!</definedName>
    <definedName name="Smart_Chart_Data_Table_f392ba94b11f479e9e0b294fefdc3d10">#REF!</definedName>
    <definedName name="Smart_Chart_Data_Table_f5e48cfbca8f4fb7b042004850329d97">#REF!</definedName>
    <definedName name="SO_NOMRP">""</definedName>
    <definedName name="soc3p">#REF!</definedName>
    <definedName name="solieu">#REF!</definedName>
    <definedName name="sort">#REF!</definedName>
    <definedName name="spec">#REF!</definedName>
    <definedName name="SpecialPrice" hidden="1">#REF!</definedName>
    <definedName name="SPECSUMMARY">#REF!</definedName>
    <definedName name="SPEND">#REF!</definedName>
    <definedName name="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" hidden="1">{"'Actual'!$A$1:$F$25"}</definedName>
    <definedName name="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t1p">#REF!</definedName>
    <definedName name="st3p">#REF!</definedName>
    <definedName name="Stagegate">#REF!</definedName>
    <definedName name="Stand">#REF!</definedName>
    <definedName name="STANDARCOSTAA">#REF!</definedName>
    <definedName name="STANDARCOSTC">#REF!</definedName>
    <definedName name="STANDARCOSTD">#REF!</definedName>
    <definedName name="Start">"AutoForm 2"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D_H">"2008-05-13"</definedName>
    <definedName name="State">#REF!</definedName>
    <definedName name="Status">#REF!</definedName>
    <definedName name="Statusbericht_Eingabe">#REF!,#REF!</definedName>
    <definedName name="SUMMARY">#REF!</definedName>
    <definedName name="T">#REF!</definedName>
    <definedName name="t_all">#REF!</definedName>
    <definedName name="T_AM_act">#REF!</definedName>
    <definedName name="T_AM_plan">#REF!</definedName>
    <definedName name="T_AS_act">#REF!</definedName>
    <definedName name="T_AS_plan">#REF!</definedName>
    <definedName name="T_EU_act">#REF!</definedName>
    <definedName name="T_EU_plan">#REF!</definedName>
    <definedName name="T_HOP">#REF!</definedName>
    <definedName name="T02_DANH_MUC_CONG_VIEC">#REF!</definedName>
    <definedName name="T03_BANG_GIA_VAT_LIEU">#REF!</definedName>
    <definedName name="T09_DINH_MUC_DU_TOAN">#REF!</definedName>
    <definedName name="t101p">#REF!</definedName>
    <definedName name="t103p">#REF!</definedName>
    <definedName name="t10m">#REF!</definedName>
    <definedName name="T10nc">#REF!</definedName>
    <definedName name="t10nc1p">#REF!</definedName>
    <definedName name="T10vc">#REF!</definedName>
    <definedName name="T10vl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">#REF!</definedName>
    <definedName name="T14vc">#REF!</definedName>
    <definedName name="T14vl">#REF!</definedName>
    <definedName name="t7m">#REF!</definedName>
    <definedName name="t8m">#REF!</definedName>
    <definedName name="TA">#REF!</definedName>
    <definedName name="Tab_sverweis">#REF!</definedName>
    <definedName name="TableName">"Dummy"</definedName>
    <definedName name="TAM">#N/A</definedName>
    <definedName name="TAMTINH">#REF!</definedName>
    <definedName name="TaxTV">10%</definedName>
    <definedName name="TaxXL">5%</definedName>
    <definedName name="tb">#REF!</definedName>
    <definedName name="tbl_ProdInfo" hidden="1">#REF!</definedName>
    <definedName name="tbtram">#REF!</definedName>
    <definedName name="TBXD">#REF!</definedName>
    <definedName name="TC">#REF!</definedName>
    <definedName name="TC_NHANH1">#REF!</definedName>
    <definedName name="td">#REF!</definedName>
    <definedName name="td10vl">#REF!</definedName>
    <definedName name="td12nc">#REF!</definedName>
    <definedName name="TD12vl">#REF!</definedName>
    <definedName name="TD1p1nc">#REF!</definedName>
    <definedName name="td1p1vc">#REF!</definedName>
    <definedName name="TD1p1vl">#REF!</definedName>
    <definedName name="TD1p2nc">#REF!</definedName>
    <definedName name="TD1p2vc">#REF!</definedName>
    <definedName name="TD1p2vl">#REF!</definedName>
    <definedName name="TD1pnc">#REF!</definedName>
    <definedName name="TD1pvl">#REF!</definedName>
    <definedName name="td3p">#REF!</definedName>
    <definedName name="TDctnc">#REF!</definedName>
    <definedName name="TDctvc">#REF!</definedName>
    <definedName name="TDctvl">#REF!</definedName>
    <definedName name="tdll1pm">#REF!</definedName>
    <definedName name="tdll3pm">#REF!</definedName>
    <definedName name="tdllct">#REF!</definedName>
    <definedName name="tdllHTDL">#REF!</definedName>
    <definedName name="tdllHTHH">#REF!</definedName>
    <definedName name="TDmnc">#REF!</definedName>
    <definedName name="TDmvc">#REF!</definedName>
    <definedName name="TDmvl">#REF!</definedName>
    <definedName name="tdnc1p">#REF!</definedName>
    <definedName name="tdtr2cnc">#REF!</definedName>
    <definedName name="tdtr2cvl">#REF!</definedName>
    <definedName name="tdvl1p">#REF!</definedName>
    <definedName name="Team">#REF!</definedName>
    <definedName name="TENCT">#REF!</definedName>
    <definedName name="Termin_Eingabefelder">#REF!,#REF!,#REF!,#REF!,#REF!</definedName>
    <definedName name="Termin_Soll_Felder">#REF!,#REF!,#REF!,#REF!</definedName>
    <definedName name="Termin_Termine">#REF!,#REF!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2Total">#REF!</definedName>
    <definedName name="TestTotal">#REF!</definedName>
    <definedName name="TextRefCopy1">#REF!</definedName>
    <definedName name="TextRefCopy10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10</definedName>
    <definedName name="TG">#REF!</definedName>
    <definedName name="thai">#REF!</definedName>
    <definedName name="THCTAU">#REF!</definedName>
    <definedName name="THGO1pnc">#REF!</definedName>
    <definedName name="thht">#REF!</definedName>
    <definedName name="THI">#REF!</definedName>
    <definedName name="thkp3">#REF!</definedName>
    <definedName name="THT">#REF!</definedName>
    <definedName name="thtt">#REF!</definedName>
    <definedName name="TITAN">#REF!</definedName>
    <definedName name="Tien">#REF!</definedName>
    <definedName name="TienLuong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#REF!</definedName>
    <definedName name="TNCM">#REF!</definedName>
    <definedName name="token" hidden="1">{"'page 1'!$K$13","'page 1'!$A$1:$V$50"}</definedName>
    <definedName name="TONGDUTOAN">#REF!</definedName>
    <definedName name="TOP">#REF!</definedName>
    <definedName name="total">#REF!</definedName>
    <definedName name="totald">#REF!</definedName>
    <definedName name="Totales">#REF!,#REF!,#REF!,#REF!</definedName>
    <definedName name="Totales2">#REF!,#REF!,#REF!,#REF!,#REF!</definedName>
    <definedName name="TPLRP">#REF!</definedName>
    <definedName name="TPM">#REF!</definedName>
    <definedName name="t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DE2">#REF!</definedName>
    <definedName name="TRAM">#REF!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_1P">#REF!</definedName>
    <definedName name="TT_3p">#REF!</definedName>
    <definedName name="ttbt">#REF!</definedName>
    <definedName name="TTDD">#REF!</definedName>
    <definedName name="TTDDCT3p">#REF!</definedName>
    <definedName name="tthi">#REF!</definedName>
    <definedName name="ttronmk">#REF!</definedName>
    <definedName name="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URNBACK">INDIRECT("09_STD_EXPORT_标准成本计算表!"&amp;""&amp;"G"&amp;""&amp;MATCH(!$K$1,#REF!,0))</definedName>
    <definedName name="tv75nc">#REF!</definedName>
    <definedName name="tv75vl">#REF!</definedName>
    <definedName name="TXL">#N/A</definedName>
    <definedName name="ty">#REF!</definedName>
    <definedName name="ty_le">#REF!</definedName>
    <definedName name="ty_le_BTN">#REF!</definedName>
    <definedName name="Ty_le1">#REF!</definedName>
    <definedName name="TYU">#REF!</definedName>
    <definedName name="UFPrn20040307090525">#REF!</definedName>
    <definedName name="UFPrn20040726091933">#REF!</definedName>
    <definedName name="UFPrn20040812141748">#REF!</definedName>
    <definedName name="UFPrn20040812141839">#REF!</definedName>
    <definedName name="UFPrn20040907140125">#REF!</definedName>
    <definedName name="UFPrn20040908134652">#REF!</definedName>
    <definedName name="UFPrn20040908142005">#REF!</definedName>
    <definedName name="UFPrn20040908194024">#REF!</definedName>
    <definedName name="UFPrn20060209101325">#REF!</definedName>
    <definedName name="UFPrn20060619133457">#REF!</definedName>
    <definedName name="UFPrn20060718080716">#REF!</definedName>
    <definedName name="UFPrn20060911132821">#REF!</definedName>
    <definedName name="UFPrn20070403092159">#REF!</definedName>
    <definedName name="UFPrn20070408164725">#REF!</definedName>
    <definedName name="UFPrn20070510144339">#REF!</definedName>
    <definedName name="UFPrn20070511091410">#REF!</definedName>
    <definedName name="UFPrn20070511145629">#REF!</definedName>
    <definedName name="UFPrn20070808151404">#REF!</definedName>
    <definedName name="UFPrn20070830143250">#REF!</definedName>
    <definedName name="UFPrn20070910200831">#REF!</definedName>
    <definedName name="UFPrn20080110145527">#REF!</definedName>
    <definedName name="UFPrn20080112173740">#REF!</definedName>
    <definedName name="UFPrn20080113100755">#REF!</definedName>
    <definedName name="UFPrn20080113141141">#REF!</definedName>
    <definedName name="UFPrn20080309105151">#REF!</definedName>
    <definedName name="UFPrn20080309121540">#REF!</definedName>
    <definedName name="UFPrn20080309122017">#REF!</definedName>
    <definedName name="UFPrn20080311203947">#REF!</definedName>
    <definedName name="UFPrn20080311210649">#REF!</definedName>
    <definedName name="UFPrn20080711135145">#REF!</definedName>
    <definedName name="UFPrn20080820202221">#REF!</definedName>
    <definedName name="UFPrn20080821091044">#REF!</definedName>
    <definedName name="UFPrn20080911103747">#REF!</definedName>
    <definedName name="UFPrn20080911103816">#REF!</definedName>
    <definedName name="UFPrn20080911133101">#REF!</definedName>
    <definedName name="UFPrn20080911133300">#REF!</definedName>
    <definedName name="UFPrn20081013131046">#REF!</definedName>
    <definedName name="UFPrn20081013131211">#REF!</definedName>
    <definedName name="UFPrn20081111175139">#REF!</definedName>
    <definedName name="UFPrn20081111180955">#REF!</definedName>
    <definedName name="UFPrn20090111160623">#REF!</definedName>
    <definedName name="UFPrn20090311145703">#REF!</definedName>
    <definedName name="UFPrn20090311145809">#REF!</definedName>
    <definedName name="UFPrn20090311145904">#REF!</definedName>
    <definedName name="UFPrn20090311150600">#REF!</definedName>
    <definedName name="UFPrn20090311154256">#REF!</definedName>
    <definedName name="UFPrn20090316164432">#REF!</definedName>
    <definedName name="UFPrn20090321085735">#REF!</definedName>
    <definedName name="UFPrn20090321090017">#REF!</definedName>
    <definedName name="UFPrn20090321133401">#REF!</definedName>
    <definedName name="UFPrn20090322163121">#REF!</definedName>
    <definedName name="UFPrn20090323114938">#REF!</definedName>
    <definedName name="UFPrn20090323152818">#REF!</definedName>
    <definedName name="UFPrn20090323153515">#REF!</definedName>
    <definedName name="UFPrn20090415154333">#REF!</definedName>
    <definedName name="UFPrn20090415214439">#REF!</definedName>
    <definedName name="UFPrn20090415214838">#REF!</definedName>
    <definedName name="UFPrn20090416090741">#REF!</definedName>
    <definedName name="UFPrn20091020081531">#REF!</definedName>
    <definedName name="UFPrn20091020082219">#REF!</definedName>
    <definedName name="UFPrn20091020082643">#REF!</definedName>
    <definedName name="UFPrn20091201154615">#REF!</definedName>
    <definedName name="UFPrn20100118085714">#REF!</definedName>
    <definedName name="UFPrn20100224145859">#REF!</definedName>
    <definedName name="UFPrn20100618111500">#REF!</definedName>
    <definedName name="UFPrn20100729085941">#REF!</definedName>
    <definedName name="UFPrn20100914083828">#REF!</definedName>
    <definedName name="UFPrn20100915111121">#REF!</definedName>
    <definedName name="UFPrn20101013130415">#REF!</definedName>
    <definedName name="UFPrn20101022114100">#REF!</definedName>
    <definedName name="UFPrn20110223110834">#REF!</definedName>
    <definedName name="UFPrn20110228094712">#REF!</definedName>
    <definedName name="UFPrn20110312113110">#REF!</definedName>
    <definedName name="UFPrn20110312113153">#REF!</definedName>
    <definedName name="UFPrn20110312113228">#REF!</definedName>
    <definedName name="UFPrn20110312113816">#REF!</definedName>
    <definedName name="UFPrn20110314081841">#REF!</definedName>
    <definedName name="UFPrn20110314131511">#REF!</definedName>
    <definedName name="UFPrn20110314132052">#REF!</definedName>
    <definedName name="UFPrn20110506165142">#REF!</definedName>
    <definedName name="UFPrn20110506165356">#REF!</definedName>
    <definedName name="UFPrn20110509084038">#REF!</definedName>
    <definedName name="UFPrn20110607095000">#REF!</definedName>
    <definedName name="UFPrn20110608131553">#REF!</definedName>
    <definedName name="UFPrn20110608154512">#REF!</definedName>
    <definedName name="UFPrn20110608154633">#REF!</definedName>
    <definedName name="UFPrn20110608154741">#REF!</definedName>
    <definedName name="UFPrn20110608154850">#REF!</definedName>
    <definedName name="UFPrn20110706095824">#REF!</definedName>
    <definedName name="UFPrn20110706102816">#REF!</definedName>
    <definedName name="UFPrn20110706103124">#REF!</definedName>
    <definedName name="UFPrn20110706103236">#REF!</definedName>
    <definedName name="UFPrn20110706124743">#REF!</definedName>
    <definedName name="UFPrn20110707081037">#REF!</definedName>
    <definedName name="UFPrn20110802151114">#REF!</definedName>
    <definedName name="UFPrn20110805124424">#REF!</definedName>
    <definedName name="UFPrn20110805131938">#REF!</definedName>
    <definedName name="UFPrn20110901083638">#REF!</definedName>
    <definedName name="UFPrn20110905143956">#REF!</definedName>
    <definedName name="UFPrn20110907083942">#REF!</definedName>
    <definedName name="UFPrn20110907143602">#REF!</definedName>
    <definedName name="UFPrn20111009162258">#REF!</definedName>
    <definedName name="UFPrn20111009162430">#REF!</definedName>
    <definedName name="UFPrn20111104093902">#REF!</definedName>
    <definedName name="UFPrn20111104094418">#REF!</definedName>
    <definedName name="UFPrn20111206174234">#REF!</definedName>
    <definedName name="UFPrn20111207185704">#REF!</definedName>
    <definedName name="UFPrn20120308085547">#REF!</definedName>
    <definedName name="UFPrn20120315101023">#REF!</definedName>
    <definedName name="UFPrn20120406164734">#REF!</definedName>
    <definedName name="UFPrn20120409123857">#REF!</definedName>
    <definedName name="UFPrn20120409161805">#REF!</definedName>
    <definedName name="UFPrn20120410135245">#REF!</definedName>
    <definedName name="UFPrn20120507110003">#REF!</definedName>
    <definedName name="UFPrn20120908122839">#REF!</definedName>
    <definedName name="UFPrn20121106155432">#REF!</definedName>
    <definedName name="UFPrn20121205170425">#REF!</definedName>
    <definedName name="UFPrn20121206151333">#REF!</definedName>
    <definedName name="UFPrn20130926133927">#REF!</definedName>
    <definedName name="UFPrn20160217150326">#REF!</definedName>
    <definedName name="UFPrn20160217150449">#REF!</definedName>
    <definedName name="UFPrn20160301112822">#REF!</definedName>
    <definedName name="UFPrn20160315133614">#REF!</definedName>
    <definedName name="UFPrn20160405103344">#REF!</definedName>
    <definedName name="UFPrn20160405173412">#REF!</definedName>
    <definedName name="UFPrn20160425163611">#REF!</definedName>
    <definedName name="UFPrn20160505100929">#REF!</definedName>
    <definedName name="UFPrn20160505101205">#REF!</definedName>
    <definedName name="UFPrn20160602171851">#REF!</definedName>
    <definedName name="UFPrn20160712102814">#REF!</definedName>
    <definedName name="UFPrn20160804132814">#REF!</definedName>
    <definedName name="UFPrn20160805093936">#REF!</definedName>
    <definedName name="UFPrn20160811132810">#REF!</definedName>
    <definedName name="UFPrn20161214093413">#REF!</definedName>
    <definedName name="UFPrn20170105092535">#REF!</definedName>
    <definedName name="UFPrn20170105162652">#REF!</definedName>
    <definedName name="UFPrn20170106135035">#REF!</definedName>
    <definedName name="UFPrn20170106142914">#REF!</definedName>
    <definedName name="UFPrn20170106142947">#REF!</definedName>
    <definedName name="UFPrn20170107123845">#REF!</definedName>
    <definedName name="UFPrn20170116144549">#REF!</definedName>
    <definedName name="UFPrn20170208135627">#REF!</definedName>
    <definedName name="UFPrn20170209173555">#REF!</definedName>
    <definedName name="UFPrn20170306115246">#REF!</definedName>
    <definedName name="UFPrn20170508104430">#REF!</definedName>
    <definedName name="UFPrn20170508135507">#REF!</definedName>
    <definedName name="UFPrn20170705144357">#REF!</definedName>
    <definedName name="UFPrn20170705144614">#REF!</definedName>
    <definedName name="UFPrn20170807093913">#REF!</definedName>
    <definedName name="UFPrn20170907144938">#REF!</definedName>
    <definedName name="UFPrn20171006175654">#REF!</definedName>
    <definedName name="UFPrn20171006175905">#REF!</definedName>
    <definedName name="UFPrn20171010143532">#REF!</definedName>
    <definedName name="UFPrn20171010144119">#REF!</definedName>
    <definedName name="UFPrn20171206091823">#REF!</definedName>
    <definedName name="UFPrn20171214105740">#REF!</definedName>
    <definedName name="UFPrn20180108112427">#REF!</definedName>
    <definedName name="UFPrn20180110115602">#REF!</definedName>
    <definedName name="UFPrn20180208170946">#REF!</definedName>
    <definedName name="UFPrn20180306110044">#REF!</definedName>
    <definedName name="UFPrn20180413100810">#REF!</definedName>
    <definedName name="UFPrn20180505143952">#REF!</definedName>
    <definedName name="UFPrn20180505154754">#REF!</definedName>
    <definedName name="UFPrn20180516145539">#REF!</definedName>
    <definedName name="UFPrn20180612103610">#REF!</definedName>
    <definedName name="UFPrn20180619160122">#REF!</definedName>
    <definedName name="UFPrn20180803142522">#REF!</definedName>
    <definedName name="UFPrn20180803151337">#REF!</definedName>
    <definedName name="UFPrn20181015091203">#REF!</definedName>
    <definedName name="UFPrn20181019145605">#REF!</definedName>
    <definedName name="UFPrn20181019165642">#REF!</definedName>
    <definedName name="UFPrn20181019170516">#REF!</definedName>
    <definedName name="UFPrn20181105105423">#REF!</definedName>
    <definedName name="UFPrn20181106094035">#REF!</definedName>
    <definedName name="UFPrn20181205132835">#REF!</definedName>
    <definedName name="UFPrn20190107110758">#REF!</definedName>
    <definedName name="UFPrn20190108103414">#REF!</definedName>
    <definedName name="UFPrn20190108180257">#REF!</definedName>
    <definedName name="UFPrn20190109141935">#REF!</definedName>
    <definedName name="UFPrn20190213092225">#REF!</definedName>
    <definedName name="UFPrn20190306151616">#REF!</definedName>
    <definedName name="UFPrn20190409150916">#REF!</definedName>
    <definedName name="UFPrn20190506135146">#REF!</definedName>
    <definedName name="UFPrn20190806091455">#REF!</definedName>
    <definedName name="UFPrn20191008103428">#REF!</definedName>
    <definedName name="UFPrn20191203104536">#REF!</definedName>
    <definedName name="UFPrn20200213153353">#REF!</definedName>
    <definedName name="UFPrn20200224090018">#REF!</definedName>
    <definedName name="UFPrn20200228145325">#REF!</definedName>
    <definedName name="UFPrn20200304134318">#REF!</definedName>
    <definedName name="UFPrn20200309140500">#REF!</definedName>
    <definedName name="UFPrn20200503114338">#REF!</definedName>
    <definedName name="UFPrn20200507092901">#REF!</definedName>
    <definedName name="UFPrn20200508091120">#REF!</definedName>
    <definedName name="UFPrn20200713094632">#REF!</definedName>
    <definedName name="UFPrn20200914155832">#REF!</definedName>
    <definedName name="UFPrn20201003160641">#REF!</definedName>
    <definedName name="UFPrn20201004122757">#REF!</definedName>
    <definedName name="UFPrn20201102100110">#REF!</definedName>
    <definedName name="UFPrn20201104091235">#REF!</definedName>
    <definedName name="UFPrn20201207133934">#REF!</definedName>
    <definedName name="UFPrn20210219094824">#REF!</definedName>
    <definedName name="UFPrn20210223165249">#REF!</definedName>
    <definedName name="UFPrn20210305134417">#REF!</definedName>
    <definedName name="UFPrn20210316143204">#REF!</definedName>
    <definedName name="UFPrn20210402093029">#REF!</definedName>
    <definedName name="UFPrn20210406135437">#REF!</definedName>
    <definedName name="UFPrn20210407090422">#REF!</definedName>
    <definedName name="UFPrn20210408145505">#REF!</definedName>
    <definedName name="UFPrn20210601170007">#REF!</definedName>
    <definedName name="UFPrn20210602153204">#REF!</definedName>
    <definedName name="UFPrn20210604090138">#REF!</definedName>
    <definedName name="UFPrn20210607102139">#REF!</definedName>
    <definedName name="UIO">#REF!</definedName>
    <definedName name="u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nit">#REF!</definedName>
    <definedName name="Überleitung_DB">#REF!</definedName>
    <definedName name="Überleitung_Eingabe">#REF!,#REF!,#REF!,#REF!,#REF!</definedName>
    <definedName name="Überleitung_Ende">#REF!</definedName>
    <definedName name="Überleitung_Start">#REF!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_12">!G1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AT">#REF!</definedName>
    <definedName name="Vat_tu">#REF!</definedName>
    <definedName name="vbtchongnuocm300">#REF!</definedName>
    <definedName name="vbtm150">#REF!</definedName>
    <definedName name="vbtm300">#REF!</definedName>
    <definedName name="vbtm400">#REF!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C">#REF!</definedName>
    <definedName name="vccot">#REF!</definedName>
    <definedName name="VCDD1P">#REF!</definedName>
    <definedName name="VCDD3p">#REF!</definedName>
    <definedName name="VCDDCT3p">#REF!</definedName>
    <definedName name="VCDDMBA">#REF!</definedName>
    <definedName name="VCHT">#REF!</definedName>
    <definedName name="VCPKHTK">#REF!</definedName>
    <definedName name="vctb">#REF!</definedName>
    <definedName name="VCVBT1">#REF!</definedName>
    <definedName name="VCVBT2">#REF!</definedName>
    <definedName name="vd3p">#REF!</definedName>
    <definedName name="Veränderungen_Eingabe">#REF!,#REF!,#REF!,#REF!,#REF!,#REF!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tram">#REF!</definedName>
    <definedName name="vr3p">#REF!</definedName>
    <definedName name="VT">#REF!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">#REF!</definedName>
    <definedName name="WA" hidden="1">{"'Actual'!$A$1:$F$25"}</definedName>
    <definedName name="WE">#N/A</definedName>
    <definedName name="wer">#REF!</definedName>
    <definedName name="Werk">#REF!</definedName>
    <definedName name="WERT">#REF!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H_BODY">"2201"</definedName>
    <definedName name="WH_NM">""</definedName>
    <definedName name="WH_NO">"2201"</definedName>
    <definedName name="whatever">#REF!</definedName>
    <definedName name="WJDATA">OFFSET(#REF!,0,0,COUNTA(#REF!),COUNTA(#REF!))</definedName>
    <definedName name="WorkshopRel">#REF!</definedName>
    <definedName name="Workstream">#REF!</definedName>
    <definedName name="WP_Ref">#REF!</definedName>
    <definedName name="wrn.Account._.Receivable.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AR.MONTHEND." hidden="1">{#N/A,#N/A,FALSE,"Aging"}</definedName>
    <definedName name="wrn.chi._.tiÆt." hidden="1">{#N/A,#N/A,FALSE,"Chi tiÆt"}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Summary._.sheet._.print." hidden="1">{"print view",#N/A,FALSE,"Summary"}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vd." hidden="1">{#N/A,#N/A,TRUE,"BT M200 da 10x20"}</definedName>
    <definedName name="wrn.现金." hidden="1">{"现金主表",#N/A,FALSE,"正式Cashflow"}</definedName>
    <definedName name="wrn.现金主表." hidden="1">{"现金主表",#N/A,FALSE,"正式Cashflow"}</definedName>
    <definedName name="wrn.负债及权益." hidden="1">{"负债及权益",#N/A,FALSE,"TB-BS"}</definedName>
    <definedName name="wrn.资产." hidden="1">{"资产",#N/A,FALSE,"TB-BS"}</definedName>
    <definedName name="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ybór">#REF!</definedName>
    <definedName name="x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nc">#REF!</definedName>
    <definedName name="X1pINDvc">#REF!</definedName>
    <definedName name="X1pINDvl">#REF!</definedName>
    <definedName name="X1pINGnc">#REF!</definedName>
    <definedName name="X1pINGvc">#REF!</definedName>
    <definedName name="X1pINGvl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1pind">#REF!</definedName>
    <definedName name="x1ping">#REF!</definedName>
    <definedName name="x1pint">#REF!</definedName>
    <definedName name="xa1pm">#REF!</definedName>
    <definedName name="xa3pm">#REF!</definedName>
    <definedName name="xact">#REF!</definedName>
    <definedName name="XCCT">0.5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c">#REF!</definedName>
    <definedName name="XFCOvl">#REF!</definedName>
    <definedName name="xh">#REF!</definedName>
    <definedName name="xhn">#REF!</definedName>
    <definedName name="XIG1nc">#REF!</definedName>
    <definedName name="XIG1vl">#REF!</definedName>
    <definedName name="XIGnc">#REF!</definedName>
    <definedName name="XIGvc">#REF!</definedName>
    <definedName name="XIGvl">#REF!</definedName>
    <definedName name="XIN190nc">#REF!</definedName>
    <definedName name="XIN190vc">#REF!</definedName>
    <definedName name="XIN190vl">#REF!</definedName>
    <definedName name="XINDnc">#REF!</definedName>
    <definedName name="XINDvc">#REF!</definedName>
    <definedName name="XINDvl">#REF!</definedName>
    <definedName name="XINnc">#REF!</definedName>
    <definedName name="XINvc">#REF!</definedName>
    <definedName name="XINvl">#REF!</definedName>
    <definedName name="XIT1nc">#REF!</definedName>
    <definedName name="XIT1vl">#REF!</definedName>
    <definedName name="XITnc">#REF!</definedName>
    <definedName name="XITvc">#REF!</definedName>
    <definedName name="XITvl">#REF!</definedName>
    <definedName name="xig">#REF!</definedName>
    <definedName name="xig1">#REF!</definedName>
    <definedName name="xig1p">#REF!</definedName>
    <definedName name="xig3p">#REF!</definedName>
    <definedName name="xin">#REF!</definedName>
    <definedName name="xin190">#REF!</definedName>
    <definedName name="xin190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t1p">#REF!</definedName>
    <definedName name="xit">#REF!</definedName>
    <definedName name="xit1">#REF!</definedName>
    <definedName name="xit1p">#REF!</definedName>
    <definedName name="xit3p">#REF!</definedName>
    <definedName name="xlbs">#REF!</definedName>
    <definedName name="xmcax">#REF!</definedName>
    <definedName name="xn">#REF!</definedName>
    <definedName name="XREF_COLUMN_1" hidden="1">#REF!</definedName>
    <definedName name="XREF_COLUMN_10" hidden="1">#REF!</definedName>
    <definedName name="XREF_COLUMN_1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13</definedName>
    <definedName name="xxx">#REF!</definedName>
    <definedName name="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">#REF!,#REF!,#REF!,#REF!,#REF!</definedName>
    <definedName name="Y_N">#REF!</definedName>
    <definedName name="YearMonth">#REF!&amp;""&amp;#REF!</definedName>
    <definedName name="yen" hidden="1">{#N/A,#N/A,FALSE,"Chi tiÆt"}</definedName>
    <definedName name="YJ">#REF!</definedName>
    <definedName name="yt">#REF!</definedName>
    <definedName name="yu">#REF!</definedName>
    <definedName name="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">#REF!</definedName>
    <definedName name="Z_AD771281_6285_11D2_935C_0060088983C6_.wvu.Rows" hidden="1">#REF!</definedName>
    <definedName name="zaza">#REF!</definedName>
    <definedName name="ZC_NO_B">"WJG"</definedName>
    <definedName name="ZC_NO_H">"WJG"</definedName>
    <definedName name="Zip">#REF!</definedName>
    <definedName name="Zwischenstatus_121099">#REF!</definedName>
    <definedName name="z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D">#REF!</definedName>
    <definedName name="ZXDF">#REF!</definedName>
    <definedName name="ZYX">#REF!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">#REF!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Использование">#REF!</definedName>
    <definedName name="МВЗ">#REF!</definedName>
    <definedName name="СЗ">#REF!</definedName>
    <definedName name="Тип_расходов">#REF!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ЦЗ">#REF!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上和">#REF!</definedName>
    <definedName name="中转出库台数">OFFSET(#REF!,4,0,COUNTA(#REF!)-1,1)</definedName>
    <definedName name="云南">#REF!</definedName>
    <definedName name="仓库">#REF!</definedName>
    <definedName name="体积明细">OFFSET(#REF!,1,0,COUNTA(#REF!)-1,6)</definedName>
    <definedName name="余额表">#REF!</definedName>
    <definedName name="供应商">#REF!</definedName>
    <definedName name="入库型号">OFFSET(#REF!,2,0,COUNTA(#REF!)-1,1)</definedName>
    <definedName name="入库数量">OFFSET(#REF!,2,0,COUNTA(#REF!)-1,1)</definedName>
    <definedName name="入库类型">OFFSET(#REF!,2,0,COUNTA(#REF!)-1,1)</definedName>
    <definedName name="全部末级余额">#REF!</definedName>
    <definedName name="其他费用">#REF!</definedName>
    <definedName name="出口">#REF!</definedName>
    <definedName name="出口机">#REF!</definedName>
    <definedName name="出口销售">#REF!</definedName>
    <definedName name="办公室固定电话费">#REF!</definedName>
    <definedName name="办公用品">#REF!</definedName>
    <definedName name="北京">#REF!</definedName>
    <definedName name="北京分公司">#REF!</definedName>
    <definedName name="半成品">#REF!</definedName>
    <definedName name="单位往来">#REF!</definedName>
    <definedName name="南宁">#REF!</definedName>
    <definedName name="厨房">#REF!</definedName>
    <definedName name="发生额">#REF!</definedName>
    <definedName name="合并">#REF!</definedName>
    <definedName name="哈尔滨分公司">#REF!</definedName>
    <definedName name="四川">#REF!</definedName>
    <definedName name="固定资产">#REF!</definedName>
    <definedName name="固定资产付款申请单">#REF!</definedName>
    <definedName name="国内出库中转体积">OFFSET(#REF!,4,0,COUNTA(#REF!)-1,1)</definedName>
    <definedName name="国内出库中转数量">OFFSET(#REF!,4,0,COUNTA(#REF!)-1,1)</definedName>
    <definedName name="在产品201601">#REF!</definedName>
    <definedName name="在产品201601003">#REF!</definedName>
    <definedName name="在产品20160102">#REF!</definedName>
    <definedName name="基础表3" hidden="1">{"'Foglio1'!$J$12:$M$12"}</definedName>
    <definedName name="存货明细___1_原材料_">#REF!</definedName>
    <definedName name="安徽部">#REF!</definedName>
    <definedName name="差异">#REF!</definedName>
    <definedName name="差异201601">#REF!</definedName>
    <definedName name="差旅费12">#REF!</definedName>
    <definedName name="币种">#REF!</definedName>
    <definedName name="年份">#REF!</definedName>
    <definedName name="广东一">#REF!</definedName>
    <definedName name="广东二">#REF!</definedName>
    <definedName name="广州">#REF!</definedName>
    <definedName name="广州分公司">#REF!</definedName>
    <definedName name="广西">#REF!</definedName>
    <definedName name="广西分公司">#REF!</definedName>
    <definedName name="应付工资">#REF!</definedName>
    <definedName name="应付款">#REF!</definedName>
    <definedName name="往来对账单">#REF!</definedName>
    <definedName name="总部">#REF!</definedName>
    <definedName name="我市">#REF!</definedName>
    <definedName name="折旧1" hidden="1">{#N/A,#N/A,FALSE,"Aging Summary";#N/A,#N/A,FALSE,"Ratio Analysis";#N/A,#N/A,FALSE,"Test 120 Day Accts";#N/A,#N/A,FALSE,"Tickmarks"}</definedName>
    <definedName name="报废">#REF!</definedName>
    <definedName name="招待费12">#REF!</definedName>
    <definedName name="损_益_表_合并">#REF!</definedName>
    <definedName name="损益表_合并">#REF!</definedName>
    <definedName name="数量金额总账">#REF!</definedName>
    <definedName name="料工费分配表" hidden="1">#REF!</definedName>
    <definedName name="新">#REF!</definedName>
    <definedName name="新136">#REF!</definedName>
    <definedName name="月份">#REF!</definedName>
    <definedName name="本部">#REF!</definedName>
    <definedName name="材料">#REF!</definedName>
    <definedName name="材料库存">#REF!</definedName>
    <definedName name="材料销售">#REF!</definedName>
    <definedName name="材料销售11">#REF!</definedName>
    <definedName name="杨总房租">#REF!</definedName>
    <definedName name="核算项目余额表">#REF!</definedName>
    <definedName name="次品仓中转台数">OFFSET(#REF!,4,0,COUNTA(#REF!)-1,1)</definedName>
    <definedName name="次品仓出库中转数量">OFFSET(#REF!,4,0,COUNTA(#REF!)-1,1)</definedName>
    <definedName name="武汉">#REF!</definedName>
    <definedName name="水">#REF!</definedName>
    <definedName name="汇总">#REF!</definedName>
    <definedName name="江西">#REF!</definedName>
    <definedName name="河南部">#REF!</definedName>
    <definedName name="浙江">#REF!</definedName>
    <definedName name="海南">#REF!</definedName>
    <definedName name="湖北">#REF!</definedName>
    <definedName name="湖北分公司">#REF!</definedName>
    <definedName name="湖南">#REF!</definedName>
    <definedName name="物料代码0503">#REF!</definedName>
    <definedName name="用友办公用品">#REF!</definedName>
    <definedName name="用友科目">#REF!</definedName>
    <definedName name="电">#REF!</definedName>
    <definedName name="直接">#REF!</definedName>
    <definedName name="福建">#REF!</definedName>
    <definedName name="科目余额表">#REF!</definedName>
    <definedName name="税款负担方式">#REF!</definedName>
    <definedName name="经办人">#REF!</definedName>
    <definedName name="美心思">#REF!</definedName>
    <definedName name="美心思1">#REF!</definedName>
    <definedName name="表名">"Dummy"</definedName>
    <definedName name="试1" hidden="1">{#N/A,#N/A,FALSE,"Aging Summary";#N/A,#N/A,FALSE,"Ratio Analysis";#N/A,#N/A,FALSE,"Test 120 Day Accts";#N/A,#N/A,FALSE,"Tickmarks"}</definedName>
    <definedName name="试算平衡表">#REF!</definedName>
    <definedName name="谔谔" hidden="1">{#N/A,#N/A,FALSE,"Aging"}</definedName>
    <definedName name="负债表_合并">#REF!</definedName>
    <definedName name="负债表合并">#REF!</definedName>
    <definedName name="贵州">#REF!</definedName>
    <definedName name="费用">#REF!</definedName>
    <definedName name="边料">#REF!</definedName>
    <definedName name="郑州">#REF!</definedName>
    <definedName name="郑州分公司">#REF!</definedName>
    <definedName name="部门">#REF!</definedName>
    <definedName name="金羚电器有限公司">#REF!</definedName>
    <definedName name="销售成本" hidden="1">{#N/A,#N/A,FALSE,"Aging Summary";#N/A,#N/A,FALSE,"Ratio Analysis";#N/A,#N/A,FALSE,"Test 120 Day Accts";#N/A,#N/A,FALSE,"Tickmarks"}</definedName>
    <definedName name="门市部">#REF!</definedName>
    <definedName name="间接">#REF!</definedName>
    <definedName name="陕西宁夏">#REF!</definedName>
    <definedName name="项目性质">#REF!</definedName>
    <definedName name="预提">#REF!</definedName>
    <definedName name="预提费用20161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139" i="2" l="1"/>
  <c r="Q154" i="2"/>
  <c r="M189" i="2" l="1"/>
  <c r="E189" i="2"/>
  <c r="K189" i="2"/>
  <c r="I189" i="2"/>
  <c r="I181" i="2"/>
  <c r="M181" i="2"/>
  <c r="G181" i="2"/>
  <c r="E181" i="2"/>
  <c r="I175" i="2"/>
  <c r="O175" i="2"/>
  <c r="M175" i="2"/>
  <c r="E175" i="2"/>
  <c r="M172" i="2"/>
  <c r="J172" i="2"/>
  <c r="G172" i="2"/>
  <c r="F172" i="2"/>
  <c r="E172" i="2"/>
  <c r="O169" i="2"/>
  <c r="N169" i="2"/>
  <c r="K169" i="2"/>
  <c r="J169" i="2"/>
  <c r="I169" i="2"/>
  <c r="G169" i="2"/>
  <c r="O235" i="2"/>
  <c r="N235" i="2"/>
  <c r="G235" i="2"/>
  <c r="Q158" i="2"/>
  <c r="I167" i="2"/>
  <c r="P167" i="2"/>
  <c r="M167" i="2"/>
  <c r="H167" i="2"/>
  <c r="E167" i="2"/>
  <c r="L129" i="2"/>
  <c r="K129" i="2"/>
  <c r="J129" i="2"/>
  <c r="I129" i="2"/>
  <c r="G129" i="2"/>
  <c r="F129" i="2"/>
  <c r="E129" i="2"/>
  <c r="K175" i="2"/>
  <c r="L235" i="2"/>
  <c r="K235" i="2"/>
  <c r="P235" i="2"/>
  <c r="M235" i="2"/>
  <c r="I235" i="2"/>
  <c r="H235" i="2"/>
  <c r="E235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P189" i="2"/>
  <c r="L189" i="2"/>
  <c r="H189" i="2"/>
  <c r="P181" i="2"/>
  <c r="L181" i="2"/>
  <c r="H181" i="2"/>
  <c r="P175" i="2"/>
  <c r="L175" i="2"/>
  <c r="H175" i="2"/>
  <c r="P172" i="2"/>
  <c r="L172" i="2"/>
  <c r="I172" i="2"/>
  <c r="H172" i="2"/>
  <c r="P169" i="2"/>
  <c r="M169" i="2"/>
  <c r="L169" i="2"/>
  <c r="H169" i="2"/>
  <c r="F169" i="2"/>
  <c r="E169" i="2"/>
  <c r="H129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Q116" i="2"/>
  <c r="Q115" i="2"/>
  <c r="Q114" i="2"/>
  <c r="Q113" i="2"/>
  <c r="Q112" i="2"/>
  <c r="Q111" i="2"/>
  <c r="Q110" i="2"/>
  <c r="Q109" i="2"/>
  <c r="Q108" i="2"/>
  <c r="P107" i="2"/>
  <c r="O107" i="2"/>
  <c r="O204" i="2" s="1"/>
  <c r="N107" i="2"/>
  <c r="M107" i="2"/>
  <c r="L107" i="2"/>
  <c r="K107" i="2"/>
  <c r="K204" i="2" s="1"/>
  <c r="J107" i="2"/>
  <c r="J204" i="2" s="1"/>
  <c r="I107" i="2"/>
  <c r="H107" i="2"/>
  <c r="H204" i="2" s="1"/>
  <c r="G107" i="2"/>
  <c r="F107" i="2"/>
  <c r="E107" i="2"/>
  <c r="Q106" i="2"/>
  <c r="Q105" i="2"/>
  <c r="Q104" i="2"/>
  <c r="Q103" i="2"/>
  <c r="Q102" i="2"/>
  <c r="Q101" i="2"/>
  <c r="Q100" i="2"/>
  <c r="P99" i="2"/>
  <c r="O99" i="2"/>
  <c r="N99" i="2"/>
  <c r="N203" i="2" s="1"/>
  <c r="M99" i="2"/>
  <c r="M203" i="2" s="1"/>
  <c r="L99" i="2"/>
  <c r="L203" i="2" s="1"/>
  <c r="K99" i="2"/>
  <c r="J99" i="2"/>
  <c r="J203" i="2" s="1"/>
  <c r="I99" i="2"/>
  <c r="H99" i="2"/>
  <c r="H203" i="2" s="1"/>
  <c r="G99" i="2"/>
  <c r="F99" i="2"/>
  <c r="F203" i="2" s="1"/>
  <c r="E99" i="2"/>
  <c r="E203" i="2" s="1"/>
  <c r="Q98" i="2"/>
  <c r="Q97" i="2"/>
  <c r="Q96" i="2"/>
  <c r="Q95" i="2"/>
  <c r="Q94" i="2"/>
  <c r="Q93" i="2"/>
  <c r="Q92" i="2"/>
  <c r="P91" i="2"/>
  <c r="O91" i="2"/>
  <c r="N91" i="2"/>
  <c r="M91" i="2"/>
  <c r="L91" i="2"/>
  <c r="K91" i="2"/>
  <c r="J91" i="2"/>
  <c r="I91" i="2"/>
  <c r="H91" i="2"/>
  <c r="G91" i="2"/>
  <c r="F91" i="2"/>
  <c r="E91" i="2"/>
  <c r="Q90" i="2"/>
  <c r="Q89" i="2"/>
  <c r="Q88" i="2"/>
  <c r="P87" i="2"/>
  <c r="O87" i="2"/>
  <c r="N87" i="2"/>
  <c r="M87" i="2"/>
  <c r="L87" i="2"/>
  <c r="K87" i="2"/>
  <c r="J87" i="2"/>
  <c r="I87" i="2"/>
  <c r="H87" i="2"/>
  <c r="G87" i="2"/>
  <c r="F87" i="2"/>
  <c r="E87" i="2"/>
  <c r="Q86" i="2"/>
  <c r="Q87" i="2" s="1"/>
  <c r="P85" i="2"/>
  <c r="O85" i="2"/>
  <c r="N85" i="2"/>
  <c r="M85" i="2"/>
  <c r="L85" i="2"/>
  <c r="K85" i="2"/>
  <c r="J85" i="2"/>
  <c r="I85" i="2"/>
  <c r="H85" i="2"/>
  <c r="G85" i="2"/>
  <c r="F85" i="2"/>
  <c r="E85" i="2"/>
  <c r="Q84" i="2"/>
  <c r="Q85" i="2" s="1"/>
  <c r="P83" i="2"/>
  <c r="O83" i="2"/>
  <c r="N83" i="2"/>
  <c r="M83" i="2"/>
  <c r="L83" i="2"/>
  <c r="K83" i="2"/>
  <c r="J83" i="2"/>
  <c r="I83" i="2"/>
  <c r="H83" i="2"/>
  <c r="G83" i="2"/>
  <c r="F83" i="2"/>
  <c r="E83" i="2"/>
  <c r="Q82" i="2"/>
  <c r="Q83" i="2" s="1"/>
  <c r="P81" i="2"/>
  <c r="O81" i="2"/>
  <c r="N81" i="2"/>
  <c r="M81" i="2"/>
  <c r="L81" i="2"/>
  <c r="K81" i="2"/>
  <c r="J81" i="2"/>
  <c r="I81" i="2"/>
  <c r="H81" i="2"/>
  <c r="G81" i="2"/>
  <c r="F81" i="2"/>
  <c r="E81" i="2"/>
  <c r="Q77" i="2"/>
  <c r="P76" i="2"/>
  <c r="O76" i="2"/>
  <c r="N76" i="2"/>
  <c r="M76" i="2"/>
  <c r="L76" i="2"/>
  <c r="K76" i="2"/>
  <c r="J76" i="2"/>
  <c r="I76" i="2"/>
  <c r="H76" i="2"/>
  <c r="G76" i="2"/>
  <c r="F76" i="2"/>
  <c r="E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P28" i="2"/>
  <c r="O28" i="2"/>
  <c r="N28" i="2"/>
  <c r="M28" i="2"/>
  <c r="L28" i="2"/>
  <c r="K28" i="2"/>
  <c r="J28" i="2"/>
  <c r="I28" i="2"/>
  <c r="H28" i="2"/>
  <c r="G28" i="2"/>
  <c r="F28" i="2"/>
  <c r="E28" i="2"/>
  <c r="Q27" i="2"/>
  <c r="Q26" i="2"/>
  <c r="Q25" i="2"/>
  <c r="Q24" i="2"/>
  <c r="P23" i="2"/>
  <c r="O23" i="2"/>
  <c r="N23" i="2"/>
  <c r="M23" i="2"/>
  <c r="L23" i="2"/>
  <c r="L201" i="2" s="1"/>
  <c r="K23" i="2"/>
  <c r="J23" i="2"/>
  <c r="J201" i="2" s="1"/>
  <c r="I23" i="2"/>
  <c r="I201" i="2" s="1"/>
  <c r="H23" i="2"/>
  <c r="G23" i="2"/>
  <c r="G201" i="2" s="1"/>
  <c r="F23" i="2"/>
  <c r="E23" i="2"/>
  <c r="Q22" i="2"/>
  <c r="Q21" i="2"/>
  <c r="Q20" i="2"/>
  <c r="Q19" i="2"/>
  <c r="Q18" i="2"/>
  <c r="Q17" i="2"/>
  <c r="Q16" i="2"/>
  <c r="Q15" i="2"/>
  <c r="P14" i="2"/>
  <c r="O14" i="2"/>
  <c r="N14" i="2"/>
  <c r="M14" i="2"/>
  <c r="M206" i="2" s="1"/>
  <c r="L14" i="2"/>
  <c r="L206" i="2" s="1"/>
  <c r="K14" i="2"/>
  <c r="J14" i="2"/>
  <c r="I14" i="2"/>
  <c r="H14" i="2"/>
  <c r="H206" i="2" s="1"/>
  <c r="G14" i="2"/>
  <c r="F14" i="2"/>
  <c r="E14" i="2"/>
  <c r="Q13" i="2"/>
  <c r="Q12" i="2"/>
  <c r="Q11" i="2"/>
  <c r="Q10" i="2"/>
  <c r="Q9" i="2"/>
  <c r="Q8" i="2"/>
  <c r="Q7" i="2"/>
  <c r="Q6" i="2"/>
  <c r="Q5" i="2"/>
  <c r="Q1" i="2"/>
  <c r="O172" i="2" l="1"/>
  <c r="G175" i="2"/>
  <c r="O181" i="2"/>
  <c r="L167" i="2"/>
  <c r="P126" i="2"/>
  <c r="P190" i="2" s="1"/>
  <c r="G189" i="2"/>
  <c r="M126" i="2"/>
  <c r="M129" i="2"/>
  <c r="L126" i="2"/>
  <c r="G126" i="2"/>
  <c r="K167" i="2"/>
  <c r="Q133" i="2"/>
  <c r="Q152" i="2"/>
  <c r="E126" i="2"/>
  <c r="F126" i="2"/>
  <c r="N126" i="2"/>
  <c r="J126" i="2"/>
  <c r="Q124" i="2"/>
  <c r="Q125" i="2"/>
  <c r="Q127" i="2"/>
  <c r="N129" i="2"/>
  <c r="F167" i="2"/>
  <c r="N167" i="2"/>
  <c r="Q131" i="2"/>
  <c r="Q132" i="2"/>
  <c r="Q134" i="2"/>
  <c r="Q135" i="2"/>
  <c r="Q136" i="2"/>
  <c r="Q137" i="2"/>
  <c r="Q138" i="2"/>
  <c r="Q140" i="2"/>
  <c r="Q142" i="2"/>
  <c r="Q143" i="2"/>
  <c r="Q144" i="2"/>
  <c r="Q145" i="2"/>
  <c r="Q146" i="2"/>
  <c r="Q147" i="2"/>
  <c r="Q148" i="2"/>
  <c r="Q149" i="2"/>
  <c r="Q150" i="2"/>
  <c r="Q151" i="2"/>
  <c r="Q153" i="2"/>
  <c r="Q155" i="2"/>
  <c r="Q157" i="2"/>
  <c r="Q159" i="2"/>
  <c r="Q160" i="2"/>
  <c r="Q161" i="2"/>
  <c r="Q162" i="2"/>
  <c r="Q163" i="2"/>
  <c r="Q164" i="2"/>
  <c r="Q165" i="2"/>
  <c r="Q166" i="2"/>
  <c r="N172" i="2"/>
  <c r="Q171" i="2"/>
  <c r="F175" i="2"/>
  <c r="N175" i="2"/>
  <c r="J175" i="2"/>
  <c r="Q176" i="2"/>
  <c r="N181" i="2"/>
  <c r="J181" i="2"/>
  <c r="Q178" i="2"/>
  <c r="Q179" i="2"/>
  <c r="Q180" i="2"/>
  <c r="Q182" i="2"/>
  <c r="F189" i="2"/>
  <c r="N189" i="2"/>
  <c r="Q184" i="2"/>
  <c r="Q185" i="2"/>
  <c r="Q186" i="2"/>
  <c r="Q187" i="2"/>
  <c r="Q188" i="2"/>
  <c r="K172" i="2"/>
  <c r="Q156" i="2"/>
  <c r="K126" i="2"/>
  <c r="G167" i="2"/>
  <c r="O189" i="2"/>
  <c r="Q141" i="2"/>
  <c r="O129" i="2"/>
  <c r="O167" i="2"/>
  <c r="K181" i="2"/>
  <c r="Q123" i="2"/>
  <c r="J167" i="2"/>
  <c r="Q128" i="2"/>
  <c r="F181" i="2"/>
  <c r="F235" i="2"/>
  <c r="H126" i="2"/>
  <c r="H190" i="2" s="1"/>
  <c r="Q173" i="2"/>
  <c r="Q183" i="2"/>
  <c r="Q174" i="2"/>
  <c r="Q170" i="2"/>
  <c r="J189" i="2"/>
  <c r="Q177" i="2"/>
  <c r="Q168" i="2"/>
  <c r="Q169" i="2" s="1"/>
  <c r="I236" i="2"/>
  <c r="I237" i="2" s="1"/>
  <c r="J235" i="2"/>
  <c r="O236" i="2"/>
  <c r="O237" i="2" s="1"/>
  <c r="Q130" i="2"/>
  <c r="G236" i="2"/>
  <c r="G237" i="2" s="1"/>
  <c r="E236" i="2"/>
  <c r="E237" i="2" s="1"/>
  <c r="J236" i="2"/>
  <c r="H236" i="2"/>
  <c r="H237" i="2" s="1"/>
  <c r="O126" i="2"/>
  <c r="L236" i="2"/>
  <c r="L237" i="2" s="1"/>
  <c r="K236" i="2"/>
  <c r="K237" i="2" s="1"/>
  <c r="P236" i="2"/>
  <c r="P237" i="2" s="1"/>
  <c r="M236" i="2"/>
  <c r="M237" i="2" s="1"/>
  <c r="I126" i="2"/>
  <c r="I190" i="2" s="1"/>
  <c r="F236" i="2"/>
  <c r="N236" i="2"/>
  <c r="N237" i="2" s="1"/>
  <c r="Q122" i="2"/>
  <c r="Q99" i="2"/>
  <c r="G202" i="2"/>
  <c r="L202" i="2"/>
  <c r="Q91" i="2"/>
  <c r="Q28" i="2"/>
  <c r="F202" i="2"/>
  <c r="P203" i="2"/>
  <c r="I204" i="2"/>
  <c r="J205" i="2"/>
  <c r="F204" i="2"/>
  <c r="I212" i="2"/>
  <c r="Q230" i="2"/>
  <c r="N204" i="2"/>
  <c r="J202" i="2"/>
  <c r="P202" i="2"/>
  <c r="I202" i="2"/>
  <c r="K202" i="2"/>
  <c r="Q107" i="2"/>
  <c r="M118" i="2"/>
  <c r="O203" i="2"/>
  <c r="O118" i="2"/>
  <c r="P212" i="2"/>
  <c r="P201" i="2"/>
  <c r="F205" i="2"/>
  <c r="L205" i="2"/>
  <c r="P204" i="2"/>
  <c r="P118" i="2"/>
  <c r="K118" i="2"/>
  <c r="E206" i="2"/>
  <c r="E213" i="2"/>
  <c r="Q76" i="2"/>
  <c r="G204" i="2"/>
  <c r="G118" i="2"/>
  <c r="K201" i="2"/>
  <c r="K212" i="2"/>
  <c r="F201" i="2"/>
  <c r="F212" i="2"/>
  <c r="M205" i="2"/>
  <c r="G212" i="2"/>
  <c r="H202" i="2"/>
  <c r="E118" i="2"/>
  <c r="I118" i="2"/>
  <c r="Q14" i="2"/>
  <c r="I213" i="2"/>
  <c r="I206" i="2"/>
  <c r="N213" i="2"/>
  <c r="N206" i="2"/>
  <c r="H205" i="2"/>
  <c r="O205" i="2"/>
  <c r="L118" i="2"/>
  <c r="L212" i="2"/>
  <c r="K206" i="2"/>
  <c r="E201" i="2"/>
  <c r="E212" i="2"/>
  <c r="N201" i="2"/>
  <c r="N212" i="2"/>
  <c r="K205" i="2"/>
  <c r="Q81" i="2"/>
  <c r="E204" i="2"/>
  <c r="M213" i="2"/>
  <c r="J212" i="2"/>
  <c r="O201" i="2"/>
  <c r="O212" i="2"/>
  <c r="G205" i="2"/>
  <c r="H118" i="2"/>
  <c r="Q117" i="2"/>
  <c r="I203" i="2"/>
  <c r="J213" i="2"/>
  <c r="J206" i="2"/>
  <c r="I205" i="2"/>
  <c r="K203" i="2"/>
  <c r="N118" i="2"/>
  <c r="O202" i="2"/>
  <c r="L204" i="2"/>
  <c r="G213" i="2"/>
  <c r="F213" i="2"/>
  <c r="F206" i="2"/>
  <c r="O213" i="2"/>
  <c r="H201" i="2"/>
  <c r="H212" i="2"/>
  <c r="Q23" i="2"/>
  <c r="N202" i="2"/>
  <c r="E205" i="2"/>
  <c r="N205" i="2"/>
  <c r="J118" i="2"/>
  <c r="O206" i="2"/>
  <c r="H213" i="2"/>
  <c r="M202" i="2"/>
  <c r="P213" i="2"/>
  <c r="P206" i="2"/>
  <c r="M212" i="2"/>
  <c r="M201" i="2"/>
  <c r="E202" i="2"/>
  <c r="G203" i="2"/>
  <c r="M204" i="2"/>
  <c r="E190" i="2"/>
  <c r="G206" i="2"/>
  <c r="L213" i="2"/>
  <c r="P205" i="2"/>
  <c r="K213" i="2"/>
  <c r="F118" i="2"/>
  <c r="M190" i="2" l="1"/>
  <c r="M207" i="2" s="1"/>
  <c r="M214" i="2" s="1"/>
  <c r="M216" i="2" s="1"/>
  <c r="G190" i="2"/>
  <c r="Q129" i="2"/>
  <c r="L190" i="2"/>
  <c r="Q172" i="2"/>
  <c r="F190" i="2"/>
  <c r="Q167" i="2"/>
  <c r="J190" i="2"/>
  <c r="P207" i="2"/>
  <c r="P214" i="2" s="1"/>
  <c r="P216" i="2" s="1"/>
  <c r="Q189" i="2"/>
  <c r="K190" i="2"/>
  <c r="N190" i="2"/>
  <c r="N194" i="2" s="1"/>
  <c r="Q175" i="2"/>
  <c r="O190" i="2"/>
  <c r="Q235" i="2"/>
  <c r="F237" i="2"/>
  <c r="J237" i="2"/>
  <c r="Q181" i="2"/>
  <c r="Q236" i="2"/>
  <c r="Q126" i="2"/>
  <c r="Q203" i="2"/>
  <c r="Q204" i="2"/>
  <c r="Q118" i="2"/>
  <c r="M194" i="2"/>
  <c r="Q206" i="2"/>
  <c r="Q213" i="2"/>
  <c r="P194" i="2"/>
  <c r="H194" i="2"/>
  <c r="H207" i="2"/>
  <c r="H214" i="2" s="1"/>
  <c r="H216" i="2" s="1"/>
  <c r="Q202" i="2"/>
  <c r="I207" i="2"/>
  <c r="I214" i="2" s="1"/>
  <c r="I216" i="2" s="1"/>
  <c r="I194" i="2"/>
  <c r="Q205" i="2"/>
  <c r="Q212" i="2"/>
  <c r="Q201" i="2"/>
  <c r="E194" i="2"/>
  <c r="E207" i="2"/>
  <c r="E214" i="2" s="1"/>
  <c r="E216" i="2" s="1"/>
  <c r="G207" i="2" l="1"/>
  <c r="G214" i="2" s="1"/>
  <c r="G216" i="2" s="1"/>
  <c r="G239" i="2" s="1"/>
  <c r="G240" i="2" s="1"/>
  <c r="G194" i="2"/>
  <c r="L207" i="2"/>
  <c r="L214" i="2" s="1"/>
  <c r="L216" i="2" s="1"/>
  <c r="L218" i="2" s="1"/>
  <c r="L194" i="2"/>
  <c r="J194" i="2"/>
  <c r="F207" i="2"/>
  <c r="F214" i="2" s="1"/>
  <c r="F216" i="2" s="1"/>
  <c r="J207" i="2"/>
  <c r="J214" i="2" s="1"/>
  <c r="J216" i="2" s="1"/>
  <c r="F194" i="2"/>
  <c r="P208" i="2"/>
  <c r="P209" i="2" s="1"/>
  <c r="O207" i="2"/>
  <c r="O214" i="2" s="1"/>
  <c r="O216" i="2" s="1"/>
  <c r="O239" i="2" s="1"/>
  <c r="O240" i="2" s="1"/>
  <c r="O194" i="2"/>
  <c r="K194" i="2"/>
  <c r="N207" i="2"/>
  <c r="K207" i="2"/>
  <c r="K214" i="2" s="1"/>
  <c r="K216" i="2" s="1"/>
  <c r="K239" i="2" s="1"/>
  <c r="K240" i="2" s="1"/>
  <c r="Q237" i="2"/>
  <c r="Q190" i="2"/>
  <c r="M208" i="2"/>
  <c r="M209" i="2" s="1"/>
  <c r="H208" i="2"/>
  <c r="H209" i="2" s="1"/>
  <c r="E208" i="2"/>
  <c r="E209" i="2" s="1"/>
  <c r="M239" i="2"/>
  <c r="M240" i="2" s="1"/>
  <c r="M218" i="2"/>
  <c r="I239" i="2"/>
  <c r="I240" i="2" s="1"/>
  <c r="I218" i="2"/>
  <c r="H218" i="2"/>
  <c r="H239" i="2"/>
  <c r="H240" i="2" s="1"/>
  <c r="I208" i="2"/>
  <c r="I209" i="2" s="1"/>
  <c r="E239" i="2"/>
  <c r="E240" i="2" s="1"/>
  <c r="E218" i="2"/>
  <c r="P218" i="2"/>
  <c r="P239" i="2"/>
  <c r="P240" i="2" s="1"/>
  <c r="F239" i="2" l="1"/>
  <c r="F240" i="2" s="1"/>
  <c r="F218" i="2"/>
  <c r="G218" i="2"/>
  <c r="L208" i="2"/>
  <c r="L209" i="2" s="1"/>
  <c r="L239" i="2"/>
  <c r="L240" i="2" s="1"/>
  <c r="G208" i="2"/>
  <c r="G209" i="2" s="1"/>
  <c r="F208" i="2"/>
  <c r="F209" i="2" s="1"/>
  <c r="K208" i="2"/>
  <c r="K209" i="2" s="1"/>
  <c r="J208" i="2"/>
  <c r="J209" i="2" s="1"/>
  <c r="Q194" i="2"/>
  <c r="O218" i="2"/>
  <c r="O208" i="2"/>
  <c r="O209" i="2" s="1"/>
  <c r="K218" i="2"/>
  <c r="N214" i="2"/>
  <c r="N216" i="2" s="1"/>
  <c r="N208" i="2"/>
  <c r="N209" i="2" s="1"/>
  <c r="Q207" i="2"/>
  <c r="Q214" i="2" s="1"/>
  <c r="Q216" i="2" s="1"/>
  <c r="Q239" i="2" s="1"/>
  <c r="Q240" i="2" s="1"/>
  <c r="J239" i="2"/>
  <c r="J240" i="2" s="1"/>
  <c r="J218" i="2"/>
  <c r="N239" i="2" l="1"/>
  <c r="N240" i="2" s="1"/>
  <c r="N218" i="2"/>
  <c r="Q208" i="2"/>
  <c r="Q209" i="2" s="1"/>
  <c r="Q218" i="2"/>
</calcChain>
</file>

<file path=xl/sharedStrings.xml><?xml version="1.0" encoding="utf-8"?>
<sst xmlns="http://schemas.openxmlformats.org/spreadsheetml/2006/main" count="547" uniqueCount="182">
  <si>
    <t xml:space="preserve">Renta CK Cost Evolution </t>
  </si>
  <si>
    <t xml:space="preserve">Volume </t>
  </si>
  <si>
    <t xml:space="preserve">FX Rates </t>
  </si>
  <si>
    <t>HQD PERIMETER</t>
  </si>
  <si>
    <t xml:space="preserve">Jan K€ </t>
  </si>
  <si>
    <t xml:space="preserve">Feb K€ </t>
  </si>
  <si>
    <t xml:space="preserve">Mar K€ </t>
  </si>
  <si>
    <t xml:space="preserve">Apr K€ </t>
  </si>
  <si>
    <t xml:space="preserve">May K€ </t>
  </si>
  <si>
    <t xml:space="preserve">June K€ </t>
  </si>
  <si>
    <t xml:space="preserve">July K€ </t>
  </si>
  <si>
    <t xml:space="preserve">Aug K€ </t>
  </si>
  <si>
    <t xml:space="preserve">Sep K€ </t>
  </si>
  <si>
    <t xml:space="preserve">Oct K€ </t>
  </si>
  <si>
    <t xml:space="preserve">Nov K€ </t>
  </si>
  <si>
    <t xml:space="preserve"> YTD K€ </t>
  </si>
  <si>
    <t>YES</t>
  </si>
  <si>
    <t xml:space="preserve">    6666110101  Depreciation of buildings</t>
  </si>
  <si>
    <t>*   CS_Depreciation</t>
  </si>
  <si>
    <t xml:space="preserve">    6666110106  Depreciation of R&amp;D facilities</t>
  </si>
  <si>
    <t xml:space="preserve">    6666110107  Depreciation of mold　</t>
  </si>
  <si>
    <t xml:space="preserve">    6666110110  Depreciation-Plant &amp; Machinery</t>
  </si>
  <si>
    <t xml:space="preserve">    6666110112  Depreciation of Furniture &amp; Fixture</t>
  </si>
  <si>
    <t xml:space="preserve">    6666110204  Amortization of license, trademarks and</t>
  </si>
  <si>
    <t xml:space="preserve">    6666110207  Amortization of Software</t>
  </si>
  <si>
    <t xml:space="preserve">    6666110506  Amortization-Leasehold Improvement</t>
  </si>
  <si>
    <t xml:space="preserve">FIX </t>
  </si>
  <si>
    <t xml:space="preserve">    5001010205  Unemployment Insurance -blue collar-Dire</t>
  </si>
  <si>
    <t>*   CS_Direct Labour</t>
  </si>
  <si>
    <t xml:space="preserve">    6666010380  Incentive</t>
  </si>
  <si>
    <t xml:space="preserve">    6666010019  Payroll Taxes - Blue Collar Direct</t>
  </si>
  <si>
    <t xml:space="preserve">    6666010183  Overtime-Blue Collar-Direct</t>
  </si>
  <si>
    <t xml:space="preserve">    6666010229  Staff Leaving Indemnity - Blue Collar Di</t>
  </si>
  <si>
    <t xml:space="preserve">    6666010188  Salary - Blue collar direct employees</t>
  </si>
  <si>
    <t xml:space="preserve">    5102040406  Other revenue-Service/Secondment agreeme</t>
  </si>
  <si>
    <t xml:space="preserve">    6666010115  Salary-Blue collar direct employees-Accr</t>
  </si>
  <si>
    <t xml:space="preserve">VAR </t>
  </si>
  <si>
    <t>NO</t>
  </si>
  <si>
    <t xml:space="preserve">    8701530201  Scrap-Raw Material - Managerial</t>
  </si>
  <si>
    <t>*   CS_SCRAP_VARIABLE</t>
  </si>
  <si>
    <t xml:space="preserve">    6666050309  SFG scrap</t>
  </si>
  <si>
    <t xml:space="preserve">    6666050308  Raw material scrap</t>
  </si>
  <si>
    <t xml:space="preserve">    6666050306  Finished goods scrap</t>
  </si>
  <si>
    <t xml:space="preserve">    5102010151  Other Rev.-Interco-Epidemic problem comp</t>
  </si>
  <si>
    <t>*   CS_Fix Cost</t>
  </si>
  <si>
    <t xml:space="preserve">    5001010200  Cost of Manufacture - Raw Material</t>
  </si>
  <si>
    <t xml:space="preserve">    5001010201  Cost of Manufacture - Raw Material-Freig</t>
  </si>
  <si>
    <t xml:space="preserve">    5207000011  Gain of tangible asset disposal</t>
  </si>
  <si>
    <t xml:space="preserve">    5207000012  Loss of tangible asset sold</t>
  </si>
  <si>
    <t xml:space="preserve">    5207000022  Loss of intangible asset disposal</t>
  </si>
  <si>
    <t xml:space="preserve">    5301060000  Other Income-Subsidy income</t>
  </si>
  <si>
    <t xml:space="preserve">    5301999999  Non-operation revenue-Other</t>
  </si>
  <si>
    <t xml:space="preserve">    5405030000  Other cost-others</t>
  </si>
  <si>
    <t xml:space="preserve">    5601050000  Non-Operating Expense - Penalty</t>
  </si>
  <si>
    <t xml:space="preserve">    5601050100  Non-operation Expense-Others</t>
  </si>
  <si>
    <t xml:space="preserve">    5102040893  Other revenue-Charge out-Test Expense</t>
  </si>
  <si>
    <t xml:space="preserve">   5801000041  Previous year Sundry cost</t>
  </si>
  <si>
    <t xml:space="preserve">    6666010322  fuel allowance</t>
  </si>
  <si>
    <t xml:space="preserve">    6666020101  Entertainment</t>
  </si>
  <si>
    <t xml:space="preserve">    6666020201  Domestic business travel</t>
  </si>
  <si>
    <t xml:space="preserve">    6666020202  Overseas business travel</t>
  </si>
  <si>
    <t xml:space="preserve">    6666020204  Travel expense pay to agency</t>
  </si>
  <si>
    <t xml:space="preserve">    6666020205  Business travel-other</t>
  </si>
  <si>
    <t xml:space="preserve">    6666020301  Staff communic</t>
  </si>
  <si>
    <t xml:space="preserve">    6666020302  Communication Expenses</t>
  </si>
  <si>
    <t>6666020403</t>
  </si>
  <si>
    <t xml:space="preserve">    6666020403  Company car expense</t>
  </si>
  <si>
    <t xml:space="preserve">    6666020405  Company car expense - maintenance fees</t>
  </si>
  <si>
    <t xml:space="preserve">    6666020495  Non-deductible expense-travel.</t>
  </si>
  <si>
    <t xml:space="preserve">    6666020504  Newspaper and Periodicals expenditure</t>
  </si>
  <si>
    <t xml:space="preserve">    6666020508  Postage</t>
  </si>
  <si>
    <t xml:space="preserve">    6666020602  Training costs Outside the group</t>
  </si>
  <si>
    <t xml:space="preserve">    6666020701  Enterprise Property Insurance</t>
  </si>
  <si>
    <t xml:space="preserve">    6666020802  Equipment rental cost</t>
  </si>
  <si>
    <t xml:space="preserve">    6666020803  Car rental cost</t>
  </si>
  <si>
    <t xml:space="preserve">    6666021100  Consulting fees</t>
  </si>
  <si>
    <t xml:space="preserve">    6666021104  Consulting expense-Technical</t>
  </si>
  <si>
    <t xml:space="preserve">    6666021902  Cleaning fees</t>
  </si>
  <si>
    <t xml:space="preserve">    6666022100  Security</t>
  </si>
  <si>
    <t xml:space="preserve">    6666022300  Association dues</t>
  </si>
  <si>
    <t xml:space="preserve">    6666029700  Service fee recharge</t>
  </si>
  <si>
    <t xml:space="preserve">    6666029900  Sundry Expenses</t>
  </si>
  <si>
    <t xml:space="preserve">    6666029996  Non-deductible expense-travel.</t>
  </si>
  <si>
    <t xml:space="preserve">    6666029997  restructure cost</t>
  </si>
  <si>
    <t xml:space="preserve">    6666030702  R&amp;D prototype purchased</t>
  </si>
  <si>
    <t xml:space="preserve">    6666031200  Instrument fee</t>
  </si>
  <si>
    <t xml:space="preserve">    6666050107  Special distribution costs</t>
  </si>
  <si>
    <t xml:space="preserve">    6666070100  Software purchase, development and imple</t>
  </si>
  <si>
    <t xml:space="preserve">    6666070300  Software maintenance fees</t>
  </si>
  <si>
    <t xml:space="preserve">    6666070400  IT maint. &amp; repairs hardware</t>
  </si>
  <si>
    <t xml:space="preserve">    5401050201  COGS-Special a</t>
  </si>
  <si>
    <t xml:space="preserve">    5401020212  Local Transpor</t>
  </si>
  <si>
    <t xml:space="preserve">    6666093800  Other Taxes-CIT Deductible</t>
  </si>
  <si>
    <t xml:space="preserve">    6666110203  Low value consumables</t>
  </si>
  <si>
    <t>*   CS_Variable Cost</t>
  </si>
  <si>
    <t xml:space="preserve">    5102040000  Other Revenue - Other</t>
  </si>
  <si>
    <t xml:space="preserve">    6666050307  Inventory count different-raw material</t>
  </si>
  <si>
    <t xml:space="preserve">    6666050312  Inventory count different- Semifinished</t>
  </si>
  <si>
    <t xml:space="preserve">    6666100203  Provision for inventory devaluation - RM</t>
  </si>
  <si>
    <t>*   CS_Obsolescence</t>
  </si>
  <si>
    <t xml:space="preserve">    5301070000  Non-operation revenue-sales of scrapped</t>
  </si>
  <si>
    <t>*   CS_Reselling</t>
  </si>
  <si>
    <t xml:space="preserve">    6666021602  Electricity</t>
  </si>
  <si>
    <t>*   CS_Fix Utilities</t>
  </si>
  <si>
    <t xml:space="preserve">    6666021600  Energy and power cost</t>
  </si>
  <si>
    <t>*   CS_Variable Utilities</t>
  </si>
  <si>
    <t xml:space="preserve">    6666021603  Water</t>
  </si>
  <si>
    <t xml:space="preserve">    6666021604  Oil &amp; Gas</t>
  </si>
  <si>
    <t xml:space="preserve">    5001010206  Unemployment Insurance -blue collar-Indi</t>
  </si>
  <si>
    <t>*   CS_Indirect Labour</t>
  </si>
  <si>
    <t xml:space="preserve">    6666010184  Salary&amp;Additional Incentive-Blue Collar-</t>
  </si>
  <si>
    <t xml:space="preserve">    6666010186  Overtime-Blue Collar-Indirect</t>
  </si>
  <si>
    <t xml:space="preserve">    6666010189  Salary - Blue collar indirect employees</t>
  </si>
  <si>
    <t xml:space="preserve">    6666010012  Payroll Taxes- Blue Collar Indirect</t>
  </si>
  <si>
    <t xml:space="preserve">    6666010226  Staff Leaving Indemnity - Blue Collar In</t>
  </si>
  <si>
    <t xml:space="preserve">    6666010102  Salary-Blue collar indirect employees- A</t>
  </si>
  <si>
    <t>FIX</t>
  </si>
  <si>
    <t xml:space="preserve">    6666010196  Payroll Taxes-White Collar Employee</t>
  </si>
  <si>
    <t>*   CS_Fixed Labour</t>
  </si>
  <si>
    <t xml:space="preserve">    6666010101  Salary - White collar employees</t>
  </si>
  <si>
    <t xml:space="preserve">    6666010199  Salary-White collar employees -Accrued</t>
  </si>
  <si>
    <t xml:space="preserve">    6666010185  Salary&amp;Additional Incentive-White Collar</t>
  </si>
  <si>
    <t xml:space="preserve">    6666010207  Unemployment insurance companies to pay</t>
  </si>
  <si>
    <t xml:space="preserve">    6666010227  Staff Leaving Indemnity - White collar E</t>
  </si>
  <si>
    <t>*   CS_Semifix</t>
  </si>
  <si>
    <t xml:space="preserve">    6666010302  Medical expenses</t>
  </si>
  <si>
    <t xml:space="preserve">    6666010314  Work uniforms</t>
  </si>
  <si>
    <t xml:space="preserve">    6666020401  local transportation - bus and taxi</t>
  </si>
  <si>
    <t xml:space="preserve">    6666020502  Working meals</t>
  </si>
  <si>
    <t xml:space="preserve">    6666020503  Office supplies</t>
  </si>
  <si>
    <t xml:space="preserve">    6666021502  Repair &amp; Maintain - Building&amp;office</t>
  </si>
  <si>
    <t xml:space="preserve">    6666021503  Repair &amp; Maintain - Tooling &amp; Equipments</t>
  </si>
  <si>
    <t xml:space="preserve">    6666021505  Repairs &amp; Maintenance - Vehicles</t>
  </si>
  <si>
    <t xml:space="preserve">    6666021506  Repairs &amp; Maintenance - Plant &amp; Machiner</t>
  </si>
  <si>
    <t xml:space="preserve">    6666091600  Garbage disposal charge</t>
  </si>
  <si>
    <t>Manufacturing cost without Shares &amp; Out of Perimeter</t>
  </si>
  <si>
    <t>CS_Depreci</t>
  </si>
  <si>
    <t xml:space="preserve">    5102040406  Other revenue-Servic</t>
  </si>
  <si>
    <t xml:space="preserve">CS_Direct </t>
  </si>
  <si>
    <t xml:space="preserve">    5601080000  Non-operating expens</t>
  </si>
  <si>
    <t xml:space="preserve">    6666020301  Staff communication expense</t>
  </si>
  <si>
    <t xml:space="preserve">    6666020801  Housing rental cost</t>
  </si>
  <si>
    <t xml:space="preserve">    6666021102  Consulting expense-tax</t>
  </si>
  <si>
    <t xml:space="preserve">    6666021300  Legal fees</t>
  </si>
  <si>
    <t xml:space="preserve">    6666031100  Technical Documentation</t>
  </si>
  <si>
    <t xml:space="preserve">    6666079999  IT Expense-Internal Charge Out</t>
  </si>
  <si>
    <t xml:space="preserve">    6666090100  Stamp Duty</t>
  </si>
  <si>
    <t>CS_Fix Cos</t>
  </si>
  <si>
    <t>CS_Variabl</t>
  </si>
  <si>
    <t xml:space="preserve">    6666010102  Salary-Blue collar i</t>
  </si>
  <si>
    <t>CS_Indirec</t>
  </si>
  <si>
    <t xml:space="preserve">    6666010227  Staff Leaving Indemn</t>
  </si>
  <si>
    <t>CS_Fixed L</t>
  </si>
  <si>
    <t>CS_Semifix</t>
  </si>
  <si>
    <t xml:space="preserve">G&amp;A _ Out of Perimeter </t>
  </si>
  <si>
    <t xml:space="preserve">Total Manufacturing Cost </t>
  </si>
  <si>
    <t>Cost in EUR</t>
  </si>
  <si>
    <t xml:space="preserve">ACT Cost K€ </t>
  </si>
  <si>
    <t>Direct Labour</t>
  </si>
  <si>
    <t>Direct Expences</t>
  </si>
  <si>
    <t>Indirect Labour</t>
  </si>
  <si>
    <t>Fixed Labour</t>
  </si>
  <si>
    <t>Fixed Expences</t>
  </si>
  <si>
    <t>Depreciation</t>
  </si>
  <si>
    <t>Shares</t>
  </si>
  <si>
    <t>TOTAL</t>
  </si>
  <si>
    <t xml:space="preserve">G&amp;A &amp; Out of Perimeter </t>
  </si>
  <si>
    <t xml:space="preserve">Total Cost </t>
  </si>
  <si>
    <t>COST CENTER TOTAL IN €</t>
  </si>
  <si>
    <t>FUNCTIONAL CURRENCY IMPACT</t>
  </si>
  <si>
    <t>MFG PERIMETER (INCLUDING FC)</t>
  </si>
  <si>
    <t>OUT OF MFG PERIMETER</t>
  </si>
  <si>
    <t>REPORT DECLARED</t>
  </si>
  <si>
    <t>DIFF</t>
  </si>
  <si>
    <t xml:space="preserve">    6666110206 Amortization of Patents</t>
  </si>
  <si>
    <t>6666110206</t>
  </si>
  <si>
    <t xml:space="preserve">    6666110206Intangible asset- Patent</t>
  </si>
  <si>
    <t xml:space="preserve">Dec K€ </t>
  </si>
  <si>
    <t xml:space="preserve">    6666021200  Audit fee</t>
  </si>
  <si>
    <t xml:space="preserve">    6666021103  Consulting expense-finance</t>
  </si>
  <si>
    <t xml:space="preserve">    6666020601  Training costs within the Group</t>
  </si>
  <si>
    <t xml:space="preserve">    6666021400  Recruitment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</si>
</sst>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Calibri"/>
      <family val="3"/>
      <charset val="134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3" fontId="3" fillId="0" borderId="0" applyFont="0" applyFill="0" applyBorder="0" applyAlignment="0" applyProtection="0"/>
    <xf numFmtId="0" fontId="3" fillId="0" borderId="0"/>
    <xf numFmtId="0" fontId="8" fillId="0" borderId="0"/>
    <xf numFmtId="0" fontId="11" fillId="0" borderId="0"/>
  </cellStyleXfs>
  <cellXfs count="8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2" applyFont="1"/>
    <xf numFmtId="3" fontId="4" fillId="3" borderId="0" xfId="0" applyNumberFormat="1" applyFont="1" applyFill="1" applyAlignment="1">
      <alignment horizontal="center" vertical="center"/>
    </xf>
    <xf numFmtId="0" fontId="1" fillId="2" borderId="0" xfId="0" applyFont="1" applyFill="1">
      <alignment vertical="center"/>
    </xf>
    <xf numFmtId="4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6" fillId="2" borderId="0" xfId="0" applyNumberFormat="1" applyFont="1" applyFill="1">
      <alignment vertical="center"/>
    </xf>
    <xf numFmtId="0" fontId="6" fillId="2" borderId="5" xfId="0" applyFont="1" applyFill="1" applyBorder="1">
      <alignment vertical="center"/>
    </xf>
    <xf numFmtId="0" fontId="6" fillId="2" borderId="6" xfId="0" applyFont="1" applyFill="1" applyBorder="1">
      <alignment vertical="center"/>
    </xf>
    <xf numFmtId="0" fontId="6" fillId="2" borderId="7" xfId="0" applyFont="1" applyFill="1" applyBorder="1">
      <alignment vertical="center"/>
    </xf>
    <xf numFmtId="0" fontId="6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7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4" fontId="0" fillId="2" borderId="0" xfId="0" applyNumberFormat="1" applyFill="1">
      <alignment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2" borderId="0" xfId="0" applyFont="1" applyFill="1">
      <alignment vertical="center"/>
    </xf>
    <xf numFmtId="4" fontId="0" fillId="0" borderId="0" xfId="0" applyNumberFormat="1" applyAlignment="1">
      <alignment horizontal="center" vertical="center"/>
    </xf>
    <xf numFmtId="0" fontId="0" fillId="0" borderId="4" xfId="0" applyBorder="1">
      <alignment vertical="center"/>
    </xf>
    <xf numFmtId="0" fontId="5" fillId="4" borderId="9" xfId="0" applyFont="1" applyFill="1" applyBorder="1">
      <alignment vertical="center"/>
    </xf>
    <xf numFmtId="0" fontId="5" fillId="4" borderId="12" xfId="0" applyFont="1" applyFill="1" applyBorder="1">
      <alignment vertical="center"/>
    </xf>
    <xf numFmtId="0" fontId="5" fillId="4" borderId="0" xfId="0" applyFont="1" applyFill="1">
      <alignment vertical="center"/>
    </xf>
    <xf numFmtId="43" fontId="0" fillId="0" borderId="0" xfId="1" applyFont="1" applyAlignment="1">
      <alignment horizontal="center" vertical="center"/>
    </xf>
    <xf numFmtId="4" fontId="0" fillId="0" borderId="0" xfId="0" applyNumberFormat="1">
      <alignment vertical="center"/>
    </xf>
    <xf numFmtId="0" fontId="3" fillId="2" borderId="0" xfId="2" applyFill="1" applyAlignment="1">
      <alignment horizontal="center"/>
    </xf>
    <xf numFmtId="0" fontId="9" fillId="2" borderId="0" xfId="2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0" fontId="5" fillId="4" borderId="10" xfId="2" applyFont="1" applyFill="1" applyBorder="1"/>
    <xf numFmtId="0" fontId="3" fillId="2" borderId="0" xfId="2" applyFill="1"/>
    <xf numFmtId="4" fontId="9" fillId="2" borderId="0" xfId="2" applyNumberFormat="1" applyFont="1" applyFill="1" applyAlignment="1">
      <alignment horizontal="center"/>
    </xf>
    <xf numFmtId="0" fontId="12" fillId="6" borderId="4" xfId="4" applyFont="1" applyFill="1" applyBorder="1"/>
    <xf numFmtId="0" fontId="12" fillId="8" borderId="4" xfId="4" applyFont="1" applyFill="1" applyBorder="1"/>
    <xf numFmtId="0" fontId="12" fillId="10" borderId="4" xfId="4" applyFont="1" applyFill="1" applyBorder="1"/>
    <xf numFmtId="0" fontId="13" fillId="4" borderId="9" xfId="4" applyFont="1" applyFill="1" applyBorder="1" applyAlignment="1">
      <alignment horizontal="left"/>
    </xf>
    <xf numFmtId="0" fontId="15" fillId="0" borderId="10" xfId="4" applyFont="1" applyBorder="1"/>
    <xf numFmtId="0" fontId="16" fillId="6" borderId="4" xfId="4" applyFont="1" applyFill="1" applyBorder="1"/>
    <xf numFmtId="0" fontId="16" fillId="8" borderId="4" xfId="4" applyFont="1" applyFill="1" applyBorder="1"/>
    <xf numFmtId="0" fontId="15" fillId="10" borderId="4" xfId="4" applyFont="1" applyFill="1" applyBorder="1"/>
    <xf numFmtId="0" fontId="15" fillId="0" borderId="4" xfId="4" applyFont="1" applyBorder="1"/>
    <xf numFmtId="0" fontId="12" fillId="12" borderId="9" xfId="4" applyFont="1" applyFill="1" applyBorder="1"/>
    <xf numFmtId="4" fontId="0" fillId="2" borderId="0" xfId="0" applyNumberForma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" fontId="3" fillId="0" borderId="0" xfId="0" applyNumberFormat="1" applyFont="1">
      <alignment vertical="center"/>
    </xf>
    <xf numFmtId="4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6" fillId="0" borderId="6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5" fillId="4" borderId="9" xfId="1" applyNumberFormat="1" applyFont="1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5" fillId="4" borderId="12" xfId="1" applyNumberFormat="1" applyFont="1" applyFill="1" applyBorder="1" applyAlignment="1">
      <alignment horizontal="center" vertical="center"/>
    </xf>
    <xf numFmtId="164" fontId="5" fillId="4" borderId="0" xfId="1" applyNumberFormat="1" applyFont="1" applyFill="1" applyAlignment="1">
      <alignment horizontal="center" vertical="center"/>
    </xf>
    <xf numFmtId="164" fontId="3" fillId="7" borderId="0" xfId="1" applyNumberFormat="1" applyFill="1" applyAlignment="1">
      <alignment horizontal="center"/>
    </xf>
    <xf numFmtId="164" fontId="3" fillId="9" borderId="0" xfId="1" applyNumberFormat="1" applyFill="1" applyAlignment="1">
      <alignment horizontal="center"/>
    </xf>
    <xf numFmtId="164" fontId="3" fillId="11" borderId="0" xfId="1" applyNumberFormat="1" applyFill="1" applyAlignment="1">
      <alignment horizontal="center"/>
    </xf>
    <xf numFmtId="164" fontId="14" fillId="4" borderId="12" xfId="1" applyNumberFormat="1" applyFont="1" applyFill="1" applyBorder="1" applyAlignment="1">
      <alignment horizontal="center"/>
    </xf>
    <xf numFmtId="164" fontId="15" fillId="0" borderId="11" xfId="1" applyNumberFormat="1" applyFont="1" applyBorder="1"/>
    <xf numFmtId="164" fontId="16" fillId="6" borderId="0" xfId="1" applyNumberFormat="1" applyFont="1" applyFill="1" applyAlignment="1">
      <alignment horizontal="center"/>
    </xf>
    <xf numFmtId="164" fontId="16" fillId="8" borderId="0" xfId="1" applyNumberFormat="1" applyFont="1" applyFill="1" applyAlignment="1">
      <alignment horizontal="center"/>
    </xf>
    <xf numFmtId="164" fontId="15" fillId="10" borderId="0" xfId="1" applyNumberFormat="1" applyFont="1" applyFill="1" applyAlignment="1">
      <alignment horizontal="center"/>
    </xf>
    <xf numFmtId="164" fontId="15" fillId="0" borderId="0" xfId="1" applyNumberFormat="1" applyFont="1" applyAlignment="1">
      <alignment horizontal="center"/>
    </xf>
    <xf numFmtId="164" fontId="12" fillId="12" borderId="12" xfId="1" applyNumberFormat="1" applyFont="1" applyFill="1" applyBorder="1" applyAlignment="1">
      <alignment horizontal="center"/>
    </xf>
    <xf numFmtId="164" fontId="0" fillId="0" borderId="10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10" fillId="5" borderId="11" xfId="1" applyNumberFormat="1" applyFont="1" applyFill="1" applyBorder="1" applyAlignment="1">
      <alignment horizontal="center"/>
    </xf>
    <xf numFmtId="0" fontId="0" fillId="0" borderId="11" xfId="0" applyBorder="1" applyAlignment="1">
      <alignment horizontal="left" vertical="center"/>
    </xf>
    <xf numFmtId="164" fontId="0" fillId="0" borderId="3" xfId="1" applyNumberFormat="1" applyFont="1" applyBorder="1" applyAlignment="1">
      <alignment horizontal="center" vertical="center"/>
    </xf>
    <xf numFmtId="164" fontId="5" fillId="4" borderId="13" xfId="1" applyNumberFormat="1" applyFont="1" applyFill="1" applyBorder="1" applyAlignment="1">
      <alignment horizontal="center" vertical="center"/>
    </xf>
    <xf numFmtId="164" fontId="0" fillId="2" borderId="3" xfId="1" applyNumberFormat="1" applyFont="1" applyFill="1" applyBorder="1" applyAlignment="1">
      <alignment horizontal="center" vertical="center"/>
    </xf>
    <xf numFmtId="164" fontId="5" fillId="4" borderId="2" xfId="1" applyNumberFormat="1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43" fontId="6" fillId="0" borderId="1" xfId="1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12" xfId="2" xr:uid="{F7AFF009-F0ED-4FCE-B9EE-91A560891379}"/>
    <cellStyle name="Normal 2" xfId="3" xr:uid="{A7E1F33E-CE75-47F2-897E-C4570DFAE060}"/>
    <cellStyle name="常规 7" xfId="4" xr:uid="{5121A153-7E4A-4433-A1A3-4E0F5F5E18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94CA-CA29-4CA4-9D90-63E0C5E59CE5}">
  <sheetPr>
    <tabColor rgb="FF002060"/>
    <pageSetUpPr autoPageBreaks="0"/>
  </sheetPr>
  <dimension ref="A1:R251"/>
  <sheetViews>
    <sheetView showGridLines="0" tabSelected="1" zoomScale="85" zoomScaleNormal="85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G33" sqref="G33"/>
    </sheetView>
  </sheetViews>
  <sheetFormatPr defaultColWidth="8.77734375" defaultRowHeight="14.4" outlineLevelRow="2"/>
  <cols>
    <col min="1" max="1" width="12.21875" style="8" customWidth="1"/>
    <col min="2" max="2" width="13.88671875" customWidth="1"/>
    <col min="3" max="3" width="51.88671875" bestFit="1" customWidth="1"/>
    <col min="4" max="4" width="50" bestFit="1" customWidth="1"/>
    <col min="5" max="5" width="18.5546875" style="10" bestFit="1" customWidth="1"/>
    <col min="6" max="11" width="16.5546875" style="10" bestFit="1" customWidth="1"/>
    <col min="12" max="17" width="16.33203125" style="10" customWidth="1"/>
    <col min="18" max="18" width="11.5546875" style="11" bestFit="1" customWidth="1"/>
    <col min="19" max="19" width="10.44140625" style="11" bestFit="1" customWidth="1"/>
    <col min="20" max="16384" width="8.77734375" style="11"/>
  </cols>
  <sheetData>
    <row r="1" spans="1:18" s="6" customFormat="1" ht="15">
      <c r="A1" s="1"/>
      <c r="B1" s="2" t="s">
        <v>0</v>
      </c>
      <c r="C1" s="3"/>
      <c r="D1" s="4" t="s">
        <v>1</v>
      </c>
      <c r="E1" s="5">
        <v>116704.08333333334</v>
      </c>
      <c r="F1" s="5">
        <v>116204.08333333333</v>
      </c>
      <c r="G1" s="5">
        <v>106704.08333333334</v>
      </c>
      <c r="H1" s="5">
        <v>104704.08333333334</v>
      </c>
      <c r="I1" s="5">
        <v>71805.083333333343</v>
      </c>
      <c r="J1" s="5">
        <v>110105.08333333334</v>
      </c>
      <c r="K1" s="5">
        <v>86206.083333333343</v>
      </c>
      <c r="L1" s="5">
        <v>81605.083333333343</v>
      </c>
      <c r="M1" s="5">
        <v>117305.08333333334</v>
      </c>
      <c r="N1" s="5">
        <v>121005.08333333334</v>
      </c>
      <c r="O1" s="5">
        <v>130155.08333333333</v>
      </c>
      <c r="P1" s="5">
        <v>91305.083333333343</v>
      </c>
      <c r="Q1" s="5">
        <f>+E1+F1+G1+H1+I1+J1+K1+L1+M1+N1+O1+P1</f>
        <v>1253808.0000000002</v>
      </c>
    </row>
    <row r="2" spans="1:18" s="6" customFormat="1">
      <c r="A2" s="1"/>
      <c r="B2" s="3"/>
      <c r="C2" s="3"/>
      <c r="D2" s="4" t="s">
        <v>2</v>
      </c>
      <c r="E2" s="7">
        <v>52.488689999999991</v>
      </c>
      <c r="F2" s="7">
        <v>53.485975109999984</v>
      </c>
      <c r="G2" s="7">
        <v>54.502208637089979</v>
      </c>
      <c r="H2" s="7">
        <v>55.319741766646324</v>
      </c>
      <c r="I2" s="7">
        <v>56.149537893146011</v>
      </c>
      <c r="J2" s="7">
        <v>56.991780961543199</v>
      </c>
      <c r="K2" s="7">
        <v>57.447715209235547</v>
      </c>
      <c r="L2" s="7">
        <v>57.907296930909432</v>
      </c>
      <c r="M2" s="7">
        <v>58.370555306356707</v>
      </c>
      <c r="N2" s="7">
        <v>59.392040024217955</v>
      </c>
      <c r="O2" s="7">
        <v>60.431400724641776</v>
      </c>
      <c r="P2" s="7">
        <v>61.48895023732301</v>
      </c>
      <c r="Q2" s="7">
        <f>AVERAGE(E2:P2)</f>
        <v>56.997991066759162</v>
      </c>
    </row>
    <row r="3" spans="1:18">
      <c r="B3" s="9"/>
    </row>
    <row r="4" spans="1:18" ht="28.8">
      <c r="A4" s="12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177</v>
      </c>
      <c r="Q4" s="13" t="s">
        <v>15</v>
      </c>
    </row>
    <row r="5" spans="1:18" outlineLevel="1">
      <c r="A5" s="8" t="s">
        <v>16</v>
      </c>
      <c r="B5" s="14">
        <v>6666110101</v>
      </c>
      <c r="C5" s="14" t="s">
        <v>17</v>
      </c>
      <c r="D5" s="14" t="s">
        <v>18</v>
      </c>
      <c r="E5" s="56">
        <v>73.437795583333354</v>
      </c>
      <c r="F5" s="56">
        <v>67.063125583333331</v>
      </c>
      <c r="G5" s="56">
        <v>73.934341850989895</v>
      </c>
      <c r="H5" s="56">
        <v>71.809391850989897</v>
      </c>
      <c r="I5" s="56">
        <v>73.93428185098989</v>
      </c>
      <c r="J5" s="56">
        <v>71.809371850989876</v>
      </c>
      <c r="K5" s="56">
        <v>73.934271850989873</v>
      </c>
      <c r="L5" s="56">
        <v>73.93428185098989</v>
      </c>
      <c r="M5" s="56">
        <v>71.80938185098988</v>
      </c>
      <c r="N5" s="56">
        <v>73.934291850989908</v>
      </c>
      <c r="O5" s="56">
        <v>71.809421850989878</v>
      </c>
      <c r="P5" s="56">
        <v>73.934301850989868</v>
      </c>
      <c r="Q5" s="80">
        <f t="shared" ref="Q5:Q13" si="0">F5+E5+G5+H5+I5+J5+K5+L5+M5+N5+O5+P5</f>
        <v>871.34425967656557</v>
      </c>
      <c r="R5" s="15"/>
    </row>
    <row r="6" spans="1:18" outlineLevel="1">
      <c r="A6" s="8" t="s">
        <v>16</v>
      </c>
      <c r="B6" s="14">
        <v>6666110106</v>
      </c>
      <c r="C6" s="14" t="s">
        <v>19</v>
      </c>
      <c r="D6" s="14" t="s">
        <v>18</v>
      </c>
      <c r="E6" s="56">
        <v>0</v>
      </c>
      <c r="F6" s="56">
        <v>0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80">
        <f t="shared" si="0"/>
        <v>0</v>
      </c>
      <c r="R6" s="15"/>
    </row>
    <row r="7" spans="1:18" outlineLevel="1">
      <c r="A7" s="8" t="s">
        <v>16</v>
      </c>
      <c r="B7" s="14">
        <v>6666110107</v>
      </c>
      <c r="C7" s="14" t="s">
        <v>20</v>
      </c>
      <c r="D7" s="14" t="s">
        <v>18</v>
      </c>
      <c r="E7" s="56">
        <v>204.71583491666669</v>
      </c>
      <c r="F7" s="56">
        <v>200.435464916667</v>
      </c>
      <c r="G7" s="56">
        <v>208.70125229712733</v>
      </c>
      <c r="H7" s="56">
        <v>207.27444229712731</v>
      </c>
      <c r="I7" s="56">
        <v>208.70158229712732</v>
      </c>
      <c r="J7" s="56">
        <v>213.8411189637938</v>
      </c>
      <c r="K7" s="56">
        <v>215.26764896379404</v>
      </c>
      <c r="L7" s="56">
        <v>215.26754896379381</v>
      </c>
      <c r="M7" s="56">
        <v>214.36648896379413</v>
      </c>
      <c r="N7" s="56">
        <v>215.79364896379388</v>
      </c>
      <c r="O7" s="56">
        <v>214.29410896379429</v>
      </c>
      <c r="P7" s="56">
        <v>214.33792896379362</v>
      </c>
      <c r="Q7" s="80">
        <f t="shared" si="0"/>
        <v>2532.9970694712733</v>
      </c>
      <c r="R7" s="15"/>
    </row>
    <row r="8" spans="1:18" outlineLevel="1">
      <c r="A8" s="8" t="s">
        <v>16</v>
      </c>
      <c r="B8" s="14">
        <v>6666110110</v>
      </c>
      <c r="C8" s="14" t="s">
        <v>21</v>
      </c>
      <c r="D8" s="14" t="s">
        <v>18</v>
      </c>
      <c r="E8" s="56">
        <v>446.50044041850123</v>
      </c>
      <c r="F8" s="56">
        <v>423.3246339754312</v>
      </c>
      <c r="G8" s="56">
        <v>451.36672657852671</v>
      </c>
      <c r="H8" s="56">
        <v>444.2103094522534</v>
      </c>
      <c r="I8" s="56">
        <v>451.93219555626166</v>
      </c>
      <c r="J8" s="56">
        <v>442.77443910096008</v>
      </c>
      <c r="K8" s="56">
        <v>500.5074396839571</v>
      </c>
      <c r="L8" s="56">
        <v>510.56219427189086</v>
      </c>
      <c r="M8" s="56">
        <v>502.91733894557819</v>
      </c>
      <c r="N8" s="56">
        <v>514.30684618937187</v>
      </c>
      <c r="O8" s="56">
        <v>506.66338899409402</v>
      </c>
      <c r="P8" s="56">
        <v>515.39689429609462</v>
      </c>
      <c r="Q8" s="80">
        <f t="shared" si="0"/>
        <v>5710.4628474629208</v>
      </c>
      <c r="R8" s="15"/>
    </row>
    <row r="9" spans="1:18" outlineLevel="1">
      <c r="A9" s="8" t="s">
        <v>16</v>
      </c>
      <c r="B9" s="14">
        <v>6666110112</v>
      </c>
      <c r="C9" s="14" t="s">
        <v>22</v>
      </c>
      <c r="D9" s="14" t="s">
        <v>18</v>
      </c>
      <c r="E9" s="56">
        <v>58.855828472222186</v>
      </c>
      <c r="F9" s="56">
        <v>57.029978472222247</v>
      </c>
      <c r="G9" s="56">
        <v>60.932952141952292</v>
      </c>
      <c r="H9" s="56">
        <v>60.495615475285625</v>
      </c>
      <c r="I9" s="56">
        <v>61.021565475285698</v>
      </c>
      <c r="J9" s="56">
        <v>61.272235475285626</v>
      </c>
      <c r="K9" s="56">
        <v>61.876695475285629</v>
      </c>
      <c r="L9" s="56">
        <v>61.810215475285666</v>
      </c>
      <c r="M9" s="56">
        <v>61.161505475285665</v>
      </c>
      <c r="N9" s="56">
        <v>61.761325475285609</v>
      </c>
      <c r="O9" s="56">
        <v>61.154095475285658</v>
      </c>
      <c r="P9" s="56">
        <v>61.319405475285684</v>
      </c>
      <c r="Q9" s="80">
        <f t="shared" si="0"/>
        <v>728.69141836396761</v>
      </c>
      <c r="R9" s="15"/>
    </row>
    <row r="10" spans="1:18" outlineLevel="1">
      <c r="A10" s="8" t="s">
        <v>16</v>
      </c>
      <c r="B10" s="14">
        <v>6666110204</v>
      </c>
      <c r="C10" s="14" t="s">
        <v>23</v>
      </c>
      <c r="D10" s="14" t="s">
        <v>18</v>
      </c>
      <c r="E10" s="56">
        <v>32.157029999999999</v>
      </c>
      <c r="F10" s="56">
        <v>31.78315000000001</v>
      </c>
      <c r="G10" s="56">
        <v>32.315354760567217</v>
      </c>
      <c r="H10" s="56">
        <v>32.190764760567227</v>
      </c>
      <c r="I10" s="56">
        <v>32.315444760567217</v>
      </c>
      <c r="J10" s="56">
        <v>32.19076476056722</v>
      </c>
      <c r="K10" s="56">
        <v>32.315284760567216</v>
      </c>
      <c r="L10" s="56">
        <v>32.31406476056722</v>
      </c>
      <c r="M10" s="56">
        <v>32.128574760567219</v>
      </c>
      <c r="N10" s="56">
        <v>32.251134760567211</v>
      </c>
      <c r="O10" s="56">
        <v>31.774174760567217</v>
      </c>
      <c r="P10" s="56">
        <v>31.884894760567217</v>
      </c>
      <c r="Q10" s="80">
        <f t="shared" si="0"/>
        <v>385.62063760567219</v>
      </c>
      <c r="R10" s="15"/>
    </row>
    <row r="11" spans="1:18" outlineLevel="1">
      <c r="A11" s="8" t="s">
        <v>16</v>
      </c>
      <c r="B11" s="14">
        <v>6666110207</v>
      </c>
      <c r="C11" s="14" t="s">
        <v>24</v>
      </c>
      <c r="D11" s="14" t="s">
        <v>18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80">
        <f t="shared" si="0"/>
        <v>0</v>
      </c>
      <c r="R11" s="15"/>
    </row>
    <row r="12" spans="1:18" outlineLevel="1">
      <c r="A12" s="8" t="s">
        <v>16</v>
      </c>
      <c r="B12" s="14">
        <v>6666110506</v>
      </c>
      <c r="C12" s="14" t="s">
        <v>25</v>
      </c>
      <c r="D12" s="14" t="s">
        <v>18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80">
        <f t="shared" si="0"/>
        <v>0</v>
      </c>
      <c r="R12" s="15"/>
    </row>
    <row r="13" spans="1:18" outlineLevel="1">
      <c r="A13" s="8" t="s">
        <v>16</v>
      </c>
      <c r="B13" s="14" t="s">
        <v>175</v>
      </c>
      <c r="C13" s="14" t="s">
        <v>174</v>
      </c>
      <c r="D13" s="14" t="s">
        <v>18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80">
        <f t="shared" si="0"/>
        <v>0</v>
      </c>
      <c r="R13" s="15"/>
    </row>
    <row r="14" spans="1:18" s="19" customFormat="1">
      <c r="A14" s="8"/>
      <c r="B14" s="16" t="s">
        <v>26</v>
      </c>
      <c r="C14" s="17" t="s">
        <v>18</v>
      </c>
      <c r="D14" s="18"/>
      <c r="E14" s="58">
        <f t="shared" ref="E14:Q14" si="1">SUM(E5:E13)</f>
        <v>815.66692939072334</v>
      </c>
      <c r="F14" s="58">
        <f t="shared" si="1"/>
        <v>779.63635294765379</v>
      </c>
      <c r="G14" s="57">
        <f t="shared" si="1"/>
        <v>827.25062762916343</v>
      </c>
      <c r="H14" s="57">
        <f t="shared" si="1"/>
        <v>815.98052383622348</v>
      </c>
      <c r="I14" s="57">
        <f t="shared" si="1"/>
        <v>827.90506994023167</v>
      </c>
      <c r="J14" s="57">
        <f t="shared" si="1"/>
        <v>821.88793015159649</v>
      </c>
      <c r="K14" s="57">
        <f t="shared" si="1"/>
        <v>883.90134073459387</v>
      </c>
      <c r="L14" s="57">
        <f t="shared" si="1"/>
        <v>893.88830532252746</v>
      </c>
      <c r="M14" s="57">
        <f t="shared" si="1"/>
        <v>882.38328999621513</v>
      </c>
      <c r="N14" s="57">
        <f t="shared" si="1"/>
        <v>898.04724724000846</v>
      </c>
      <c r="O14" s="57">
        <f t="shared" si="1"/>
        <v>885.69519004473102</v>
      </c>
      <c r="P14" s="57">
        <f t="shared" si="1"/>
        <v>896.87342534673098</v>
      </c>
      <c r="Q14" s="58">
        <f t="shared" si="1"/>
        <v>10229.1162325804</v>
      </c>
      <c r="R14" s="15"/>
    </row>
    <row r="15" spans="1:18" outlineLevel="1">
      <c r="A15" s="8" t="s">
        <v>16</v>
      </c>
      <c r="B15" s="14">
        <v>5001010205</v>
      </c>
      <c r="C15" s="14" t="s">
        <v>27</v>
      </c>
      <c r="D15" s="14" t="s">
        <v>28</v>
      </c>
      <c r="E15" s="56">
        <v>9.3776030562218367</v>
      </c>
      <c r="F15" s="56">
        <v>10.984804601810321</v>
      </c>
      <c r="G15" s="56">
        <v>10.970392086663251</v>
      </c>
      <c r="H15" s="56">
        <v>9.2379410878653978</v>
      </c>
      <c r="I15" s="56">
        <v>10.588298396344648</v>
      </c>
      <c r="J15" s="56">
        <v>9.9192315812763852</v>
      </c>
      <c r="K15" s="56">
        <v>8.973924113413867</v>
      </c>
      <c r="L15" s="56">
        <v>9.0399525497642692</v>
      </c>
      <c r="M15" s="56">
        <v>11.661502555170728</v>
      </c>
      <c r="N15" s="56">
        <v>10.762372373729464</v>
      </c>
      <c r="O15" s="56">
        <v>11.276715680013933</v>
      </c>
      <c r="P15" s="56">
        <v>11.323305766773357</v>
      </c>
      <c r="Q15" s="80">
        <f t="shared" ref="Q15:Q22" si="2">F15+E15+G15+H15+I15+J15+K15+L15+M15+N15+O15+P15</f>
        <v>124.11604384904746</v>
      </c>
      <c r="R15" s="15"/>
    </row>
    <row r="16" spans="1:18" outlineLevel="1">
      <c r="A16" s="8" t="s">
        <v>16</v>
      </c>
      <c r="B16" s="14">
        <v>6666010380</v>
      </c>
      <c r="C16" s="14" t="s">
        <v>29</v>
      </c>
      <c r="D16" s="14" t="s">
        <v>28</v>
      </c>
      <c r="E16" s="56">
        <v>-24.916934739135236</v>
      </c>
      <c r="F16" s="56">
        <v>-28.871916687424889</v>
      </c>
      <c r="G16" s="56">
        <v>-28.803235354726407</v>
      </c>
      <c r="H16" s="56">
        <v>-23.715861244882475</v>
      </c>
      <c r="I16" s="56">
        <v>-27.025283139960749</v>
      </c>
      <c r="J16" s="56">
        <v>-25.3636223614896</v>
      </c>
      <c r="K16" s="56">
        <v>-23.029987309147717</v>
      </c>
      <c r="L16" s="56">
        <v>-23.185369388243412</v>
      </c>
      <c r="M16" s="56">
        <v>-29.667870664854007</v>
      </c>
      <c r="N16" s="56">
        <v>-27.434945161748519</v>
      </c>
      <c r="O16" s="56">
        <v>-28.718963320991051</v>
      </c>
      <c r="P16" s="56">
        <v>-28.818904069218988</v>
      </c>
      <c r="Q16" s="80">
        <f t="shared" si="2"/>
        <v>-319.55289344182307</v>
      </c>
      <c r="R16" s="15"/>
    </row>
    <row r="17" spans="1:18" outlineLevel="1">
      <c r="A17" s="8" t="s">
        <v>16</v>
      </c>
      <c r="B17" s="14">
        <v>6666010019</v>
      </c>
      <c r="C17" s="14" t="s">
        <v>30</v>
      </c>
      <c r="D17" s="14" t="s">
        <v>28</v>
      </c>
      <c r="E17" s="56">
        <v>97.292631708301457</v>
      </c>
      <c r="F17" s="56">
        <v>113.96734774378197</v>
      </c>
      <c r="G17" s="56">
        <v>113.81781789913114</v>
      </c>
      <c r="H17" s="56">
        <v>95.843638786603435</v>
      </c>
      <c r="I17" s="56">
        <v>109.85359586207584</v>
      </c>
      <c r="J17" s="56">
        <v>102.91202765574245</v>
      </c>
      <c r="K17" s="56">
        <v>93.104462676668831</v>
      </c>
      <c r="L17" s="56">
        <v>93.789507703804205</v>
      </c>
      <c r="M17" s="56">
        <v>120.98808900989634</v>
      </c>
      <c r="N17" s="56">
        <v>111.65961337744343</v>
      </c>
      <c r="O17" s="56">
        <v>116.99592518014457</v>
      </c>
      <c r="P17" s="56">
        <v>117.47929733027343</v>
      </c>
      <c r="Q17" s="80">
        <f t="shared" si="2"/>
        <v>1287.703954933867</v>
      </c>
      <c r="R17" s="15"/>
    </row>
    <row r="18" spans="1:18" outlineLevel="1">
      <c r="A18" s="8" t="s">
        <v>16</v>
      </c>
      <c r="B18" s="14">
        <v>6666010183</v>
      </c>
      <c r="C18" s="14" t="s">
        <v>31</v>
      </c>
      <c r="D18" s="14" t="s">
        <v>28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80">
        <f t="shared" si="2"/>
        <v>0</v>
      </c>
      <c r="R18" s="15"/>
    </row>
    <row r="19" spans="1:18" outlineLevel="1">
      <c r="A19" s="8" t="s">
        <v>16</v>
      </c>
      <c r="B19" s="14">
        <v>6666010229</v>
      </c>
      <c r="C19" s="14" t="s">
        <v>32</v>
      </c>
      <c r="D19" s="14" t="s">
        <v>28</v>
      </c>
      <c r="E19" s="56">
        <v>18.354393000994754</v>
      </c>
      <c r="F19" s="56">
        <v>18.012161924430561</v>
      </c>
      <c r="G19" s="56">
        <v>17.67631199649712</v>
      </c>
      <c r="H19" s="56">
        <v>17.415085710834614</v>
      </c>
      <c r="I19" s="56">
        <v>17.157719912152334</v>
      </c>
      <c r="J19" s="56">
        <v>16.904157548918555</v>
      </c>
      <c r="K19" s="56">
        <v>16.769997568371583</v>
      </c>
      <c r="L19" s="56">
        <v>16.636902349574981</v>
      </c>
      <c r="M19" s="56">
        <v>16.504863442038687</v>
      </c>
      <c r="N19" s="56">
        <v>16.220996011831634</v>
      </c>
      <c r="O19" s="56">
        <v>15.942010822438922</v>
      </c>
      <c r="P19" s="56">
        <v>15.667823904116876</v>
      </c>
      <c r="Q19" s="80">
        <f t="shared" si="2"/>
        <v>203.26242419220065</v>
      </c>
      <c r="R19" s="15"/>
    </row>
    <row r="20" spans="1:18" outlineLevel="1">
      <c r="A20" s="8" t="s">
        <v>16</v>
      </c>
      <c r="B20" s="14">
        <v>6666010188</v>
      </c>
      <c r="C20" s="14" t="s">
        <v>33</v>
      </c>
      <c r="D20" s="14" t="s">
        <v>28</v>
      </c>
      <c r="E20" s="56">
        <v>477.61865582955107</v>
      </c>
      <c r="F20" s="56">
        <v>558.64345355172486</v>
      </c>
      <c r="G20" s="56">
        <v>557.74749781815694</v>
      </c>
      <c r="H20" s="56">
        <v>469.46557446637763</v>
      </c>
      <c r="I20" s="56">
        <v>536.87158983999871</v>
      </c>
      <c r="J20" s="56">
        <v>503.30805199265319</v>
      </c>
      <c r="K20" s="56">
        <v>455.98437325882173</v>
      </c>
      <c r="L20" s="56">
        <v>459.22795247643609</v>
      </c>
      <c r="M20" s="56">
        <v>646.35194476386016</v>
      </c>
      <c r="N20" s="56">
        <v>546.56559780009616</v>
      </c>
      <c r="O20" s="56">
        <v>679.99309158366646</v>
      </c>
      <c r="P20" s="56">
        <v>681.59292680356521</v>
      </c>
      <c r="Q20" s="80">
        <f t="shared" si="2"/>
        <v>6573.3707101849077</v>
      </c>
      <c r="R20" s="15"/>
    </row>
    <row r="21" spans="1:18" outlineLevel="1">
      <c r="A21" s="8" t="s">
        <v>16</v>
      </c>
      <c r="B21" s="14">
        <v>5102040406</v>
      </c>
      <c r="C21" s="14" t="s">
        <v>34</v>
      </c>
      <c r="D21" s="14" t="s">
        <v>28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80">
        <f t="shared" si="2"/>
        <v>0</v>
      </c>
      <c r="R21" s="15"/>
    </row>
    <row r="22" spans="1:18" outlineLevel="1">
      <c r="A22" s="8" t="s">
        <v>16</v>
      </c>
      <c r="B22" s="14">
        <v>6666010115</v>
      </c>
      <c r="C22" s="14" t="s">
        <v>35</v>
      </c>
      <c r="D22" s="14" t="s">
        <v>28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80">
        <f t="shared" si="2"/>
        <v>0</v>
      </c>
      <c r="R22" s="15"/>
    </row>
    <row r="23" spans="1:18" s="21" customFormat="1">
      <c r="A23" s="8"/>
      <c r="B23" s="16" t="s">
        <v>36</v>
      </c>
      <c r="C23" s="17" t="s">
        <v>28</v>
      </c>
      <c r="D23" s="18"/>
      <c r="E23" s="58">
        <f t="shared" ref="E23:Q23" si="3">SUM(E15:E22)</f>
        <v>577.72634885593391</v>
      </c>
      <c r="F23" s="57">
        <f t="shared" si="3"/>
        <v>672.73585113432284</v>
      </c>
      <c r="G23" s="57">
        <f t="shared" si="3"/>
        <v>671.40878444572206</v>
      </c>
      <c r="H23" s="57">
        <f t="shared" si="3"/>
        <v>568.24637880679859</v>
      </c>
      <c r="I23" s="57">
        <f t="shared" si="3"/>
        <v>647.44592087061073</v>
      </c>
      <c r="J23" s="57">
        <f t="shared" si="3"/>
        <v>607.67984641710098</v>
      </c>
      <c r="K23" s="57">
        <f t="shared" si="3"/>
        <v>551.80277030812829</v>
      </c>
      <c r="L23" s="57">
        <f t="shared" si="3"/>
        <v>555.50894569133618</v>
      </c>
      <c r="M23" s="57">
        <f t="shared" si="3"/>
        <v>765.83852910611188</v>
      </c>
      <c r="N23" s="57">
        <f t="shared" si="3"/>
        <v>657.77363440135218</v>
      </c>
      <c r="O23" s="57">
        <f t="shared" si="3"/>
        <v>795.48877994527288</v>
      </c>
      <c r="P23" s="57">
        <f t="shared" si="3"/>
        <v>797.24444973550987</v>
      </c>
      <c r="Q23" s="58">
        <f t="shared" si="3"/>
        <v>7868.9002397181994</v>
      </c>
      <c r="R23" s="15"/>
    </row>
    <row r="24" spans="1:18" outlineLevel="1">
      <c r="A24" s="8" t="s">
        <v>37</v>
      </c>
      <c r="B24" s="14">
        <v>8701530201</v>
      </c>
      <c r="C24" s="14" t="s">
        <v>38</v>
      </c>
      <c r="D24" s="14" t="s">
        <v>39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80">
        <f>F24+E24+G24+H24+I24+J24+K24+L24+M24+N24+O24+P24</f>
        <v>0</v>
      </c>
      <c r="R24" s="15"/>
    </row>
    <row r="25" spans="1:18" outlineLevel="1">
      <c r="A25" s="8" t="s">
        <v>37</v>
      </c>
      <c r="B25" s="14">
        <v>6666050309</v>
      </c>
      <c r="C25" s="14" t="s">
        <v>40</v>
      </c>
      <c r="D25" s="14" t="s">
        <v>39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80">
        <f>F25+E25+G25+H25+I25+J25+K25+L25+M25+N25+O25+P25</f>
        <v>0</v>
      </c>
      <c r="R25" s="15"/>
    </row>
    <row r="26" spans="1:18" outlineLevel="1">
      <c r="A26" s="8" t="s">
        <v>37</v>
      </c>
      <c r="B26" s="14">
        <v>6666050308</v>
      </c>
      <c r="C26" s="14" t="s">
        <v>41</v>
      </c>
      <c r="D26" s="14" t="s">
        <v>39</v>
      </c>
      <c r="E26" s="56">
        <v>57.711166346792012</v>
      </c>
      <c r="F26" s="56">
        <v>70.497490668318704</v>
      </c>
      <c r="G26" s="56">
        <v>62.461019731030589</v>
      </c>
      <c r="H26" s="56">
        <v>59.512182223247585</v>
      </c>
      <c r="I26" s="56">
        <v>40.486032926229029</v>
      </c>
      <c r="J26" s="56">
        <v>62.986606671049486</v>
      </c>
      <c r="K26" s="56">
        <v>49.011956822670115</v>
      </c>
      <c r="L26" s="56">
        <v>46.241393132177969</v>
      </c>
      <c r="M26" s="56">
        <v>67.719294565651694</v>
      </c>
      <c r="N26" s="56">
        <v>68.459882806192027</v>
      </c>
      <c r="O26" s="56">
        <v>72.748723776456515</v>
      </c>
      <c r="P26" s="56">
        <v>50.045548149315366</v>
      </c>
      <c r="Q26" s="80">
        <f>F26+E26+G26+H26+I26+J26+K26+L26+M26+N26+O26+P26</f>
        <v>707.88129781913096</v>
      </c>
      <c r="R26" s="15"/>
    </row>
    <row r="27" spans="1:18" outlineLevel="1">
      <c r="A27" s="8" t="s">
        <v>37</v>
      </c>
      <c r="B27" s="14">
        <v>6666050306</v>
      </c>
      <c r="C27" s="14" t="s">
        <v>42</v>
      </c>
      <c r="D27" s="14" t="s">
        <v>39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80">
        <f>F27+E27+G27+H27+I27+J27+K27+L27+M27+N27+O27+P27</f>
        <v>0</v>
      </c>
      <c r="R27" s="15"/>
    </row>
    <row r="28" spans="1:18" s="21" customFormat="1">
      <c r="A28" s="8"/>
      <c r="B28" s="16" t="s">
        <v>36</v>
      </c>
      <c r="C28" s="17" t="s">
        <v>39</v>
      </c>
      <c r="D28" s="18"/>
      <c r="E28" s="58">
        <f t="shared" ref="E28:Q28" si="4">SUM(E24:E27)</f>
        <v>57.711166346792012</v>
      </c>
      <c r="F28" s="57">
        <f t="shared" si="4"/>
        <v>70.497490668318704</v>
      </c>
      <c r="G28" s="57">
        <f t="shared" si="4"/>
        <v>62.461019731030589</v>
      </c>
      <c r="H28" s="57">
        <f t="shared" si="4"/>
        <v>59.512182223247585</v>
      </c>
      <c r="I28" s="57">
        <f t="shared" si="4"/>
        <v>40.486032926229029</v>
      </c>
      <c r="J28" s="57">
        <f t="shared" si="4"/>
        <v>62.986606671049486</v>
      </c>
      <c r="K28" s="57">
        <f t="shared" si="4"/>
        <v>49.011956822670115</v>
      </c>
      <c r="L28" s="57">
        <f t="shared" si="4"/>
        <v>46.241393132177969</v>
      </c>
      <c r="M28" s="57">
        <f t="shared" si="4"/>
        <v>67.719294565651694</v>
      </c>
      <c r="N28" s="57">
        <f t="shared" si="4"/>
        <v>68.459882806192027</v>
      </c>
      <c r="O28" s="57">
        <f t="shared" si="4"/>
        <v>72.748723776456515</v>
      </c>
      <c r="P28" s="57">
        <f t="shared" si="4"/>
        <v>50.045548149315366</v>
      </c>
      <c r="Q28" s="58">
        <f t="shared" si="4"/>
        <v>707.88129781913096</v>
      </c>
      <c r="R28" s="15"/>
    </row>
    <row r="29" spans="1:18" outlineLevel="1">
      <c r="A29" s="8" t="s">
        <v>16</v>
      </c>
      <c r="B29" s="14">
        <v>5102010151</v>
      </c>
      <c r="C29" s="14" t="s">
        <v>43</v>
      </c>
      <c r="D29" s="14" t="s">
        <v>44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0</v>
      </c>
      <c r="P29" s="56">
        <v>0</v>
      </c>
      <c r="Q29" s="80">
        <f t="shared" ref="Q29:Q75" si="5">F29+E29+G29+H29+I29+J29+K29+L29+M29+N29+O29+P29</f>
        <v>0</v>
      </c>
      <c r="R29" s="15"/>
    </row>
    <row r="30" spans="1:18" outlineLevel="1">
      <c r="A30" s="8" t="s">
        <v>16</v>
      </c>
      <c r="B30" s="14">
        <v>5001010200</v>
      </c>
      <c r="C30" s="14" t="s">
        <v>45</v>
      </c>
      <c r="D30" s="14" t="s">
        <v>44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80">
        <f t="shared" si="5"/>
        <v>0</v>
      </c>
      <c r="R30" s="15"/>
    </row>
    <row r="31" spans="1:18" outlineLevel="1">
      <c r="A31" s="8" t="s">
        <v>16</v>
      </c>
      <c r="B31" s="14">
        <v>5001010201</v>
      </c>
      <c r="C31" s="14" t="s">
        <v>46</v>
      </c>
      <c r="D31" s="14" t="s">
        <v>44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80">
        <f t="shared" si="5"/>
        <v>0</v>
      </c>
      <c r="R31" s="15"/>
    </row>
    <row r="32" spans="1:18" outlineLevel="1">
      <c r="A32" s="22" t="s">
        <v>37</v>
      </c>
      <c r="B32" s="14">
        <v>5207000011</v>
      </c>
      <c r="C32" s="14" t="s">
        <v>47</v>
      </c>
      <c r="D32" s="14" t="s">
        <v>44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80">
        <f t="shared" si="5"/>
        <v>0</v>
      </c>
      <c r="R32" s="15"/>
    </row>
    <row r="33" spans="1:18" outlineLevel="1">
      <c r="A33" s="22" t="s">
        <v>37</v>
      </c>
      <c r="B33" s="14">
        <v>5207000012</v>
      </c>
      <c r="C33" s="14" t="s">
        <v>48</v>
      </c>
      <c r="D33" s="14" t="s">
        <v>44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80">
        <f t="shared" si="5"/>
        <v>0</v>
      </c>
      <c r="R33" s="15"/>
    </row>
    <row r="34" spans="1:18" outlineLevel="1">
      <c r="A34" s="22" t="s">
        <v>37</v>
      </c>
      <c r="B34" s="14">
        <v>5207000022</v>
      </c>
      <c r="C34" s="14" t="s">
        <v>49</v>
      </c>
      <c r="D34" s="14" t="s">
        <v>44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80">
        <f t="shared" si="5"/>
        <v>0</v>
      </c>
      <c r="R34" s="15"/>
    </row>
    <row r="35" spans="1:18" outlineLevel="1">
      <c r="A35" s="8" t="s">
        <v>16</v>
      </c>
      <c r="B35" s="14">
        <v>5301060000</v>
      </c>
      <c r="C35" s="14" t="s">
        <v>50</v>
      </c>
      <c r="D35" s="14" t="s">
        <v>44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80">
        <f t="shared" si="5"/>
        <v>0</v>
      </c>
      <c r="R35" s="15"/>
    </row>
    <row r="36" spans="1:18" outlineLevel="1">
      <c r="A36" s="8" t="s">
        <v>16</v>
      </c>
      <c r="B36" s="14">
        <v>5301999999</v>
      </c>
      <c r="C36" s="14" t="s">
        <v>51</v>
      </c>
      <c r="D36" s="14" t="s">
        <v>44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80">
        <f t="shared" si="5"/>
        <v>0</v>
      </c>
      <c r="R36" s="15"/>
    </row>
    <row r="37" spans="1:18" outlineLevel="1">
      <c r="A37" s="8" t="s">
        <v>16</v>
      </c>
      <c r="B37" s="14">
        <v>5405030000</v>
      </c>
      <c r="C37" s="14" t="s">
        <v>52</v>
      </c>
      <c r="D37" s="14" t="s">
        <v>44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80">
        <f t="shared" si="5"/>
        <v>0</v>
      </c>
      <c r="R37" s="15"/>
    </row>
    <row r="38" spans="1:18" outlineLevel="1">
      <c r="A38" s="8" t="s">
        <v>16</v>
      </c>
      <c r="B38" s="14">
        <v>5601050000</v>
      </c>
      <c r="C38" s="14" t="s">
        <v>53</v>
      </c>
      <c r="D38" s="14" t="s">
        <v>44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56">
        <v>0</v>
      </c>
      <c r="M38" s="56">
        <v>0</v>
      </c>
      <c r="N38" s="56">
        <v>0</v>
      </c>
      <c r="O38" s="56">
        <v>0</v>
      </c>
      <c r="P38" s="56">
        <v>0</v>
      </c>
      <c r="Q38" s="80">
        <f t="shared" si="5"/>
        <v>0</v>
      </c>
      <c r="R38" s="15"/>
    </row>
    <row r="39" spans="1:18" outlineLevel="1">
      <c r="A39" s="8" t="s">
        <v>16</v>
      </c>
      <c r="B39" s="14">
        <v>5601050100</v>
      </c>
      <c r="C39" s="14" t="s">
        <v>54</v>
      </c>
      <c r="D39" s="14" t="s">
        <v>44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80">
        <f t="shared" si="5"/>
        <v>0</v>
      </c>
      <c r="R39" s="15"/>
    </row>
    <row r="40" spans="1:18" outlineLevel="1">
      <c r="A40" s="8" t="s">
        <v>16</v>
      </c>
      <c r="B40" s="14">
        <v>5102040893</v>
      </c>
      <c r="C40" s="14" t="s">
        <v>55</v>
      </c>
      <c r="D40" s="14" t="s">
        <v>44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80">
        <f t="shared" si="5"/>
        <v>0</v>
      </c>
      <c r="R40" s="15"/>
    </row>
    <row r="41" spans="1:18" outlineLevel="1">
      <c r="A41" s="8" t="s">
        <v>16</v>
      </c>
      <c r="B41" s="14">
        <v>5801000041</v>
      </c>
      <c r="C41" s="14" t="s">
        <v>56</v>
      </c>
      <c r="D41" s="14" t="s">
        <v>44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80">
        <f t="shared" si="5"/>
        <v>0</v>
      </c>
      <c r="R41" s="15"/>
    </row>
    <row r="42" spans="1:18" outlineLevel="1">
      <c r="A42" s="8" t="s">
        <v>16</v>
      </c>
      <c r="B42" s="14">
        <v>6666010322</v>
      </c>
      <c r="C42" s="14" t="s">
        <v>57</v>
      </c>
      <c r="D42" s="14" t="s">
        <v>44</v>
      </c>
      <c r="E42" s="56">
        <v>3.2405673965191366</v>
      </c>
      <c r="F42" s="56">
        <v>3.1801446482032749</v>
      </c>
      <c r="G42" s="56">
        <v>3.1208485262053731</v>
      </c>
      <c r="H42" s="56">
        <v>3.0747276120249984</v>
      </c>
      <c r="I42" s="56">
        <v>3.0292882877093583</v>
      </c>
      <c r="J42" s="56">
        <v>2.9845204805018311</v>
      </c>
      <c r="K42" s="56">
        <v>2.9608338100216574</v>
      </c>
      <c r="L42" s="56">
        <v>2.9373351289897398</v>
      </c>
      <c r="M42" s="56">
        <v>2.9140229454263289</v>
      </c>
      <c r="N42" s="56">
        <v>2.8639046146696105</v>
      </c>
      <c r="O42" s="56">
        <v>2.8146482699455628</v>
      </c>
      <c r="P42" s="56">
        <v>2.7662390859415851</v>
      </c>
      <c r="Q42" s="80">
        <f t="shared" si="5"/>
        <v>35.887080806158458</v>
      </c>
      <c r="R42" s="15"/>
    </row>
    <row r="43" spans="1:18" outlineLevel="1">
      <c r="A43" s="8" t="s">
        <v>16</v>
      </c>
      <c r="B43" s="14">
        <v>6666020101</v>
      </c>
      <c r="C43" s="14" t="s">
        <v>58</v>
      </c>
      <c r="D43" s="14" t="s">
        <v>44</v>
      </c>
      <c r="E43" s="56">
        <v>7.8593883749051479</v>
      </c>
      <c r="F43" s="56">
        <v>7.7128443325860143</v>
      </c>
      <c r="G43" s="56">
        <v>7.5690327110755788</v>
      </c>
      <c r="H43" s="56">
        <v>7.4571750848035272</v>
      </c>
      <c r="I43" s="56">
        <v>7.3469705269000265</v>
      </c>
      <c r="J43" s="56">
        <v>7.2383946077832793</v>
      </c>
      <c r="K43" s="56">
        <v>7.18094703153103</v>
      </c>
      <c r="L43" s="56">
        <v>7.1239553884236413</v>
      </c>
      <c r="M43" s="56">
        <v>7.0674160599440885</v>
      </c>
      <c r="N43" s="56">
        <v>6.9458634495764979</v>
      </c>
      <c r="O43" s="56">
        <v>6.8264014246452067</v>
      </c>
      <c r="P43" s="56">
        <v>6.7089940291353374</v>
      </c>
      <c r="Q43" s="80">
        <f t="shared" si="5"/>
        <v>87.037383021309381</v>
      </c>
      <c r="R43" s="15"/>
    </row>
    <row r="44" spans="1:18" outlineLevel="1">
      <c r="A44" s="8" t="s">
        <v>16</v>
      </c>
      <c r="B44" s="14">
        <v>6666020201</v>
      </c>
      <c r="C44" s="14" t="s">
        <v>59</v>
      </c>
      <c r="D44" s="14" t="s">
        <v>44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80">
        <f t="shared" si="5"/>
        <v>0</v>
      </c>
      <c r="R44" s="15"/>
    </row>
    <row r="45" spans="1:18" outlineLevel="1">
      <c r="A45" s="8" t="s">
        <v>16</v>
      </c>
      <c r="B45" s="14">
        <v>6666020202</v>
      </c>
      <c r="C45" s="14" t="s">
        <v>60</v>
      </c>
      <c r="D45" s="14" t="s">
        <v>44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80">
        <f t="shared" si="5"/>
        <v>0</v>
      </c>
      <c r="R45" s="15"/>
    </row>
    <row r="46" spans="1:18" outlineLevel="1">
      <c r="A46" s="8" t="s">
        <v>16</v>
      </c>
      <c r="B46" s="14">
        <v>6666020204</v>
      </c>
      <c r="C46" s="14" t="s">
        <v>61</v>
      </c>
      <c r="D46" s="14" t="s">
        <v>44</v>
      </c>
      <c r="E46" s="56">
        <v>3.8213797876765274</v>
      </c>
      <c r="F46" s="56">
        <v>0.74533432832338897</v>
      </c>
      <c r="G46" s="56">
        <v>3.6802035011682142</v>
      </c>
      <c r="H46" s="56">
        <v>3.6258162573085859</v>
      </c>
      <c r="I46" s="56">
        <v>0.70997794156734317</v>
      </c>
      <c r="J46" s="56">
        <v>0.69948565671659424</v>
      </c>
      <c r="K46" s="56">
        <v>3.4915090759845056</v>
      </c>
      <c r="L46" s="56">
        <v>3.4637986864925652</v>
      </c>
      <c r="M46" s="56">
        <v>0.68296306458115774</v>
      </c>
      <c r="N46" s="56">
        <v>0.67121677108713285</v>
      </c>
      <c r="O46" s="56">
        <v>3.3191224535993578</v>
      </c>
      <c r="P46" s="56">
        <v>3.2620368094342584</v>
      </c>
      <c r="Q46" s="80">
        <f t="shared" si="5"/>
        <v>28.172844333939636</v>
      </c>
      <c r="R46" s="15"/>
    </row>
    <row r="47" spans="1:18" outlineLevel="1">
      <c r="A47" s="8" t="s">
        <v>16</v>
      </c>
      <c r="B47" s="14">
        <v>6666020205</v>
      </c>
      <c r="C47" s="14" t="s">
        <v>62</v>
      </c>
      <c r="D47" s="14" t="s">
        <v>44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80">
        <f t="shared" si="5"/>
        <v>0</v>
      </c>
      <c r="R47" s="15"/>
    </row>
    <row r="48" spans="1:18" outlineLevel="1">
      <c r="A48" s="8" t="s">
        <v>16</v>
      </c>
      <c r="B48" s="14">
        <v>6666020301</v>
      </c>
      <c r="C48" s="14" t="s">
        <v>63</v>
      </c>
      <c r="D48" s="14" t="s">
        <v>44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80">
        <f t="shared" si="5"/>
        <v>0</v>
      </c>
      <c r="R48" s="15"/>
    </row>
    <row r="49" spans="1:18" outlineLevel="1">
      <c r="A49" s="8" t="s">
        <v>16</v>
      </c>
      <c r="B49" s="14">
        <v>6666020302</v>
      </c>
      <c r="C49" s="14" t="s">
        <v>64</v>
      </c>
      <c r="D49" s="14" t="s">
        <v>44</v>
      </c>
      <c r="E49" s="56">
        <v>1.2307178555989875</v>
      </c>
      <c r="F49" s="56">
        <v>1.2077702213925294</v>
      </c>
      <c r="G49" s="56">
        <v>1.1852504626030713</v>
      </c>
      <c r="H49" s="56">
        <v>1.1677344459143559</v>
      </c>
      <c r="I49" s="56">
        <v>1.1504772866151294</v>
      </c>
      <c r="J49" s="56">
        <v>1.1334751592267285</v>
      </c>
      <c r="K49" s="56">
        <v>1.1244793246296909</v>
      </c>
      <c r="L49" s="56">
        <v>1.1155548855453283</v>
      </c>
      <c r="M49" s="56">
        <v>1.1067012753425876</v>
      </c>
      <c r="N49" s="56">
        <v>1.0876671010737959</v>
      </c>
      <c r="O49" s="56">
        <v>1.0689602958956226</v>
      </c>
      <c r="P49" s="56">
        <v>1.0505752293814472</v>
      </c>
      <c r="Q49" s="80">
        <f t="shared" si="5"/>
        <v>13.629363543219275</v>
      </c>
      <c r="R49" s="15"/>
    </row>
    <row r="50" spans="1:18" outlineLevel="1">
      <c r="A50" s="8" t="s">
        <v>16</v>
      </c>
      <c r="B50" s="14" t="s">
        <v>65</v>
      </c>
      <c r="C50" s="14" t="s">
        <v>66</v>
      </c>
      <c r="D50" s="14" t="s">
        <v>44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80">
        <f t="shared" si="5"/>
        <v>0</v>
      </c>
      <c r="R50" s="15"/>
    </row>
    <row r="51" spans="1:18" outlineLevel="1">
      <c r="A51" s="8" t="s">
        <v>16</v>
      </c>
      <c r="B51" s="14">
        <v>6666020405</v>
      </c>
      <c r="C51" s="14" t="s">
        <v>67</v>
      </c>
      <c r="D51" s="14" t="s">
        <v>44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80">
        <f t="shared" si="5"/>
        <v>0</v>
      </c>
      <c r="R51" s="15"/>
    </row>
    <row r="52" spans="1:18" outlineLevel="1">
      <c r="A52" s="8" t="s">
        <v>16</v>
      </c>
      <c r="B52" s="14">
        <v>6666020495</v>
      </c>
      <c r="C52" s="14" t="s">
        <v>68</v>
      </c>
      <c r="D52" s="14" t="s">
        <v>44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80">
        <f t="shared" si="5"/>
        <v>0</v>
      </c>
      <c r="R52" s="15"/>
    </row>
    <row r="53" spans="1:18" outlineLevel="1">
      <c r="A53" s="8" t="s">
        <v>16</v>
      </c>
      <c r="B53" s="14">
        <v>6666020504</v>
      </c>
      <c r="C53" s="14" t="s">
        <v>69</v>
      </c>
      <c r="D53" s="14" t="s">
        <v>44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6">
        <v>0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80">
        <f t="shared" si="5"/>
        <v>0</v>
      </c>
      <c r="R53" s="15"/>
    </row>
    <row r="54" spans="1:18" outlineLevel="1">
      <c r="A54" s="8" t="s">
        <v>16</v>
      </c>
      <c r="B54" s="14">
        <v>6666020508</v>
      </c>
      <c r="C54" s="14" t="s">
        <v>70</v>
      </c>
      <c r="D54" s="14" t="s">
        <v>44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80">
        <f t="shared" si="5"/>
        <v>0</v>
      </c>
      <c r="R54" s="15"/>
    </row>
    <row r="55" spans="1:18" outlineLevel="1">
      <c r="A55" s="8" t="s">
        <v>16</v>
      </c>
      <c r="B55" s="14">
        <v>6666020602</v>
      </c>
      <c r="C55" s="14" t="s">
        <v>71</v>
      </c>
      <c r="D55" s="14" t="s">
        <v>44</v>
      </c>
      <c r="E55" s="56">
        <v>0.40272949192478269</v>
      </c>
      <c r="F55" s="56">
        <v>0.39522030610871706</v>
      </c>
      <c r="G55" s="56">
        <v>0.38785113455222481</v>
      </c>
      <c r="H55" s="56">
        <v>0.38211934438642847</v>
      </c>
      <c r="I55" s="56">
        <v>0.37647226047923993</v>
      </c>
      <c r="J55" s="56">
        <v>0.37090863101402949</v>
      </c>
      <c r="K55" s="56">
        <v>0.3679649117202673</v>
      </c>
      <c r="L55" s="56">
        <v>0.36504455527804297</v>
      </c>
      <c r="M55" s="56">
        <v>0.36214737626789978</v>
      </c>
      <c r="N55" s="56">
        <v>0.35591879731488923</v>
      </c>
      <c r="O55" s="56">
        <v>0.34979734379841687</v>
      </c>
      <c r="P55" s="56">
        <v>0.34378117326625734</v>
      </c>
      <c r="Q55" s="80">
        <f t="shared" si="5"/>
        <v>4.4599553261111957</v>
      </c>
      <c r="R55" s="15"/>
    </row>
    <row r="56" spans="1:18" outlineLevel="1">
      <c r="A56" s="8" t="s">
        <v>16</v>
      </c>
      <c r="B56" s="14">
        <v>6666020701</v>
      </c>
      <c r="C56" s="14" t="s">
        <v>72</v>
      </c>
      <c r="D56" s="14" t="s">
        <v>44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6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80">
        <f t="shared" si="5"/>
        <v>0</v>
      </c>
      <c r="R56" s="15"/>
    </row>
    <row r="57" spans="1:18" outlineLevel="1">
      <c r="A57" s="8" t="s">
        <v>16</v>
      </c>
      <c r="B57" s="14">
        <v>6666020802</v>
      </c>
      <c r="C57" s="14" t="s">
        <v>73</v>
      </c>
      <c r="D57" s="14" t="s">
        <v>44</v>
      </c>
      <c r="E57" s="56">
        <v>20.408999999999999</v>
      </c>
      <c r="F57" s="56">
        <v>20.408999999999999</v>
      </c>
      <c r="G57" s="56">
        <v>20.409000000000002</v>
      </c>
      <c r="H57" s="56">
        <v>20.408999999999999</v>
      </c>
      <c r="I57" s="56">
        <v>20.408999999999999</v>
      </c>
      <c r="J57" s="56">
        <v>20.408999999999995</v>
      </c>
      <c r="K57" s="56">
        <v>20.408999999999999</v>
      </c>
      <c r="L57" s="56">
        <v>20.408999999999999</v>
      </c>
      <c r="M57" s="56">
        <v>20.408999999999999</v>
      </c>
      <c r="N57" s="56">
        <v>20.408999999999999</v>
      </c>
      <c r="O57" s="56">
        <v>20.408999999999999</v>
      </c>
      <c r="P57" s="56">
        <v>20.408999999999999</v>
      </c>
      <c r="Q57" s="80">
        <f t="shared" si="5"/>
        <v>244.90799999999993</v>
      </c>
      <c r="R57" s="15"/>
    </row>
    <row r="58" spans="1:18" outlineLevel="1">
      <c r="A58" s="8" t="s">
        <v>16</v>
      </c>
      <c r="B58" s="14">
        <v>6666020803</v>
      </c>
      <c r="C58" s="14" t="s">
        <v>74</v>
      </c>
      <c r="D58" s="14" t="s">
        <v>44</v>
      </c>
      <c r="E58" s="56">
        <v>3.462460198568492</v>
      </c>
      <c r="F58" s="56">
        <v>3.397900096730611</v>
      </c>
      <c r="G58" s="56">
        <v>3.334543765191964</v>
      </c>
      <c r="H58" s="56">
        <v>3.2852647932925758</v>
      </c>
      <c r="I58" s="56">
        <v>3.2367140820616513</v>
      </c>
      <c r="J58" s="56">
        <v>3.1888808690262578</v>
      </c>
      <c r="K58" s="56">
        <v>3.1635722907006523</v>
      </c>
      <c r="L58" s="56">
        <v>3.1384645741077897</v>
      </c>
      <c r="M58" s="56">
        <v>3.1135561251069346</v>
      </c>
      <c r="N58" s="56">
        <v>3.0600060197611145</v>
      </c>
      <c r="O58" s="56">
        <v>3.0073769235981467</v>
      </c>
      <c r="P58" s="56">
        <v>2.9556529961652545</v>
      </c>
      <c r="Q58" s="80">
        <f t="shared" si="5"/>
        <v>38.344392734311441</v>
      </c>
      <c r="R58" s="15"/>
    </row>
    <row r="59" spans="1:18" outlineLevel="1">
      <c r="A59" s="8" t="s">
        <v>16</v>
      </c>
      <c r="B59" s="14">
        <v>6666021100</v>
      </c>
      <c r="C59" s="14" t="s">
        <v>75</v>
      </c>
      <c r="D59" s="14" t="s">
        <v>44</v>
      </c>
      <c r="E59" s="56">
        <v>17.68615102637667</v>
      </c>
      <c r="F59" s="56">
        <v>17.356379809986919</v>
      </c>
      <c r="G59" s="56">
        <v>17.032757419025437</v>
      </c>
      <c r="H59" s="56">
        <v>16.781041792143288</v>
      </c>
      <c r="I59" s="56">
        <v>16.533046100633786</v>
      </c>
      <c r="J59" s="56">
        <v>16.288715370082546</v>
      </c>
      <c r="K59" s="56">
        <v>16.159439851272367</v>
      </c>
      <c r="L59" s="56">
        <v>16.031190328643223</v>
      </c>
      <c r="M59" s="56">
        <v>15.903958659368277</v>
      </c>
      <c r="N59" s="56">
        <v>15.630426200853341</v>
      </c>
      <c r="O59" s="56">
        <v>15.361598231796894</v>
      </c>
      <c r="P59" s="56">
        <v>15.097393839603827</v>
      </c>
      <c r="Q59" s="80">
        <f t="shared" si="5"/>
        <v>195.86209862978657</v>
      </c>
      <c r="R59" s="15"/>
    </row>
    <row r="60" spans="1:18" outlineLevel="1">
      <c r="A60" s="8" t="s">
        <v>16</v>
      </c>
      <c r="B60" s="14">
        <v>6666021104</v>
      </c>
      <c r="C60" s="14" t="s">
        <v>76</v>
      </c>
      <c r="D60" s="14" t="s">
        <v>44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6">
        <v>0</v>
      </c>
      <c r="K60" s="56">
        <v>0</v>
      </c>
      <c r="L60" s="56">
        <v>0</v>
      </c>
      <c r="M60" s="56">
        <v>0</v>
      </c>
      <c r="N60" s="56">
        <v>0</v>
      </c>
      <c r="O60" s="56">
        <v>0</v>
      </c>
      <c r="P60" s="56">
        <v>0</v>
      </c>
      <c r="Q60" s="80">
        <f t="shared" si="5"/>
        <v>0</v>
      </c>
      <c r="R60" s="15"/>
    </row>
    <row r="61" spans="1:18" outlineLevel="1">
      <c r="A61" s="8" t="s">
        <v>16</v>
      </c>
      <c r="B61" s="14">
        <v>6666021902</v>
      </c>
      <c r="C61" s="14" t="s">
        <v>77</v>
      </c>
      <c r="D61" s="14" t="s">
        <v>44</v>
      </c>
      <c r="E61" s="56">
        <v>10.882540529059161</v>
      </c>
      <c r="F61" s="56">
        <v>10.679627604572287</v>
      </c>
      <c r="G61" s="56">
        <v>10.480498139913925</v>
      </c>
      <c r="H61" s="56">
        <v>10.325613930949681</v>
      </c>
      <c r="I61" s="56">
        <v>10.173018651181954</v>
      </c>
      <c r="J61" s="56">
        <v>10.02267847407089</v>
      </c>
      <c r="K61" s="56">
        <v>9.9431334068163597</v>
      </c>
      <c r="L61" s="56">
        <v>9.8642196496194021</v>
      </c>
      <c r="M61" s="56">
        <v>9.7859321920827416</v>
      </c>
      <c r="N61" s="56">
        <v>9.617623776002695</v>
      </c>
      <c r="O61" s="56">
        <v>9.4522100992655442</v>
      </c>
      <c r="P61" s="56">
        <v>9.2896413751995528</v>
      </c>
      <c r="Q61" s="80">
        <f t="shared" si="5"/>
        <v>120.51673782873418</v>
      </c>
      <c r="R61" s="15"/>
    </row>
    <row r="62" spans="1:18" outlineLevel="1">
      <c r="A62" s="8" t="s">
        <v>16</v>
      </c>
      <c r="B62" s="14">
        <v>6666022100</v>
      </c>
      <c r="C62" s="14" t="s">
        <v>78</v>
      </c>
      <c r="D62" s="14" t="s">
        <v>44</v>
      </c>
      <c r="E62" s="56">
        <v>13.76681007508475</v>
      </c>
      <c r="F62" s="56">
        <v>13.510117836197008</v>
      </c>
      <c r="G62" s="56">
        <v>13.258211811773315</v>
      </c>
      <c r="H62" s="56">
        <v>13.062277647067306</v>
      </c>
      <c r="I62" s="56">
        <v>12.869239061150058</v>
      </c>
      <c r="J62" s="56">
        <v>12.679053262216806</v>
      </c>
      <c r="K62" s="56">
        <v>12.578425855373816</v>
      </c>
      <c r="L62" s="56">
        <v>12.478597078743865</v>
      </c>
      <c r="M62" s="56">
        <v>12.379560593991929</v>
      </c>
      <c r="N62" s="56">
        <v>12.166644318419586</v>
      </c>
      <c r="O62" s="56">
        <v>11.957389993532761</v>
      </c>
      <c r="P62" s="56">
        <v>11.751734637378632</v>
      </c>
      <c r="Q62" s="80">
        <f t="shared" si="5"/>
        <v>152.45806217092985</v>
      </c>
      <c r="R62" s="15"/>
    </row>
    <row r="63" spans="1:18" outlineLevel="1">
      <c r="A63" s="8" t="s">
        <v>16</v>
      </c>
      <c r="B63" s="14">
        <v>6666022300</v>
      </c>
      <c r="C63" s="14" t="s">
        <v>79</v>
      </c>
      <c r="D63" s="14" t="s">
        <v>44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6">
        <v>0</v>
      </c>
      <c r="K63" s="56">
        <v>0</v>
      </c>
      <c r="L63" s="56">
        <v>0</v>
      </c>
      <c r="M63" s="56">
        <v>0</v>
      </c>
      <c r="N63" s="56">
        <v>0</v>
      </c>
      <c r="O63" s="56">
        <v>0</v>
      </c>
      <c r="P63" s="56">
        <v>0</v>
      </c>
      <c r="Q63" s="80">
        <f t="shared" si="5"/>
        <v>0</v>
      </c>
      <c r="R63" s="15"/>
    </row>
    <row r="64" spans="1:18" outlineLevel="1">
      <c r="A64" s="8" t="s">
        <v>16</v>
      </c>
      <c r="B64" s="14">
        <v>6666029700</v>
      </c>
      <c r="C64" s="14" t="s">
        <v>80</v>
      </c>
      <c r="D64" s="14" t="s">
        <v>44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80">
        <f t="shared" si="5"/>
        <v>0</v>
      </c>
      <c r="R64" s="15"/>
    </row>
    <row r="65" spans="1:18" outlineLevel="1">
      <c r="A65" s="8" t="s">
        <v>16</v>
      </c>
      <c r="B65" s="14">
        <v>6666029900</v>
      </c>
      <c r="C65" s="14" t="s">
        <v>81</v>
      </c>
      <c r="D65" s="14" t="s">
        <v>44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6">
        <v>0</v>
      </c>
      <c r="K65" s="56">
        <v>0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80">
        <f t="shared" si="5"/>
        <v>0</v>
      </c>
      <c r="R65" s="15"/>
    </row>
    <row r="66" spans="1:18" outlineLevel="1">
      <c r="A66" s="8" t="s">
        <v>16</v>
      </c>
      <c r="B66" s="14">
        <v>6666029996</v>
      </c>
      <c r="C66" s="14" t="s">
        <v>82</v>
      </c>
      <c r="D66" s="14" t="s">
        <v>44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80">
        <f t="shared" si="5"/>
        <v>0</v>
      </c>
      <c r="R66" s="15"/>
    </row>
    <row r="67" spans="1:18" outlineLevel="1">
      <c r="A67" s="8" t="s">
        <v>16</v>
      </c>
      <c r="B67" s="14">
        <v>6666029997</v>
      </c>
      <c r="C67" s="14" t="s">
        <v>83</v>
      </c>
      <c r="D67" s="14" t="s">
        <v>44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80">
        <f t="shared" si="5"/>
        <v>0</v>
      </c>
      <c r="R67" s="15"/>
    </row>
    <row r="68" spans="1:18" outlineLevel="1">
      <c r="A68" s="8" t="s">
        <v>16</v>
      </c>
      <c r="B68" s="14">
        <v>6666030702</v>
      </c>
      <c r="C68" s="14" t="s">
        <v>84</v>
      </c>
      <c r="D68" s="14" t="s">
        <v>44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80">
        <f t="shared" si="5"/>
        <v>0</v>
      </c>
      <c r="R68" s="15"/>
    </row>
    <row r="69" spans="1:18" outlineLevel="1">
      <c r="A69" s="8" t="s">
        <v>16</v>
      </c>
      <c r="B69" s="14">
        <v>6666031200</v>
      </c>
      <c r="C69" s="14" t="s">
        <v>85</v>
      </c>
      <c r="D69" s="14" t="s">
        <v>44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80">
        <f t="shared" si="5"/>
        <v>0</v>
      </c>
      <c r="R69" s="15"/>
    </row>
    <row r="70" spans="1:18" outlineLevel="1">
      <c r="A70" s="8" t="s">
        <v>16</v>
      </c>
      <c r="B70" s="14">
        <v>6666050107</v>
      </c>
      <c r="C70" s="14" t="s">
        <v>86</v>
      </c>
      <c r="D70" s="14" t="s">
        <v>44</v>
      </c>
      <c r="E70" s="56">
        <v>0</v>
      </c>
      <c r="F70" s="56">
        <v>0</v>
      </c>
      <c r="G70" s="56">
        <v>0</v>
      </c>
      <c r="H70" s="56">
        <v>0</v>
      </c>
      <c r="I70" s="56">
        <v>0</v>
      </c>
      <c r="J70" s="56">
        <v>0</v>
      </c>
      <c r="K70" s="56">
        <v>0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80">
        <f t="shared" si="5"/>
        <v>0</v>
      </c>
      <c r="R70" s="15"/>
    </row>
    <row r="71" spans="1:18" outlineLevel="1">
      <c r="A71" s="8" t="s">
        <v>16</v>
      </c>
      <c r="B71" s="14">
        <v>6666070100</v>
      </c>
      <c r="C71" s="14" t="s">
        <v>87</v>
      </c>
      <c r="D71" s="14" t="s">
        <v>44</v>
      </c>
      <c r="E71" s="56">
        <v>0</v>
      </c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80">
        <f t="shared" si="5"/>
        <v>0</v>
      </c>
      <c r="R71" s="15"/>
    </row>
    <row r="72" spans="1:18" outlineLevel="1">
      <c r="A72" s="8" t="s">
        <v>16</v>
      </c>
      <c r="B72" s="14">
        <v>6666070300</v>
      </c>
      <c r="C72" s="14" t="s">
        <v>88</v>
      </c>
      <c r="D72" s="14" t="s">
        <v>44</v>
      </c>
      <c r="E72" s="56">
        <v>0</v>
      </c>
      <c r="F72" s="56">
        <v>0</v>
      </c>
      <c r="G72" s="56">
        <v>0</v>
      </c>
      <c r="H72" s="56">
        <v>0</v>
      </c>
      <c r="I72" s="56">
        <v>0</v>
      </c>
      <c r="J72" s="56">
        <v>0</v>
      </c>
      <c r="K72" s="56">
        <v>0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80">
        <f t="shared" si="5"/>
        <v>0</v>
      </c>
      <c r="R72" s="15"/>
    </row>
    <row r="73" spans="1:18" outlineLevel="1">
      <c r="A73" s="8" t="s">
        <v>16</v>
      </c>
      <c r="B73" s="14">
        <v>6666070400</v>
      </c>
      <c r="C73" s="14" t="s">
        <v>89</v>
      </c>
      <c r="D73" s="14" t="s">
        <v>44</v>
      </c>
      <c r="E73" s="56">
        <v>14.9</v>
      </c>
      <c r="F73" s="56">
        <v>36.4</v>
      </c>
      <c r="G73" s="56">
        <v>11.9</v>
      </c>
      <c r="H73" s="56">
        <v>12.9</v>
      </c>
      <c r="I73" s="56">
        <v>12.4</v>
      </c>
      <c r="J73" s="56">
        <v>17.899999999999999</v>
      </c>
      <c r="K73" s="56">
        <v>18.2</v>
      </c>
      <c r="L73" s="56">
        <v>12.9</v>
      </c>
      <c r="M73" s="56">
        <v>13.4</v>
      </c>
      <c r="N73" s="56">
        <v>27.9</v>
      </c>
      <c r="O73" s="56">
        <v>17.899999999999999</v>
      </c>
      <c r="P73" s="56">
        <v>11.9</v>
      </c>
      <c r="Q73" s="80">
        <f t="shared" si="5"/>
        <v>208.60000000000002</v>
      </c>
      <c r="R73" s="15"/>
    </row>
    <row r="74" spans="1:18" outlineLevel="1">
      <c r="A74" s="8" t="s">
        <v>16</v>
      </c>
      <c r="B74" s="14">
        <v>5401050201</v>
      </c>
      <c r="C74" s="14" t="s">
        <v>90</v>
      </c>
      <c r="D74" s="14" t="s">
        <v>44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80">
        <f t="shared" si="5"/>
        <v>0</v>
      </c>
      <c r="R74" s="15"/>
    </row>
    <row r="75" spans="1:18" outlineLevel="1">
      <c r="A75" s="8" t="s">
        <v>16</v>
      </c>
      <c r="B75" s="14">
        <v>5401020212</v>
      </c>
      <c r="C75" s="14" t="s">
        <v>91</v>
      </c>
      <c r="D75" s="14" t="s">
        <v>44</v>
      </c>
      <c r="E75" s="56">
        <v>0</v>
      </c>
      <c r="F75" s="56">
        <v>0</v>
      </c>
      <c r="G75" s="56">
        <v>0</v>
      </c>
      <c r="H75" s="56">
        <v>0</v>
      </c>
      <c r="I75" s="56">
        <v>0</v>
      </c>
      <c r="J75" s="56">
        <v>0</v>
      </c>
      <c r="K75" s="56">
        <v>0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80">
        <f t="shared" si="5"/>
        <v>0</v>
      </c>
      <c r="R75" s="15"/>
    </row>
    <row r="76" spans="1:18" s="21" customFormat="1">
      <c r="A76" s="8"/>
      <c r="B76" s="16" t="s">
        <v>26</v>
      </c>
      <c r="C76" s="17" t="s">
        <v>44</v>
      </c>
      <c r="D76" s="18"/>
      <c r="E76" s="58">
        <f t="shared" ref="E76:Q76" si="6">SUM(E29:E75)</f>
        <v>97.661744735713668</v>
      </c>
      <c r="F76" s="57">
        <f t="shared" si="6"/>
        <v>114.99433918410074</v>
      </c>
      <c r="G76" s="57">
        <f t="shared" si="6"/>
        <v>92.358197471509101</v>
      </c>
      <c r="H76" s="57">
        <f t="shared" si="6"/>
        <v>92.470770907890753</v>
      </c>
      <c r="I76" s="57">
        <f t="shared" si="6"/>
        <v>88.234204198298556</v>
      </c>
      <c r="J76" s="57">
        <f t="shared" si="6"/>
        <v>92.915112510638949</v>
      </c>
      <c r="K76" s="57">
        <f t="shared" si="6"/>
        <v>95.579305558050336</v>
      </c>
      <c r="L76" s="57">
        <f t="shared" si="6"/>
        <v>89.827160275843596</v>
      </c>
      <c r="M76" s="57">
        <f t="shared" si="6"/>
        <v>87.125258292111951</v>
      </c>
      <c r="N76" s="57">
        <f t="shared" si="6"/>
        <v>100.70827104875866</v>
      </c>
      <c r="O76" s="57">
        <f t="shared" si="6"/>
        <v>92.466505036077507</v>
      </c>
      <c r="P76" s="57">
        <f t="shared" si="6"/>
        <v>85.535049175506146</v>
      </c>
      <c r="Q76" s="58">
        <f t="shared" si="6"/>
        <v>1129.8759183944999</v>
      </c>
      <c r="R76" s="15"/>
    </row>
    <row r="77" spans="1:18" outlineLevel="1">
      <c r="A77" s="8" t="s">
        <v>16</v>
      </c>
      <c r="B77" s="14">
        <v>6666110203</v>
      </c>
      <c r="C77" s="14" t="s">
        <v>93</v>
      </c>
      <c r="D77" s="14" t="s">
        <v>94</v>
      </c>
      <c r="E77" s="56">
        <v>41.201085397662183</v>
      </c>
      <c r="F77" s="56">
        <v>32.234597263219101</v>
      </c>
      <c r="G77" s="56">
        <v>33.617705482904057</v>
      </c>
      <c r="H77" s="56">
        <v>32.606489885870545</v>
      </c>
      <c r="I77" s="56">
        <v>33.94166917181257</v>
      </c>
      <c r="J77" s="56">
        <v>31.521262902094332</v>
      </c>
      <c r="K77" s="56">
        <v>33.838648794893906</v>
      </c>
      <c r="L77" s="56">
        <v>30.171089364298705</v>
      </c>
      <c r="M77" s="56">
        <v>28.756780212609531</v>
      </c>
      <c r="N77" s="56">
        <v>25.768305545296531</v>
      </c>
      <c r="O77" s="56">
        <v>26.723114081185777</v>
      </c>
      <c r="P77" s="56">
        <v>26.674679877510727</v>
      </c>
      <c r="Q77" s="80">
        <f>F77+E77+G77+H77+I77+J77+K77+L77+M77+N77+O77+P77</f>
        <v>377.055427979358</v>
      </c>
      <c r="R77" s="15"/>
    </row>
    <row r="78" spans="1:18" outlineLevel="1">
      <c r="A78" s="8" t="s">
        <v>16</v>
      </c>
      <c r="B78" s="14">
        <v>5102040000</v>
      </c>
      <c r="C78" s="14" t="s">
        <v>95</v>
      </c>
      <c r="D78" s="14" t="s">
        <v>94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80"/>
      <c r="R78" s="15"/>
    </row>
    <row r="79" spans="1:18" outlineLevel="1">
      <c r="A79" s="8" t="s">
        <v>37</v>
      </c>
      <c r="B79" s="14">
        <v>6666050307</v>
      </c>
      <c r="C79" s="14" t="s">
        <v>96</v>
      </c>
      <c r="D79" s="14" t="s">
        <v>94</v>
      </c>
      <c r="E79" s="56">
        <v>0</v>
      </c>
      <c r="F79" s="56">
        <v>0</v>
      </c>
      <c r="G79" s="56">
        <v>0</v>
      </c>
      <c r="H79" s="56">
        <v>0</v>
      </c>
      <c r="I79" s="56">
        <v>0</v>
      </c>
      <c r="J79" s="56">
        <v>0</v>
      </c>
      <c r="K79" s="56">
        <v>0</v>
      </c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80"/>
      <c r="R79" s="15"/>
    </row>
    <row r="80" spans="1:18" outlineLevel="1">
      <c r="A80" s="8" t="s">
        <v>37</v>
      </c>
      <c r="B80" s="14">
        <v>6666050312</v>
      </c>
      <c r="C80" s="14" t="s">
        <v>97</v>
      </c>
      <c r="D80" s="14" t="s">
        <v>44</v>
      </c>
      <c r="E80" s="56">
        <v>0</v>
      </c>
      <c r="F80" s="56">
        <v>0</v>
      </c>
      <c r="G80" s="56">
        <v>0</v>
      </c>
      <c r="H80" s="56">
        <v>0</v>
      </c>
      <c r="I80" s="56">
        <v>0</v>
      </c>
      <c r="J80" s="56">
        <v>0</v>
      </c>
      <c r="K80" s="56">
        <v>0</v>
      </c>
      <c r="L80" s="56">
        <v>0</v>
      </c>
      <c r="M80" s="56">
        <v>0</v>
      </c>
      <c r="N80" s="56">
        <v>0</v>
      </c>
      <c r="O80" s="56">
        <v>0</v>
      </c>
      <c r="P80" s="56">
        <v>0</v>
      </c>
      <c r="Q80" s="80"/>
      <c r="R80" s="15"/>
    </row>
    <row r="81" spans="1:18" s="21" customFormat="1">
      <c r="A81" s="8"/>
      <c r="B81" s="16" t="s">
        <v>36</v>
      </c>
      <c r="C81" s="17" t="s">
        <v>94</v>
      </c>
      <c r="D81" s="18"/>
      <c r="E81" s="58">
        <f t="shared" ref="E81:Q81" si="7">SUM(E77:E80)</f>
        <v>41.201085397662183</v>
      </c>
      <c r="F81" s="57">
        <f t="shared" si="7"/>
        <v>32.234597263219101</v>
      </c>
      <c r="G81" s="57">
        <f t="shared" si="7"/>
        <v>33.617705482904057</v>
      </c>
      <c r="H81" s="57">
        <f t="shared" si="7"/>
        <v>32.606489885870545</v>
      </c>
      <c r="I81" s="57">
        <f t="shared" si="7"/>
        <v>33.94166917181257</v>
      </c>
      <c r="J81" s="57">
        <f t="shared" si="7"/>
        <v>31.521262902094332</v>
      </c>
      <c r="K81" s="57">
        <f t="shared" si="7"/>
        <v>33.838648794893906</v>
      </c>
      <c r="L81" s="57">
        <f t="shared" si="7"/>
        <v>30.171089364298705</v>
      </c>
      <c r="M81" s="57">
        <f t="shared" si="7"/>
        <v>28.756780212609531</v>
      </c>
      <c r="N81" s="57">
        <f t="shared" si="7"/>
        <v>25.768305545296531</v>
      </c>
      <c r="O81" s="57">
        <f t="shared" si="7"/>
        <v>26.723114081185777</v>
      </c>
      <c r="P81" s="57">
        <f t="shared" si="7"/>
        <v>26.674679877510727</v>
      </c>
      <c r="Q81" s="58">
        <f t="shared" si="7"/>
        <v>377.055427979358</v>
      </c>
      <c r="R81" s="15"/>
    </row>
    <row r="82" spans="1:18" outlineLevel="1">
      <c r="A82" s="8" t="s">
        <v>37</v>
      </c>
      <c r="B82" s="14">
        <v>6666100203</v>
      </c>
      <c r="C82" s="14" t="s">
        <v>98</v>
      </c>
      <c r="D82" s="14" t="s">
        <v>99</v>
      </c>
      <c r="E82" s="56">
        <v>12.5</v>
      </c>
      <c r="F82" s="56">
        <v>12.5</v>
      </c>
      <c r="G82" s="56">
        <v>12.5</v>
      </c>
      <c r="H82" s="56">
        <v>12.5</v>
      </c>
      <c r="I82" s="56">
        <v>12.5</v>
      </c>
      <c r="J82" s="56">
        <v>12.5</v>
      </c>
      <c r="K82" s="56">
        <v>12.5</v>
      </c>
      <c r="L82" s="56">
        <v>12.5</v>
      </c>
      <c r="M82" s="56">
        <v>12.5</v>
      </c>
      <c r="N82" s="56">
        <v>12.5</v>
      </c>
      <c r="O82" s="56">
        <v>12.5</v>
      </c>
      <c r="P82" s="56">
        <v>12.5</v>
      </c>
      <c r="Q82" s="80">
        <f>F82+E82+G82+H82+I82+J82+K82+L82+M82+N82+O82+P82</f>
        <v>150</v>
      </c>
      <c r="R82" s="15"/>
    </row>
    <row r="83" spans="1:18" s="21" customFormat="1">
      <c r="A83" s="8"/>
      <c r="B83" s="16" t="s">
        <v>26</v>
      </c>
      <c r="C83" s="17" t="s">
        <v>99</v>
      </c>
      <c r="D83" s="18"/>
      <c r="E83" s="58">
        <f>SUM(E82)</f>
        <v>12.5</v>
      </c>
      <c r="F83" s="57">
        <f t="shared" ref="F83:Q83" si="8">+F82</f>
        <v>12.5</v>
      </c>
      <c r="G83" s="57">
        <f t="shared" si="8"/>
        <v>12.5</v>
      </c>
      <c r="H83" s="57">
        <f t="shared" si="8"/>
        <v>12.5</v>
      </c>
      <c r="I83" s="57">
        <f t="shared" si="8"/>
        <v>12.5</v>
      </c>
      <c r="J83" s="57">
        <f t="shared" si="8"/>
        <v>12.5</v>
      </c>
      <c r="K83" s="57">
        <f t="shared" si="8"/>
        <v>12.5</v>
      </c>
      <c r="L83" s="57">
        <f t="shared" si="8"/>
        <v>12.5</v>
      </c>
      <c r="M83" s="57">
        <f t="shared" si="8"/>
        <v>12.5</v>
      </c>
      <c r="N83" s="57">
        <f t="shared" si="8"/>
        <v>12.5</v>
      </c>
      <c r="O83" s="57">
        <f t="shared" si="8"/>
        <v>12.5</v>
      </c>
      <c r="P83" s="57">
        <f t="shared" si="8"/>
        <v>12.5</v>
      </c>
      <c r="Q83" s="58">
        <f t="shared" si="8"/>
        <v>150</v>
      </c>
      <c r="R83" s="15"/>
    </row>
    <row r="84" spans="1:18" outlineLevel="1">
      <c r="A84" s="8" t="s">
        <v>37</v>
      </c>
      <c r="B84" s="14">
        <v>5301070000</v>
      </c>
      <c r="C84" s="14" t="s">
        <v>100</v>
      </c>
      <c r="D84" s="14" t="s">
        <v>101</v>
      </c>
      <c r="E84" s="56">
        <v>-86.744226252432981</v>
      </c>
      <c r="F84" s="56">
        <v>-87.098721301672896</v>
      </c>
      <c r="G84" s="56">
        <v>-78.973517699181571</v>
      </c>
      <c r="H84" s="56">
        <v>-70.049217791879329</v>
      </c>
      <c r="I84" s="56">
        <v>-48.163271618524888</v>
      </c>
      <c r="J84" s="56">
        <v>-73.783966025925722</v>
      </c>
      <c r="K84" s="56">
        <v>-57.973133174212734</v>
      </c>
      <c r="L84" s="56">
        <v>-60.841719003155816</v>
      </c>
      <c r="M84" s="56">
        <v>-95.225369815268934</v>
      </c>
      <c r="N84" s="56">
        <v>-113.24797123358378</v>
      </c>
      <c r="O84" s="56">
        <v>-119.41386447072375</v>
      </c>
      <c r="P84" s="56">
        <v>-83.548952058021726</v>
      </c>
      <c r="Q84" s="80">
        <f>F84+E84+G84+H84+I84+J84+K84+L84+M84+N84+O84+P84</f>
        <v>-975.06393044458423</v>
      </c>
      <c r="R84" s="15"/>
    </row>
    <row r="85" spans="1:18" s="21" customFormat="1">
      <c r="A85" s="8"/>
      <c r="B85" s="16" t="s">
        <v>36</v>
      </c>
      <c r="C85" s="17" t="s">
        <v>101</v>
      </c>
      <c r="D85" s="18"/>
      <c r="E85" s="58">
        <f>SUM(E84)</f>
        <v>-86.744226252432981</v>
      </c>
      <c r="F85" s="57">
        <f t="shared" ref="F85:Q85" si="9">+F84</f>
        <v>-87.098721301672896</v>
      </c>
      <c r="G85" s="57">
        <f t="shared" si="9"/>
        <v>-78.973517699181571</v>
      </c>
      <c r="H85" s="57">
        <f t="shared" si="9"/>
        <v>-70.049217791879329</v>
      </c>
      <c r="I85" s="57">
        <f t="shared" si="9"/>
        <v>-48.163271618524888</v>
      </c>
      <c r="J85" s="57">
        <f t="shared" si="9"/>
        <v>-73.783966025925722</v>
      </c>
      <c r="K85" s="57">
        <f t="shared" si="9"/>
        <v>-57.973133174212734</v>
      </c>
      <c r="L85" s="57">
        <f t="shared" si="9"/>
        <v>-60.841719003155816</v>
      </c>
      <c r="M85" s="57">
        <f t="shared" si="9"/>
        <v>-95.225369815268934</v>
      </c>
      <c r="N85" s="57">
        <f t="shared" si="9"/>
        <v>-113.24797123358378</v>
      </c>
      <c r="O85" s="57">
        <f t="shared" si="9"/>
        <v>-119.41386447072375</v>
      </c>
      <c r="P85" s="57">
        <f t="shared" si="9"/>
        <v>-83.548952058021726</v>
      </c>
      <c r="Q85" s="58">
        <f t="shared" si="9"/>
        <v>-975.06393044458423</v>
      </c>
      <c r="R85" s="15"/>
    </row>
    <row r="86" spans="1:18" outlineLevel="1">
      <c r="A86" s="8" t="s">
        <v>16</v>
      </c>
      <c r="B86" s="14">
        <v>6666021602</v>
      </c>
      <c r="C86" s="14" t="s">
        <v>102</v>
      </c>
      <c r="D86" s="14" t="s">
        <v>103</v>
      </c>
      <c r="E86" s="56">
        <v>32.90043641387431</v>
      </c>
      <c r="F86" s="56">
        <v>32.60377908992681</v>
      </c>
      <c r="G86" s="56">
        <v>32.161074661835414</v>
      </c>
      <c r="H86" s="56">
        <v>28.499136303716696</v>
      </c>
      <c r="I86" s="56">
        <v>26.834030493476099</v>
      </c>
      <c r="J86" s="56">
        <v>27.253299115904849</v>
      </c>
      <c r="K86" s="56">
        <v>31.470252796879858</v>
      </c>
      <c r="L86" s="56">
        <v>26.876367017100993</v>
      </c>
      <c r="M86" s="56">
        <v>26.934233314259469</v>
      </c>
      <c r="N86" s="56">
        <v>33.827590411405126</v>
      </c>
      <c r="O86" s="56">
        <v>34.569136525219641</v>
      </c>
      <c r="P86" s="56">
        <v>35.694138303558638</v>
      </c>
      <c r="Q86" s="80">
        <f>F86+E86+G86+H86+I86+J86+K86+L86+M86+N86+O86+P86</f>
        <v>369.62347444715789</v>
      </c>
      <c r="R86" s="15"/>
    </row>
    <row r="87" spans="1:18" s="21" customFormat="1">
      <c r="A87" s="8"/>
      <c r="B87" s="16" t="s">
        <v>26</v>
      </c>
      <c r="C87" s="17" t="s">
        <v>103</v>
      </c>
      <c r="D87" s="18"/>
      <c r="E87" s="58">
        <f>SUM(E86:E86)</f>
        <v>32.90043641387431</v>
      </c>
      <c r="F87" s="57">
        <f t="shared" ref="F87:P87" si="10">+SUM(F86:F86)</f>
        <v>32.60377908992681</v>
      </c>
      <c r="G87" s="57">
        <f t="shared" si="10"/>
        <v>32.161074661835414</v>
      </c>
      <c r="H87" s="57">
        <f t="shared" si="10"/>
        <v>28.499136303716696</v>
      </c>
      <c r="I87" s="57">
        <f t="shared" si="10"/>
        <v>26.834030493476099</v>
      </c>
      <c r="J87" s="57">
        <f t="shared" si="10"/>
        <v>27.253299115904849</v>
      </c>
      <c r="K87" s="57">
        <f t="shared" si="10"/>
        <v>31.470252796879858</v>
      </c>
      <c r="L87" s="57">
        <f t="shared" si="10"/>
        <v>26.876367017100993</v>
      </c>
      <c r="M87" s="57">
        <f t="shared" si="10"/>
        <v>26.934233314259469</v>
      </c>
      <c r="N87" s="57">
        <f t="shared" si="10"/>
        <v>33.827590411405126</v>
      </c>
      <c r="O87" s="57">
        <f t="shared" si="10"/>
        <v>34.569136525219641</v>
      </c>
      <c r="P87" s="57">
        <f t="shared" si="10"/>
        <v>35.694138303558638</v>
      </c>
      <c r="Q87" s="58">
        <f>SUM(Q86:Q86)</f>
        <v>369.62347444715789</v>
      </c>
      <c r="R87" s="15"/>
    </row>
    <row r="88" spans="1:18" outlineLevel="1">
      <c r="A88" s="8" t="s">
        <v>16</v>
      </c>
      <c r="B88" s="14">
        <v>6666021600</v>
      </c>
      <c r="C88" s="14" t="s">
        <v>104</v>
      </c>
      <c r="D88" s="14" t="s">
        <v>105</v>
      </c>
      <c r="E88" s="56">
        <v>40.589926803172375</v>
      </c>
      <c r="F88" s="56">
        <v>49.275105536911646</v>
      </c>
      <c r="G88" s="56">
        <v>44.653695488636643</v>
      </c>
      <c r="H88" s="56">
        <v>44.147113556915542</v>
      </c>
      <c r="I88" s="56">
        <v>30.566233586086195</v>
      </c>
      <c r="J88" s="56">
        <v>47.810907791755604</v>
      </c>
      <c r="K88" s="56">
        <v>37.536705805267282</v>
      </c>
      <c r="L88" s="56">
        <v>35.649452605654723</v>
      </c>
      <c r="M88" s="56">
        <v>52.402162039695533</v>
      </c>
      <c r="N88" s="56">
        <v>52.718132172833904</v>
      </c>
      <c r="O88" s="56">
        <v>56.021114788285423</v>
      </c>
      <c r="P88" s="56">
        <v>38.633720596456108</v>
      </c>
      <c r="Q88" s="80">
        <f>F88+E88+G88+H88+I88+J88+K88+L88+M88+N88+O88+P88</f>
        <v>530.00427077167103</v>
      </c>
      <c r="R88" s="15"/>
    </row>
    <row r="89" spans="1:18" outlineLevel="1">
      <c r="A89" s="8" t="s">
        <v>16</v>
      </c>
      <c r="B89" s="14">
        <v>6666021603</v>
      </c>
      <c r="C89" s="14" t="s">
        <v>106</v>
      </c>
      <c r="D89" s="14" t="s">
        <v>105</v>
      </c>
      <c r="E89" s="56">
        <v>0.28353861650261958</v>
      </c>
      <c r="F89" s="56">
        <v>0.26128820060710106</v>
      </c>
      <c r="G89" s="56">
        <v>0.29456814828382044</v>
      </c>
      <c r="H89" s="56">
        <v>0.50389978511469169</v>
      </c>
      <c r="I89" s="56">
        <v>0.21488094007429126</v>
      </c>
      <c r="J89" s="56">
        <v>1.21137614288282</v>
      </c>
      <c r="K89" s="56">
        <v>0.41775445022421531</v>
      </c>
      <c r="L89" s="56">
        <v>0.63034018994519592</v>
      </c>
      <c r="M89" s="56">
        <v>0.60392335287702381</v>
      </c>
      <c r="N89" s="56">
        <v>1.9461141050880117</v>
      </c>
      <c r="O89" s="56">
        <v>1.6523018397329765</v>
      </c>
      <c r="P89" s="56">
        <v>1.6345807446838083</v>
      </c>
      <c r="Q89" s="80">
        <f>F89+E89+G89+H89+I89+J89+K89+L89+M89+N89+O89+P89</f>
        <v>9.6545665160165743</v>
      </c>
      <c r="R89" s="15"/>
    </row>
    <row r="90" spans="1:18" outlineLevel="1">
      <c r="A90" s="8" t="s">
        <v>16</v>
      </c>
      <c r="B90" s="14">
        <v>6666021604</v>
      </c>
      <c r="C90" s="14" t="s">
        <v>107</v>
      </c>
      <c r="D90" s="14" t="s">
        <v>105</v>
      </c>
      <c r="E90" s="56">
        <v>30.476665963754574</v>
      </c>
      <c r="F90" s="56">
        <v>37.494440303204343</v>
      </c>
      <c r="G90" s="56">
        <v>34.270465372216684</v>
      </c>
      <c r="H90" s="56">
        <v>34.465375442156351</v>
      </c>
      <c r="I90" s="56">
        <v>24.043596107200294</v>
      </c>
      <c r="J90" s="56">
        <v>37.649328278750687</v>
      </c>
      <c r="K90" s="56">
        <v>29.567128508361474</v>
      </c>
      <c r="L90" s="56">
        <v>28.072014252614906</v>
      </c>
      <c r="M90" s="56">
        <v>41.172314534576032</v>
      </c>
      <c r="N90" s="56">
        <v>41.220945562314412</v>
      </c>
      <c r="O90" s="56">
        <v>43.692302424347396</v>
      </c>
      <c r="P90" s="56">
        <v>30.115764977243298</v>
      </c>
      <c r="Q90" s="80">
        <f>F90+E90+G90+H90+I90+J90+K90+L90+M90+N90+O90+P90</f>
        <v>412.2403417267405</v>
      </c>
      <c r="R90" s="15"/>
    </row>
    <row r="91" spans="1:18" s="21" customFormat="1">
      <c r="A91" s="8"/>
      <c r="B91" s="16" t="s">
        <v>36</v>
      </c>
      <c r="C91" s="17" t="s">
        <v>105</v>
      </c>
      <c r="D91" s="18"/>
      <c r="E91" s="58">
        <f t="shared" ref="E91:Q91" si="11">SUM(E88:E90)</f>
        <v>71.35013138342957</v>
      </c>
      <c r="F91" s="57">
        <f t="shared" si="11"/>
        <v>87.030834040723079</v>
      </c>
      <c r="G91" s="57">
        <f t="shared" si="11"/>
        <v>79.218729009137149</v>
      </c>
      <c r="H91" s="57">
        <f t="shared" si="11"/>
        <v>79.116388784186583</v>
      </c>
      <c r="I91" s="57">
        <f t="shared" si="11"/>
        <v>54.82471063336078</v>
      </c>
      <c r="J91" s="57">
        <f t="shared" si="11"/>
        <v>86.67161221338911</v>
      </c>
      <c r="K91" s="57">
        <f t="shared" si="11"/>
        <v>67.521588763852975</v>
      </c>
      <c r="L91" s="57">
        <f t="shared" si="11"/>
        <v>64.351807048214823</v>
      </c>
      <c r="M91" s="57">
        <f t="shared" si="11"/>
        <v>94.17839992714859</v>
      </c>
      <c r="N91" s="57">
        <f t="shared" si="11"/>
        <v>95.885191840236331</v>
      </c>
      <c r="O91" s="57">
        <f t="shared" si="11"/>
        <v>101.36571905236579</v>
      </c>
      <c r="P91" s="57">
        <f t="shared" si="11"/>
        <v>70.384066318383219</v>
      </c>
      <c r="Q91" s="58">
        <f t="shared" si="11"/>
        <v>951.899179014428</v>
      </c>
      <c r="R91" s="15"/>
    </row>
    <row r="92" spans="1:18" outlineLevel="1">
      <c r="A92" s="8" t="s">
        <v>16</v>
      </c>
      <c r="B92" s="14">
        <v>5001010206</v>
      </c>
      <c r="C92" s="14" t="s">
        <v>108</v>
      </c>
      <c r="D92" s="14" t="s">
        <v>109</v>
      </c>
      <c r="E92" s="56">
        <v>5.1442810474732426</v>
      </c>
      <c r="F92" s="56">
        <v>5.5445131251774438</v>
      </c>
      <c r="G92" s="56">
        <v>5.6945387406501311</v>
      </c>
      <c r="H92" s="56">
        <v>5.2910762682763348</v>
      </c>
      <c r="I92" s="56">
        <v>5.9113700899619186</v>
      </c>
      <c r="J92" s="56">
        <v>5.6863350948071236</v>
      </c>
      <c r="K92" s="56">
        <v>5.1876858389340503</v>
      </c>
      <c r="L92" s="56">
        <v>5.2072034016434854</v>
      </c>
      <c r="M92" s="56">
        <v>6.3339767385247869</v>
      </c>
      <c r="N92" s="56">
        <v>5.9286010720699442</v>
      </c>
      <c r="O92" s="56">
        <v>5.8735155238037091</v>
      </c>
      <c r="P92" s="56">
        <v>5.8786856068590287</v>
      </c>
      <c r="Q92" s="80">
        <f t="shared" ref="Q92:Q98" si="12">F92+E92+G92+H92+I92+J92+K92+L92+M92+N92+O92+P92</f>
        <v>67.681782548181204</v>
      </c>
      <c r="R92" s="15"/>
    </row>
    <row r="93" spans="1:18" outlineLevel="1">
      <c r="A93" s="8" t="s">
        <v>16</v>
      </c>
      <c r="B93" s="14">
        <v>6666010184</v>
      </c>
      <c r="C93" s="14" t="s">
        <v>110</v>
      </c>
      <c r="D93" s="14" t="s">
        <v>109</v>
      </c>
      <c r="E93" s="56">
        <v>0</v>
      </c>
      <c r="F93" s="56">
        <v>0</v>
      </c>
      <c r="G93" s="56">
        <v>0</v>
      </c>
      <c r="H93" s="56">
        <v>0</v>
      </c>
      <c r="I93" s="56">
        <v>0</v>
      </c>
      <c r="J93" s="56">
        <v>0</v>
      </c>
      <c r="K93" s="56">
        <v>0</v>
      </c>
      <c r="L93" s="56">
        <v>0</v>
      </c>
      <c r="M93" s="56">
        <v>0</v>
      </c>
      <c r="N93" s="56">
        <v>0</v>
      </c>
      <c r="O93" s="56">
        <v>0</v>
      </c>
      <c r="P93" s="56">
        <v>0</v>
      </c>
      <c r="Q93" s="80">
        <f t="shared" si="12"/>
        <v>0</v>
      </c>
      <c r="R93" s="15"/>
    </row>
    <row r="94" spans="1:18" outlineLevel="1">
      <c r="A94" s="8" t="s">
        <v>16</v>
      </c>
      <c r="B94" s="14">
        <v>6666010186</v>
      </c>
      <c r="C94" s="14" t="s">
        <v>111</v>
      </c>
      <c r="D94" s="14" t="s">
        <v>109</v>
      </c>
      <c r="E94" s="56">
        <v>5.5841420354539322</v>
      </c>
      <c r="F94" s="56">
        <v>5.4254373613017224</v>
      </c>
      <c r="G94" s="56">
        <v>6.0590262190003523</v>
      </c>
      <c r="H94" s="56">
        <v>6.4636610656950699</v>
      </c>
      <c r="I94" s="56">
        <v>4.2454259873202425</v>
      </c>
      <c r="J94" s="56">
        <v>10.807556494195202</v>
      </c>
      <c r="K94" s="56">
        <v>8.6599010370153842</v>
      </c>
      <c r="L94" s="56">
        <v>7.7729648385909069</v>
      </c>
      <c r="M94" s="56">
        <v>11.545004937525837</v>
      </c>
      <c r="N94" s="56">
        <v>11.346442199042592</v>
      </c>
      <c r="O94" s="56">
        <v>10.349515682096605</v>
      </c>
      <c r="P94" s="56">
        <v>9.3577930491684285</v>
      </c>
      <c r="Q94" s="80">
        <f t="shared" si="12"/>
        <v>97.616870906406291</v>
      </c>
      <c r="R94" s="15"/>
    </row>
    <row r="95" spans="1:18" outlineLevel="1">
      <c r="A95" s="8" t="s">
        <v>16</v>
      </c>
      <c r="B95" s="14">
        <v>6666010189</v>
      </c>
      <c r="C95" s="14" t="s">
        <v>112</v>
      </c>
      <c r="D95" s="14" t="s">
        <v>109</v>
      </c>
      <c r="E95" s="56">
        <v>255.80270535366762</v>
      </c>
      <c r="F95" s="56">
        <v>275.97530486245637</v>
      </c>
      <c r="G95" s="56">
        <v>282.76514924813409</v>
      </c>
      <c r="H95" s="56">
        <v>261.89451833536293</v>
      </c>
      <c r="I95" s="56">
        <v>295.07122234057005</v>
      </c>
      <c r="J95" s="56">
        <v>277.20195078783024</v>
      </c>
      <c r="K95" s="56">
        <v>254.38783589150188</v>
      </c>
      <c r="L95" s="56">
        <v>256.22157526522511</v>
      </c>
      <c r="M95" s="56">
        <v>309.20527315042284</v>
      </c>
      <c r="N95" s="56">
        <v>356.80137175994275</v>
      </c>
      <c r="O95" s="56">
        <v>287.45220939244638</v>
      </c>
      <c r="P95" s="56">
        <v>398.3794739123162</v>
      </c>
      <c r="Q95" s="80">
        <f t="shared" si="12"/>
        <v>3511.1585902998772</v>
      </c>
      <c r="R95" s="15"/>
    </row>
    <row r="96" spans="1:18" outlineLevel="1">
      <c r="A96" s="8" t="s">
        <v>16</v>
      </c>
      <c r="B96" s="14">
        <v>6666010012</v>
      </c>
      <c r="C96" s="14" t="s">
        <v>113</v>
      </c>
      <c r="D96" s="14" t="s">
        <v>109</v>
      </c>
      <c r="E96" s="56">
        <v>53.371915867534881</v>
      </c>
      <c r="F96" s="56">
        <v>57.524323673715976</v>
      </c>
      <c r="G96" s="56">
        <v>59.080839434245114</v>
      </c>
      <c r="H96" s="56">
        <v>54.894916283366967</v>
      </c>
      <c r="I96" s="56">
        <v>61.330464683354904</v>
      </c>
      <c r="J96" s="56">
        <v>58.995726608623897</v>
      </c>
      <c r="K96" s="56">
        <v>53.822240578940772</v>
      </c>
      <c r="L96" s="56">
        <v>54.024735292051183</v>
      </c>
      <c r="M96" s="56">
        <v>65.715008662194663</v>
      </c>
      <c r="N96" s="56">
        <v>61.509236122725675</v>
      </c>
      <c r="O96" s="56">
        <v>60.937723559463471</v>
      </c>
      <c r="P96" s="56">
        <v>60.991363171162405</v>
      </c>
      <c r="Q96" s="80">
        <f t="shared" si="12"/>
        <v>702.19849393738002</v>
      </c>
      <c r="R96" s="15"/>
    </row>
    <row r="97" spans="1:18" outlineLevel="1">
      <c r="A97" s="8" t="s">
        <v>16</v>
      </c>
      <c r="B97" s="14">
        <v>6666010226</v>
      </c>
      <c r="C97" s="14" t="s">
        <v>114</v>
      </c>
      <c r="D97" s="14" t="s">
        <v>109</v>
      </c>
      <c r="E97" s="56">
        <v>8.6549795069531523</v>
      </c>
      <c r="F97" s="56">
        <v>8.4936010863132037</v>
      </c>
      <c r="G97" s="56">
        <v>8.3352316843112888</v>
      </c>
      <c r="H97" s="56">
        <v>8.2120509205037369</v>
      </c>
      <c r="I97" s="56">
        <v>8.0906905620726466</v>
      </c>
      <c r="J97" s="56">
        <v>7.971123706475514</v>
      </c>
      <c r="K97" s="56">
        <v>7.9078608199161842</v>
      </c>
      <c r="L97" s="56">
        <v>7.84510001975812</v>
      </c>
      <c r="M97" s="56">
        <v>7.782837321188607</v>
      </c>
      <c r="N97" s="56">
        <v>7.6489801682443304</v>
      </c>
      <c r="O97" s="56">
        <v>7.5174252267757575</v>
      </c>
      <c r="P97" s="56">
        <v>7.3881329010081149</v>
      </c>
      <c r="Q97" s="80">
        <f t="shared" si="12"/>
        <v>95.848013923520668</v>
      </c>
      <c r="R97" s="15"/>
    </row>
    <row r="98" spans="1:18" outlineLevel="1">
      <c r="A98" s="8" t="s">
        <v>16</v>
      </c>
      <c r="B98" s="14">
        <v>6666010102</v>
      </c>
      <c r="C98" s="14" t="s">
        <v>115</v>
      </c>
      <c r="D98" s="14" t="s">
        <v>109</v>
      </c>
      <c r="E98" s="56">
        <v>-12.860702618683105</v>
      </c>
      <c r="F98" s="56">
        <v>-13.861282812943612</v>
      </c>
      <c r="G98" s="56">
        <v>-14.236346851625328</v>
      </c>
      <c r="H98" s="56">
        <v>-13.227690670690837</v>
      </c>
      <c r="I98" s="56">
        <v>-14.778425224904799</v>
      </c>
      <c r="J98" s="56">
        <v>-14.215837737017806</v>
      </c>
      <c r="K98" s="56">
        <v>-12.969214597335121</v>
      </c>
      <c r="L98" s="56">
        <v>-13.018008504108717</v>
      </c>
      <c r="M98" s="56">
        <v>-15.834941846311965</v>
      </c>
      <c r="N98" s="56">
        <v>-14.821502680174866</v>
      </c>
      <c r="O98" s="56">
        <v>-14.68378880950927</v>
      </c>
      <c r="P98" s="56">
        <v>-14.696714017147571</v>
      </c>
      <c r="Q98" s="80">
        <f t="shared" si="12"/>
        <v>-169.20445637045302</v>
      </c>
      <c r="R98" s="15"/>
    </row>
    <row r="99" spans="1:18" s="21" customFormat="1">
      <c r="A99" s="8"/>
      <c r="B99" s="16" t="s">
        <v>116</v>
      </c>
      <c r="C99" s="17" t="s">
        <v>109</v>
      </c>
      <c r="D99" s="18"/>
      <c r="E99" s="58">
        <f t="shared" ref="E99:Q99" si="13">SUM(E92:E98)</f>
        <v>315.69732119239973</v>
      </c>
      <c r="F99" s="57">
        <f t="shared" si="13"/>
        <v>339.10189729602109</v>
      </c>
      <c r="G99" s="57">
        <f t="shared" si="13"/>
        <v>347.6984384747156</v>
      </c>
      <c r="H99" s="57">
        <f t="shared" si="13"/>
        <v>323.52853220251421</v>
      </c>
      <c r="I99" s="57">
        <f t="shared" si="13"/>
        <v>359.87074843837496</v>
      </c>
      <c r="J99" s="57">
        <f t="shared" si="13"/>
        <v>346.44685495491416</v>
      </c>
      <c r="K99" s="57">
        <f t="shared" si="13"/>
        <v>316.99630956897317</v>
      </c>
      <c r="L99" s="57">
        <f t="shared" si="13"/>
        <v>318.05357031316004</v>
      </c>
      <c r="M99" s="57">
        <f t="shared" si="13"/>
        <v>384.74715896354473</v>
      </c>
      <c r="N99" s="57">
        <f t="shared" si="13"/>
        <v>428.41312864185039</v>
      </c>
      <c r="O99" s="57">
        <f t="shared" si="13"/>
        <v>357.44660057507662</v>
      </c>
      <c r="P99" s="57">
        <f t="shared" si="13"/>
        <v>467.29873462336661</v>
      </c>
      <c r="Q99" s="58">
        <f t="shared" si="13"/>
        <v>4305.2992952449122</v>
      </c>
      <c r="R99" s="15"/>
    </row>
    <row r="100" spans="1:18" outlineLevel="1">
      <c r="A100" s="8" t="s">
        <v>16</v>
      </c>
      <c r="B100" s="14">
        <v>6666010196</v>
      </c>
      <c r="C100" s="14" t="s">
        <v>117</v>
      </c>
      <c r="D100" s="14" t="s">
        <v>118</v>
      </c>
      <c r="E100" s="56">
        <v>22.900607195640173</v>
      </c>
      <c r="F100" s="56">
        <v>24.183803027528903</v>
      </c>
      <c r="G100" s="56">
        <v>22.054571768046156</v>
      </c>
      <c r="H100" s="56">
        <v>22.201306839451323</v>
      </c>
      <c r="I100" s="56">
        <v>23.493906602391618</v>
      </c>
      <c r="J100" s="56">
        <v>22.843940009850744</v>
      </c>
      <c r="K100" s="56">
        <v>21.378927895866607</v>
      </c>
      <c r="L100" s="56">
        <v>21.20925386494703</v>
      </c>
      <c r="M100" s="56">
        <v>22.259416124964591</v>
      </c>
      <c r="N100" s="56">
        <v>20.916909984252499</v>
      </c>
      <c r="O100" s="56">
        <v>20.55715968968304</v>
      </c>
      <c r="P100" s="56">
        <v>20.203596746617237</v>
      </c>
      <c r="Q100" s="80">
        <f t="shared" ref="Q100:Q106" si="14">F100+E100+G100+H100+I100+J100+K100+L100+M100+N100+O100+P100</f>
        <v>264.20339974923991</v>
      </c>
      <c r="R100" s="15"/>
    </row>
    <row r="101" spans="1:18" outlineLevel="1">
      <c r="A101" s="8" t="s">
        <v>16</v>
      </c>
      <c r="B101" s="14">
        <v>6666010101</v>
      </c>
      <c r="C101" s="14" t="s">
        <v>119</v>
      </c>
      <c r="D101" s="14" t="s">
        <v>118</v>
      </c>
      <c r="E101" s="56">
        <v>132.94448197567047</v>
      </c>
      <c r="F101" s="56">
        <v>140.25429589724732</v>
      </c>
      <c r="G101" s="56">
        <v>128.03300776480486</v>
      </c>
      <c r="H101" s="56">
        <v>129.6365484316263</v>
      </c>
      <c r="I101" s="56">
        <v>137.04423311165732</v>
      </c>
      <c r="J101" s="56">
        <v>128.26894099105218</v>
      </c>
      <c r="K101" s="56">
        <v>119.8734827316441</v>
      </c>
      <c r="L101" s="56">
        <v>118.92210588456764</v>
      </c>
      <c r="M101" s="56">
        <v>124.99858815997165</v>
      </c>
      <c r="N101" s="56">
        <v>117.32827686306638</v>
      </c>
      <c r="O101" s="56">
        <v>115.3103458113674</v>
      </c>
      <c r="P101" s="56">
        <v>113.32712119053309</v>
      </c>
      <c r="Q101" s="80">
        <f t="shared" si="14"/>
        <v>1505.9414288132086</v>
      </c>
      <c r="R101" s="15"/>
    </row>
    <row r="102" spans="1:18" outlineLevel="1">
      <c r="A102" s="8" t="s">
        <v>16</v>
      </c>
      <c r="B102" s="14">
        <v>6666010199</v>
      </c>
      <c r="C102" s="14" t="s">
        <v>120</v>
      </c>
      <c r="D102" s="14" t="s">
        <v>118</v>
      </c>
      <c r="E102" s="56">
        <v>0</v>
      </c>
      <c r="F102" s="56">
        <v>0</v>
      </c>
      <c r="G102" s="56">
        <v>0</v>
      </c>
      <c r="H102" s="56">
        <v>0</v>
      </c>
      <c r="I102" s="56">
        <v>0</v>
      </c>
      <c r="J102" s="56">
        <v>0</v>
      </c>
      <c r="K102" s="56">
        <v>0</v>
      </c>
      <c r="L102" s="56">
        <v>0</v>
      </c>
      <c r="M102" s="56">
        <v>0</v>
      </c>
      <c r="N102" s="56">
        <v>0</v>
      </c>
      <c r="O102" s="56">
        <v>0</v>
      </c>
      <c r="P102" s="56">
        <v>0</v>
      </c>
      <c r="Q102" s="80">
        <f t="shared" si="14"/>
        <v>0</v>
      </c>
      <c r="R102" s="15"/>
    </row>
    <row r="103" spans="1:18" outlineLevel="1">
      <c r="A103" s="8" t="s">
        <v>16</v>
      </c>
      <c r="B103" s="14">
        <v>6666010185</v>
      </c>
      <c r="C103" s="14" t="s">
        <v>121</v>
      </c>
      <c r="D103" s="14" t="s">
        <v>118</v>
      </c>
      <c r="E103" s="56">
        <v>-5.9436298088480397</v>
      </c>
      <c r="F103" s="56">
        <v>-6.3224828679030249</v>
      </c>
      <c r="G103" s="56">
        <v>-5.7240495442799197</v>
      </c>
      <c r="H103" s="56">
        <v>-5.8048922066297104</v>
      </c>
      <c r="I103" s="56">
        <v>-6.1855149566873626</v>
      </c>
      <c r="J103" s="56">
        <v>-6.0065974393123183</v>
      </c>
      <c r="K103" s="56">
        <v>-5.5898678769795147</v>
      </c>
      <c r="L103" s="56">
        <v>-5.5455038462098365</v>
      </c>
      <c r="M103" s="56">
        <v>-5.8517303547062793</v>
      </c>
      <c r="N103" s="56">
        <v>-5.4749243485113785</v>
      </c>
      <c r="O103" s="56">
        <v>-5.3807610304780118</v>
      </c>
      <c r="P103" s="56">
        <v>-5.2882172289710185</v>
      </c>
      <c r="Q103" s="80">
        <f t="shared" si="14"/>
        <v>-69.118171509516415</v>
      </c>
      <c r="R103" s="15"/>
    </row>
    <row r="104" spans="1:18" outlineLevel="1">
      <c r="A104" s="8" t="s">
        <v>16</v>
      </c>
      <c r="B104" s="14">
        <v>6666010207</v>
      </c>
      <c r="C104" s="14" t="s">
        <v>122</v>
      </c>
      <c r="D104" s="14" t="s">
        <v>118</v>
      </c>
      <c r="E104" s="56">
        <v>2.2072874405436309</v>
      </c>
      <c r="F104" s="56">
        <v>2.3309689665088098</v>
      </c>
      <c r="G104" s="56">
        <v>2.1257418571610756</v>
      </c>
      <c r="H104" s="56">
        <v>2.1398849965736217</v>
      </c>
      <c r="I104" s="56">
        <v>2.2644729255317224</v>
      </c>
      <c r="J104" s="56">
        <v>2.2018255431181442</v>
      </c>
      <c r="K104" s="56">
        <v>2.0606195562281067</v>
      </c>
      <c r="L104" s="56">
        <v>2.0442654327659793</v>
      </c>
      <c r="M104" s="56">
        <v>2.1454858915628519</v>
      </c>
      <c r="N104" s="56">
        <v>2.0160877093255416</v>
      </c>
      <c r="O104" s="56">
        <v>1.9814129821381246</v>
      </c>
      <c r="P104" s="56">
        <v>1.9473346261799747</v>
      </c>
      <c r="Q104" s="80">
        <f t="shared" si="14"/>
        <v>25.465387927637583</v>
      </c>
      <c r="R104" s="15"/>
    </row>
    <row r="105" spans="1:18" outlineLevel="1">
      <c r="A105" s="8" t="s">
        <v>16</v>
      </c>
      <c r="B105" s="14">
        <v>5102040406</v>
      </c>
      <c r="C105" s="14" t="s">
        <v>34</v>
      </c>
      <c r="D105" s="14" t="s">
        <v>28</v>
      </c>
      <c r="E105" s="56">
        <v>0</v>
      </c>
      <c r="F105" s="56">
        <v>0</v>
      </c>
      <c r="G105" s="56">
        <v>0</v>
      </c>
      <c r="H105" s="56">
        <v>0</v>
      </c>
      <c r="I105" s="56">
        <v>0</v>
      </c>
      <c r="J105" s="56">
        <v>0</v>
      </c>
      <c r="K105" s="56">
        <v>0</v>
      </c>
      <c r="L105" s="56">
        <v>0</v>
      </c>
      <c r="M105" s="56">
        <v>0</v>
      </c>
      <c r="N105" s="56">
        <v>0</v>
      </c>
      <c r="O105" s="56">
        <v>0</v>
      </c>
      <c r="P105" s="56">
        <v>0</v>
      </c>
      <c r="Q105" s="80">
        <f t="shared" si="14"/>
        <v>0</v>
      </c>
      <c r="R105" s="15"/>
    </row>
    <row r="106" spans="1:18" outlineLevel="1">
      <c r="A106" s="8" t="s">
        <v>16</v>
      </c>
      <c r="B106" s="14">
        <v>6666010227</v>
      </c>
      <c r="C106" s="14" t="s">
        <v>123</v>
      </c>
      <c r="D106" s="14" t="s">
        <v>118</v>
      </c>
      <c r="E106" s="56">
        <v>2.2130630046376054</v>
      </c>
      <c r="F106" s="56">
        <v>2.1717565868129909</v>
      </c>
      <c r="G106" s="56">
        <v>2.1313040499764595</v>
      </c>
      <c r="H106" s="56">
        <v>2.0998010118623114</v>
      </c>
      <c r="I106" s="56">
        <v>2.0687283516979735</v>
      </c>
      <c r="J106" s="56">
        <v>2.0381637257402754</v>
      </c>
      <c r="K106" s="56">
        <v>2.0220203591124069</v>
      </c>
      <c r="L106" s="56">
        <v>2.0059725784845308</v>
      </c>
      <c r="M106" s="56">
        <v>1.9900218184704506</v>
      </c>
      <c r="N106" s="56">
        <v>1.9558198421074149</v>
      </c>
      <c r="O106" s="56">
        <v>1.9221816630048298</v>
      </c>
      <c r="P106" s="56">
        <v>1.8891220275231744</v>
      </c>
      <c r="Q106" s="80">
        <f t="shared" si="14"/>
        <v>24.507955019430423</v>
      </c>
      <c r="R106" s="15"/>
    </row>
    <row r="107" spans="1:18" s="21" customFormat="1">
      <c r="A107" s="8"/>
      <c r="B107" s="16" t="s">
        <v>116</v>
      </c>
      <c r="C107" s="17" t="s">
        <v>118</v>
      </c>
      <c r="D107" s="18"/>
      <c r="E107" s="58">
        <f t="shared" ref="E107:Q107" si="15">SUM(E100:E106)</f>
        <v>154.32180980764383</v>
      </c>
      <c r="F107" s="57">
        <f t="shared" si="15"/>
        <v>162.61834161019499</v>
      </c>
      <c r="G107" s="57">
        <f t="shared" si="15"/>
        <v>148.62057589570861</v>
      </c>
      <c r="H107" s="57">
        <f t="shared" si="15"/>
        <v>150.27264907288384</v>
      </c>
      <c r="I107" s="57">
        <f t="shared" si="15"/>
        <v>158.68582603459129</v>
      </c>
      <c r="J107" s="57">
        <f t="shared" si="15"/>
        <v>149.34627283044901</v>
      </c>
      <c r="K107" s="57">
        <f t="shared" si="15"/>
        <v>139.74518266587171</v>
      </c>
      <c r="L107" s="57">
        <f t="shared" si="15"/>
        <v>138.63609391455532</v>
      </c>
      <c r="M107" s="57">
        <f t="shared" si="15"/>
        <v>145.54178164026325</v>
      </c>
      <c r="N107" s="57">
        <f t="shared" si="15"/>
        <v>136.74217005024047</v>
      </c>
      <c r="O107" s="57">
        <f t="shared" si="15"/>
        <v>134.39033911571539</v>
      </c>
      <c r="P107" s="57">
        <f t="shared" si="15"/>
        <v>132.07895736188246</v>
      </c>
      <c r="Q107" s="85">
        <f t="shared" si="15"/>
        <v>1751</v>
      </c>
      <c r="R107" s="15"/>
    </row>
    <row r="108" spans="1:18" outlineLevel="1">
      <c r="A108" s="8" t="s">
        <v>16</v>
      </c>
      <c r="B108" s="14">
        <v>6666010302</v>
      </c>
      <c r="C108" s="14" t="s">
        <v>125</v>
      </c>
      <c r="D108" s="14" t="s">
        <v>124</v>
      </c>
      <c r="E108" s="56">
        <v>0.50910438462499685</v>
      </c>
      <c r="F108" s="56">
        <v>0.49961176116290179</v>
      </c>
      <c r="G108" s="56">
        <v>0.49029613460539928</v>
      </c>
      <c r="H108" s="56">
        <v>0.48305037892157565</v>
      </c>
      <c r="I108" s="56">
        <v>0.47591170337101057</v>
      </c>
      <c r="J108" s="56">
        <v>0.46887852548868042</v>
      </c>
      <c r="K108" s="56">
        <v>0.46515726734988128</v>
      </c>
      <c r="L108" s="56">
        <v>0.46146554300583464</v>
      </c>
      <c r="M108" s="56">
        <v>0.45780311806134388</v>
      </c>
      <c r="N108" s="56">
        <v>0.44992935436004305</v>
      </c>
      <c r="O108" s="56">
        <v>0.44219101165606195</v>
      </c>
      <c r="P108" s="56">
        <v>0.43458576084133854</v>
      </c>
      <c r="Q108" s="80">
        <f t="shared" ref="Q108:Q116" si="16">F108+E108+G108+H108+I108+J108+K108+L108+M108+N108+O108+P108</f>
        <v>5.6379849434490676</v>
      </c>
      <c r="R108" s="15"/>
    </row>
    <row r="109" spans="1:18" outlineLevel="1">
      <c r="A109" s="8" t="s">
        <v>16</v>
      </c>
      <c r="B109" s="14">
        <v>6666010314</v>
      </c>
      <c r="C109" s="14" t="s">
        <v>126</v>
      </c>
      <c r="D109" s="14" t="s">
        <v>124</v>
      </c>
      <c r="E109" s="56">
        <v>15.934691062693775</v>
      </c>
      <c r="F109" s="56">
        <v>15.637577097834914</v>
      </c>
      <c r="G109" s="56">
        <v>15.346003040073519</v>
      </c>
      <c r="H109" s="56">
        <v>15.119214817806423</v>
      </c>
      <c r="I109" s="56">
        <v>14.895778145622094</v>
      </c>
      <c r="J109" s="56">
        <v>14.675643493223738</v>
      </c>
      <c r="K109" s="56">
        <v>23.180704444057881</v>
      </c>
      <c r="L109" s="56">
        <v>22.996730599263767</v>
      </c>
      <c r="M109" s="56">
        <v>22.814216864348975</v>
      </c>
      <c r="N109" s="56">
        <v>22.42183475611693</v>
      </c>
      <c r="O109" s="56">
        <v>22.036201234512948</v>
      </c>
      <c r="P109" s="56">
        <v>21.657200230479557</v>
      </c>
      <c r="Q109" s="80">
        <f t="shared" si="16"/>
        <v>226.71579578603453</v>
      </c>
      <c r="R109" s="15"/>
    </row>
    <row r="110" spans="1:18" outlineLevel="1">
      <c r="A110" s="8" t="s">
        <v>16</v>
      </c>
      <c r="B110" s="14">
        <v>6666020401</v>
      </c>
      <c r="C110" s="14" t="s">
        <v>127</v>
      </c>
      <c r="D110" s="14" t="s">
        <v>124</v>
      </c>
      <c r="E110" s="56">
        <v>55.712949303935787</v>
      </c>
      <c r="F110" s="56">
        <v>58.297983537100983</v>
      </c>
      <c r="G110" s="56">
        <v>52.503624363919016</v>
      </c>
      <c r="H110" s="56">
        <v>43.277310400565597</v>
      </c>
      <c r="I110" s="56">
        <v>29.899384472645881</v>
      </c>
      <c r="J110" s="56">
        <v>45.87832852186763</v>
      </c>
      <c r="K110" s="56">
        <v>37.158440991768238</v>
      </c>
      <c r="L110" s="56">
        <v>41.112609249730035</v>
      </c>
      <c r="M110" s="56">
        <v>55.540056616105545</v>
      </c>
      <c r="N110" s="56">
        <v>57.230564128983197</v>
      </c>
      <c r="O110" s="56">
        <v>55.440903047035725</v>
      </c>
      <c r="P110" s="56">
        <v>37.283349140809904</v>
      </c>
      <c r="Q110" s="80">
        <f t="shared" si="16"/>
        <v>569.33550377446761</v>
      </c>
      <c r="R110" s="15"/>
    </row>
    <row r="111" spans="1:18" outlineLevel="1">
      <c r="A111" s="8" t="s">
        <v>16</v>
      </c>
      <c r="B111" s="14">
        <v>6666020502</v>
      </c>
      <c r="C111" s="14" t="s">
        <v>128</v>
      </c>
      <c r="D111" s="14" t="s">
        <v>124</v>
      </c>
      <c r="E111" s="56">
        <v>51.203846381395138</v>
      </c>
      <c r="F111" s="56">
        <v>53.112240793559913</v>
      </c>
      <c r="G111" s="56">
        <v>48.396260828330071</v>
      </c>
      <c r="H111" s="56">
        <v>41.001359434910036</v>
      </c>
      <c r="I111" s="56">
        <v>29.329102227957826</v>
      </c>
      <c r="J111" s="56">
        <v>41.355991821190685</v>
      </c>
      <c r="K111" s="56">
        <v>40.245680275711393</v>
      </c>
      <c r="L111" s="56">
        <v>43.464491604296477</v>
      </c>
      <c r="M111" s="56">
        <v>55.405026604720732</v>
      </c>
      <c r="N111" s="56">
        <v>56.647422400529287</v>
      </c>
      <c r="O111" s="56">
        <v>53.612358966220562</v>
      </c>
      <c r="P111" s="56">
        <v>38.802333502360618</v>
      </c>
      <c r="Q111" s="80">
        <f t="shared" si="16"/>
        <v>552.57611484118274</v>
      </c>
      <c r="R111" s="15"/>
    </row>
    <row r="112" spans="1:18" outlineLevel="1">
      <c r="A112" s="8" t="s">
        <v>16</v>
      </c>
      <c r="B112" s="14">
        <v>6666020503</v>
      </c>
      <c r="C112" s="14" t="s">
        <v>129</v>
      </c>
      <c r="D112" s="14" t="s">
        <v>124</v>
      </c>
      <c r="E112" s="56">
        <v>0.54968413195299792</v>
      </c>
      <c r="F112" s="56">
        <v>0.53943486943375674</v>
      </c>
      <c r="G112" s="56">
        <v>0.5293767119075139</v>
      </c>
      <c r="H112" s="56">
        <v>0.52155341074631922</v>
      </c>
      <c r="I112" s="56">
        <v>0.513845724873221</v>
      </c>
      <c r="J112" s="56">
        <v>0.50625194568790244</v>
      </c>
      <c r="K112" s="56">
        <v>0.50223407310307788</v>
      </c>
      <c r="L112" s="56">
        <v>0.49824808839591056</v>
      </c>
      <c r="M112" s="56">
        <v>0.49429373848800645</v>
      </c>
      <c r="N112" s="56">
        <v>0.48579237197838465</v>
      </c>
      <c r="O112" s="56">
        <v>0.47743722061757704</v>
      </c>
      <c r="P112" s="56">
        <v>0.46922576964872431</v>
      </c>
      <c r="Q112" s="80">
        <f t="shared" si="16"/>
        <v>6.0873780568333924</v>
      </c>
      <c r="R112" s="15"/>
    </row>
    <row r="113" spans="1:18" outlineLevel="1">
      <c r="A113" s="8" t="s">
        <v>16</v>
      </c>
      <c r="B113" s="14">
        <v>6666021502</v>
      </c>
      <c r="C113" s="14" t="s">
        <v>130</v>
      </c>
      <c r="D113" s="14" t="s">
        <v>124</v>
      </c>
      <c r="E113" s="56">
        <v>102.55833333333329</v>
      </c>
      <c r="F113" s="56">
        <v>36.380555555555546</v>
      </c>
      <c r="G113" s="56">
        <v>37.080555555555549</v>
      </c>
      <c r="H113" s="56">
        <v>18.080555555555556</v>
      </c>
      <c r="I113" s="56">
        <v>26.080555555555556</v>
      </c>
      <c r="J113" s="56">
        <v>17.380555555555556</v>
      </c>
      <c r="K113" s="56">
        <v>21.080555555555556</v>
      </c>
      <c r="L113" s="56">
        <v>23.05833333333333</v>
      </c>
      <c r="M113" s="56">
        <v>16.480555555555554</v>
      </c>
      <c r="N113" s="56">
        <v>16.080555555555556</v>
      </c>
      <c r="O113" s="56">
        <v>17.080555555555556</v>
      </c>
      <c r="P113" s="56">
        <v>35.362458935358866</v>
      </c>
      <c r="Q113" s="80">
        <f t="shared" si="16"/>
        <v>366.7041256020255</v>
      </c>
      <c r="R113" s="15"/>
    </row>
    <row r="114" spans="1:18" outlineLevel="1">
      <c r="A114" s="8" t="s">
        <v>16</v>
      </c>
      <c r="B114" s="14">
        <v>6666021503</v>
      </c>
      <c r="C114" s="14" t="s">
        <v>131</v>
      </c>
      <c r="D114" s="14" t="s">
        <v>124</v>
      </c>
      <c r="E114" s="56">
        <v>4.4819676475309933</v>
      </c>
      <c r="F114" s="56">
        <v>4.4819676475310217</v>
      </c>
      <c r="G114" s="56">
        <v>4.481967647531051</v>
      </c>
      <c r="H114" s="56">
        <v>4.481967647531051</v>
      </c>
      <c r="I114" s="56">
        <v>4.4819676475310217</v>
      </c>
      <c r="J114" s="56">
        <v>4.481967647531051</v>
      </c>
      <c r="K114" s="56">
        <v>4.4819676475310217</v>
      </c>
      <c r="L114" s="56">
        <v>4.4819676475309933</v>
      </c>
      <c r="M114" s="56">
        <v>4.481967647531051</v>
      </c>
      <c r="N114" s="56">
        <v>4.4819676475310217</v>
      </c>
      <c r="O114" s="56">
        <v>4.481967647531051</v>
      </c>
      <c r="P114" s="56">
        <v>4.4737164434799448</v>
      </c>
      <c r="Q114" s="80">
        <f t="shared" si="16"/>
        <v>53.775360566321268</v>
      </c>
      <c r="R114" s="15"/>
    </row>
    <row r="115" spans="1:18" outlineLevel="1">
      <c r="A115" s="8" t="s">
        <v>16</v>
      </c>
      <c r="B115" s="14">
        <v>6666021506</v>
      </c>
      <c r="C115" s="14" t="s">
        <v>133</v>
      </c>
      <c r="D115" s="14" t="s">
        <v>124</v>
      </c>
      <c r="E115" s="56">
        <v>91.86333860000002</v>
      </c>
      <c r="F115" s="56">
        <v>48.633532199999983</v>
      </c>
      <c r="G115" s="56">
        <v>37.826080600000012</v>
      </c>
      <c r="H115" s="56">
        <v>32.422354800000001</v>
      </c>
      <c r="I115" s="56">
        <v>37.826080600000012</v>
      </c>
      <c r="J115" s="56">
        <v>43.229806399999994</v>
      </c>
      <c r="K115" s="56">
        <v>48.633532199999983</v>
      </c>
      <c r="L115" s="56">
        <v>48.633532199999998</v>
      </c>
      <c r="M115" s="56">
        <v>27.018629000000004</v>
      </c>
      <c r="N115" s="56">
        <v>32.422354800000001</v>
      </c>
      <c r="O115" s="56">
        <v>43.229806399999994</v>
      </c>
      <c r="P115" s="56">
        <v>48.633532199999983</v>
      </c>
      <c r="Q115" s="80">
        <f t="shared" si="16"/>
        <v>540.37257999999986</v>
      </c>
      <c r="R115" s="15"/>
    </row>
    <row r="116" spans="1:18" outlineLevel="1">
      <c r="A116" s="8" t="s">
        <v>16</v>
      </c>
      <c r="B116" s="14">
        <v>6666091600</v>
      </c>
      <c r="C116" s="14" t="s">
        <v>134</v>
      </c>
      <c r="D116" s="14" t="s">
        <v>124</v>
      </c>
      <c r="E116" s="56">
        <v>0.74150245736838949</v>
      </c>
      <c r="F116" s="56">
        <v>0.72767660193168771</v>
      </c>
      <c r="G116" s="56">
        <v>0.71410853967780941</v>
      </c>
      <c r="H116" s="56">
        <v>0.70355521150523104</v>
      </c>
      <c r="I116" s="56">
        <v>0.69315784384751844</v>
      </c>
      <c r="J116" s="56">
        <v>0.68291413186947625</v>
      </c>
      <c r="K116" s="56">
        <v>0.67749417844194071</v>
      </c>
      <c r="L116" s="56">
        <v>0.67211724051779831</v>
      </c>
      <c r="M116" s="56">
        <v>0.66678297670416498</v>
      </c>
      <c r="N116" s="56">
        <v>0.6553149648198181</v>
      </c>
      <c r="O116" s="56">
        <v>0.64404419146910863</v>
      </c>
      <c r="P116" s="56">
        <v>0.63296726434310424</v>
      </c>
      <c r="Q116" s="80">
        <f t="shared" si="16"/>
        <v>8.2116356024960488</v>
      </c>
      <c r="R116" s="15"/>
    </row>
    <row r="117" spans="1:18" s="21" customFormat="1">
      <c r="A117" s="8"/>
      <c r="B117" s="16" t="s">
        <v>116</v>
      </c>
      <c r="C117" s="17" t="s">
        <v>124</v>
      </c>
      <c r="D117" s="18"/>
      <c r="E117" s="58">
        <f t="shared" ref="E117:Q117" si="17">SUM(E108:E116)</f>
        <v>323.55541730283539</v>
      </c>
      <c r="F117" s="57">
        <f t="shared" si="17"/>
        <v>218.31058006411072</v>
      </c>
      <c r="G117" s="57">
        <f t="shared" si="17"/>
        <v>197.36827342159995</v>
      </c>
      <c r="H117" s="57">
        <f t="shared" si="17"/>
        <v>156.0909216575418</v>
      </c>
      <c r="I117" s="57">
        <f t="shared" si="17"/>
        <v>144.19578392140414</v>
      </c>
      <c r="J117" s="57">
        <f t="shared" si="17"/>
        <v>168.66033804241471</v>
      </c>
      <c r="K117" s="57">
        <f t="shared" si="17"/>
        <v>176.42576663351898</v>
      </c>
      <c r="L117" s="57">
        <f t="shared" si="17"/>
        <v>185.37949550607416</v>
      </c>
      <c r="M117" s="57">
        <f t="shared" si="17"/>
        <v>183.35933212151539</v>
      </c>
      <c r="N117" s="57">
        <f t="shared" si="17"/>
        <v>190.87573597987421</v>
      </c>
      <c r="O117" s="57">
        <f t="shared" si="17"/>
        <v>197.4454652745986</v>
      </c>
      <c r="P117" s="57">
        <f t="shared" si="17"/>
        <v>187.74936924732208</v>
      </c>
      <c r="Q117" s="58">
        <f t="shared" si="17"/>
        <v>2329.4164791728103</v>
      </c>
      <c r="R117" s="15"/>
    </row>
    <row r="118" spans="1:18" s="26" customFormat="1">
      <c r="A118" s="24"/>
      <c r="B118" s="25"/>
      <c r="C118" s="25"/>
      <c r="D118" s="25" t="s">
        <v>135</v>
      </c>
      <c r="E118" s="59">
        <f>SUM(E117,E107,E99,E91,E87,E85,E83,E81,E76,E28,E23,E14)</f>
        <v>2413.5481645745749</v>
      </c>
      <c r="F118" s="59">
        <f t="shared" ref="F118:Q118" si="18">+F117+F107+F99+F91+F87+F85+F83+F81+F76+F28+F14+F23</f>
        <v>2435.1653419969189</v>
      </c>
      <c r="G118" s="59">
        <f t="shared" si="18"/>
        <v>2425.6899085241444</v>
      </c>
      <c r="H118" s="59">
        <f t="shared" si="18"/>
        <v>2248.7747558889946</v>
      </c>
      <c r="I118" s="59">
        <f t="shared" si="18"/>
        <v>2346.7607250098649</v>
      </c>
      <c r="J118" s="59">
        <f t="shared" si="18"/>
        <v>2334.0851697836265</v>
      </c>
      <c r="K118" s="59">
        <f t="shared" si="18"/>
        <v>2300.8199894732206</v>
      </c>
      <c r="L118" s="59">
        <f t="shared" si="18"/>
        <v>2300.5925085821336</v>
      </c>
      <c r="M118" s="59">
        <f t="shared" si="18"/>
        <v>2583.8586883241628</v>
      </c>
      <c r="N118" s="59">
        <f t="shared" si="18"/>
        <v>2535.7531867316302</v>
      </c>
      <c r="O118" s="59">
        <f t="shared" si="18"/>
        <v>2591.425708955976</v>
      </c>
      <c r="P118" s="59">
        <f t="shared" si="18"/>
        <v>2678.5294660810641</v>
      </c>
      <c r="Q118" s="81">
        <f t="shared" si="18"/>
        <v>29195.00361392631</v>
      </c>
      <c r="R118" s="15"/>
    </row>
    <row r="119" spans="1:18"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</row>
    <row r="120" spans="1:18"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</row>
    <row r="121" spans="1:18"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</row>
    <row r="122" spans="1:18" outlineLevel="1">
      <c r="A122" s="8" t="s">
        <v>37</v>
      </c>
      <c r="B122" s="79">
        <v>6666110110</v>
      </c>
      <c r="C122" s="79" t="s">
        <v>21</v>
      </c>
      <c r="D122" s="79"/>
      <c r="E122" s="74">
        <v>0</v>
      </c>
      <c r="F122" s="74">
        <v>0</v>
      </c>
      <c r="G122" s="74">
        <v>0</v>
      </c>
      <c r="H122" s="74">
        <v>0</v>
      </c>
      <c r="I122" s="74">
        <v>0</v>
      </c>
      <c r="J122" s="74">
        <v>0</v>
      </c>
      <c r="K122" s="74">
        <v>0</v>
      </c>
      <c r="L122" s="74">
        <v>0</v>
      </c>
      <c r="M122" s="74">
        <v>0</v>
      </c>
      <c r="N122" s="74">
        <v>0</v>
      </c>
      <c r="O122" s="74">
        <v>0</v>
      </c>
      <c r="P122" s="74">
        <v>0</v>
      </c>
      <c r="Q122" s="75">
        <f>F122+E122+G122+H122+I122+J122+K122+L122+M122+N122+O122+P122</f>
        <v>0</v>
      </c>
      <c r="R122" s="15"/>
    </row>
    <row r="123" spans="1:18" outlineLevel="1">
      <c r="A123" s="8" t="s">
        <v>37</v>
      </c>
      <c r="B123" s="14">
        <v>6666110112</v>
      </c>
      <c r="C123" s="14" t="s">
        <v>22</v>
      </c>
      <c r="D123" s="14"/>
      <c r="E123" s="56">
        <v>0.29308000000000001</v>
      </c>
      <c r="F123" s="56">
        <v>0.29308000000000001</v>
      </c>
      <c r="G123" s="56">
        <v>0.29308000000000001</v>
      </c>
      <c r="H123" s="56">
        <v>0.29308000000000001</v>
      </c>
      <c r="I123" s="56">
        <v>0.29308000000000001</v>
      </c>
      <c r="J123" s="56">
        <v>0.29308000000000001</v>
      </c>
      <c r="K123" s="56">
        <v>0.29308000000000001</v>
      </c>
      <c r="L123" s="56">
        <v>0.29308000000000001</v>
      </c>
      <c r="M123" s="56">
        <v>0.29308000000000001</v>
      </c>
      <c r="N123" s="56">
        <v>0.29308000000000001</v>
      </c>
      <c r="O123" s="56">
        <v>0.29308000000000001</v>
      </c>
      <c r="P123" s="56">
        <v>0.29308000000000001</v>
      </c>
      <c r="Q123" s="80">
        <f>F123+E123+G123+H123+I123+J123+K123+L123+M123+N123+O123+P123</f>
        <v>3.5169599999999992</v>
      </c>
      <c r="R123" s="15"/>
    </row>
    <row r="124" spans="1:18" outlineLevel="1">
      <c r="A124" s="8" t="s">
        <v>37</v>
      </c>
      <c r="B124" s="14">
        <v>6666110207</v>
      </c>
      <c r="C124" s="14" t="s">
        <v>24</v>
      </c>
      <c r="D124" s="14"/>
      <c r="E124" s="56">
        <v>0</v>
      </c>
      <c r="F124" s="56">
        <v>0</v>
      </c>
      <c r="G124" s="56">
        <v>0</v>
      </c>
      <c r="H124" s="56">
        <v>0</v>
      </c>
      <c r="I124" s="56">
        <v>0</v>
      </c>
      <c r="J124" s="56">
        <v>0</v>
      </c>
      <c r="K124" s="56">
        <v>0</v>
      </c>
      <c r="L124" s="56">
        <v>0</v>
      </c>
      <c r="M124" s="56">
        <v>0</v>
      </c>
      <c r="N124" s="56">
        <v>0</v>
      </c>
      <c r="O124" s="56">
        <v>0</v>
      </c>
      <c r="P124" s="56">
        <v>0</v>
      </c>
      <c r="Q124" s="80">
        <f>F124+E124+G124+H124+I124+J124+K124+L124+M124+N124+O124+P124</f>
        <v>0</v>
      </c>
      <c r="R124" s="15"/>
    </row>
    <row r="125" spans="1:18" outlineLevel="1">
      <c r="A125" s="8" t="s">
        <v>37</v>
      </c>
      <c r="B125" s="14">
        <v>6666110506</v>
      </c>
      <c r="C125" s="14" t="s">
        <v>25</v>
      </c>
      <c r="D125" s="14"/>
      <c r="E125" s="56">
        <v>0</v>
      </c>
      <c r="F125" s="56">
        <v>0</v>
      </c>
      <c r="G125" s="56">
        <v>0</v>
      </c>
      <c r="H125" s="56">
        <v>0</v>
      </c>
      <c r="I125" s="56">
        <v>0</v>
      </c>
      <c r="J125" s="56">
        <v>0</v>
      </c>
      <c r="K125" s="56">
        <v>0</v>
      </c>
      <c r="L125" s="56">
        <v>0</v>
      </c>
      <c r="M125" s="56">
        <v>0</v>
      </c>
      <c r="N125" s="56">
        <v>0</v>
      </c>
      <c r="O125" s="56">
        <v>0</v>
      </c>
      <c r="P125" s="56">
        <v>0</v>
      </c>
      <c r="Q125" s="80">
        <f>F125+E125+G125+H125+I125+J125+K125+L125+M125+N125+O125+P125</f>
        <v>0</v>
      </c>
      <c r="R125" s="15"/>
    </row>
    <row r="126" spans="1:18" s="21" customFormat="1">
      <c r="A126" s="8"/>
      <c r="B126" s="16" t="s">
        <v>136</v>
      </c>
      <c r="C126" s="17" t="s">
        <v>18</v>
      </c>
      <c r="D126" s="18"/>
      <c r="E126" s="58">
        <f t="shared" ref="E126:Q126" si="19">SUM(E122:E125)</f>
        <v>0.29308000000000001</v>
      </c>
      <c r="F126" s="57">
        <f t="shared" si="19"/>
        <v>0.29308000000000001</v>
      </c>
      <c r="G126" s="57">
        <f t="shared" si="19"/>
        <v>0.29308000000000001</v>
      </c>
      <c r="H126" s="57">
        <f t="shared" si="19"/>
        <v>0.29308000000000001</v>
      </c>
      <c r="I126" s="57">
        <f t="shared" si="19"/>
        <v>0.29308000000000001</v>
      </c>
      <c r="J126" s="57">
        <f t="shared" si="19"/>
        <v>0.29308000000000001</v>
      </c>
      <c r="K126" s="57">
        <f t="shared" si="19"/>
        <v>0.29308000000000001</v>
      </c>
      <c r="L126" s="57">
        <f t="shared" si="19"/>
        <v>0.29308000000000001</v>
      </c>
      <c r="M126" s="57">
        <f t="shared" si="19"/>
        <v>0.29308000000000001</v>
      </c>
      <c r="N126" s="57">
        <f t="shared" si="19"/>
        <v>0.29308000000000001</v>
      </c>
      <c r="O126" s="57">
        <f t="shared" si="19"/>
        <v>0.29308000000000001</v>
      </c>
      <c r="P126" s="57">
        <f t="shared" si="19"/>
        <v>0.29308000000000001</v>
      </c>
      <c r="Q126" s="58">
        <f t="shared" si="19"/>
        <v>3.5169599999999992</v>
      </c>
      <c r="R126" s="15"/>
    </row>
    <row r="127" spans="1:18" outlineLevel="1">
      <c r="A127" s="8" t="s">
        <v>37</v>
      </c>
      <c r="B127" s="14">
        <v>6666010380</v>
      </c>
      <c r="C127" s="14" t="s">
        <v>29</v>
      </c>
      <c r="D127" s="14"/>
      <c r="E127" s="56">
        <v>0</v>
      </c>
      <c r="F127" s="56">
        <v>0</v>
      </c>
      <c r="G127" s="56">
        <v>0</v>
      </c>
      <c r="H127" s="56">
        <v>0</v>
      </c>
      <c r="I127" s="56">
        <v>0</v>
      </c>
      <c r="J127" s="56">
        <v>0</v>
      </c>
      <c r="K127" s="56">
        <v>0</v>
      </c>
      <c r="L127" s="56">
        <v>0</v>
      </c>
      <c r="M127" s="56">
        <v>0</v>
      </c>
      <c r="N127" s="56">
        <v>0</v>
      </c>
      <c r="O127" s="56">
        <v>0</v>
      </c>
      <c r="P127" s="56">
        <v>0</v>
      </c>
      <c r="Q127" s="80">
        <f>F127+E127+G127+H127+I127+J127+K127+L127+M127+N127+O127+P127</f>
        <v>0</v>
      </c>
      <c r="R127" s="15"/>
    </row>
    <row r="128" spans="1:18" outlineLevel="1">
      <c r="A128" s="8" t="s">
        <v>37</v>
      </c>
      <c r="B128" s="14">
        <v>5102040406</v>
      </c>
      <c r="C128" s="14" t="s">
        <v>137</v>
      </c>
      <c r="D128" s="14"/>
      <c r="E128" s="56">
        <v>0</v>
      </c>
      <c r="F128" s="56">
        <v>0</v>
      </c>
      <c r="G128" s="56">
        <v>0</v>
      </c>
      <c r="H128" s="56">
        <v>0</v>
      </c>
      <c r="I128" s="56">
        <v>0</v>
      </c>
      <c r="J128" s="56">
        <v>0</v>
      </c>
      <c r="K128" s="56">
        <v>0</v>
      </c>
      <c r="L128" s="56">
        <v>0</v>
      </c>
      <c r="M128" s="56">
        <v>0</v>
      </c>
      <c r="N128" s="56">
        <v>0</v>
      </c>
      <c r="O128" s="56">
        <v>0</v>
      </c>
      <c r="P128" s="56">
        <v>0</v>
      </c>
      <c r="Q128" s="80">
        <f>F128+E128+G128+H128+I128+J128+K128+L128+M128+N128+O128+P128</f>
        <v>0</v>
      </c>
      <c r="R128" s="15"/>
    </row>
    <row r="129" spans="1:18" s="21" customFormat="1">
      <c r="A129" s="8"/>
      <c r="B129" s="16" t="s">
        <v>138</v>
      </c>
      <c r="C129" s="17" t="s">
        <v>28</v>
      </c>
      <c r="D129" s="18"/>
      <c r="E129" s="58">
        <f>SUM(E127:E128)</f>
        <v>0</v>
      </c>
      <c r="F129" s="57">
        <f t="shared" ref="F129:L129" si="20">+F128</f>
        <v>0</v>
      </c>
      <c r="G129" s="57">
        <f t="shared" si="20"/>
        <v>0</v>
      </c>
      <c r="H129" s="57">
        <f t="shared" si="20"/>
        <v>0</v>
      </c>
      <c r="I129" s="57">
        <f t="shared" si="20"/>
        <v>0</v>
      </c>
      <c r="J129" s="57">
        <f t="shared" si="20"/>
        <v>0</v>
      </c>
      <c r="K129" s="57">
        <f t="shared" si="20"/>
        <v>0</v>
      </c>
      <c r="L129" s="57">
        <f t="shared" si="20"/>
        <v>0</v>
      </c>
      <c r="M129" s="57">
        <f>+M128+M127</f>
        <v>0</v>
      </c>
      <c r="N129" s="57">
        <f>+N128+N127</f>
        <v>0</v>
      </c>
      <c r="O129" s="57">
        <f>+O128+O127</f>
        <v>0</v>
      </c>
      <c r="P129" s="57">
        <v>0</v>
      </c>
      <c r="Q129" s="58">
        <f>+Q128+Q127</f>
        <v>0</v>
      </c>
      <c r="R129" s="15"/>
    </row>
    <row r="130" spans="1:18" outlineLevel="1">
      <c r="A130" s="8" t="s">
        <v>37</v>
      </c>
      <c r="B130" s="14">
        <v>6666029996</v>
      </c>
      <c r="C130" s="14" t="s">
        <v>82</v>
      </c>
      <c r="D130" s="14"/>
      <c r="E130" s="56">
        <v>0</v>
      </c>
      <c r="F130" s="56">
        <v>0</v>
      </c>
      <c r="G130" s="56">
        <v>0</v>
      </c>
      <c r="H130" s="56">
        <v>0</v>
      </c>
      <c r="I130" s="56">
        <v>0</v>
      </c>
      <c r="J130" s="56">
        <v>0</v>
      </c>
      <c r="K130" s="56">
        <v>0</v>
      </c>
      <c r="L130" s="56">
        <v>0</v>
      </c>
      <c r="M130" s="56">
        <v>0</v>
      </c>
      <c r="N130" s="56">
        <v>0</v>
      </c>
      <c r="O130" s="56">
        <v>0</v>
      </c>
      <c r="P130" s="56">
        <v>0</v>
      </c>
      <c r="Q130" s="80">
        <f t="shared" ref="Q130:Q166" si="21">F130+E130+G130+H130+I130+J130+K130+L130+M130+N130+O130+P130</f>
        <v>0</v>
      </c>
      <c r="R130" s="15"/>
    </row>
    <row r="131" spans="1:18" outlineLevel="1">
      <c r="A131" s="8" t="s">
        <v>37</v>
      </c>
      <c r="B131" s="14">
        <v>6666029700</v>
      </c>
      <c r="C131" s="14" t="s">
        <v>80</v>
      </c>
      <c r="D131" s="14"/>
      <c r="E131" s="56">
        <v>5.4876400000000007</v>
      </c>
      <c r="F131" s="56">
        <v>5.4876400000000007</v>
      </c>
      <c r="G131" s="56">
        <v>5.4876400000000007</v>
      </c>
      <c r="H131" s="56">
        <v>5.4876400000000007</v>
      </c>
      <c r="I131" s="56">
        <v>5.4876400000000007</v>
      </c>
      <c r="J131" s="56">
        <v>5.4876400000000007</v>
      </c>
      <c r="K131" s="56">
        <v>5.4876400000000007</v>
      </c>
      <c r="L131" s="56">
        <v>5.4876400000000007</v>
      </c>
      <c r="M131" s="56">
        <v>5.4876400000000007</v>
      </c>
      <c r="N131" s="56">
        <v>5.4876400000000007</v>
      </c>
      <c r="O131" s="56">
        <v>5.4876400000000007</v>
      </c>
      <c r="P131" s="56">
        <v>5.4876400000000007</v>
      </c>
      <c r="Q131" s="80">
        <f t="shared" si="21"/>
        <v>65.851680000000002</v>
      </c>
      <c r="R131" s="15"/>
    </row>
    <row r="132" spans="1:18" outlineLevel="1">
      <c r="A132" s="8" t="s">
        <v>37</v>
      </c>
      <c r="B132" s="14">
        <v>6666010322</v>
      </c>
      <c r="C132" s="14" t="s">
        <v>57</v>
      </c>
      <c r="D132" s="14"/>
      <c r="E132" s="56">
        <v>3.0748900000000003</v>
      </c>
      <c r="F132" s="56">
        <v>3.0748900000000003</v>
      </c>
      <c r="G132" s="56">
        <v>3.0748900000000003</v>
      </c>
      <c r="H132" s="56">
        <v>3.0748900000000003</v>
      </c>
      <c r="I132" s="56">
        <v>3.0748900000000003</v>
      </c>
      <c r="J132" s="56">
        <v>3.0748900000000003</v>
      </c>
      <c r="K132" s="56">
        <v>3.0748900000000003</v>
      </c>
      <c r="L132" s="56">
        <v>3.0748900000000003</v>
      </c>
      <c r="M132" s="56">
        <v>3.0748900000000003</v>
      </c>
      <c r="N132" s="56">
        <v>3.0748900000000003</v>
      </c>
      <c r="O132" s="56">
        <v>3.0748900000000003</v>
      </c>
      <c r="P132" s="56">
        <v>3.0748900000000003</v>
      </c>
      <c r="Q132" s="80">
        <f t="shared" si="21"/>
        <v>36.898680000000006</v>
      </c>
      <c r="R132" s="15"/>
    </row>
    <row r="133" spans="1:18" outlineLevel="1">
      <c r="A133" s="8" t="s">
        <v>37</v>
      </c>
      <c r="B133" s="14">
        <v>6666020495</v>
      </c>
      <c r="C133" s="14" t="s">
        <v>68</v>
      </c>
      <c r="D133" s="14"/>
      <c r="E133" s="56">
        <v>0</v>
      </c>
      <c r="F133" s="56">
        <v>0</v>
      </c>
      <c r="G133" s="56">
        <v>0</v>
      </c>
      <c r="H133" s="56">
        <v>0</v>
      </c>
      <c r="I133" s="56">
        <v>0</v>
      </c>
      <c r="J133" s="56">
        <v>0</v>
      </c>
      <c r="K133" s="56">
        <v>0</v>
      </c>
      <c r="L133" s="56">
        <v>0</v>
      </c>
      <c r="M133" s="56">
        <v>0</v>
      </c>
      <c r="N133" s="56">
        <v>0</v>
      </c>
      <c r="O133" s="56">
        <v>0</v>
      </c>
      <c r="P133" s="56">
        <v>0</v>
      </c>
      <c r="Q133" s="80">
        <f t="shared" si="21"/>
        <v>0</v>
      </c>
      <c r="R133" s="15"/>
    </row>
    <row r="134" spans="1:18" outlineLevel="1">
      <c r="A134" s="8" t="s">
        <v>37</v>
      </c>
      <c r="B134" s="14">
        <v>5301060000</v>
      </c>
      <c r="C134" s="14" t="s">
        <v>50</v>
      </c>
      <c r="D134" s="14"/>
      <c r="E134" s="56">
        <v>0</v>
      </c>
      <c r="F134" s="56">
        <v>0</v>
      </c>
      <c r="G134" s="56">
        <v>0</v>
      </c>
      <c r="H134" s="56">
        <v>0</v>
      </c>
      <c r="I134" s="56">
        <v>0</v>
      </c>
      <c r="J134" s="56">
        <v>0</v>
      </c>
      <c r="K134" s="56">
        <v>0</v>
      </c>
      <c r="L134" s="56">
        <v>0</v>
      </c>
      <c r="M134" s="56">
        <v>0</v>
      </c>
      <c r="N134" s="56">
        <v>0</v>
      </c>
      <c r="O134" s="56">
        <v>0</v>
      </c>
      <c r="P134" s="56">
        <v>0</v>
      </c>
      <c r="Q134" s="80">
        <f t="shared" si="21"/>
        <v>0</v>
      </c>
      <c r="R134" s="15"/>
    </row>
    <row r="135" spans="1:18" outlineLevel="1">
      <c r="A135" s="8" t="s">
        <v>37</v>
      </c>
      <c r="B135" s="14">
        <v>5601050000</v>
      </c>
      <c r="C135" s="14" t="s">
        <v>53</v>
      </c>
      <c r="D135" s="14"/>
      <c r="E135" s="56">
        <v>0</v>
      </c>
      <c r="F135" s="56">
        <v>0</v>
      </c>
      <c r="G135" s="56">
        <v>0</v>
      </c>
      <c r="H135" s="56">
        <v>0</v>
      </c>
      <c r="I135" s="56">
        <v>0</v>
      </c>
      <c r="J135" s="56">
        <v>0</v>
      </c>
      <c r="K135" s="56">
        <v>0</v>
      </c>
      <c r="L135" s="56">
        <v>0</v>
      </c>
      <c r="M135" s="56">
        <v>0</v>
      </c>
      <c r="N135" s="56">
        <v>0</v>
      </c>
      <c r="O135" s="56">
        <v>0</v>
      </c>
      <c r="P135" s="56">
        <v>0</v>
      </c>
      <c r="Q135" s="80">
        <f t="shared" si="21"/>
        <v>0</v>
      </c>
      <c r="R135" s="15"/>
    </row>
    <row r="136" spans="1:18" outlineLevel="1">
      <c r="A136" s="8" t="s">
        <v>37</v>
      </c>
      <c r="B136" s="14">
        <v>5601050100</v>
      </c>
      <c r="C136" s="14" t="s">
        <v>54</v>
      </c>
      <c r="D136" s="14"/>
      <c r="E136" s="56">
        <v>0</v>
      </c>
      <c r="F136" s="56">
        <v>0</v>
      </c>
      <c r="G136" s="56">
        <v>0</v>
      </c>
      <c r="H136" s="56">
        <v>0</v>
      </c>
      <c r="I136" s="56">
        <v>0</v>
      </c>
      <c r="J136" s="56">
        <v>0</v>
      </c>
      <c r="K136" s="56">
        <v>0</v>
      </c>
      <c r="L136" s="56">
        <v>0</v>
      </c>
      <c r="M136" s="56">
        <v>0</v>
      </c>
      <c r="N136" s="56">
        <v>0</v>
      </c>
      <c r="O136" s="56">
        <v>0</v>
      </c>
      <c r="P136" s="56">
        <v>0</v>
      </c>
      <c r="Q136" s="80">
        <f t="shared" si="21"/>
        <v>0</v>
      </c>
      <c r="R136" s="15"/>
    </row>
    <row r="137" spans="1:18" outlineLevel="1">
      <c r="A137" s="8" t="s">
        <v>37</v>
      </c>
      <c r="B137" s="14">
        <v>5601080000</v>
      </c>
      <c r="C137" s="14" t="s">
        <v>139</v>
      </c>
      <c r="D137" s="14"/>
      <c r="E137" s="56">
        <v>0</v>
      </c>
      <c r="F137" s="56">
        <v>0</v>
      </c>
      <c r="G137" s="56">
        <v>0</v>
      </c>
      <c r="H137" s="56">
        <v>0</v>
      </c>
      <c r="I137" s="56">
        <v>0</v>
      </c>
      <c r="J137" s="56">
        <v>0</v>
      </c>
      <c r="K137" s="56">
        <v>0</v>
      </c>
      <c r="L137" s="56">
        <v>0</v>
      </c>
      <c r="M137" s="56">
        <v>0</v>
      </c>
      <c r="N137" s="56">
        <v>0</v>
      </c>
      <c r="O137" s="56">
        <v>0</v>
      </c>
      <c r="P137" s="56">
        <v>0</v>
      </c>
      <c r="Q137" s="80">
        <f t="shared" si="21"/>
        <v>0</v>
      </c>
      <c r="R137" s="15"/>
    </row>
    <row r="138" spans="1:18" outlineLevel="1">
      <c r="A138" s="8" t="s">
        <v>37</v>
      </c>
      <c r="B138" s="14">
        <v>6666020101</v>
      </c>
      <c r="C138" s="14" t="s">
        <v>58</v>
      </c>
      <c r="D138" s="14"/>
      <c r="E138" s="56">
        <v>0.79074</v>
      </c>
      <c r="F138" s="56">
        <v>0.79074</v>
      </c>
      <c r="G138" s="56">
        <v>0.79074</v>
      </c>
      <c r="H138" s="56">
        <v>0.79074</v>
      </c>
      <c r="I138" s="56">
        <v>0.79074</v>
      </c>
      <c r="J138" s="56">
        <v>0.79074</v>
      </c>
      <c r="K138" s="56">
        <v>0.79074</v>
      </c>
      <c r="L138" s="56">
        <v>0.79074</v>
      </c>
      <c r="M138" s="56">
        <v>0.79074</v>
      </c>
      <c r="N138" s="56">
        <v>0.79074</v>
      </c>
      <c r="O138" s="56">
        <v>0.79074</v>
      </c>
      <c r="P138" s="56">
        <v>0.79074</v>
      </c>
      <c r="Q138" s="80">
        <f t="shared" si="21"/>
        <v>9.4888799999999982</v>
      </c>
      <c r="R138" s="15"/>
    </row>
    <row r="139" spans="1:18" outlineLevel="1">
      <c r="A139" s="8" t="s">
        <v>37</v>
      </c>
      <c r="B139" s="14">
        <v>6666021200</v>
      </c>
      <c r="C139" s="14" t="s">
        <v>178</v>
      </c>
      <c r="D139" s="14"/>
      <c r="E139" s="56">
        <v>2.6991700000000001</v>
      </c>
      <c r="F139" s="56">
        <v>2.6991700000000001</v>
      </c>
      <c r="G139" s="56">
        <v>2.6991700000000001</v>
      </c>
      <c r="H139" s="56">
        <v>2.6991700000000001</v>
      </c>
      <c r="I139" s="56">
        <v>2.6991700000000001</v>
      </c>
      <c r="J139" s="56">
        <v>2.6991700000000001</v>
      </c>
      <c r="K139" s="56">
        <v>2.6991700000000001</v>
      </c>
      <c r="L139" s="56">
        <v>2.6991700000000001</v>
      </c>
      <c r="M139" s="56">
        <v>2.6991700000000001</v>
      </c>
      <c r="N139" s="56">
        <v>2.6991700000000001</v>
      </c>
      <c r="O139" s="56">
        <v>2.6991700000000001</v>
      </c>
      <c r="P139" s="56">
        <v>2.6991700000000001</v>
      </c>
      <c r="Q139" s="80">
        <f t="shared" ref="Q139" si="22">F139+E139+G139+H139+I139+J139+K139+L139+M139+N139+O139+P139</f>
        <v>32.390039999999992</v>
      </c>
      <c r="R139" s="15"/>
    </row>
    <row r="140" spans="1:18" outlineLevel="1">
      <c r="A140" s="8" t="s">
        <v>37</v>
      </c>
      <c r="B140" s="14">
        <v>6666020201</v>
      </c>
      <c r="C140" s="14" t="s">
        <v>59</v>
      </c>
      <c r="D140" s="14"/>
      <c r="E140" s="56">
        <v>0</v>
      </c>
      <c r="F140" s="56">
        <v>0</v>
      </c>
      <c r="G140" s="56">
        <v>0</v>
      </c>
      <c r="H140" s="56">
        <v>0</v>
      </c>
      <c r="I140" s="56">
        <v>0</v>
      </c>
      <c r="J140" s="56">
        <v>0</v>
      </c>
      <c r="K140" s="56">
        <v>0</v>
      </c>
      <c r="L140" s="56">
        <v>0</v>
      </c>
      <c r="M140" s="56">
        <v>0</v>
      </c>
      <c r="N140" s="56">
        <v>0</v>
      </c>
      <c r="O140" s="56">
        <v>0</v>
      </c>
      <c r="P140" s="56">
        <v>0</v>
      </c>
      <c r="Q140" s="80">
        <f t="shared" si="21"/>
        <v>0</v>
      </c>
      <c r="R140" s="15"/>
    </row>
    <row r="141" spans="1:18" outlineLevel="1">
      <c r="A141" s="8" t="s">
        <v>37</v>
      </c>
      <c r="B141" s="14">
        <v>6666020202</v>
      </c>
      <c r="C141" s="14" t="s">
        <v>60</v>
      </c>
      <c r="D141" s="14"/>
      <c r="E141" s="56">
        <v>0.97160999999999997</v>
      </c>
      <c r="F141" s="56">
        <v>0.97160999999999997</v>
      </c>
      <c r="G141" s="56">
        <v>0.97160999999999997</v>
      </c>
      <c r="H141" s="56">
        <v>0.97160999999999997</v>
      </c>
      <c r="I141" s="56">
        <v>0.97160999999999997</v>
      </c>
      <c r="J141" s="56">
        <v>0.97160999999999997</v>
      </c>
      <c r="K141" s="56">
        <v>0.97160999999999997</v>
      </c>
      <c r="L141" s="56">
        <v>0.97160999999999997</v>
      </c>
      <c r="M141" s="56">
        <v>0.97160999999999997</v>
      </c>
      <c r="N141" s="56">
        <v>0.97160999999999997</v>
      </c>
      <c r="O141" s="56">
        <v>0.97160999999999997</v>
      </c>
      <c r="P141" s="56">
        <v>0.97160999999999997</v>
      </c>
      <c r="Q141" s="80">
        <f t="shared" si="21"/>
        <v>11.659319999999999</v>
      </c>
      <c r="R141" s="15"/>
    </row>
    <row r="142" spans="1:18" outlineLevel="1">
      <c r="A142" s="8" t="s">
        <v>37</v>
      </c>
      <c r="B142" s="14">
        <v>6666020204</v>
      </c>
      <c r="C142" s="14" t="s">
        <v>61</v>
      </c>
      <c r="D142" s="14"/>
      <c r="E142" s="56">
        <v>0.53691</v>
      </c>
      <c r="F142" s="56">
        <v>0.53691</v>
      </c>
      <c r="G142" s="56">
        <v>0.53691</v>
      </c>
      <c r="H142" s="56">
        <v>0.53691</v>
      </c>
      <c r="I142" s="56">
        <v>0.53691</v>
      </c>
      <c r="J142" s="56">
        <v>0.53691</v>
      </c>
      <c r="K142" s="56">
        <v>0.53691</v>
      </c>
      <c r="L142" s="56">
        <v>0.53691</v>
      </c>
      <c r="M142" s="56">
        <v>0.53691</v>
      </c>
      <c r="N142" s="56">
        <v>0.53691</v>
      </c>
      <c r="O142" s="56">
        <v>0.53691</v>
      </c>
      <c r="P142" s="56">
        <v>0.53691</v>
      </c>
      <c r="Q142" s="80">
        <f t="shared" si="21"/>
        <v>6.4429199999999982</v>
      </c>
      <c r="R142" s="15"/>
    </row>
    <row r="143" spans="1:18" outlineLevel="1">
      <c r="A143" s="8" t="s">
        <v>37</v>
      </c>
      <c r="B143" s="14">
        <v>6666020301</v>
      </c>
      <c r="C143" s="14" t="s">
        <v>140</v>
      </c>
      <c r="D143" s="14"/>
      <c r="E143" s="56">
        <v>0.35643999999999992</v>
      </c>
      <c r="F143" s="56">
        <v>0.35643999999999992</v>
      </c>
      <c r="G143" s="56">
        <v>0.35643999999999992</v>
      </c>
      <c r="H143" s="56">
        <v>0.35643999999999992</v>
      </c>
      <c r="I143" s="56">
        <v>0.35643999999999992</v>
      </c>
      <c r="J143" s="56">
        <v>0.35643999999999992</v>
      </c>
      <c r="K143" s="56">
        <v>0.35643999999999992</v>
      </c>
      <c r="L143" s="56">
        <v>0.35643999999999992</v>
      </c>
      <c r="M143" s="56">
        <v>0.35643999999999992</v>
      </c>
      <c r="N143" s="56">
        <v>0.35643999999999992</v>
      </c>
      <c r="O143" s="56">
        <v>0.35643999999999992</v>
      </c>
      <c r="P143" s="56">
        <v>0.35643999999999992</v>
      </c>
      <c r="Q143" s="80">
        <f t="shared" si="21"/>
        <v>4.2772800000000002</v>
      </c>
      <c r="R143" s="15"/>
    </row>
    <row r="144" spans="1:18" outlineLevel="1">
      <c r="A144" s="8" t="s">
        <v>37</v>
      </c>
      <c r="B144" s="14">
        <v>6666020403</v>
      </c>
      <c r="C144" s="14" t="s">
        <v>66</v>
      </c>
      <c r="D144" s="14"/>
      <c r="E144" s="56">
        <v>0</v>
      </c>
      <c r="F144" s="56">
        <v>0</v>
      </c>
      <c r="G144" s="56">
        <v>0</v>
      </c>
      <c r="H144" s="56">
        <v>0</v>
      </c>
      <c r="I144" s="56">
        <v>0</v>
      </c>
      <c r="J144" s="56">
        <v>0</v>
      </c>
      <c r="K144" s="56">
        <v>0</v>
      </c>
      <c r="L144" s="56">
        <v>0</v>
      </c>
      <c r="M144" s="56">
        <v>0</v>
      </c>
      <c r="N144" s="56">
        <v>0</v>
      </c>
      <c r="O144" s="56">
        <v>0</v>
      </c>
      <c r="P144" s="56">
        <v>0</v>
      </c>
      <c r="Q144" s="80">
        <f t="shared" si="21"/>
        <v>0</v>
      </c>
      <c r="R144" s="15"/>
    </row>
    <row r="145" spans="1:18" outlineLevel="1">
      <c r="A145" s="8" t="s">
        <v>37</v>
      </c>
      <c r="B145" s="14">
        <v>6666020504</v>
      </c>
      <c r="C145" s="14" t="s">
        <v>69</v>
      </c>
      <c r="D145" s="14"/>
      <c r="E145" s="56">
        <v>0</v>
      </c>
      <c r="F145" s="56">
        <v>0</v>
      </c>
      <c r="G145" s="56">
        <v>0</v>
      </c>
      <c r="H145" s="56">
        <v>0</v>
      </c>
      <c r="I145" s="56">
        <v>0</v>
      </c>
      <c r="J145" s="56">
        <v>0</v>
      </c>
      <c r="K145" s="56">
        <v>0</v>
      </c>
      <c r="L145" s="56">
        <v>0</v>
      </c>
      <c r="M145" s="56">
        <v>0</v>
      </c>
      <c r="N145" s="56">
        <v>0</v>
      </c>
      <c r="O145" s="56">
        <v>0</v>
      </c>
      <c r="P145" s="56">
        <v>0</v>
      </c>
      <c r="Q145" s="80">
        <f t="shared" si="21"/>
        <v>0</v>
      </c>
      <c r="R145" s="15"/>
    </row>
    <row r="146" spans="1:18" outlineLevel="1">
      <c r="A146" s="8" t="s">
        <v>37</v>
      </c>
      <c r="B146" s="14">
        <v>6666020508</v>
      </c>
      <c r="C146" s="14" t="s">
        <v>70</v>
      </c>
      <c r="D146" s="14"/>
      <c r="E146" s="56">
        <v>2.1950000000000004E-2</v>
      </c>
      <c r="F146" s="56">
        <v>2.1950000000000004E-2</v>
      </c>
      <c r="G146" s="56">
        <v>2.1950000000000004E-2</v>
      </c>
      <c r="H146" s="56">
        <v>2.1950000000000004E-2</v>
      </c>
      <c r="I146" s="56">
        <v>2.1950000000000004E-2</v>
      </c>
      <c r="J146" s="56">
        <v>2.1950000000000004E-2</v>
      </c>
      <c r="K146" s="56">
        <v>2.1950000000000004E-2</v>
      </c>
      <c r="L146" s="56">
        <v>2.1950000000000004E-2</v>
      </c>
      <c r="M146" s="56">
        <v>2.1950000000000004E-2</v>
      </c>
      <c r="N146" s="56">
        <v>2.1950000000000004E-2</v>
      </c>
      <c r="O146" s="56">
        <v>2.1950000000000004E-2</v>
      </c>
      <c r="P146" s="56">
        <v>2.1950000000000004E-2</v>
      </c>
      <c r="Q146" s="80">
        <f t="shared" si="21"/>
        <v>0.26340000000000002</v>
      </c>
      <c r="R146" s="15"/>
    </row>
    <row r="147" spans="1:18" outlineLevel="1">
      <c r="A147" s="8" t="s">
        <v>37</v>
      </c>
      <c r="B147" s="14">
        <v>6666020601</v>
      </c>
      <c r="C147" s="14" t="s">
        <v>180</v>
      </c>
      <c r="D147" s="14"/>
      <c r="E147" s="56">
        <v>0.79658000000000007</v>
      </c>
      <c r="F147" s="56">
        <v>0.79658000000000007</v>
      </c>
      <c r="G147" s="56">
        <v>0.79658000000000007</v>
      </c>
      <c r="H147" s="56">
        <v>0.79658000000000007</v>
      </c>
      <c r="I147" s="56">
        <v>0.79658000000000007</v>
      </c>
      <c r="J147" s="56">
        <v>0.79658000000000007</v>
      </c>
      <c r="K147" s="56">
        <v>0.79658000000000007</v>
      </c>
      <c r="L147" s="56">
        <v>0.79658000000000007</v>
      </c>
      <c r="M147" s="56">
        <v>0.79658000000000007</v>
      </c>
      <c r="N147" s="56">
        <v>0.79658000000000007</v>
      </c>
      <c r="O147" s="56">
        <v>0.79658000000000007</v>
      </c>
      <c r="P147" s="56">
        <v>0.79658000000000007</v>
      </c>
      <c r="Q147" s="80">
        <f t="shared" si="21"/>
        <v>9.5589600000000026</v>
      </c>
      <c r="R147" s="15"/>
    </row>
    <row r="148" spans="1:18" outlineLevel="1">
      <c r="A148" s="8" t="s">
        <v>37</v>
      </c>
      <c r="B148" s="14">
        <v>6666020701</v>
      </c>
      <c r="C148" s="14" t="s">
        <v>72</v>
      </c>
      <c r="D148" s="14"/>
      <c r="E148" s="56">
        <v>20.137250000000002</v>
      </c>
      <c r="F148" s="56">
        <v>20.137250000000002</v>
      </c>
      <c r="G148" s="56">
        <v>20.137250000000002</v>
      </c>
      <c r="H148" s="56">
        <v>20.137250000000002</v>
      </c>
      <c r="I148" s="56">
        <v>20.137250000000002</v>
      </c>
      <c r="J148" s="56">
        <v>20.137250000000002</v>
      </c>
      <c r="K148" s="56">
        <v>20.137250000000002</v>
      </c>
      <c r="L148" s="56">
        <v>20.137250000000002</v>
      </c>
      <c r="M148" s="56">
        <v>20.137250000000002</v>
      </c>
      <c r="N148" s="56">
        <v>20.137250000000002</v>
      </c>
      <c r="O148" s="56">
        <v>20.137250000000002</v>
      </c>
      <c r="P148" s="56">
        <v>20.137250000000002</v>
      </c>
      <c r="Q148" s="80">
        <f t="shared" si="21"/>
        <v>241.64699999999996</v>
      </c>
      <c r="R148" s="15"/>
    </row>
    <row r="149" spans="1:18" outlineLevel="1">
      <c r="A149" s="8" t="s">
        <v>37</v>
      </c>
      <c r="B149" s="14">
        <v>6666020801</v>
      </c>
      <c r="C149" s="14" t="s">
        <v>141</v>
      </c>
      <c r="D149" s="14"/>
      <c r="E149" s="56">
        <v>0.96587000000000001</v>
      </c>
      <c r="F149" s="56">
        <v>0.96587000000000001</v>
      </c>
      <c r="G149" s="56">
        <v>0.96587000000000001</v>
      </c>
      <c r="H149" s="56">
        <v>0.96587000000000001</v>
      </c>
      <c r="I149" s="56">
        <v>0.96587000000000001</v>
      </c>
      <c r="J149" s="56">
        <v>0.96587000000000001</v>
      </c>
      <c r="K149" s="56">
        <v>0.96587000000000001</v>
      </c>
      <c r="L149" s="56">
        <v>0.96587000000000001</v>
      </c>
      <c r="M149" s="56">
        <v>0.96587000000000001</v>
      </c>
      <c r="N149" s="56">
        <v>0.96587000000000001</v>
      </c>
      <c r="O149" s="56">
        <v>0.96587000000000001</v>
      </c>
      <c r="P149" s="56">
        <v>0.96587000000000001</v>
      </c>
      <c r="Q149" s="80">
        <f t="shared" si="21"/>
        <v>11.590440000000001</v>
      </c>
      <c r="R149" s="15"/>
    </row>
    <row r="150" spans="1:18" outlineLevel="1">
      <c r="A150" s="8" t="s">
        <v>37</v>
      </c>
      <c r="B150" s="14">
        <v>6666020803</v>
      </c>
      <c r="C150" s="14" t="s">
        <v>74</v>
      </c>
      <c r="D150" s="14"/>
      <c r="E150" s="56">
        <v>0</v>
      </c>
      <c r="F150" s="56">
        <v>0</v>
      </c>
      <c r="G150" s="56">
        <v>0</v>
      </c>
      <c r="H150" s="56">
        <v>0</v>
      </c>
      <c r="I150" s="56">
        <v>0</v>
      </c>
      <c r="J150" s="56">
        <v>0</v>
      </c>
      <c r="K150" s="56">
        <v>0</v>
      </c>
      <c r="L150" s="56">
        <v>0</v>
      </c>
      <c r="M150" s="56">
        <v>0</v>
      </c>
      <c r="N150" s="56">
        <v>0</v>
      </c>
      <c r="O150" s="56">
        <v>0</v>
      </c>
      <c r="P150" s="56">
        <v>0</v>
      </c>
      <c r="Q150" s="80">
        <f t="shared" si="21"/>
        <v>0</v>
      </c>
      <c r="R150" s="15"/>
    </row>
    <row r="151" spans="1:18" outlineLevel="1">
      <c r="A151" s="8" t="s">
        <v>37</v>
      </c>
      <c r="B151" s="14">
        <v>6666021100</v>
      </c>
      <c r="C151" s="14" t="s">
        <v>75</v>
      </c>
      <c r="D151" s="14"/>
      <c r="E151" s="56">
        <v>1.1061300000000001</v>
      </c>
      <c r="F151" s="56">
        <v>1.1061300000000001</v>
      </c>
      <c r="G151" s="56">
        <v>1.1061300000000001</v>
      </c>
      <c r="H151" s="56">
        <v>1.1061300000000001</v>
      </c>
      <c r="I151" s="56">
        <v>1.1061300000000001</v>
      </c>
      <c r="J151" s="56">
        <v>1.1061300000000001</v>
      </c>
      <c r="K151" s="56">
        <v>1.1061300000000001</v>
      </c>
      <c r="L151" s="56">
        <v>1.1061300000000001</v>
      </c>
      <c r="M151" s="56">
        <v>1.1061300000000001</v>
      </c>
      <c r="N151" s="56">
        <v>1.1061300000000001</v>
      </c>
      <c r="O151" s="56">
        <v>1.1061300000000001</v>
      </c>
      <c r="P151" s="56">
        <v>1.1061300000000001</v>
      </c>
      <c r="Q151" s="80">
        <f t="shared" si="21"/>
        <v>13.273560000000002</v>
      </c>
      <c r="R151" s="15"/>
    </row>
    <row r="152" spans="1:18" outlineLevel="1">
      <c r="A152" s="8" t="s">
        <v>37</v>
      </c>
      <c r="B152" s="14">
        <v>6666021102</v>
      </c>
      <c r="C152" s="14" t="s">
        <v>142</v>
      </c>
      <c r="D152" s="14"/>
      <c r="E152" s="56">
        <v>2.9841199999999999</v>
      </c>
      <c r="F152" s="56">
        <v>2.9841199999999999</v>
      </c>
      <c r="G152" s="56">
        <v>2.9841199999999999</v>
      </c>
      <c r="H152" s="56">
        <v>2.9841199999999999</v>
      </c>
      <c r="I152" s="56">
        <v>2.9841199999999999</v>
      </c>
      <c r="J152" s="56">
        <v>2.9841199999999999</v>
      </c>
      <c r="K152" s="56">
        <v>2.9841199999999999</v>
      </c>
      <c r="L152" s="56">
        <v>2.9841199999999999</v>
      </c>
      <c r="M152" s="56">
        <v>2.9841199999999999</v>
      </c>
      <c r="N152" s="56">
        <v>2.9841199999999999</v>
      </c>
      <c r="O152" s="56">
        <v>2.9841199999999999</v>
      </c>
      <c r="P152" s="56">
        <v>2.9841199999999999</v>
      </c>
      <c r="Q152" s="80">
        <f t="shared" si="21"/>
        <v>35.809440000000002</v>
      </c>
      <c r="R152" s="15"/>
    </row>
    <row r="153" spans="1:18" outlineLevel="1">
      <c r="A153" s="8" t="s">
        <v>37</v>
      </c>
      <c r="B153" s="14">
        <v>6666021104</v>
      </c>
      <c r="C153" s="14" t="s">
        <v>76</v>
      </c>
      <c r="D153" s="14"/>
      <c r="E153" s="56">
        <v>0.56647000000000003</v>
      </c>
      <c r="F153" s="56">
        <v>0.56647000000000003</v>
      </c>
      <c r="G153" s="56">
        <v>0.56647000000000003</v>
      </c>
      <c r="H153" s="56">
        <v>0.56647000000000003</v>
      </c>
      <c r="I153" s="56">
        <v>0.56647000000000003</v>
      </c>
      <c r="J153" s="56">
        <v>0.56647000000000003</v>
      </c>
      <c r="K153" s="56">
        <v>0.56647000000000003</v>
      </c>
      <c r="L153" s="56">
        <v>0.56647000000000003</v>
      </c>
      <c r="M153" s="56">
        <v>0.56647000000000003</v>
      </c>
      <c r="N153" s="56">
        <v>0.56647000000000003</v>
      </c>
      <c r="O153" s="56">
        <v>0.56647000000000003</v>
      </c>
      <c r="P153" s="56">
        <v>0.56647000000000003</v>
      </c>
      <c r="Q153" s="80">
        <f t="shared" si="21"/>
        <v>6.7976399999999986</v>
      </c>
      <c r="R153" s="15"/>
    </row>
    <row r="154" spans="1:18" outlineLevel="1">
      <c r="A154" s="8" t="s">
        <v>37</v>
      </c>
      <c r="B154" s="14">
        <v>6666021103</v>
      </c>
      <c r="C154" s="14" t="s">
        <v>179</v>
      </c>
      <c r="D154" s="14"/>
      <c r="E154" s="56">
        <v>3.8497199999999996</v>
      </c>
      <c r="F154" s="56">
        <v>3.8497199999999996</v>
      </c>
      <c r="G154" s="56">
        <v>3.8497199999999996</v>
      </c>
      <c r="H154" s="56">
        <v>3.8497199999999996</v>
      </c>
      <c r="I154" s="56">
        <v>3.8497199999999996</v>
      </c>
      <c r="J154" s="56">
        <v>3.8497199999999996</v>
      </c>
      <c r="K154" s="56">
        <v>3.8497199999999996</v>
      </c>
      <c r="L154" s="56">
        <v>3.8497199999999996</v>
      </c>
      <c r="M154" s="56">
        <v>3.8497199999999996</v>
      </c>
      <c r="N154" s="56">
        <v>3.8497199999999996</v>
      </c>
      <c r="O154" s="56">
        <v>3.8497199999999996</v>
      </c>
      <c r="P154" s="56">
        <v>3.8497199999999996</v>
      </c>
      <c r="Q154" s="80">
        <f t="shared" ref="Q154" si="23">F154+E154+G154+H154+I154+J154+K154+L154+M154+N154+O154+P154</f>
        <v>46.196639999999981</v>
      </c>
      <c r="R154" s="15"/>
    </row>
    <row r="155" spans="1:18" outlineLevel="1">
      <c r="A155" s="8" t="s">
        <v>37</v>
      </c>
      <c r="B155" s="14">
        <v>6666021300</v>
      </c>
      <c r="C155" s="14" t="s">
        <v>143</v>
      </c>
      <c r="D155" s="14"/>
      <c r="E155" s="56">
        <v>3.6754899999999999</v>
      </c>
      <c r="F155" s="56">
        <v>3.6754899999999999</v>
      </c>
      <c r="G155" s="56">
        <v>3.6754899999999999</v>
      </c>
      <c r="H155" s="56">
        <v>3.6754899999999999</v>
      </c>
      <c r="I155" s="56">
        <v>3.6754899999999999</v>
      </c>
      <c r="J155" s="56">
        <v>3.6754899999999999</v>
      </c>
      <c r="K155" s="56">
        <v>3.6754899999999999</v>
      </c>
      <c r="L155" s="56">
        <v>3.6754899999999999</v>
      </c>
      <c r="M155" s="56">
        <v>3.6754899999999999</v>
      </c>
      <c r="N155" s="56">
        <v>3.6754899999999999</v>
      </c>
      <c r="O155" s="56">
        <v>3.6754899999999999</v>
      </c>
      <c r="P155" s="56">
        <v>3.6754899999999999</v>
      </c>
      <c r="Q155" s="80">
        <f t="shared" si="21"/>
        <v>44.105879999999985</v>
      </c>
      <c r="R155" s="15"/>
    </row>
    <row r="156" spans="1:18" outlineLevel="1">
      <c r="A156" s="8" t="s">
        <v>37</v>
      </c>
      <c r="B156" s="14">
        <v>6666021902</v>
      </c>
      <c r="C156" s="14" t="s">
        <v>77</v>
      </c>
      <c r="D156" s="14"/>
      <c r="E156" s="56">
        <v>4.2046500000000009</v>
      </c>
      <c r="F156" s="56">
        <v>4.2046500000000009</v>
      </c>
      <c r="G156" s="56">
        <v>4.2046500000000009</v>
      </c>
      <c r="H156" s="56">
        <v>4.2046500000000009</v>
      </c>
      <c r="I156" s="56">
        <v>4.2046500000000009</v>
      </c>
      <c r="J156" s="56">
        <v>4.2046500000000009</v>
      </c>
      <c r="K156" s="56">
        <v>4.2046500000000009</v>
      </c>
      <c r="L156" s="56">
        <v>4.2046500000000009</v>
      </c>
      <c r="M156" s="56">
        <v>4.2046500000000009</v>
      </c>
      <c r="N156" s="56">
        <v>4.2046500000000009</v>
      </c>
      <c r="O156" s="56">
        <v>4.2046500000000009</v>
      </c>
      <c r="P156" s="56">
        <v>4.2046500000000009</v>
      </c>
      <c r="Q156" s="80">
        <f t="shared" si="21"/>
        <v>50.455800000000011</v>
      </c>
      <c r="R156" s="15"/>
    </row>
    <row r="157" spans="1:18" outlineLevel="1">
      <c r="A157" s="8" t="s">
        <v>37</v>
      </c>
      <c r="B157" s="14">
        <v>6666022100</v>
      </c>
      <c r="C157" s="14" t="s">
        <v>78</v>
      </c>
      <c r="D157" s="14"/>
      <c r="E157" s="56">
        <v>0.56993000000000005</v>
      </c>
      <c r="F157" s="56">
        <v>0.56993000000000005</v>
      </c>
      <c r="G157" s="56">
        <v>0.56993000000000005</v>
      </c>
      <c r="H157" s="56">
        <v>0.56993000000000005</v>
      </c>
      <c r="I157" s="56">
        <v>0.56993000000000005</v>
      </c>
      <c r="J157" s="56">
        <v>0.56993000000000005</v>
      </c>
      <c r="K157" s="56">
        <v>0.56993000000000005</v>
      </c>
      <c r="L157" s="56">
        <v>0.56993000000000005</v>
      </c>
      <c r="M157" s="56">
        <v>0.56993000000000005</v>
      </c>
      <c r="N157" s="56">
        <v>0.56993000000000005</v>
      </c>
      <c r="O157" s="56">
        <v>0.56993000000000005</v>
      </c>
      <c r="P157" s="56">
        <v>0.56993000000000005</v>
      </c>
      <c r="Q157" s="80">
        <f t="shared" si="21"/>
        <v>6.8391600000000023</v>
      </c>
      <c r="R157" s="15"/>
    </row>
    <row r="158" spans="1:18" outlineLevel="1">
      <c r="A158" s="8" t="s">
        <v>16</v>
      </c>
      <c r="B158" s="14">
        <v>6666022300</v>
      </c>
      <c r="C158" s="14" t="s">
        <v>79</v>
      </c>
      <c r="D158" s="14"/>
      <c r="E158" s="56">
        <v>6.3918531215634617</v>
      </c>
      <c r="F158" s="56">
        <v>6.391853121563412</v>
      </c>
      <c r="G158" s="56">
        <v>6.3918531215634369</v>
      </c>
      <c r="H158" s="56">
        <v>6.3918531215634387</v>
      </c>
      <c r="I158" s="56">
        <v>6.3918531215634316</v>
      </c>
      <c r="J158" s="56">
        <v>6.3918531215634076</v>
      </c>
      <c r="K158" s="56">
        <v>6.3918531215635319</v>
      </c>
      <c r="L158" s="56">
        <v>6.3918531215634671</v>
      </c>
      <c r="M158" s="56">
        <v>6.3918531215635301</v>
      </c>
      <c r="N158" s="56">
        <v>6.3918531215635159</v>
      </c>
      <c r="O158" s="56">
        <v>6.3918531215634538</v>
      </c>
      <c r="P158" s="56">
        <v>6.3918531215634307</v>
      </c>
      <c r="Q158" s="80">
        <f t="shared" si="21"/>
        <v>76.702237458761502</v>
      </c>
      <c r="R158" s="15"/>
    </row>
    <row r="159" spans="1:18" outlineLevel="1">
      <c r="A159" s="8" t="s">
        <v>37</v>
      </c>
      <c r="B159" s="14">
        <v>6666029900</v>
      </c>
      <c r="C159" s="14" t="s">
        <v>81</v>
      </c>
      <c r="D159" s="14"/>
      <c r="E159" s="56">
        <v>0</v>
      </c>
      <c r="F159" s="56">
        <v>0</v>
      </c>
      <c r="G159" s="56">
        <v>0</v>
      </c>
      <c r="H159" s="56">
        <v>0</v>
      </c>
      <c r="I159" s="56">
        <v>0</v>
      </c>
      <c r="J159" s="56">
        <v>0</v>
      </c>
      <c r="K159" s="56">
        <v>0</v>
      </c>
      <c r="L159" s="56">
        <v>0</v>
      </c>
      <c r="M159" s="56">
        <v>0</v>
      </c>
      <c r="N159" s="56">
        <v>0</v>
      </c>
      <c r="O159" s="56">
        <v>0</v>
      </c>
      <c r="P159" s="56">
        <v>0</v>
      </c>
      <c r="Q159" s="80">
        <f t="shared" si="21"/>
        <v>0</v>
      </c>
      <c r="R159" s="15"/>
    </row>
    <row r="160" spans="1:18" outlineLevel="1">
      <c r="A160" s="8" t="s">
        <v>37</v>
      </c>
      <c r="B160" s="14">
        <v>6666029997</v>
      </c>
      <c r="C160" s="14" t="s">
        <v>83</v>
      </c>
      <c r="D160" s="14"/>
      <c r="E160" s="56">
        <v>0</v>
      </c>
      <c r="F160" s="56">
        <v>0</v>
      </c>
      <c r="G160" s="56">
        <v>0</v>
      </c>
      <c r="H160" s="56">
        <v>0</v>
      </c>
      <c r="I160" s="56">
        <v>0</v>
      </c>
      <c r="J160" s="56">
        <v>0</v>
      </c>
      <c r="K160" s="56">
        <v>0</v>
      </c>
      <c r="L160" s="56">
        <v>0</v>
      </c>
      <c r="M160" s="56">
        <v>0</v>
      </c>
      <c r="N160" s="56">
        <v>0</v>
      </c>
      <c r="O160" s="56">
        <v>0</v>
      </c>
      <c r="P160" s="56">
        <v>0</v>
      </c>
      <c r="Q160" s="80">
        <f t="shared" si="21"/>
        <v>0</v>
      </c>
      <c r="R160" s="15"/>
    </row>
    <row r="161" spans="1:18" outlineLevel="1">
      <c r="A161" s="8" t="s">
        <v>37</v>
      </c>
      <c r="B161" s="14">
        <v>6666031100</v>
      </c>
      <c r="C161" s="14" t="s">
        <v>144</v>
      </c>
      <c r="D161" s="14"/>
      <c r="E161" s="56">
        <v>0</v>
      </c>
      <c r="F161" s="56">
        <v>0</v>
      </c>
      <c r="G161" s="56">
        <v>0</v>
      </c>
      <c r="H161" s="56">
        <v>0</v>
      </c>
      <c r="I161" s="56">
        <v>0</v>
      </c>
      <c r="J161" s="56">
        <v>0</v>
      </c>
      <c r="K161" s="56">
        <v>0</v>
      </c>
      <c r="L161" s="56">
        <v>0</v>
      </c>
      <c r="M161" s="56">
        <v>0</v>
      </c>
      <c r="N161" s="56">
        <v>0</v>
      </c>
      <c r="O161" s="56">
        <v>0</v>
      </c>
      <c r="P161" s="56">
        <v>0</v>
      </c>
      <c r="Q161" s="80">
        <f t="shared" si="21"/>
        <v>0</v>
      </c>
      <c r="R161" s="15"/>
    </row>
    <row r="162" spans="1:18" outlineLevel="1">
      <c r="A162" s="8" t="s">
        <v>37</v>
      </c>
      <c r="B162" s="14">
        <v>6666050107</v>
      </c>
      <c r="C162" s="14" t="s">
        <v>86</v>
      </c>
      <c r="D162" s="14"/>
      <c r="E162" s="56">
        <v>0</v>
      </c>
      <c r="F162" s="56">
        <v>0</v>
      </c>
      <c r="G162" s="56">
        <v>0</v>
      </c>
      <c r="H162" s="56">
        <v>0</v>
      </c>
      <c r="I162" s="56">
        <v>0</v>
      </c>
      <c r="J162" s="56">
        <v>0</v>
      </c>
      <c r="K162" s="56">
        <v>0</v>
      </c>
      <c r="L162" s="56">
        <v>0</v>
      </c>
      <c r="M162" s="56">
        <v>0</v>
      </c>
      <c r="N162" s="56">
        <v>0</v>
      </c>
      <c r="O162" s="56">
        <v>0</v>
      </c>
      <c r="P162" s="56">
        <v>0</v>
      </c>
      <c r="Q162" s="80">
        <f t="shared" si="21"/>
        <v>0</v>
      </c>
      <c r="R162" s="15"/>
    </row>
    <row r="163" spans="1:18" outlineLevel="1">
      <c r="A163" s="8" t="s">
        <v>37</v>
      </c>
      <c r="B163" s="14">
        <v>6666079999</v>
      </c>
      <c r="C163" s="14" t="s">
        <v>145</v>
      </c>
      <c r="D163" s="14"/>
      <c r="E163" s="56">
        <v>94.969899999999996</v>
      </c>
      <c r="F163" s="56">
        <v>94.969899999999996</v>
      </c>
      <c r="G163" s="56">
        <v>94.969899999999996</v>
      </c>
      <c r="H163" s="56">
        <v>94.969899999999996</v>
      </c>
      <c r="I163" s="56">
        <v>94.969899999999996</v>
      </c>
      <c r="J163" s="56">
        <v>94.969899999999996</v>
      </c>
      <c r="K163" s="56">
        <v>94.969899999999996</v>
      </c>
      <c r="L163" s="56">
        <v>94.969899999999996</v>
      </c>
      <c r="M163" s="56">
        <v>94.969899999999996</v>
      </c>
      <c r="N163" s="56">
        <v>94.969899999999996</v>
      </c>
      <c r="O163" s="56">
        <v>94.969899999999996</v>
      </c>
      <c r="P163" s="56">
        <v>94.969899999999996</v>
      </c>
      <c r="Q163" s="80">
        <f t="shared" si="21"/>
        <v>1139.6388000000002</v>
      </c>
      <c r="R163" s="15"/>
    </row>
    <row r="164" spans="1:18" outlineLevel="1">
      <c r="A164" s="8" t="s">
        <v>37</v>
      </c>
      <c r="B164" s="14">
        <v>6666090100</v>
      </c>
      <c r="C164" s="14" t="s">
        <v>146</v>
      </c>
      <c r="D164" s="14"/>
      <c r="E164" s="56">
        <v>0</v>
      </c>
      <c r="F164" s="56">
        <v>0</v>
      </c>
      <c r="G164" s="56">
        <v>0</v>
      </c>
      <c r="H164" s="56">
        <v>0</v>
      </c>
      <c r="I164" s="56">
        <v>0</v>
      </c>
      <c r="J164" s="56">
        <v>0</v>
      </c>
      <c r="K164" s="56">
        <v>0</v>
      </c>
      <c r="L164" s="56">
        <v>0</v>
      </c>
      <c r="M164" s="56">
        <v>0</v>
      </c>
      <c r="N164" s="56">
        <v>0</v>
      </c>
      <c r="O164" s="56">
        <v>0</v>
      </c>
      <c r="P164" s="56">
        <v>0</v>
      </c>
      <c r="Q164" s="80">
        <f t="shared" si="21"/>
        <v>0</v>
      </c>
      <c r="R164" s="15"/>
    </row>
    <row r="165" spans="1:18" outlineLevel="1">
      <c r="A165" s="8" t="s">
        <v>37</v>
      </c>
      <c r="B165" s="14">
        <v>6666093800</v>
      </c>
      <c r="C165" s="14" t="s">
        <v>92</v>
      </c>
      <c r="D165" s="14"/>
      <c r="E165" s="56">
        <v>0</v>
      </c>
      <c r="F165" s="56">
        <v>0</v>
      </c>
      <c r="G165" s="56">
        <v>0</v>
      </c>
      <c r="H165" s="56">
        <v>0</v>
      </c>
      <c r="I165" s="56">
        <v>0</v>
      </c>
      <c r="J165" s="56">
        <v>0</v>
      </c>
      <c r="K165" s="56">
        <v>0</v>
      </c>
      <c r="L165" s="56">
        <v>0</v>
      </c>
      <c r="M165" s="56">
        <v>0</v>
      </c>
      <c r="N165" s="56">
        <v>0</v>
      </c>
      <c r="O165" s="56">
        <v>0</v>
      </c>
      <c r="P165" s="56">
        <v>0</v>
      </c>
      <c r="Q165" s="80">
        <f t="shared" si="21"/>
        <v>0</v>
      </c>
      <c r="R165" s="15"/>
    </row>
    <row r="166" spans="1:18" outlineLevel="1">
      <c r="A166" s="8" t="s">
        <v>37</v>
      </c>
      <c r="B166" s="14">
        <v>6666021400</v>
      </c>
      <c r="C166" s="14" t="s">
        <v>181</v>
      </c>
      <c r="D166" s="14"/>
      <c r="E166" s="56">
        <v>0.67634000000000005</v>
      </c>
      <c r="F166" s="56">
        <v>0.67634000000000005</v>
      </c>
      <c r="G166" s="56">
        <v>0.67634000000000005</v>
      </c>
      <c r="H166" s="56">
        <v>0.67634000000000005</v>
      </c>
      <c r="I166" s="56">
        <v>0.67634000000000005</v>
      </c>
      <c r="J166" s="56">
        <v>0.67634000000000005</v>
      </c>
      <c r="K166" s="56">
        <v>0.67634000000000005</v>
      </c>
      <c r="L166" s="56">
        <v>0.67634000000000005</v>
      </c>
      <c r="M166" s="56">
        <v>0.67634000000000005</v>
      </c>
      <c r="N166" s="56">
        <v>0.67634000000000005</v>
      </c>
      <c r="O166" s="56">
        <v>0.67634000000000005</v>
      </c>
      <c r="P166" s="56">
        <v>0.67634000000000005</v>
      </c>
      <c r="Q166" s="80">
        <f t="shared" si="21"/>
        <v>8.1160799999999984</v>
      </c>
      <c r="R166" s="15"/>
    </row>
    <row r="167" spans="1:18" s="21" customFormat="1">
      <c r="A167" s="8"/>
      <c r="B167" s="16" t="s">
        <v>147</v>
      </c>
      <c r="C167" s="17" t="s">
        <v>44</v>
      </c>
      <c r="D167" s="18"/>
      <c r="E167" s="58">
        <f t="shared" ref="E167:Q167" si="24">SUM(E130:E166)</f>
        <v>154.83365312156349</v>
      </c>
      <c r="F167" s="57">
        <f t="shared" si="24"/>
        <v>154.83365312156343</v>
      </c>
      <c r="G167" s="57">
        <f t="shared" si="24"/>
        <v>154.83365312156346</v>
      </c>
      <c r="H167" s="57">
        <f t="shared" si="24"/>
        <v>154.83365312156346</v>
      </c>
      <c r="I167" s="57">
        <f t="shared" si="24"/>
        <v>154.83365312156346</v>
      </c>
      <c r="J167" s="57">
        <f t="shared" si="24"/>
        <v>154.83365312156343</v>
      </c>
      <c r="K167" s="57">
        <f t="shared" si="24"/>
        <v>154.83365312156354</v>
      </c>
      <c r="L167" s="57">
        <f t="shared" si="24"/>
        <v>154.83365312156349</v>
      </c>
      <c r="M167" s="57">
        <f t="shared" si="24"/>
        <v>154.83365312156354</v>
      </c>
      <c r="N167" s="57">
        <f t="shared" si="24"/>
        <v>154.83365312156351</v>
      </c>
      <c r="O167" s="57">
        <f t="shared" si="24"/>
        <v>154.83365312156346</v>
      </c>
      <c r="P167" s="57">
        <f t="shared" si="24"/>
        <v>154.83365312156346</v>
      </c>
      <c r="Q167" s="58">
        <f t="shared" si="24"/>
        <v>1858.0038374587614</v>
      </c>
      <c r="R167" s="15"/>
    </row>
    <row r="168" spans="1:18" outlineLevel="1">
      <c r="A168" s="22" t="s">
        <v>37</v>
      </c>
      <c r="B168" s="28">
        <v>5102040000</v>
      </c>
      <c r="C168" t="s">
        <v>95</v>
      </c>
      <c r="E168" s="60">
        <v>0</v>
      </c>
      <c r="F168" s="60">
        <v>0</v>
      </c>
      <c r="G168" s="60">
        <v>0</v>
      </c>
      <c r="H168" s="60">
        <v>0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82">
        <f>F168+E168+G168+H168+I168+J168+K168+L168+M168+N168+O168+P168</f>
        <v>0</v>
      </c>
    </row>
    <row r="169" spans="1:18" s="21" customFormat="1">
      <c r="A169" s="8"/>
      <c r="B169" s="16" t="s">
        <v>148</v>
      </c>
      <c r="C169" s="17" t="s">
        <v>94</v>
      </c>
      <c r="D169" s="18"/>
      <c r="E169" s="58">
        <f>E168</f>
        <v>0</v>
      </c>
      <c r="F169" s="57">
        <f t="shared" ref="F169:Q169" si="25">+F168</f>
        <v>0</v>
      </c>
      <c r="G169" s="57">
        <f t="shared" si="25"/>
        <v>0</v>
      </c>
      <c r="H169" s="57">
        <f t="shared" si="25"/>
        <v>0</v>
      </c>
      <c r="I169" s="57">
        <f t="shared" si="25"/>
        <v>0</v>
      </c>
      <c r="J169" s="57">
        <f t="shared" si="25"/>
        <v>0</v>
      </c>
      <c r="K169" s="57">
        <f t="shared" si="25"/>
        <v>0</v>
      </c>
      <c r="L169" s="57">
        <f t="shared" si="25"/>
        <v>0</v>
      </c>
      <c r="M169" s="57">
        <f t="shared" si="25"/>
        <v>0</v>
      </c>
      <c r="N169" s="57">
        <f t="shared" si="25"/>
        <v>0</v>
      </c>
      <c r="O169" s="57">
        <f t="shared" si="25"/>
        <v>0</v>
      </c>
      <c r="P169" s="57">
        <f t="shared" si="25"/>
        <v>0</v>
      </c>
      <c r="Q169" s="58">
        <f t="shared" si="25"/>
        <v>0</v>
      </c>
      <c r="R169" s="15"/>
    </row>
    <row r="170" spans="1:18" outlineLevel="1">
      <c r="A170" s="22" t="s">
        <v>37</v>
      </c>
      <c r="B170" s="28">
        <v>6666021600</v>
      </c>
      <c r="C170" t="s">
        <v>104</v>
      </c>
      <c r="E170" s="60">
        <v>1.42679</v>
      </c>
      <c r="F170" s="60">
        <v>1.42679</v>
      </c>
      <c r="G170" s="60">
        <v>1.42679</v>
      </c>
      <c r="H170" s="60">
        <v>1.42679</v>
      </c>
      <c r="I170" s="60">
        <v>1.42679</v>
      </c>
      <c r="J170" s="60">
        <v>1.42679</v>
      </c>
      <c r="K170" s="60">
        <v>1.42679</v>
      </c>
      <c r="L170" s="60">
        <v>1.42679</v>
      </c>
      <c r="M170" s="60">
        <v>1.42679</v>
      </c>
      <c r="N170" s="60">
        <v>1.42679</v>
      </c>
      <c r="O170" s="60">
        <v>1.42679</v>
      </c>
      <c r="P170" s="60">
        <v>1.42679</v>
      </c>
      <c r="Q170" s="82">
        <f>F170+E170+G170+H170+I170+J170+K170+L170+M170+N170+O170+P170</f>
        <v>17.121480000000002</v>
      </c>
    </row>
    <row r="171" spans="1:18" outlineLevel="1">
      <c r="A171" s="22" t="s">
        <v>37</v>
      </c>
      <c r="B171" s="28">
        <v>6666021604</v>
      </c>
      <c r="C171" t="s">
        <v>107</v>
      </c>
      <c r="E171" s="60">
        <v>0</v>
      </c>
      <c r="F171" s="60">
        <v>0</v>
      </c>
      <c r="G171" s="60">
        <v>0</v>
      </c>
      <c r="H171" s="60">
        <v>0</v>
      </c>
      <c r="I171" s="60">
        <v>0</v>
      </c>
      <c r="J171" s="60">
        <v>0</v>
      </c>
      <c r="K171" s="60">
        <v>0</v>
      </c>
      <c r="L171" s="60">
        <v>0</v>
      </c>
      <c r="M171" s="60">
        <v>0</v>
      </c>
      <c r="N171" s="60">
        <v>0</v>
      </c>
      <c r="O171" s="60">
        <v>0</v>
      </c>
      <c r="P171" s="60">
        <v>0</v>
      </c>
      <c r="Q171" s="82">
        <f>F171+E171+G171+H171+I171+J171+K171+L171+M171+N171+O171+P171</f>
        <v>0</v>
      </c>
    </row>
    <row r="172" spans="1:18" s="21" customFormat="1">
      <c r="A172" s="8"/>
      <c r="B172" s="16" t="s">
        <v>148</v>
      </c>
      <c r="C172" s="17" t="s">
        <v>105</v>
      </c>
      <c r="D172" s="18"/>
      <c r="E172" s="58">
        <f>SUM(E170:E171)</f>
        <v>1.42679</v>
      </c>
      <c r="F172" s="57">
        <f>+F170</f>
        <v>1.42679</v>
      </c>
      <c r="G172" s="57">
        <f>+G170</f>
        <v>1.42679</v>
      </c>
      <c r="H172" s="57">
        <f>+H170</f>
        <v>1.42679</v>
      </c>
      <c r="I172" s="57">
        <f>+I170</f>
        <v>1.42679</v>
      </c>
      <c r="J172" s="57">
        <f>+J170</f>
        <v>1.42679</v>
      </c>
      <c r="K172" s="57">
        <f t="shared" ref="K172:Q172" si="26">+SUM(K170:K171)</f>
        <v>1.42679</v>
      </c>
      <c r="L172" s="57">
        <f t="shared" si="26"/>
        <v>1.42679</v>
      </c>
      <c r="M172" s="57">
        <f t="shared" si="26"/>
        <v>1.42679</v>
      </c>
      <c r="N172" s="57">
        <f t="shared" si="26"/>
        <v>1.42679</v>
      </c>
      <c r="O172" s="57">
        <f t="shared" si="26"/>
        <v>1.42679</v>
      </c>
      <c r="P172" s="57">
        <f t="shared" si="26"/>
        <v>1.42679</v>
      </c>
      <c r="Q172" s="58">
        <f t="shared" si="26"/>
        <v>17.121480000000002</v>
      </c>
      <c r="R172" s="15"/>
    </row>
    <row r="173" spans="1:18" outlineLevel="2">
      <c r="A173" s="22" t="s">
        <v>37</v>
      </c>
      <c r="B173" s="28">
        <v>6666010012</v>
      </c>
      <c r="C173" t="s">
        <v>113</v>
      </c>
      <c r="E173" s="60">
        <v>0</v>
      </c>
      <c r="F173" s="60">
        <v>0</v>
      </c>
      <c r="G173" s="60">
        <v>0</v>
      </c>
      <c r="H173" s="60">
        <v>0</v>
      </c>
      <c r="I173" s="60">
        <v>0</v>
      </c>
      <c r="J173" s="60">
        <v>0</v>
      </c>
      <c r="K173" s="60">
        <v>0</v>
      </c>
      <c r="L173" s="60">
        <v>0</v>
      </c>
      <c r="M173" s="60">
        <v>0</v>
      </c>
      <c r="N173" s="60">
        <v>0</v>
      </c>
      <c r="O173" s="60">
        <v>0</v>
      </c>
      <c r="P173" s="60">
        <v>0</v>
      </c>
      <c r="Q173" s="82">
        <f>F173+E173+G173+H173+I173+J173+K173+L173+M173+N173+O173+P173</f>
        <v>0</v>
      </c>
    </row>
    <row r="174" spans="1:18" outlineLevel="2">
      <c r="A174" s="22" t="s">
        <v>37</v>
      </c>
      <c r="B174" s="28">
        <v>6666010102</v>
      </c>
      <c r="C174" t="s">
        <v>149</v>
      </c>
      <c r="E174" s="60">
        <v>0</v>
      </c>
      <c r="F174" s="60">
        <v>0</v>
      </c>
      <c r="G174" s="60">
        <v>0</v>
      </c>
      <c r="H174" s="60">
        <v>0</v>
      </c>
      <c r="I174" s="60">
        <v>0</v>
      </c>
      <c r="J174" s="60">
        <v>0</v>
      </c>
      <c r="K174" s="60">
        <v>0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82">
        <f>F174+E174+G174+H174+I174+J174+K174+L174+M174+N174+O174+P174</f>
        <v>0</v>
      </c>
    </row>
    <row r="175" spans="1:18" s="21" customFormat="1">
      <c r="A175" s="8"/>
      <c r="B175" s="16" t="s">
        <v>150</v>
      </c>
      <c r="C175" s="17" t="s">
        <v>109</v>
      </c>
      <c r="D175" s="18"/>
      <c r="E175" s="58">
        <f t="shared" ref="E175:P175" si="27">SUM(E173:E174)</f>
        <v>0</v>
      </c>
      <c r="F175" s="57">
        <f t="shared" si="27"/>
        <v>0</v>
      </c>
      <c r="G175" s="57">
        <f t="shared" si="27"/>
        <v>0</v>
      </c>
      <c r="H175" s="57">
        <f t="shared" si="27"/>
        <v>0</v>
      </c>
      <c r="I175" s="57">
        <f t="shared" si="27"/>
        <v>0</v>
      </c>
      <c r="J175" s="57">
        <f t="shared" si="27"/>
        <v>0</v>
      </c>
      <c r="K175" s="57">
        <f t="shared" si="27"/>
        <v>0</v>
      </c>
      <c r="L175" s="57">
        <f t="shared" si="27"/>
        <v>0</v>
      </c>
      <c r="M175" s="57">
        <f t="shared" si="27"/>
        <v>0</v>
      </c>
      <c r="N175" s="57">
        <f t="shared" si="27"/>
        <v>0</v>
      </c>
      <c r="O175" s="57">
        <f t="shared" si="27"/>
        <v>0</v>
      </c>
      <c r="P175" s="57">
        <f t="shared" si="27"/>
        <v>0</v>
      </c>
      <c r="Q175" s="58">
        <f>+SUM(Q173:Q174)</f>
        <v>0</v>
      </c>
      <c r="R175" s="15"/>
    </row>
    <row r="176" spans="1:18" outlineLevel="2">
      <c r="A176" s="22" t="s">
        <v>37</v>
      </c>
      <c r="B176" s="28">
        <v>6666010196</v>
      </c>
      <c r="C176" t="s">
        <v>117</v>
      </c>
      <c r="E176" s="60">
        <v>0</v>
      </c>
      <c r="F176" s="60">
        <v>0</v>
      </c>
      <c r="G176" s="60">
        <v>0</v>
      </c>
      <c r="H176" s="60">
        <v>0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60">
        <v>0</v>
      </c>
      <c r="O176" s="60">
        <v>0</v>
      </c>
      <c r="P176" s="60">
        <v>0</v>
      </c>
      <c r="Q176" s="82">
        <f>F176+E176+G176+H176+I176+J176+K176+L176+M176+N176+O176+P176</f>
        <v>0</v>
      </c>
    </row>
    <row r="177" spans="1:18" outlineLevel="2">
      <c r="A177" s="22" t="s">
        <v>37</v>
      </c>
      <c r="B177" s="28">
        <v>6666010101</v>
      </c>
      <c r="C177" t="s">
        <v>119</v>
      </c>
      <c r="E177" s="60">
        <v>53.87238</v>
      </c>
      <c r="F177" s="60">
        <v>53.87238</v>
      </c>
      <c r="G177" s="60">
        <v>53.87238</v>
      </c>
      <c r="H177" s="60">
        <v>53.87238</v>
      </c>
      <c r="I177" s="60">
        <v>53.87238</v>
      </c>
      <c r="J177" s="60">
        <v>53.87238</v>
      </c>
      <c r="K177" s="60">
        <v>53.87238</v>
      </c>
      <c r="L177" s="60">
        <v>53.87238</v>
      </c>
      <c r="M177" s="60">
        <v>53.87238</v>
      </c>
      <c r="N177" s="60">
        <v>53.87238</v>
      </c>
      <c r="O177" s="60">
        <v>53.87238</v>
      </c>
      <c r="P177" s="60">
        <v>53.87238</v>
      </c>
      <c r="Q177" s="82">
        <f>F177+E177+G177+H177+I177+J177+K177+L177+M177+N177+O177+P177</f>
        <v>646.46856000000014</v>
      </c>
    </row>
    <row r="178" spans="1:18" outlineLevel="2">
      <c r="A178" s="22" t="s">
        <v>37</v>
      </c>
      <c r="B178" s="28">
        <v>6666010199</v>
      </c>
      <c r="C178" t="s">
        <v>120</v>
      </c>
      <c r="E178" s="60">
        <v>0</v>
      </c>
      <c r="F178" s="60">
        <v>0</v>
      </c>
      <c r="G178" s="60">
        <v>0</v>
      </c>
      <c r="H178" s="60">
        <v>0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60">
        <v>0</v>
      </c>
      <c r="O178" s="60">
        <v>0</v>
      </c>
      <c r="P178" s="60">
        <v>0</v>
      </c>
      <c r="Q178" s="82">
        <f>F178+E178+G178+H178+I178+J178+K178+L178+M178+N178+O178+P178</f>
        <v>0</v>
      </c>
    </row>
    <row r="179" spans="1:18" outlineLevel="2">
      <c r="A179" s="22" t="s">
        <v>37</v>
      </c>
      <c r="B179" s="28">
        <v>6666010207</v>
      </c>
      <c r="C179" t="s">
        <v>122</v>
      </c>
      <c r="E179" s="60">
        <v>0</v>
      </c>
      <c r="F179" s="60">
        <v>0</v>
      </c>
      <c r="G179" s="60">
        <v>0</v>
      </c>
      <c r="H179" s="60">
        <v>0</v>
      </c>
      <c r="I179" s="60">
        <v>0</v>
      </c>
      <c r="J179" s="60">
        <v>0</v>
      </c>
      <c r="K179" s="60">
        <v>0</v>
      </c>
      <c r="L179" s="60">
        <v>0</v>
      </c>
      <c r="M179" s="60">
        <v>0</v>
      </c>
      <c r="N179" s="60">
        <v>0</v>
      </c>
      <c r="O179" s="60">
        <v>0</v>
      </c>
      <c r="P179" s="60">
        <v>0</v>
      </c>
      <c r="Q179" s="82">
        <f>F179+E179+G179+H179+I179+J179+K179+L179+M179+N179+O179+P179</f>
        <v>0</v>
      </c>
    </row>
    <row r="180" spans="1:18" outlineLevel="2">
      <c r="A180" s="22" t="s">
        <v>37</v>
      </c>
      <c r="B180" s="28">
        <v>6666010227</v>
      </c>
      <c r="C180" t="s">
        <v>151</v>
      </c>
      <c r="E180" s="60">
        <v>0</v>
      </c>
      <c r="F180" s="60">
        <v>0</v>
      </c>
      <c r="G180" s="60">
        <v>0</v>
      </c>
      <c r="H180" s="60">
        <v>0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82">
        <f>F180+E180+G180+H180+I180+J180+K180+L180+M180+N180+O180+P180</f>
        <v>0</v>
      </c>
    </row>
    <row r="181" spans="1:18" s="21" customFormat="1">
      <c r="A181" s="8"/>
      <c r="B181" s="16" t="s">
        <v>152</v>
      </c>
      <c r="C181" s="17" t="s">
        <v>118</v>
      </c>
      <c r="D181" s="18"/>
      <c r="E181" s="58">
        <f t="shared" ref="E181:Q181" si="28">SUM(E176:E180)</f>
        <v>53.87238</v>
      </c>
      <c r="F181" s="57">
        <f t="shared" si="28"/>
        <v>53.87238</v>
      </c>
      <c r="G181" s="57">
        <f t="shared" si="28"/>
        <v>53.87238</v>
      </c>
      <c r="H181" s="57">
        <f t="shared" si="28"/>
        <v>53.87238</v>
      </c>
      <c r="I181" s="57">
        <f t="shared" si="28"/>
        <v>53.87238</v>
      </c>
      <c r="J181" s="57">
        <f t="shared" si="28"/>
        <v>53.87238</v>
      </c>
      <c r="K181" s="57">
        <f t="shared" si="28"/>
        <v>53.87238</v>
      </c>
      <c r="L181" s="57">
        <f t="shared" si="28"/>
        <v>53.87238</v>
      </c>
      <c r="M181" s="57">
        <f t="shared" si="28"/>
        <v>53.87238</v>
      </c>
      <c r="N181" s="57">
        <f t="shared" si="28"/>
        <v>53.87238</v>
      </c>
      <c r="O181" s="57">
        <f t="shared" si="28"/>
        <v>53.87238</v>
      </c>
      <c r="P181" s="57">
        <f t="shared" si="28"/>
        <v>53.87238</v>
      </c>
      <c r="Q181" s="58">
        <f t="shared" si="28"/>
        <v>646.46856000000014</v>
      </c>
      <c r="R181" s="15"/>
    </row>
    <row r="182" spans="1:18" outlineLevel="2">
      <c r="A182" s="22" t="s">
        <v>37</v>
      </c>
      <c r="B182" s="28">
        <v>6666010314</v>
      </c>
      <c r="C182" t="s">
        <v>126</v>
      </c>
      <c r="E182" s="60">
        <v>0.49185000000000001</v>
      </c>
      <c r="F182" s="60">
        <v>0.49185000000000001</v>
      </c>
      <c r="G182" s="60">
        <v>0.49185000000000001</v>
      </c>
      <c r="H182" s="60">
        <v>0.49185000000000001</v>
      </c>
      <c r="I182" s="60">
        <v>0.49185000000000001</v>
      </c>
      <c r="J182" s="60">
        <v>0.49185000000000001</v>
      </c>
      <c r="K182" s="60">
        <v>0.49185000000000001</v>
      </c>
      <c r="L182" s="60">
        <v>0.49185000000000001</v>
      </c>
      <c r="M182" s="60">
        <v>0.49185000000000001</v>
      </c>
      <c r="N182" s="60">
        <v>0.49185000000000001</v>
      </c>
      <c r="O182" s="60">
        <v>0.49185000000000001</v>
      </c>
      <c r="P182" s="60">
        <v>0.49185000000000001</v>
      </c>
      <c r="Q182" s="82">
        <f t="shared" ref="Q182:Q188" si="29">F182+E182+G182+H182+I182+J182+K182+L182+M182+N182+O182+P182</f>
        <v>5.9022000000000006</v>
      </c>
    </row>
    <row r="183" spans="1:18" outlineLevel="2">
      <c r="A183" s="22" t="s">
        <v>37</v>
      </c>
      <c r="B183" s="28">
        <v>6666020401</v>
      </c>
      <c r="C183" t="s">
        <v>127</v>
      </c>
      <c r="E183" s="60">
        <v>1.5831399999999998</v>
      </c>
      <c r="F183" s="60">
        <v>1.5945499999999999</v>
      </c>
      <c r="G183" s="60">
        <v>1.5945499999999999</v>
      </c>
      <c r="H183" s="60">
        <v>1.5945499999999999</v>
      </c>
      <c r="I183" s="60">
        <v>1.6593000000000002</v>
      </c>
      <c r="J183" s="60">
        <v>1.5704099999999999</v>
      </c>
      <c r="K183" s="60">
        <v>1.7391600000000003</v>
      </c>
      <c r="L183" s="60">
        <v>1.7333200000000002</v>
      </c>
      <c r="M183" s="60">
        <v>1.7391600000000003</v>
      </c>
      <c r="N183" s="60">
        <v>1.7274800000000003</v>
      </c>
      <c r="O183" s="60">
        <v>1.7802500000000003</v>
      </c>
      <c r="P183" s="60">
        <v>1.7742200000000001</v>
      </c>
      <c r="Q183" s="82">
        <f t="shared" si="29"/>
        <v>20.09009</v>
      </c>
    </row>
    <row r="184" spans="1:18" outlineLevel="2">
      <c r="A184" s="22" t="s">
        <v>37</v>
      </c>
      <c r="B184" s="28">
        <v>6666020502</v>
      </c>
      <c r="C184" t="s">
        <v>128</v>
      </c>
      <c r="E184" s="60">
        <v>2.1760600000000001</v>
      </c>
      <c r="F184" s="60">
        <v>2.2845</v>
      </c>
      <c r="G184" s="60">
        <v>2.2845</v>
      </c>
      <c r="H184" s="60">
        <v>2.2845</v>
      </c>
      <c r="I184" s="60">
        <v>2.3043299999999998</v>
      </c>
      <c r="J184" s="60">
        <v>1.98698</v>
      </c>
      <c r="K184" s="60">
        <v>2.6006900000000002</v>
      </c>
      <c r="L184" s="60">
        <v>2.5778000000000003</v>
      </c>
      <c r="M184" s="60">
        <v>2.6006900000000002</v>
      </c>
      <c r="N184" s="60">
        <v>2.55491</v>
      </c>
      <c r="O184" s="60">
        <v>2.5778000000000003</v>
      </c>
      <c r="P184" s="60">
        <v>2.55491</v>
      </c>
      <c r="Q184" s="82">
        <f t="shared" si="29"/>
        <v>28.787669999999999</v>
      </c>
    </row>
    <row r="185" spans="1:18" outlineLevel="2">
      <c r="A185" s="22" t="s">
        <v>37</v>
      </c>
      <c r="B185" s="28">
        <v>6666020503</v>
      </c>
      <c r="C185" t="s">
        <v>129</v>
      </c>
      <c r="E185" s="60">
        <v>0</v>
      </c>
      <c r="F185" s="60">
        <v>0</v>
      </c>
      <c r="G185" s="60">
        <v>0</v>
      </c>
      <c r="H185" s="60">
        <v>0</v>
      </c>
      <c r="I185" s="60">
        <v>0</v>
      </c>
      <c r="J185" s="60">
        <v>0</v>
      </c>
      <c r="K185" s="60">
        <v>0</v>
      </c>
      <c r="L185" s="60">
        <v>0</v>
      </c>
      <c r="M185" s="60">
        <v>0</v>
      </c>
      <c r="N185" s="60">
        <v>0</v>
      </c>
      <c r="O185" s="60">
        <v>0</v>
      </c>
      <c r="P185" s="60">
        <v>0</v>
      </c>
      <c r="Q185" s="82">
        <f t="shared" si="29"/>
        <v>0</v>
      </c>
    </row>
    <row r="186" spans="1:18" outlineLevel="2">
      <c r="A186" s="22" t="s">
        <v>37</v>
      </c>
      <c r="B186" s="28">
        <v>6666021502</v>
      </c>
      <c r="C186" t="s">
        <v>130</v>
      </c>
      <c r="E186" s="60">
        <v>0</v>
      </c>
      <c r="F186" s="60">
        <v>0</v>
      </c>
      <c r="G186" s="60">
        <v>0</v>
      </c>
      <c r="H186" s="60">
        <v>0</v>
      </c>
      <c r="I186" s="60">
        <v>0</v>
      </c>
      <c r="J186" s="60">
        <v>0</v>
      </c>
      <c r="K186" s="60">
        <v>0</v>
      </c>
      <c r="L186" s="60">
        <v>0</v>
      </c>
      <c r="M186" s="60">
        <v>0</v>
      </c>
      <c r="N186" s="60">
        <v>0</v>
      </c>
      <c r="O186" s="60">
        <v>0</v>
      </c>
      <c r="P186" s="60">
        <v>0</v>
      </c>
      <c r="Q186" s="82">
        <f t="shared" si="29"/>
        <v>0</v>
      </c>
    </row>
    <row r="187" spans="1:18" outlineLevel="2">
      <c r="A187" s="22" t="s">
        <v>37</v>
      </c>
      <c r="B187" s="28">
        <v>6666021505</v>
      </c>
      <c r="C187" t="s">
        <v>132</v>
      </c>
      <c r="E187" s="60">
        <v>0</v>
      </c>
      <c r="F187" s="60">
        <v>0</v>
      </c>
      <c r="G187" s="60">
        <v>0</v>
      </c>
      <c r="H187" s="60">
        <v>0</v>
      </c>
      <c r="I187" s="60">
        <v>0</v>
      </c>
      <c r="J187" s="60">
        <v>0</v>
      </c>
      <c r="K187" s="60">
        <v>0</v>
      </c>
      <c r="L187" s="60">
        <v>0</v>
      </c>
      <c r="M187" s="60">
        <v>0</v>
      </c>
      <c r="N187" s="60">
        <v>0</v>
      </c>
      <c r="O187" s="60">
        <v>0</v>
      </c>
      <c r="P187" s="60">
        <v>0</v>
      </c>
      <c r="Q187" s="82">
        <f t="shared" si="29"/>
        <v>0</v>
      </c>
    </row>
    <row r="188" spans="1:18" outlineLevel="2">
      <c r="A188" s="22" t="s">
        <v>37</v>
      </c>
      <c r="B188" s="28">
        <v>6666091600</v>
      </c>
      <c r="C188" t="s">
        <v>134</v>
      </c>
      <c r="E188" s="60">
        <v>0.41657</v>
      </c>
      <c r="F188" s="60">
        <v>0.41657</v>
      </c>
      <c r="G188" s="60">
        <v>0.41657</v>
      </c>
      <c r="H188" s="60">
        <v>0.41657</v>
      </c>
      <c r="I188" s="60">
        <v>0.41657</v>
      </c>
      <c r="J188" s="60">
        <v>0.41657</v>
      </c>
      <c r="K188" s="60">
        <v>0.41657</v>
      </c>
      <c r="L188" s="60">
        <v>0.41657</v>
      </c>
      <c r="M188" s="60">
        <v>0.41657</v>
      </c>
      <c r="N188" s="60">
        <v>0.41657</v>
      </c>
      <c r="O188" s="60">
        <v>0.41657</v>
      </c>
      <c r="P188" s="60">
        <v>0.41657</v>
      </c>
      <c r="Q188" s="82">
        <f t="shared" si="29"/>
        <v>4.9988400000000004</v>
      </c>
    </row>
    <row r="189" spans="1:18" s="21" customFormat="1">
      <c r="A189" s="8"/>
      <c r="B189" s="16" t="s">
        <v>153</v>
      </c>
      <c r="C189" s="17" t="s">
        <v>124</v>
      </c>
      <c r="D189" s="18"/>
      <c r="E189" s="58">
        <f t="shared" ref="E189:Q189" si="30">SUM(E182:E188)</f>
        <v>4.6676199999999994</v>
      </c>
      <c r="F189" s="57">
        <f t="shared" si="30"/>
        <v>4.7874699999999999</v>
      </c>
      <c r="G189" s="57">
        <f t="shared" si="30"/>
        <v>4.7874699999999999</v>
      </c>
      <c r="H189" s="57">
        <f t="shared" si="30"/>
        <v>4.7874699999999999</v>
      </c>
      <c r="I189" s="57">
        <f t="shared" si="30"/>
        <v>4.8720499999999998</v>
      </c>
      <c r="J189" s="57">
        <f t="shared" si="30"/>
        <v>4.4658099999999994</v>
      </c>
      <c r="K189" s="57">
        <f t="shared" si="30"/>
        <v>5.2482700000000007</v>
      </c>
      <c r="L189" s="57">
        <f t="shared" si="30"/>
        <v>5.2195400000000003</v>
      </c>
      <c r="M189" s="57">
        <f t="shared" si="30"/>
        <v>5.2482700000000007</v>
      </c>
      <c r="N189" s="57">
        <f t="shared" si="30"/>
        <v>5.1908100000000008</v>
      </c>
      <c r="O189" s="57">
        <f t="shared" si="30"/>
        <v>5.2664700000000009</v>
      </c>
      <c r="P189" s="57">
        <f t="shared" si="30"/>
        <v>5.2375500000000006</v>
      </c>
      <c r="Q189" s="58">
        <f t="shared" si="30"/>
        <v>59.778800000000004</v>
      </c>
      <c r="R189" s="15"/>
    </row>
    <row r="190" spans="1:18" s="26" customFormat="1">
      <c r="A190" s="22"/>
      <c r="B190" s="29"/>
      <c r="C190" s="30"/>
      <c r="D190" s="30" t="s">
        <v>154</v>
      </c>
      <c r="E190" s="62">
        <f>SUM(E189,E181,E175,E172,E169,E167,E129,E126)</f>
        <v>215.09352312156349</v>
      </c>
      <c r="F190" s="62">
        <f t="shared" ref="F190:Q190" si="31">+F126+F129+F167+F169+F172+F175+F181+F189</f>
        <v>215.21337312156345</v>
      </c>
      <c r="G190" s="63">
        <f t="shared" si="31"/>
        <v>215.21337312156348</v>
      </c>
      <c r="H190" s="63">
        <f t="shared" si="31"/>
        <v>215.21337312156348</v>
      </c>
      <c r="I190" s="63">
        <f t="shared" si="31"/>
        <v>215.29795312156347</v>
      </c>
      <c r="J190" s="63">
        <f t="shared" si="31"/>
        <v>214.89171312156344</v>
      </c>
      <c r="K190" s="63">
        <f t="shared" si="31"/>
        <v>215.67417312156354</v>
      </c>
      <c r="L190" s="63">
        <f t="shared" si="31"/>
        <v>215.64544312156349</v>
      </c>
      <c r="M190" s="63">
        <f t="shared" si="31"/>
        <v>215.67417312156354</v>
      </c>
      <c r="N190" s="63">
        <f t="shared" si="31"/>
        <v>215.61671312156352</v>
      </c>
      <c r="O190" s="63">
        <f t="shared" si="31"/>
        <v>215.69237312156346</v>
      </c>
      <c r="P190" s="63">
        <f t="shared" si="31"/>
        <v>215.66345312156346</v>
      </c>
      <c r="Q190" s="83">
        <f t="shared" si="31"/>
        <v>2584.8896374587616</v>
      </c>
    </row>
    <row r="191" spans="1:18"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</row>
    <row r="192" spans="1:18"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23"/>
    </row>
    <row r="193" spans="1:17"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</row>
    <row r="194" spans="1:17" s="26" customFormat="1">
      <c r="A194" s="22"/>
      <c r="B194" s="31"/>
      <c r="C194" s="31"/>
      <c r="D194" s="31" t="s">
        <v>155</v>
      </c>
      <c r="E194" s="63">
        <f t="shared" ref="E194:P194" si="32">E190+E118</f>
        <v>2628.6416876961384</v>
      </c>
      <c r="F194" s="63">
        <f t="shared" si="32"/>
        <v>2650.3787151184824</v>
      </c>
      <c r="G194" s="63">
        <f t="shared" si="32"/>
        <v>2640.9032816457079</v>
      </c>
      <c r="H194" s="63">
        <f t="shared" si="32"/>
        <v>2463.9881290105582</v>
      </c>
      <c r="I194" s="63">
        <f t="shared" si="32"/>
        <v>2562.0586781314282</v>
      </c>
      <c r="J194" s="63">
        <f t="shared" si="32"/>
        <v>2548.97688290519</v>
      </c>
      <c r="K194" s="63">
        <f t="shared" si="32"/>
        <v>2516.494162594784</v>
      </c>
      <c r="L194" s="63">
        <f t="shared" si="32"/>
        <v>2516.237951703697</v>
      </c>
      <c r="M194" s="63">
        <f t="shared" si="32"/>
        <v>2799.5328614457262</v>
      </c>
      <c r="N194" s="63">
        <f t="shared" si="32"/>
        <v>2751.3698998531936</v>
      </c>
      <c r="O194" s="63">
        <f t="shared" si="32"/>
        <v>2807.1180820775394</v>
      </c>
      <c r="P194" s="63">
        <f t="shared" si="32"/>
        <v>2894.1929192026278</v>
      </c>
      <c r="Q194" s="63">
        <f>+E194+F194+G194+H194+I194+J194+K194+L194+M194+N194+O194+P194</f>
        <v>31779.893251385078</v>
      </c>
    </row>
    <row r="195" spans="1:17"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</row>
    <row r="196" spans="1:17"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</row>
    <row r="197" spans="1:17">
      <c r="C197" s="33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</row>
    <row r="198" spans="1:17">
      <c r="C198" s="33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</row>
    <row r="199" spans="1:17"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</row>
    <row r="200" spans="1:17" s="38" customFormat="1">
      <c r="A200" s="34"/>
      <c r="B200" s="35"/>
      <c r="C200" s="36"/>
      <c r="D200" s="37" t="s">
        <v>156</v>
      </c>
      <c r="E200" s="78" t="s">
        <v>157</v>
      </c>
      <c r="F200" s="78" t="s">
        <v>157</v>
      </c>
      <c r="G200" s="78" t="s">
        <v>157</v>
      </c>
      <c r="H200" s="78" t="s">
        <v>157</v>
      </c>
      <c r="I200" s="78" t="s">
        <v>157</v>
      </c>
      <c r="J200" s="78" t="s">
        <v>157</v>
      </c>
      <c r="K200" s="78" t="s">
        <v>157</v>
      </c>
      <c r="L200" s="78" t="s">
        <v>157</v>
      </c>
      <c r="M200" s="78" t="s">
        <v>157</v>
      </c>
      <c r="N200" s="78" t="s">
        <v>157</v>
      </c>
      <c r="O200" s="78" t="s">
        <v>157</v>
      </c>
      <c r="P200" s="78" t="s">
        <v>157</v>
      </c>
      <c r="Q200" s="78" t="s">
        <v>157</v>
      </c>
    </row>
    <row r="201" spans="1:17" s="38" customFormat="1">
      <c r="A201" s="34"/>
      <c r="B201" s="35"/>
      <c r="C201" s="39"/>
      <c r="D201" s="40" t="s">
        <v>158</v>
      </c>
      <c r="E201" s="64">
        <f t="shared" ref="E201:Q201" si="33">E23</f>
        <v>577.72634885593391</v>
      </c>
      <c r="F201" s="64">
        <f t="shared" si="33"/>
        <v>672.73585113432284</v>
      </c>
      <c r="G201" s="64">
        <f t="shared" si="33"/>
        <v>671.40878444572206</v>
      </c>
      <c r="H201" s="64">
        <f t="shared" si="33"/>
        <v>568.24637880679859</v>
      </c>
      <c r="I201" s="64">
        <f t="shared" si="33"/>
        <v>647.44592087061073</v>
      </c>
      <c r="J201" s="64">
        <f t="shared" si="33"/>
        <v>607.67984641710098</v>
      </c>
      <c r="K201" s="64">
        <f t="shared" si="33"/>
        <v>551.80277030812829</v>
      </c>
      <c r="L201" s="64">
        <f t="shared" si="33"/>
        <v>555.50894569133618</v>
      </c>
      <c r="M201" s="64">
        <f t="shared" si="33"/>
        <v>765.83852910611188</v>
      </c>
      <c r="N201" s="64">
        <f t="shared" si="33"/>
        <v>657.77363440135218</v>
      </c>
      <c r="O201" s="64">
        <f t="shared" si="33"/>
        <v>795.48877994527288</v>
      </c>
      <c r="P201" s="64">
        <f t="shared" si="33"/>
        <v>797.24444973550987</v>
      </c>
      <c r="Q201" s="64">
        <f t="shared" si="33"/>
        <v>7868.9002397181994</v>
      </c>
    </row>
    <row r="202" spans="1:17" s="38" customFormat="1">
      <c r="A202" s="34"/>
      <c r="B202" s="35"/>
      <c r="C202" s="35"/>
      <c r="D202" s="40" t="s">
        <v>159</v>
      </c>
      <c r="E202" s="64">
        <f t="shared" ref="E202:Q202" si="34">E28+E91+E81+E85</f>
        <v>83.518156875450785</v>
      </c>
      <c r="F202" s="64">
        <f t="shared" si="34"/>
        <v>102.66420067058797</v>
      </c>
      <c r="G202" s="64">
        <f t="shared" si="34"/>
        <v>96.323936523890211</v>
      </c>
      <c r="H202" s="64">
        <f t="shared" si="34"/>
        <v>101.18584310142538</v>
      </c>
      <c r="I202" s="64">
        <f t="shared" si="34"/>
        <v>81.089141112877499</v>
      </c>
      <c r="J202" s="64">
        <f t="shared" si="34"/>
        <v>107.39551576060721</v>
      </c>
      <c r="K202" s="64">
        <f t="shared" si="34"/>
        <v>92.399061207204255</v>
      </c>
      <c r="L202" s="64">
        <f t="shared" si="34"/>
        <v>79.922570541535663</v>
      </c>
      <c r="M202" s="64">
        <f t="shared" si="34"/>
        <v>95.429104890140863</v>
      </c>
      <c r="N202" s="64">
        <f t="shared" si="34"/>
        <v>76.865408958141117</v>
      </c>
      <c r="O202" s="64">
        <f t="shared" si="34"/>
        <v>81.423692439284309</v>
      </c>
      <c r="P202" s="64">
        <f t="shared" si="34"/>
        <v>63.555342287187599</v>
      </c>
      <c r="Q202" s="64">
        <f t="shared" si="34"/>
        <v>1061.7719743683328</v>
      </c>
    </row>
    <row r="203" spans="1:17" s="38" customFormat="1">
      <c r="A203" s="34"/>
      <c r="B203" s="35"/>
      <c r="C203" s="35"/>
      <c r="D203" s="41" t="s">
        <v>160</v>
      </c>
      <c r="E203" s="65">
        <f t="shared" ref="E203:Q203" si="35">E99</f>
        <v>315.69732119239973</v>
      </c>
      <c r="F203" s="65">
        <f t="shared" si="35"/>
        <v>339.10189729602109</v>
      </c>
      <c r="G203" s="65">
        <f t="shared" si="35"/>
        <v>347.6984384747156</v>
      </c>
      <c r="H203" s="65">
        <f t="shared" si="35"/>
        <v>323.52853220251421</v>
      </c>
      <c r="I203" s="65">
        <f t="shared" si="35"/>
        <v>359.87074843837496</v>
      </c>
      <c r="J203" s="65">
        <f t="shared" si="35"/>
        <v>346.44685495491416</v>
      </c>
      <c r="K203" s="65">
        <f t="shared" si="35"/>
        <v>316.99630956897317</v>
      </c>
      <c r="L203" s="65">
        <f t="shared" si="35"/>
        <v>318.05357031316004</v>
      </c>
      <c r="M203" s="65">
        <f t="shared" si="35"/>
        <v>384.74715896354473</v>
      </c>
      <c r="N203" s="65">
        <f t="shared" si="35"/>
        <v>428.41312864185039</v>
      </c>
      <c r="O203" s="65">
        <f t="shared" si="35"/>
        <v>357.44660057507662</v>
      </c>
      <c r="P203" s="65">
        <f t="shared" si="35"/>
        <v>467.29873462336661</v>
      </c>
      <c r="Q203" s="65">
        <f t="shared" si="35"/>
        <v>4305.2992952449122</v>
      </c>
    </row>
    <row r="204" spans="1:17" s="38" customFormat="1">
      <c r="A204" s="34"/>
      <c r="B204" s="35"/>
      <c r="C204" s="35"/>
      <c r="D204" s="41" t="s">
        <v>161</v>
      </c>
      <c r="E204" s="65">
        <f t="shared" ref="E204:Q204" si="36">E107</f>
        <v>154.32180980764383</v>
      </c>
      <c r="F204" s="65">
        <f t="shared" si="36"/>
        <v>162.61834161019499</v>
      </c>
      <c r="G204" s="65">
        <f t="shared" si="36"/>
        <v>148.62057589570861</v>
      </c>
      <c r="H204" s="65">
        <f t="shared" si="36"/>
        <v>150.27264907288384</v>
      </c>
      <c r="I204" s="65">
        <f t="shared" si="36"/>
        <v>158.68582603459129</v>
      </c>
      <c r="J204" s="65">
        <f t="shared" si="36"/>
        <v>149.34627283044901</v>
      </c>
      <c r="K204" s="65">
        <f t="shared" si="36"/>
        <v>139.74518266587171</v>
      </c>
      <c r="L204" s="65">
        <f t="shared" si="36"/>
        <v>138.63609391455532</v>
      </c>
      <c r="M204" s="65">
        <f t="shared" si="36"/>
        <v>145.54178164026325</v>
      </c>
      <c r="N204" s="65">
        <f t="shared" si="36"/>
        <v>136.74217005024047</v>
      </c>
      <c r="O204" s="65">
        <f t="shared" si="36"/>
        <v>134.39033911571539</v>
      </c>
      <c r="P204" s="65">
        <f t="shared" si="36"/>
        <v>132.07895736188246</v>
      </c>
      <c r="Q204" s="65">
        <f t="shared" si="36"/>
        <v>1751</v>
      </c>
    </row>
    <row r="205" spans="1:17" s="38" customFormat="1">
      <c r="A205" s="34"/>
      <c r="B205" s="35"/>
      <c r="C205" s="35"/>
      <c r="D205" s="41" t="s">
        <v>162</v>
      </c>
      <c r="E205" s="65">
        <f t="shared" ref="E205:Q205" si="37">E76+E117+E83+E87</f>
        <v>466.61759845242341</v>
      </c>
      <c r="F205" s="65">
        <f t="shared" si="37"/>
        <v>378.40869833813832</v>
      </c>
      <c r="G205" s="65">
        <f t="shared" si="37"/>
        <v>334.3875455549445</v>
      </c>
      <c r="H205" s="65">
        <f t="shared" si="37"/>
        <v>289.56082886914925</v>
      </c>
      <c r="I205" s="65">
        <f t="shared" si="37"/>
        <v>271.76401861317879</v>
      </c>
      <c r="J205" s="65">
        <f t="shared" si="37"/>
        <v>301.32874966895849</v>
      </c>
      <c r="K205" s="65">
        <f t="shared" si="37"/>
        <v>315.97532498844913</v>
      </c>
      <c r="L205" s="65">
        <f t="shared" si="37"/>
        <v>314.58302279901881</v>
      </c>
      <c r="M205" s="65">
        <f t="shared" si="37"/>
        <v>309.91882372788683</v>
      </c>
      <c r="N205" s="65">
        <f t="shared" si="37"/>
        <v>337.91159744003801</v>
      </c>
      <c r="O205" s="65">
        <f t="shared" si="37"/>
        <v>336.98110683589573</v>
      </c>
      <c r="P205" s="65">
        <f t="shared" si="37"/>
        <v>321.4785567263869</v>
      </c>
      <c r="Q205" s="65">
        <f t="shared" si="37"/>
        <v>3978.9158720144683</v>
      </c>
    </row>
    <row r="206" spans="1:17" s="38" customFormat="1">
      <c r="A206" s="34"/>
      <c r="B206" s="35"/>
      <c r="C206" s="35"/>
      <c r="D206" s="41" t="s">
        <v>163</v>
      </c>
      <c r="E206" s="65">
        <f t="shared" ref="E206:Q206" si="38">E14</f>
        <v>815.66692939072334</v>
      </c>
      <c r="F206" s="65">
        <f t="shared" si="38"/>
        <v>779.63635294765379</v>
      </c>
      <c r="G206" s="65">
        <f t="shared" si="38"/>
        <v>827.25062762916343</v>
      </c>
      <c r="H206" s="65">
        <f t="shared" si="38"/>
        <v>815.98052383622348</v>
      </c>
      <c r="I206" s="65">
        <f t="shared" si="38"/>
        <v>827.90506994023167</v>
      </c>
      <c r="J206" s="65">
        <f t="shared" si="38"/>
        <v>821.88793015159649</v>
      </c>
      <c r="K206" s="65">
        <f t="shared" si="38"/>
        <v>883.90134073459387</v>
      </c>
      <c r="L206" s="65">
        <f t="shared" si="38"/>
        <v>893.88830532252746</v>
      </c>
      <c r="M206" s="65">
        <f t="shared" si="38"/>
        <v>882.38328999621513</v>
      </c>
      <c r="N206" s="65">
        <f t="shared" si="38"/>
        <v>898.04724724000846</v>
      </c>
      <c r="O206" s="65">
        <f t="shared" si="38"/>
        <v>885.69519004473102</v>
      </c>
      <c r="P206" s="65">
        <f t="shared" si="38"/>
        <v>896.87342534673098</v>
      </c>
      <c r="Q206" s="65">
        <f t="shared" si="38"/>
        <v>10229.1162325804</v>
      </c>
    </row>
    <row r="207" spans="1:17" s="38" customFormat="1">
      <c r="A207" s="34"/>
      <c r="B207" s="35"/>
      <c r="C207" s="35"/>
      <c r="D207" s="42" t="s">
        <v>164</v>
      </c>
      <c r="E207" s="66">
        <f t="shared" ref="E207:Q207" si="39">E190</f>
        <v>215.09352312156349</v>
      </c>
      <c r="F207" s="66">
        <f t="shared" si="39"/>
        <v>215.21337312156345</v>
      </c>
      <c r="G207" s="66">
        <f t="shared" si="39"/>
        <v>215.21337312156348</v>
      </c>
      <c r="H207" s="66">
        <f t="shared" si="39"/>
        <v>215.21337312156348</v>
      </c>
      <c r="I207" s="66">
        <f t="shared" si="39"/>
        <v>215.29795312156347</v>
      </c>
      <c r="J207" s="66">
        <f t="shared" si="39"/>
        <v>214.89171312156344</v>
      </c>
      <c r="K207" s="66">
        <f t="shared" si="39"/>
        <v>215.67417312156354</v>
      </c>
      <c r="L207" s="66">
        <f t="shared" si="39"/>
        <v>215.64544312156349</v>
      </c>
      <c r="M207" s="66">
        <f t="shared" si="39"/>
        <v>215.67417312156354</v>
      </c>
      <c r="N207" s="66">
        <f t="shared" si="39"/>
        <v>215.61671312156352</v>
      </c>
      <c r="O207" s="66">
        <f t="shared" si="39"/>
        <v>215.69237312156346</v>
      </c>
      <c r="P207" s="66">
        <f t="shared" si="39"/>
        <v>215.66345312156346</v>
      </c>
      <c r="Q207" s="66">
        <f t="shared" si="39"/>
        <v>2584.8896374587616</v>
      </c>
    </row>
    <row r="208" spans="1:17" s="34" customFormat="1">
      <c r="B208" s="35"/>
      <c r="C208" s="35"/>
      <c r="D208" s="43" t="s">
        <v>165</v>
      </c>
      <c r="E208" s="67">
        <f t="shared" ref="E208:Q208" si="40">SUM(E201:E207)</f>
        <v>2628.6416876961384</v>
      </c>
      <c r="F208" s="67">
        <f t="shared" si="40"/>
        <v>2650.3787151184824</v>
      </c>
      <c r="G208" s="67">
        <f t="shared" si="40"/>
        <v>2640.9032816457079</v>
      </c>
      <c r="H208" s="67">
        <f t="shared" si="40"/>
        <v>2463.9881290105586</v>
      </c>
      <c r="I208" s="67">
        <f t="shared" si="40"/>
        <v>2562.0586781314287</v>
      </c>
      <c r="J208" s="67">
        <f t="shared" si="40"/>
        <v>2548.9768829051895</v>
      </c>
      <c r="K208" s="67">
        <f t="shared" si="40"/>
        <v>2516.4941625947836</v>
      </c>
      <c r="L208" s="67">
        <f t="shared" si="40"/>
        <v>2516.237951703697</v>
      </c>
      <c r="M208" s="67">
        <f t="shared" si="40"/>
        <v>2799.5328614457258</v>
      </c>
      <c r="N208" s="67">
        <f t="shared" si="40"/>
        <v>2751.3698998531941</v>
      </c>
      <c r="O208" s="67">
        <f t="shared" si="40"/>
        <v>2807.1180820775394</v>
      </c>
      <c r="P208" s="67">
        <f t="shared" si="40"/>
        <v>2894.1929192026278</v>
      </c>
      <c r="Q208" s="67">
        <f t="shared" si="40"/>
        <v>31779.893251385074</v>
      </c>
    </row>
    <row r="209" spans="1:17">
      <c r="E209" s="51">
        <f t="shared" ref="E209" si="41">SUM(E201:E207)-E208</f>
        <v>0</v>
      </c>
      <c r="F209" s="51">
        <f t="shared" ref="F209" si="42">SUM(F201:F207)-F208</f>
        <v>0</v>
      </c>
      <c r="G209" s="51">
        <f t="shared" ref="G209" si="43">SUM(G201:G207)-G208</f>
        <v>0</v>
      </c>
      <c r="H209" s="51">
        <f t="shared" ref="H209" si="44">SUM(H201:H207)-H208</f>
        <v>0</v>
      </c>
      <c r="I209" s="51">
        <f t="shared" ref="I209" si="45">SUM(I201:I207)-I208</f>
        <v>0</v>
      </c>
      <c r="J209" s="51">
        <f t="shared" ref="J209" si="46">SUM(J201:J207)-J208</f>
        <v>0</v>
      </c>
      <c r="K209" s="51">
        <f t="shared" ref="K209" si="47">SUM(K201:K207)-K208</f>
        <v>0</v>
      </c>
      <c r="L209" s="51">
        <f t="shared" ref="L209" si="48">SUM(L201:L207)-L208</f>
        <v>0</v>
      </c>
      <c r="M209" s="51">
        <f t="shared" ref="M209" si="49">SUM(M201:M207)-M208</f>
        <v>0</v>
      </c>
      <c r="N209" s="51">
        <f t="shared" ref="N209" si="50">SUM(N201:N207)-N208</f>
        <v>0</v>
      </c>
      <c r="O209" s="51">
        <f t="shared" ref="O209" si="51">SUM(O201:O207)-O208</f>
        <v>0</v>
      </c>
      <c r="P209" s="51">
        <f t="shared" ref="P209" si="52">SUM(P201:P207)-P208</f>
        <v>0</v>
      </c>
      <c r="Q209" s="51">
        <f>SUM(Q201:Q207)-Q208</f>
        <v>0</v>
      </c>
    </row>
    <row r="210" spans="1:17"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</row>
    <row r="211" spans="1:17">
      <c r="D211" s="44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</row>
    <row r="212" spans="1:17">
      <c r="D212" s="45" t="s">
        <v>36</v>
      </c>
      <c r="E212" s="69">
        <f t="shared" ref="E212:Q212" si="53">E23+E28+E81+E85+E91</f>
        <v>661.24450573138461</v>
      </c>
      <c r="F212" s="69">
        <f t="shared" si="53"/>
        <v>775.40005180491096</v>
      </c>
      <c r="G212" s="69">
        <f t="shared" si="53"/>
        <v>767.73272096961227</v>
      </c>
      <c r="H212" s="69">
        <f t="shared" si="53"/>
        <v>669.43222190822405</v>
      </c>
      <c r="I212" s="69">
        <f t="shared" si="53"/>
        <v>728.53506198348828</v>
      </c>
      <c r="J212" s="69">
        <f t="shared" si="53"/>
        <v>715.07536217770826</v>
      </c>
      <c r="K212" s="69">
        <f t="shared" si="53"/>
        <v>644.2018315153324</v>
      </c>
      <c r="L212" s="69">
        <f t="shared" si="53"/>
        <v>635.4315162328719</v>
      </c>
      <c r="M212" s="69">
        <f t="shared" si="53"/>
        <v>861.26763399625281</v>
      </c>
      <c r="N212" s="69">
        <f t="shared" si="53"/>
        <v>734.63904335949326</v>
      </c>
      <c r="O212" s="69">
        <f t="shared" si="53"/>
        <v>876.91247238455719</v>
      </c>
      <c r="P212" s="69">
        <f t="shared" si="53"/>
        <v>860.79979202269737</v>
      </c>
      <c r="Q212" s="69">
        <f t="shared" si="53"/>
        <v>8930.6722140865313</v>
      </c>
    </row>
    <row r="213" spans="1:17">
      <c r="D213" s="46" t="s">
        <v>26</v>
      </c>
      <c r="E213" s="70">
        <f t="shared" ref="E213:Q213" si="54">SUM(E14,E76,E83,E87,E99,E107,E117)</f>
        <v>1752.3036588431903</v>
      </c>
      <c r="F213" s="70">
        <f t="shared" si="54"/>
        <v>1659.765290192008</v>
      </c>
      <c r="G213" s="70">
        <f t="shared" si="54"/>
        <v>1657.9571875545321</v>
      </c>
      <c r="H213" s="70">
        <f t="shared" si="54"/>
        <v>1579.3425339807709</v>
      </c>
      <c r="I213" s="70">
        <f t="shared" si="54"/>
        <v>1618.2256630263769</v>
      </c>
      <c r="J213" s="70">
        <f t="shared" si="54"/>
        <v>1619.009807605918</v>
      </c>
      <c r="K213" s="70">
        <f t="shared" si="54"/>
        <v>1656.6181579578881</v>
      </c>
      <c r="L213" s="70">
        <f t="shared" si="54"/>
        <v>1665.1609923492617</v>
      </c>
      <c r="M213" s="70">
        <f t="shared" si="54"/>
        <v>1722.5910543279099</v>
      </c>
      <c r="N213" s="70">
        <f t="shared" si="54"/>
        <v>1801.1141433721373</v>
      </c>
      <c r="O213" s="70">
        <f t="shared" si="54"/>
        <v>1714.5132365714189</v>
      </c>
      <c r="P213" s="70">
        <f t="shared" si="54"/>
        <v>1817.729674058367</v>
      </c>
      <c r="Q213" s="70">
        <f t="shared" si="54"/>
        <v>20264.331399839783</v>
      </c>
    </row>
    <row r="214" spans="1:17">
      <c r="D214" s="47" t="s">
        <v>166</v>
      </c>
      <c r="E214" s="71">
        <f t="shared" ref="E214:Q214" si="55">E207</f>
        <v>215.09352312156349</v>
      </c>
      <c r="F214" s="71">
        <f t="shared" si="55"/>
        <v>215.21337312156345</v>
      </c>
      <c r="G214" s="71">
        <f t="shared" si="55"/>
        <v>215.21337312156348</v>
      </c>
      <c r="H214" s="71">
        <f t="shared" si="55"/>
        <v>215.21337312156348</v>
      </c>
      <c r="I214" s="71">
        <f t="shared" si="55"/>
        <v>215.29795312156347</v>
      </c>
      <c r="J214" s="71">
        <f t="shared" si="55"/>
        <v>214.89171312156344</v>
      </c>
      <c r="K214" s="71">
        <f t="shared" si="55"/>
        <v>215.67417312156354</v>
      </c>
      <c r="L214" s="71">
        <f t="shared" si="55"/>
        <v>215.64544312156349</v>
      </c>
      <c r="M214" s="71">
        <f t="shared" si="55"/>
        <v>215.67417312156354</v>
      </c>
      <c r="N214" s="71">
        <f t="shared" si="55"/>
        <v>215.61671312156352</v>
      </c>
      <c r="O214" s="71">
        <f t="shared" si="55"/>
        <v>215.69237312156346</v>
      </c>
      <c r="P214" s="71">
        <f t="shared" si="55"/>
        <v>215.66345312156346</v>
      </c>
      <c r="Q214" s="71">
        <f t="shared" si="55"/>
        <v>2584.8896374587616</v>
      </c>
    </row>
    <row r="215" spans="1:17">
      <c r="D215" s="48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</row>
    <row r="216" spans="1:17">
      <c r="D216" s="49" t="s">
        <v>167</v>
      </c>
      <c r="E216" s="73">
        <f t="shared" ref="E216:Q216" si="56">SUM(E211:E215)</f>
        <v>2628.6416876961384</v>
      </c>
      <c r="F216" s="73">
        <f t="shared" si="56"/>
        <v>2650.3787151184824</v>
      </c>
      <c r="G216" s="73">
        <f t="shared" si="56"/>
        <v>2640.9032816457079</v>
      </c>
      <c r="H216" s="73">
        <f t="shared" si="56"/>
        <v>2463.9881290105586</v>
      </c>
      <c r="I216" s="73">
        <f t="shared" si="56"/>
        <v>2562.0586781314287</v>
      </c>
      <c r="J216" s="73">
        <f t="shared" si="56"/>
        <v>2548.9768829051895</v>
      </c>
      <c r="K216" s="73">
        <f t="shared" si="56"/>
        <v>2516.494162594784</v>
      </c>
      <c r="L216" s="73">
        <f t="shared" si="56"/>
        <v>2516.237951703697</v>
      </c>
      <c r="M216" s="73">
        <f t="shared" si="56"/>
        <v>2799.5328614457262</v>
      </c>
      <c r="N216" s="73">
        <f t="shared" si="56"/>
        <v>2751.3698998531941</v>
      </c>
      <c r="O216" s="73">
        <f t="shared" si="56"/>
        <v>2807.1180820775394</v>
      </c>
      <c r="P216" s="73">
        <f t="shared" si="56"/>
        <v>2894.1929192026278</v>
      </c>
      <c r="Q216" s="73">
        <f t="shared" si="56"/>
        <v>31779.893251385074</v>
      </c>
    </row>
    <row r="217" spans="1:17"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</row>
    <row r="218" spans="1:17" s="23" customFormat="1">
      <c r="A218" s="50"/>
      <c r="B218" s="33"/>
      <c r="C218" s="33"/>
      <c r="D218" t="s">
        <v>168</v>
      </c>
      <c r="E218" s="51">
        <f t="shared" ref="E218:Q218" si="57">+E216*1000</f>
        <v>2628641.6876961384</v>
      </c>
      <c r="F218" s="51">
        <f>+F216*1000</f>
        <v>2650378.7151184822</v>
      </c>
      <c r="G218" s="51">
        <f>+G216*1000</f>
        <v>2640903.2816457078</v>
      </c>
      <c r="H218" s="51">
        <f t="shared" si="57"/>
        <v>2463988.1290105586</v>
      </c>
      <c r="I218" s="51">
        <f t="shared" si="57"/>
        <v>2562058.6781314285</v>
      </c>
      <c r="J218" s="51">
        <f t="shared" si="57"/>
        <v>2548976.8829051894</v>
      </c>
      <c r="K218" s="51">
        <f t="shared" si="57"/>
        <v>2516494.1625947841</v>
      </c>
      <c r="L218" s="51">
        <f t="shared" si="57"/>
        <v>2516237.951703697</v>
      </c>
      <c r="M218" s="51">
        <f t="shared" si="57"/>
        <v>2799532.8614457264</v>
      </c>
      <c r="N218" s="51">
        <f t="shared" si="57"/>
        <v>2751369.8998531941</v>
      </c>
      <c r="O218" s="51">
        <f t="shared" si="57"/>
        <v>2807118.0820775395</v>
      </c>
      <c r="P218" s="51">
        <f t="shared" si="57"/>
        <v>2894192.9192026276</v>
      </c>
      <c r="Q218" s="51">
        <f t="shared" si="57"/>
        <v>31779893.251385074</v>
      </c>
    </row>
    <row r="219" spans="1:17"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</row>
    <row r="220" spans="1:17" ht="18" hidden="1">
      <c r="B220" s="84" t="s">
        <v>169</v>
      </c>
      <c r="C220" s="84"/>
      <c r="D220" s="84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</row>
    <row r="221" spans="1:17" hidden="1">
      <c r="A221" s="22" t="s">
        <v>16</v>
      </c>
      <c r="B221" s="14">
        <v>6666110101</v>
      </c>
      <c r="C221" s="14" t="s">
        <v>17</v>
      </c>
      <c r="D221" s="14" t="s">
        <v>18</v>
      </c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</row>
    <row r="222" spans="1:17" hidden="1">
      <c r="A222" s="22" t="s">
        <v>16</v>
      </c>
      <c r="B222" s="14">
        <v>6666110106</v>
      </c>
      <c r="C222" s="14" t="s">
        <v>19</v>
      </c>
      <c r="D222" s="14" t="s">
        <v>18</v>
      </c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</row>
    <row r="223" spans="1:17" hidden="1">
      <c r="A223" s="22" t="s">
        <v>16</v>
      </c>
      <c r="B223" s="14">
        <v>6666110107</v>
      </c>
      <c r="C223" s="14" t="s">
        <v>20</v>
      </c>
      <c r="D223" s="14" t="s">
        <v>18</v>
      </c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</row>
    <row r="224" spans="1:17" hidden="1">
      <c r="A224" s="22" t="s">
        <v>16</v>
      </c>
      <c r="B224" s="14">
        <v>6666110110</v>
      </c>
      <c r="C224" s="14" t="s">
        <v>21</v>
      </c>
      <c r="D224" s="14" t="s">
        <v>18</v>
      </c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</row>
    <row r="225" spans="1:17" hidden="1">
      <c r="A225" s="22" t="s">
        <v>16</v>
      </c>
      <c r="B225" s="14">
        <v>6666110112</v>
      </c>
      <c r="C225" s="14" t="s">
        <v>22</v>
      </c>
      <c r="D225" s="14" t="s">
        <v>18</v>
      </c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</row>
    <row r="226" spans="1:17" hidden="1">
      <c r="A226" s="22" t="s">
        <v>16</v>
      </c>
      <c r="B226" s="14">
        <v>6666110204</v>
      </c>
      <c r="C226" s="14" t="s">
        <v>23</v>
      </c>
      <c r="D226" s="14" t="s">
        <v>18</v>
      </c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</row>
    <row r="227" spans="1:17" hidden="1">
      <c r="A227" s="22" t="s">
        <v>16</v>
      </c>
      <c r="B227" s="14">
        <v>6666110207</v>
      </c>
      <c r="C227" s="14" t="s">
        <v>24</v>
      </c>
      <c r="D227" s="14" t="s">
        <v>18</v>
      </c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</row>
    <row r="228" spans="1:17" hidden="1">
      <c r="A228" s="22" t="s">
        <v>16</v>
      </c>
      <c r="B228" s="14">
        <v>6666110506</v>
      </c>
      <c r="C228" s="14" t="s">
        <v>25</v>
      </c>
      <c r="D228" s="14" t="s">
        <v>18</v>
      </c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</row>
    <row r="229" spans="1:17" hidden="1">
      <c r="A229" s="22" t="s">
        <v>16</v>
      </c>
      <c r="B229" s="14">
        <v>6666110206</v>
      </c>
      <c r="C229" s="20" t="s">
        <v>176</v>
      </c>
      <c r="D229" s="14" t="s">
        <v>18</v>
      </c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</row>
    <row r="230" spans="1:17" hidden="1">
      <c r="E230" s="61">
        <f t="shared" ref="E230:Q230" si="58">SUM(E221:E229)</f>
        <v>0</v>
      </c>
      <c r="F230" s="61">
        <f t="shared" si="58"/>
        <v>0</v>
      </c>
      <c r="G230" s="61">
        <f t="shared" si="58"/>
        <v>0</v>
      </c>
      <c r="H230" s="61">
        <f t="shared" si="58"/>
        <v>0</v>
      </c>
      <c r="I230" s="61">
        <f t="shared" si="58"/>
        <v>0</v>
      </c>
      <c r="J230" s="61">
        <f t="shared" si="58"/>
        <v>0</v>
      </c>
      <c r="K230" s="61">
        <f t="shared" si="58"/>
        <v>0</v>
      </c>
      <c r="L230" s="61">
        <f t="shared" si="58"/>
        <v>0</v>
      </c>
      <c r="M230" s="61">
        <f t="shared" si="58"/>
        <v>0</v>
      </c>
      <c r="N230" s="61">
        <f t="shared" si="58"/>
        <v>0</v>
      </c>
      <c r="O230" s="61">
        <f t="shared" si="58"/>
        <v>0</v>
      </c>
      <c r="P230" s="61">
        <f t="shared" si="58"/>
        <v>0</v>
      </c>
      <c r="Q230" s="61">
        <f t="shared" si="58"/>
        <v>0</v>
      </c>
    </row>
    <row r="231" spans="1:17" hidden="1"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</row>
    <row r="232" spans="1:17" hidden="1"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</row>
    <row r="233" spans="1:17" hidden="1"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</row>
    <row r="234" spans="1:17" hidden="1"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</row>
    <row r="235" spans="1:17">
      <c r="C235" s="52" t="s">
        <v>170</v>
      </c>
      <c r="D235" s="52" t="s">
        <v>16</v>
      </c>
      <c r="E235" s="75">
        <f>+SUMIF($A$5:$A$229,D235,E5:E230)</f>
        <v>2436.4730776017796</v>
      </c>
      <c r="F235" s="75">
        <f t="shared" ref="F235:P235" si="59">+SUMIF($A$5:$A$229,$D$235,F5:F230)</f>
        <v>2445.6584257518366</v>
      </c>
      <c r="G235" s="75">
        <f t="shared" si="59"/>
        <v>2436.0942596138593</v>
      </c>
      <c r="H235" s="75">
        <f t="shared" si="59"/>
        <v>2253.2036445791914</v>
      </c>
      <c r="I235" s="75">
        <f t="shared" si="59"/>
        <v>2348.3298168237243</v>
      </c>
      <c r="J235" s="75">
        <f t="shared" si="59"/>
        <v>2338.7743822600664</v>
      </c>
      <c r="K235" s="75">
        <f t="shared" si="59"/>
        <v>2303.6730189463269</v>
      </c>
      <c r="L235" s="75">
        <f t="shared" si="59"/>
        <v>2309.0846875746752</v>
      </c>
      <c r="M235" s="75">
        <f t="shared" si="59"/>
        <v>2605.2566166953434</v>
      </c>
      <c r="N235" s="75">
        <f t="shared" si="59"/>
        <v>2574.4331282805861</v>
      </c>
      <c r="O235" s="75">
        <f t="shared" si="59"/>
        <v>2631.982702771807</v>
      </c>
      <c r="P235" s="75">
        <f t="shared" si="59"/>
        <v>2705.924723111335</v>
      </c>
      <c r="Q235" s="75">
        <f>F235+E235+G235+H235+I235+J235+K235+L235+M235+N235+O235+P235</f>
        <v>29388.888484010531</v>
      </c>
    </row>
    <row r="236" spans="1:17">
      <c r="C236" s="52" t="s">
        <v>171</v>
      </c>
      <c r="D236" s="52" t="s">
        <v>37</v>
      </c>
      <c r="E236" s="76">
        <f>+SUMIF($A$5:$A$230,D236,E5:E231)</f>
        <v>192.16861009435902</v>
      </c>
      <c r="F236" s="76">
        <f t="shared" ref="F236:P236" si="60">+SUMIF($A$5:$A$230,$D$236,F5:F231)</f>
        <v>204.72028936664583</v>
      </c>
      <c r="G236" s="76">
        <f t="shared" si="60"/>
        <v>204.80902203184905</v>
      </c>
      <c r="H236" s="76">
        <f t="shared" si="60"/>
        <v>210.78448443136827</v>
      </c>
      <c r="I236" s="76">
        <f t="shared" si="60"/>
        <v>213.72886130770414</v>
      </c>
      <c r="J236" s="76">
        <f t="shared" si="60"/>
        <v>210.20250064512379</v>
      </c>
      <c r="K236" s="76">
        <f t="shared" si="60"/>
        <v>212.82114364845737</v>
      </c>
      <c r="L236" s="76">
        <f t="shared" si="60"/>
        <v>207.15326412902218</v>
      </c>
      <c r="M236" s="76">
        <f t="shared" si="60"/>
        <v>194.27624475038274</v>
      </c>
      <c r="N236" s="76">
        <f t="shared" si="60"/>
        <v>176.93677157260825</v>
      </c>
      <c r="O236" s="76">
        <f t="shared" si="60"/>
        <v>175.13537930573276</v>
      </c>
      <c r="P236" s="76">
        <f t="shared" si="60"/>
        <v>188.26819609129365</v>
      </c>
      <c r="Q236" s="76">
        <f>+E236+F236+G236+H236+I236+J236+K236+L236+M236+N236+O236+P236</f>
        <v>2391.0047673745471</v>
      </c>
    </row>
    <row r="237" spans="1:17">
      <c r="C237" s="52" t="s">
        <v>165</v>
      </c>
      <c r="E237" s="77">
        <f t="shared" ref="E237:Q237" si="61">+E236+E235</f>
        <v>2628.6416876961384</v>
      </c>
      <c r="F237" s="77">
        <f t="shared" si="61"/>
        <v>2650.3787151184824</v>
      </c>
      <c r="G237" s="77">
        <f t="shared" si="61"/>
        <v>2640.9032816457084</v>
      </c>
      <c r="H237" s="77">
        <f t="shared" si="61"/>
        <v>2463.9881290105595</v>
      </c>
      <c r="I237" s="77">
        <f t="shared" si="61"/>
        <v>2562.0586781314282</v>
      </c>
      <c r="J237" s="77">
        <f t="shared" si="61"/>
        <v>2548.97688290519</v>
      </c>
      <c r="K237" s="77">
        <f t="shared" si="61"/>
        <v>2516.4941625947845</v>
      </c>
      <c r="L237" s="77">
        <f t="shared" si="61"/>
        <v>2516.2379517036975</v>
      </c>
      <c r="M237" s="77">
        <f t="shared" si="61"/>
        <v>2799.5328614457262</v>
      </c>
      <c r="N237" s="77">
        <f t="shared" si="61"/>
        <v>2751.3698998531945</v>
      </c>
      <c r="O237" s="77">
        <f t="shared" si="61"/>
        <v>2807.1180820775398</v>
      </c>
      <c r="P237" s="77">
        <f t="shared" si="61"/>
        <v>2894.1929192026287</v>
      </c>
      <c r="Q237" s="77">
        <f t="shared" si="61"/>
        <v>31779.893251385078</v>
      </c>
    </row>
    <row r="238" spans="1:17"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</row>
    <row r="239" spans="1:17" s="23" customFormat="1">
      <c r="A239" s="50"/>
      <c r="B239" s="33"/>
      <c r="C239" s="33"/>
      <c r="D239" s="53" t="s">
        <v>172</v>
      </c>
      <c r="E239" s="77">
        <f t="shared" ref="E239:Q239" si="62">+E216+E230</f>
        <v>2628.6416876961384</v>
      </c>
      <c r="F239" s="77">
        <f t="shared" si="62"/>
        <v>2650.3787151184824</v>
      </c>
      <c r="G239" s="77">
        <f t="shared" si="62"/>
        <v>2640.9032816457079</v>
      </c>
      <c r="H239" s="77">
        <f t="shared" si="62"/>
        <v>2463.9881290105586</v>
      </c>
      <c r="I239" s="77">
        <f t="shared" si="62"/>
        <v>2562.0586781314287</v>
      </c>
      <c r="J239" s="77">
        <f t="shared" si="62"/>
        <v>2548.9768829051895</v>
      </c>
      <c r="K239" s="77">
        <f t="shared" si="62"/>
        <v>2516.494162594784</v>
      </c>
      <c r="L239" s="77">
        <f t="shared" si="62"/>
        <v>2516.237951703697</v>
      </c>
      <c r="M239" s="77">
        <f t="shared" si="62"/>
        <v>2799.5328614457262</v>
      </c>
      <c r="N239" s="77">
        <f t="shared" si="62"/>
        <v>2751.3698998531941</v>
      </c>
      <c r="O239" s="77">
        <f t="shared" si="62"/>
        <v>2807.1180820775394</v>
      </c>
      <c r="P239" s="77">
        <f t="shared" si="62"/>
        <v>2894.1929192026278</v>
      </c>
      <c r="Q239" s="77">
        <f t="shared" si="62"/>
        <v>31779.893251385074</v>
      </c>
    </row>
    <row r="240" spans="1:17">
      <c r="D240" s="9" t="s">
        <v>173</v>
      </c>
      <c r="E240" s="77">
        <f t="shared" ref="E240:Q240" si="63">+E239-E237</f>
        <v>0</v>
      </c>
      <c r="F240" s="77">
        <f t="shared" si="63"/>
        <v>0</v>
      </c>
      <c r="G240" s="77">
        <f t="shared" si="63"/>
        <v>0</v>
      </c>
      <c r="H240" s="77">
        <f t="shared" si="63"/>
        <v>0</v>
      </c>
      <c r="I240" s="77">
        <f t="shared" si="63"/>
        <v>0</v>
      </c>
      <c r="J240" s="77">
        <f t="shared" si="63"/>
        <v>0</v>
      </c>
      <c r="K240" s="77">
        <f t="shared" si="63"/>
        <v>0</v>
      </c>
      <c r="L240" s="77">
        <f t="shared" si="63"/>
        <v>0</v>
      </c>
      <c r="M240" s="77">
        <f t="shared" si="63"/>
        <v>0</v>
      </c>
      <c r="N240" s="77">
        <f t="shared" si="63"/>
        <v>0</v>
      </c>
      <c r="O240" s="77">
        <f t="shared" si="63"/>
        <v>0</v>
      </c>
      <c r="P240" s="77">
        <f t="shared" si="63"/>
        <v>0</v>
      </c>
      <c r="Q240" s="77">
        <f t="shared" si="63"/>
        <v>0</v>
      </c>
    </row>
    <row r="242" spans="1:18">
      <c r="E242" s="32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</row>
    <row r="243" spans="1:18" s="23" customFormat="1">
      <c r="A243" s="50"/>
      <c r="B243" s="33"/>
      <c r="C243" s="33"/>
      <c r="D243" s="33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</row>
    <row r="244" spans="1:18">
      <c r="F244" s="27"/>
      <c r="G244" s="27"/>
    </row>
    <row r="245" spans="1:18">
      <c r="E245" s="32"/>
      <c r="F245" s="54"/>
      <c r="G245" s="32"/>
      <c r="H245" s="32"/>
      <c r="I245" s="27"/>
    </row>
    <row r="246" spans="1:18">
      <c r="F246" s="27"/>
      <c r="G246" s="55"/>
    </row>
    <row r="247" spans="1:18">
      <c r="E247" s="32"/>
      <c r="F247" s="32"/>
      <c r="G247" s="32"/>
      <c r="H247" s="32"/>
    </row>
    <row r="249" spans="1:18">
      <c r="E249" s="32"/>
    </row>
    <row r="251" spans="1:18" s="10" customFormat="1">
      <c r="A251" s="8"/>
      <c r="B251"/>
      <c r="C251"/>
      <c r="D251"/>
      <c r="E251" s="55"/>
      <c r="R251" s="11"/>
    </row>
  </sheetData>
  <autoFilter ref="A4:Q194" xr:uid="{3F83171D-7BE6-4148-AEF7-8AA893ED8538}"/>
  <mergeCells count="1">
    <mergeCell ref="B220:D2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 P&amp;L by account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Asefler</dc:creator>
  <cp:lastModifiedBy>Burak Asefler</cp:lastModifiedBy>
  <dcterms:created xsi:type="dcterms:W3CDTF">2025-12-08T10:20:39Z</dcterms:created>
  <dcterms:modified xsi:type="dcterms:W3CDTF">2026-01-15T09:53:27Z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