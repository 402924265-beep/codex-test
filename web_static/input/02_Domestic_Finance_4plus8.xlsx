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8615" activeTab="7"/>
  </bookViews>
  <sheets>
    <sheet name="大厨电" sheetId="15" r:id="rId1"/>
    <sheet name="厨电" sheetId="3" r:id="rId2"/>
    <sheet name="洗碗机" sheetId="6" r:id="rId3"/>
    <sheet name="Sheet4" sheetId="14" r:id="rId4"/>
    <sheet name="趋势图" sheetId="12" r:id="rId5"/>
    <sheet name="Sheet2" sheetId="9" r:id="rId6"/>
    <sheet name="Sheet1" sheetId="8" state="hidden" r:id="rId7"/>
    <sheet name="人数" sheetId="7" r:id="rId8"/>
    <sheet name="CK P&amp;L by account 2026" sheetId="10" r:id="rId9"/>
    <sheet name="DW P&amp;L by account 2026" sheetId="11" r:id="rId10"/>
    <sheet name="25年CK1" sheetId="5" r:id="rId11"/>
    <sheet name="25年CK2" sheetId="4" r:id="rId12"/>
    <sheet name="24年CK1" sheetId="1" r:id="rId13"/>
    <sheet name="24年CK2" sheetId="2" r:id="rId14"/>
    <sheet name="Sheet3" sheetId="13" r:id="rId15"/>
  </sheets>
  <externalReferences>
    <externalReference r:id="rId16"/>
    <externalReference r:id="rId17"/>
  </externalReferences>
  <definedNames>
    <definedName name="_xlnm._FilterDatabase" localSheetId="8" hidden="1">'CK P&amp;L by account 2026'!$A$4:$U$118</definedName>
    <definedName name="_xlnm._FilterDatabase" localSheetId="9" hidden="1">'DW P&amp;L by account 2026'!$A$4:$Q$198</definedName>
    <definedName name="_xlnm._FilterDatabase" localSheetId="10" hidden="1">'25年CK1'!$A$3:$Q$162</definedName>
    <definedName name="_xlnm._FilterDatabase" localSheetId="11" hidden="1">'25年CK2'!$A$3:$O$107</definedName>
    <definedName name="_xlnm._FilterDatabase" localSheetId="12" hidden="1">'24年CK1'!$A$3:$Q$126</definedName>
    <definedName name="_xlnm._FilterDatabase" localSheetId="13" hidden="1">'24年CK2'!$A$3:$X$116</definedName>
    <definedName name="\1" localSheetId="9">#REF!</definedName>
    <definedName name="\1">#REF!</definedName>
    <definedName name="\2" localSheetId="9">#REF!</definedName>
    <definedName name="\2">#REF!</definedName>
    <definedName name="\3" localSheetId="9">#REF!</definedName>
    <definedName name="\3">#REF!</definedName>
    <definedName name="\4" localSheetId="9">#REF!</definedName>
    <definedName name="\4">#REF!</definedName>
    <definedName name="\A" localSheetId="9">#REF!</definedName>
    <definedName name="\A">#REF!</definedName>
    <definedName name="\B" localSheetId="9">#REF!</definedName>
    <definedName name="\B">#REF!</definedName>
    <definedName name="\C" localSheetId="9">#REF!</definedName>
    <definedName name="\C">#REF!</definedName>
    <definedName name="\P" localSheetId="9">#REF!</definedName>
    <definedName name="\P">#REF!</definedName>
    <definedName name="\Q" localSheetId="9">#REF!</definedName>
    <definedName name="\Q">#REF!</definedName>
    <definedName name="\R" localSheetId="9">#REF!</definedName>
    <definedName name="\R">#REF!</definedName>
    <definedName name="\S" localSheetId="9">#REF!</definedName>
    <definedName name="\S">#REF!</definedName>
    <definedName name="\T" localSheetId="9">#REF!</definedName>
    <definedName name="\T">#REF!</definedName>
    <definedName name="\X" localSheetId="9">#REF!</definedName>
    <definedName name="\X">#REF!</definedName>
    <definedName name="_____GRE2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_____GRE2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____GG1" localSheetId="9" hidden="1">{#N/A,#N/A,FALSE,"Aging Summary";#N/A,#N/A,FALSE,"Ratio Analysis";#N/A,#N/A,FALSE,"Test 120 Day Accts";#N/A,#N/A,FALSE,"Tickmarks"}</definedName>
    <definedName name="____GG1" hidden="1">{#N/A,#N/A,FALSE,"Aging Summary";#N/A,#N/A,FALSE,"Ratio Analysis";#N/A,#N/A,FALSE,"Test 120 Day Accts";#N/A,#N/A,FALSE,"Tickmarks"}</definedName>
    <definedName name="____GG2" localSheetId="9" hidden="1">{#N/A,#N/A,FALSE,"Aging Summary";#N/A,#N/A,FALSE,"Ratio Analysis";#N/A,#N/A,FALSE,"Test 120 Day Accts";#N/A,#N/A,FALSE,"Tickmarks"}</definedName>
    <definedName name="____GG2" hidden="1">{#N/A,#N/A,FALSE,"Aging Summary";#N/A,#N/A,FALSE,"Ratio Analysis";#N/A,#N/A,FALSE,"Test 120 Day Accts";#N/A,#N/A,FALSE,"Tickmarks"}</definedName>
    <definedName name="___CON1" localSheetId="9">#REF!</definedName>
    <definedName name="___CON1">#REF!</definedName>
    <definedName name="___CON2" localSheetId="9">#REF!</definedName>
    <definedName name="___CON2">#REF!</definedName>
    <definedName name="___ddn400" localSheetId="9">#REF!</definedName>
    <definedName name="___ddn400">#REF!</definedName>
    <definedName name="___ddn600" localSheetId="9">#REF!</definedName>
    <definedName name="___ddn600">#REF!</definedName>
    <definedName name="___E99999" localSheetId="9">#REF!</definedName>
    <definedName name="___E99999">#REF!</definedName>
    <definedName name="___ETI2" localSheetId="9">#REF!</definedName>
    <definedName name="___ETI2">#REF!</definedName>
    <definedName name="___GG1" localSheetId="9" hidden="1">{#N/A,#N/A,FALSE,"Aging Summary";#N/A,#N/A,FALSE,"Ratio Analysis";#N/A,#N/A,FALSE,"Test 120 Day Accts";#N/A,#N/A,FALSE,"Tickmarks"}</definedName>
    <definedName name="___GG1" hidden="1">{#N/A,#N/A,FALSE,"Aging Summary";#N/A,#N/A,FALSE,"Ratio Analysis";#N/A,#N/A,FALSE,"Test 120 Day Accts";#N/A,#N/A,FALSE,"Tickmarks"}</definedName>
    <definedName name="___GG2" localSheetId="9" hidden="1">{#N/A,#N/A,FALSE,"Aging Summary";#N/A,#N/A,FALSE,"Ratio Analysis";#N/A,#N/A,FALSE,"Test 120 Day Accts";#N/A,#N/A,FALSE,"Tickmarks"}</definedName>
    <definedName name="___GG2" hidden="1">{#N/A,#N/A,FALSE,"Aging Summary";#N/A,#N/A,FALSE,"Ratio Analysis";#N/A,#N/A,FALSE,"Test 120 Day Accts";#N/A,#N/A,FALSE,"Tickmarks"}</definedName>
    <definedName name="___gon4" localSheetId="9">#REF!</definedName>
    <definedName name="___gon4">#REF!</definedName>
    <definedName name="___GRE2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___GRE2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___IV999999" localSheetId="9">#REF!</definedName>
    <definedName name="___IV999999">#REF!</definedName>
    <definedName name="___IZ53" localSheetId="9">#REF!</definedName>
    <definedName name="___IZ53">#REF!</definedName>
    <definedName name="___JZ123" localSheetId="9">#REF!</definedName>
    <definedName name="___JZ123">#REF!</definedName>
    <definedName name="___lap1" localSheetId="9">#REF!</definedName>
    <definedName name="___lap1">#REF!</definedName>
    <definedName name="___lap2" localSheetId="9">#REF!</definedName>
    <definedName name="___lap2">#REF!</definedName>
    <definedName name="___LI1" localSheetId="9">OFFSET(#REF!,4,0,COUNTA(#REF!)-1,1)</definedName>
    <definedName name="___LI1">OFFSET(#REF!,4,0,COUNTA(#REF!)-1,1)</definedName>
    <definedName name="___LI10" localSheetId="9">OFFSET(#REF!,4,0,COUNTA(#REF!)-1,1)</definedName>
    <definedName name="___LI10">OFFSET(#REF!,4,0,COUNTA(#REF!)-1,1)</definedName>
    <definedName name="___LI11" localSheetId="9">OFFSET(#REF!,4,0,COUNTA(#REF!)-1,1)</definedName>
    <definedName name="___LI11">OFFSET(#REF!,4,0,COUNTA(#REF!)-1,1)</definedName>
    <definedName name="___LI12" localSheetId="9">OFFSET(#REF!,4,0,COUNTA(#REF!)-1,1)</definedName>
    <definedName name="___LI12">OFFSET(#REF!,4,0,COUNTA(#REF!)-1,1)</definedName>
    <definedName name="___LI13" localSheetId="9">OFFSET(#REF!,4,0,COUNTA(#REF!)-1,1)</definedName>
    <definedName name="___LI13">OFFSET(#REF!,4,0,COUNTA(#REF!)-1,1)</definedName>
    <definedName name="___LI14" localSheetId="9">OFFSET(#REF!,4,0,COUNTA(#REF!)-1,1)</definedName>
    <definedName name="___LI14">OFFSET(#REF!,4,0,COUNTA(#REF!)-1,1)</definedName>
    <definedName name="___LI15" localSheetId="9">OFFSET(#REF!,4,0,COUNTA(#REF!)-1,1)</definedName>
    <definedName name="___LI15">OFFSET(#REF!,4,0,COUNTA(#REF!)-1,1)</definedName>
    <definedName name="___LI16" localSheetId="9">OFFSET(#REF!,4,0,COUNTA(#REF!)-1,1)</definedName>
    <definedName name="___LI16">OFFSET(#REF!,4,0,COUNTA(#REF!)-1,1)</definedName>
    <definedName name="___LI17" localSheetId="9">OFFSET(#REF!,4,0,COUNTA(#REF!)-1,1)</definedName>
    <definedName name="___LI17">OFFSET(#REF!,4,0,COUNTA(#REF!)-1,1)</definedName>
    <definedName name="___LI18" localSheetId="9">OFFSET(#REF!,4,0,COUNTA(#REF!)-1,1)</definedName>
    <definedName name="___LI18">OFFSET(#REF!,4,0,COUNTA(#REF!)-1,1)</definedName>
    <definedName name="___LI19" localSheetId="9">OFFSET(#REF!,4,0,COUNTA(#REF!)-1,1)</definedName>
    <definedName name="___LI19">OFFSET(#REF!,4,0,COUNTA(#REF!)-1,1)</definedName>
    <definedName name="___LI2" localSheetId="9">OFFSET(#REF!,4,0,COUNTA(#REF!)-1,1)</definedName>
    <definedName name="___LI2">OFFSET(#REF!,4,0,COUNTA(#REF!)-1,1)</definedName>
    <definedName name="___LI20" localSheetId="9">OFFSET(#REF!,4,0,COUNTA(#REF!)-1,1)</definedName>
    <definedName name="___LI20">OFFSET(#REF!,4,0,COUNTA(#REF!)-1,1)</definedName>
    <definedName name="___LI21" localSheetId="9">OFFSET(#REF!,4,0,COUNTA(#REF!)-1,1)</definedName>
    <definedName name="___LI21">OFFSET(#REF!,4,0,COUNTA(#REF!)-1,1)</definedName>
    <definedName name="___LI22" localSheetId="9">OFFSET(#REF!,4,0,COUNTA(#REF!)-1,1)</definedName>
    <definedName name="___LI22">OFFSET(#REF!,4,0,COUNTA(#REF!)-1,1)</definedName>
    <definedName name="___LI23" localSheetId="9">OFFSET(#REF!,4,0,COUNTA(#REF!)-1,1)</definedName>
    <definedName name="___LI23">OFFSET(#REF!,4,0,COUNTA(#REF!)-1,1)</definedName>
    <definedName name="___LI24" localSheetId="9">OFFSET(#REF!,4,0,COUNTA(#REF!)-1,1)</definedName>
    <definedName name="___LI24">OFFSET(#REF!,4,0,COUNTA(#REF!)-1,1)</definedName>
    <definedName name="___LI25" localSheetId="9">OFFSET(#REF!,4,0,COUNTA(#REF!)-1,1)</definedName>
    <definedName name="___LI25">OFFSET(#REF!,4,0,COUNTA(#REF!)-1,1)</definedName>
    <definedName name="___LI3" localSheetId="9">OFFSET(#REF!,4,0,COUNTA(#REF!)-1,1)</definedName>
    <definedName name="___LI3">OFFSET(#REF!,4,0,COUNTA(#REF!)-1,1)</definedName>
    <definedName name="___LI30" localSheetId="9">OFFSET(#REF!,4,0,COUNTA(#REF!)-1,1)</definedName>
    <definedName name="___LI30">OFFSET(#REF!,4,0,COUNTA(#REF!)-1,1)</definedName>
    <definedName name="___LI4" localSheetId="9">OFFSET(#REF!,4,0,COUNTA(#REF!)-1,1)</definedName>
    <definedName name="___LI4">OFFSET(#REF!,4,0,COUNTA(#REF!)-1,1)</definedName>
    <definedName name="___LI5" localSheetId="9">OFFSET(#REF!,4,0,COUNTA(#REF!)-1,1)</definedName>
    <definedName name="___LI5">OFFSET(#REF!,4,0,COUNTA(#REF!)-1,1)</definedName>
    <definedName name="___LI6" localSheetId="9">OFFSET(#REF!,4,0,COUNTA(#REF!)-1,1)</definedName>
    <definedName name="___LI6">OFFSET(#REF!,4,0,COUNTA(#REF!)-1,1)</definedName>
    <definedName name="___LI7" localSheetId="9">OFFSET(#REF!,4,0,COUNTA(#REF!)-1,1)</definedName>
    <definedName name="___LI7">OFFSET(#REF!,4,0,COUNTA(#REF!)-1,1)</definedName>
    <definedName name="___LI8" localSheetId="9">OFFSET(#REF!,4,0,COUNTA(#REF!)-1,1)</definedName>
    <definedName name="___LI8">OFFSET(#REF!,4,0,COUNTA(#REF!)-1,1)</definedName>
    <definedName name="___LI9" localSheetId="9">OFFSET(#REF!,4,0,COUNTA(#REF!)-1,1)</definedName>
    <definedName name="___LI9">OFFSET(#REF!,4,0,COUNTA(#REF!)-1,1)</definedName>
    <definedName name="___LZ123" localSheetId="9">#REF!</definedName>
    <definedName name="___LZ123">#REF!</definedName>
    <definedName name="___MAC12" localSheetId="9">#REF!</definedName>
    <definedName name="___MAC12">#REF!</definedName>
    <definedName name="___MAC46" localSheetId="9">#REF!</definedName>
    <definedName name="___MAC46">#REF!</definedName>
    <definedName name="___MZ53" localSheetId="9">#REF!</definedName>
    <definedName name="___MZ53">#REF!</definedName>
    <definedName name="___NCL100" localSheetId="9">#REF!</definedName>
    <definedName name="___NCL100">#REF!</definedName>
    <definedName name="___NCL200" localSheetId="9">#REF!</definedName>
    <definedName name="___NCL200">#REF!</definedName>
    <definedName name="___NCL250" localSheetId="9">#REF!</definedName>
    <definedName name="___NCL250">#REF!</definedName>
    <definedName name="___NET2" localSheetId="9">#REF!</definedName>
    <definedName name="___NET2">#REF!</definedName>
    <definedName name="___nin190" localSheetId="9">#REF!</definedName>
    <definedName name="___nin190">#REF!</definedName>
    <definedName name="___sc1" localSheetId="9">#REF!</definedName>
    <definedName name="___sc1">#REF!</definedName>
    <definedName name="___SC2" localSheetId="9">#REF!</definedName>
    <definedName name="___SC2">#REF!</definedName>
    <definedName name="___sc3" localSheetId="9">#REF!</definedName>
    <definedName name="___sc3">#REF!</definedName>
    <definedName name="___SN3" localSheetId="9">#REF!</definedName>
    <definedName name="___SN3">#REF!</definedName>
    <definedName name="___tab1" localSheetId="9">#REF!</definedName>
    <definedName name="___tab1">#REF!</definedName>
    <definedName name="___tab10" localSheetId="9">#REF!</definedName>
    <definedName name="___tab10">#REF!</definedName>
    <definedName name="___tab11" localSheetId="9">#REF!</definedName>
    <definedName name="___tab11">#REF!</definedName>
    <definedName name="___tab12" localSheetId="9">#REF!</definedName>
    <definedName name="___tab12">#REF!</definedName>
    <definedName name="___tab2" localSheetId="9">#REF!</definedName>
    <definedName name="___tab2">#REF!</definedName>
    <definedName name="___tab3" localSheetId="9">#REF!</definedName>
    <definedName name="___tab3">#REF!</definedName>
    <definedName name="___tab4" localSheetId="9">#REF!</definedName>
    <definedName name="___tab4">#REF!</definedName>
    <definedName name="___tab5" localSheetId="9">#REF!</definedName>
    <definedName name="___tab5">#REF!</definedName>
    <definedName name="___tab6" localSheetId="9">#REF!</definedName>
    <definedName name="___tab6">#REF!</definedName>
    <definedName name="___tab7" localSheetId="9">#REF!</definedName>
    <definedName name="___tab7">#REF!</definedName>
    <definedName name="___tab8" localSheetId="9">#REF!</definedName>
    <definedName name="___tab8">#REF!</definedName>
    <definedName name="___tab9" localSheetId="9">#REF!</definedName>
    <definedName name="___tab9">#REF!</definedName>
    <definedName name="___TB1" localSheetId="9">#REF!</definedName>
    <definedName name="___TB1">#REF!</definedName>
    <definedName name="___TL1" localSheetId="9">#REF!</definedName>
    <definedName name="___TL1">#REF!</definedName>
    <definedName name="___TL2" localSheetId="9">#REF!</definedName>
    <definedName name="___TL2">#REF!</definedName>
    <definedName name="___TL3" localSheetId="9">#REF!</definedName>
    <definedName name="___TL3">#REF!</definedName>
    <definedName name="___TLA120" localSheetId="9">#REF!</definedName>
    <definedName name="___TLA120">#REF!</definedName>
    <definedName name="___TLA35" localSheetId="9">#REF!</definedName>
    <definedName name="___TLA35">#REF!</definedName>
    <definedName name="___TLA50" localSheetId="9">#REF!</definedName>
    <definedName name="___TLA50">#REF!</definedName>
    <definedName name="___TLA70" localSheetId="9">#REF!</definedName>
    <definedName name="___TLA70">#REF!</definedName>
    <definedName name="___TLA95" localSheetId="9">#REF!</definedName>
    <definedName name="___TLA95">#REF!</definedName>
    <definedName name="___VL100" localSheetId="9">#REF!</definedName>
    <definedName name="___VL100">#REF!</definedName>
    <definedName name="___VL200" localSheetId="9">#REF!</definedName>
    <definedName name="___VL200">#REF!</definedName>
    <definedName name="___VL250" localSheetId="9">#REF!</definedName>
    <definedName name="___VL250">#REF!</definedName>
    <definedName name="___XY123" localSheetId="9">#REF!</definedName>
    <definedName name="___XY123">#REF!</definedName>
    <definedName name="__1" localSheetId="9">#REF!</definedName>
    <definedName name="__1">#REF!</definedName>
    <definedName name="__123Graph_C" localSheetId="9" hidden="1">#REF!</definedName>
    <definedName name="__123Graph_C" hidden="1">#REF!</definedName>
    <definedName name="__2" localSheetId="9">#REF!</definedName>
    <definedName name="__2">#REF!</definedName>
    <definedName name="__CON1" localSheetId="9">#REF!</definedName>
    <definedName name="__CON1">#REF!</definedName>
    <definedName name="__CON2" localSheetId="9">#REF!</definedName>
    <definedName name="__CON2">#REF!</definedName>
    <definedName name="__ddn400" localSheetId="9">#REF!</definedName>
    <definedName name="__ddn400">#REF!</definedName>
    <definedName name="__ddn600" localSheetId="9">#REF!</definedName>
    <definedName name="__ddn600">#REF!</definedName>
    <definedName name="__E99999" localSheetId="9">#REF!</definedName>
    <definedName name="__E99999">#REF!</definedName>
    <definedName name="__ETI2" localSheetId="9">#REF!</definedName>
    <definedName name="__ETI2">#REF!</definedName>
    <definedName name="__GG1" localSheetId="9" hidden="1">{#N/A,#N/A,FALSE,"Aging Summary";#N/A,#N/A,FALSE,"Ratio Analysis";#N/A,#N/A,FALSE,"Test 120 Day Accts";#N/A,#N/A,FALSE,"Tickmarks"}</definedName>
    <definedName name="__GG1" hidden="1">{#N/A,#N/A,FALSE,"Aging Summary";#N/A,#N/A,FALSE,"Ratio Analysis";#N/A,#N/A,FALSE,"Test 120 Day Accts";#N/A,#N/A,FALSE,"Tickmarks"}</definedName>
    <definedName name="__GG2" localSheetId="9" hidden="1">{#N/A,#N/A,FALSE,"Aging Summary";#N/A,#N/A,FALSE,"Ratio Analysis";#N/A,#N/A,FALSE,"Test 120 Day Accts";#N/A,#N/A,FALSE,"Tickmarks"}</definedName>
    <definedName name="__GG2" hidden="1">{#N/A,#N/A,FALSE,"Aging Summary";#N/A,#N/A,FALSE,"Ratio Analysis";#N/A,#N/A,FALSE,"Test 120 Day Accts";#N/A,#N/A,FALSE,"Tickmarks"}</definedName>
    <definedName name="__gon4" localSheetId="9">#REF!</definedName>
    <definedName name="__gon4">#REF!</definedName>
    <definedName name="__IV17532" localSheetId="9">#REF!</definedName>
    <definedName name="__IV17532">#REF!</definedName>
    <definedName name="__IV19999" localSheetId="9">#REF!</definedName>
    <definedName name="__IV19999">#REF!</definedName>
    <definedName name="__IV20000" localSheetId="9">#REF!</definedName>
    <definedName name="__IV20000">#REF!</definedName>
    <definedName name="__IV60000" localSheetId="9">#REF!</definedName>
    <definedName name="__IV60000">#REF!</definedName>
    <definedName name="__IV999999" localSheetId="9">#REF!</definedName>
    <definedName name="__IV999999">#REF!</definedName>
    <definedName name="__IZ53" localSheetId="9">#REF!</definedName>
    <definedName name="__IZ53">#REF!</definedName>
    <definedName name="__JZ123" localSheetId="9">#REF!</definedName>
    <definedName name="__JZ123">#REF!</definedName>
    <definedName name="__lap1" localSheetId="9">#REF!</definedName>
    <definedName name="__lap1">#REF!</definedName>
    <definedName name="__lap2" localSheetId="9">#REF!</definedName>
    <definedName name="__lap2">#REF!</definedName>
    <definedName name="__LI1" localSheetId="9">OFFSET(#REF!,4,0,COUNTA(#REF!)-1,1)</definedName>
    <definedName name="__LI1">OFFSET(#REF!,4,0,COUNTA(#REF!)-1,1)</definedName>
    <definedName name="__LI10" localSheetId="9">OFFSET(#REF!,4,0,COUNTA(#REF!)-1,1)</definedName>
    <definedName name="__LI10">OFFSET(#REF!,4,0,COUNTA(#REF!)-1,1)</definedName>
    <definedName name="__LI11" localSheetId="9">OFFSET(#REF!,4,0,COUNTA(#REF!)-1,1)</definedName>
    <definedName name="__LI11">OFFSET(#REF!,4,0,COUNTA(#REF!)-1,1)</definedName>
    <definedName name="__LI12" localSheetId="9">OFFSET(#REF!,4,0,COUNTA(#REF!)-1,1)</definedName>
    <definedName name="__LI12">OFFSET(#REF!,4,0,COUNTA(#REF!)-1,1)</definedName>
    <definedName name="__LI13" localSheetId="9">OFFSET(#REF!,4,0,COUNTA(#REF!)-1,1)</definedName>
    <definedName name="__LI13">OFFSET(#REF!,4,0,COUNTA(#REF!)-1,1)</definedName>
    <definedName name="__LI14" localSheetId="9">OFFSET(#REF!,4,0,COUNTA(#REF!)-1,1)</definedName>
    <definedName name="__LI14">OFFSET(#REF!,4,0,COUNTA(#REF!)-1,1)</definedName>
    <definedName name="__LI15" localSheetId="9">OFFSET(#REF!,4,0,COUNTA(#REF!)-1,1)</definedName>
    <definedName name="__LI15">OFFSET(#REF!,4,0,COUNTA(#REF!)-1,1)</definedName>
    <definedName name="__LI16" localSheetId="9">OFFSET(#REF!,4,0,COUNTA(#REF!)-1,1)</definedName>
    <definedName name="__LI16">OFFSET(#REF!,4,0,COUNTA(#REF!)-1,1)</definedName>
    <definedName name="__LI17" localSheetId="9">OFFSET(#REF!,4,0,COUNTA(#REF!)-1,1)</definedName>
    <definedName name="__LI17">OFFSET(#REF!,4,0,COUNTA(#REF!)-1,1)</definedName>
    <definedName name="__LI18" localSheetId="9">OFFSET(#REF!,4,0,COUNTA(#REF!)-1,1)</definedName>
    <definedName name="__LI18">OFFSET(#REF!,4,0,COUNTA(#REF!)-1,1)</definedName>
    <definedName name="__LI19" localSheetId="9">OFFSET(#REF!,4,0,COUNTA(#REF!)-1,1)</definedName>
    <definedName name="__LI19">OFFSET(#REF!,4,0,COUNTA(#REF!)-1,1)</definedName>
    <definedName name="__LI2" localSheetId="9">OFFSET(#REF!,4,0,COUNTA(#REF!)-1,1)</definedName>
    <definedName name="__LI2">OFFSET(#REF!,4,0,COUNTA(#REF!)-1,1)</definedName>
    <definedName name="__LI20" localSheetId="9">OFFSET(#REF!,4,0,COUNTA(#REF!)-1,1)</definedName>
    <definedName name="__LI20">OFFSET(#REF!,4,0,COUNTA(#REF!)-1,1)</definedName>
    <definedName name="__LI21" localSheetId="9">OFFSET(#REF!,4,0,COUNTA(#REF!)-1,1)</definedName>
    <definedName name="__LI21">OFFSET(#REF!,4,0,COUNTA(#REF!)-1,1)</definedName>
    <definedName name="__LI22" localSheetId="9">OFFSET(#REF!,4,0,COUNTA(#REF!)-1,1)</definedName>
    <definedName name="__LI22">OFFSET(#REF!,4,0,COUNTA(#REF!)-1,1)</definedName>
    <definedName name="__LI23" localSheetId="9">OFFSET(#REF!,4,0,COUNTA(#REF!)-1,1)</definedName>
    <definedName name="__LI23">OFFSET(#REF!,4,0,COUNTA(#REF!)-1,1)</definedName>
    <definedName name="__LI24" localSheetId="9">OFFSET(#REF!,4,0,COUNTA(#REF!)-1,1)</definedName>
    <definedName name="__LI24">OFFSET(#REF!,4,0,COUNTA(#REF!)-1,1)</definedName>
    <definedName name="__LI25" localSheetId="9">OFFSET(#REF!,4,0,COUNTA(#REF!)-1,1)</definedName>
    <definedName name="__LI25">OFFSET(#REF!,4,0,COUNTA(#REF!)-1,1)</definedName>
    <definedName name="__LI3" localSheetId="9">OFFSET(#REF!,4,0,COUNTA(#REF!)-1,1)</definedName>
    <definedName name="__LI3">OFFSET(#REF!,4,0,COUNTA(#REF!)-1,1)</definedName>
    <definedName name="__LI30" localSheetId="9">OFFSET(#REF!,4,0,COUNTA(#REF!)-1,1)</definedName>
    <definedName name="__LI30">OFFSET(#REF!,4,0,COUNTA(#REF!)-1,1)</definedName>
    <definedName name="__LI4" localSheetId="9">OFFSET(#REF!,4,0,COUNTA(#REF!)-1,1)</definedName>
    <definedName name="__LI4">OFFSET(#REF!,4,0,COUNTA(#REF!)-1,1)</definedName>
    <definedName name="__LI5" localSheetId="9">OFFSET(#REF!,4,0,COUNTA(#REF!)-1,1)</definedName>
    <definedName name="__LI5">OFFSET(#REF!,4,0,COUNTA(#REF!)-1,1)</definedName>
    <definedName name="__LI6" localSheetId="9">OFFSET(#REF!,4,0,COUNTA(#REF!)-1,1)</definedName>
    <definedName name="__LI6">OFFSET(#REF!,4,0,COUNTA(#REF!)-1,1)</definedName>
    <definedName name="__LI7" localSheetId="9">OFFSET(#REF!,4,0,COUNTA(#REF!)-1,1)</definedName>
    <definedName name="__LI7">OFFSET(#REF!,4,0,COUNTA(#REF!)-1,1)</definedName>
    <definedName name="__LI8" localSheetId="9">OFFSET(#REF!,4,0,COUNTA(#REF!)-1,1)</definedName>
    <definedName name="__LI8">OFFSET(#REF!,4,0,COUNTA(#REF!)-1,1)</definedName>
    <definedName name="__LI9" localSheetId="9">OFFSET(#REF!,4,0,COUNTA(#REF!)-1,1)</definedName>
    <definedName name="__LI9">OFFSET(#REF!,4,0,COUNTA(#REF!)-1,1)</definedName>
    <definedName name="__LZ123" localSheetId="9">#REF!</definedName>
    <definedName name="__LZ123">#REF!</definedName>
    <definedName name="__MAC12" localSheetId="9">#REF!</definedName>
    <definedName name="__MAC12">#REF!</definedName>
    <definedName name="__MAC46" localSheetId="9">#REF!</definedName>
    <definedName name="__MAC46">#REF!</definedName>
    <definedName name="__MZ53" localSheetId="9">#REF!</definedName>
    <definedName name="__MZ53">#REF!</definedName>
    <definedName name="__NCL100" localSheetId="9">#REF!</definedName>
    <definedName name="__NCL100">#REF!</definedName>
    <definedName name="__NCL200" localSheetId="9">#REF!</definedName>
    <definedName name="__NCL200">#REF!</definedName>
    <definedName name="__NCL250" localSheetId="9">#REF!</definedName>
    <definedName name="__NCL250">#REF!</definedName>
    <definedName name="__NET2" localSheetId="9">#REF!</definedName>
    <definedName name="__NET2">#REF!</definedName>
    <definedName name="__nin190" localSheetId="9">#REF!</definedName>
    <definedName name="__nin190">#REF!</definedName>
    <definedName name="__sc1" localSheetId="9">#REF!</definedName>
    <definedName name="__sc1">#REF!</definedName>
    <definedName name="__SC2" localSheetId="9">#REF!</definedName>
    <definedName name="__SC2">#REF!</definedName>
    <definedName name="__sc3" localSheetId="9">#REF!</definedName>
    <definedName name="__sc3">#REF!</definedName>
    <definedName name="__SN3" localSheetId="9">#REF!</definedName>
    <definedName name="__SN3">#REF!</definedName>
    <definedName name="__tab1" localSheetId="9">#REF!</definedName>
    <definedName name="__tab1">#REF!</definedName>
    <definedName name="__tab10" localSheetId="9">#REF!</definedName>
    <definedName name="__tab10">#REF!</definedName>
    <definedName name="__tab11" localSheetId="9">#REF!</definedName>
    <definedName name="__tab11">#REF!</definedName>
    <definedName name="__tab12" localSheetId="9">#REF!</definedName>
    <definedName name="__tab12">#REF!</definedName>
    <definedName name="__tab2" localSheetId="9">#REF!</definedName>
    <definedName name="__tab2">#REF!</definedName>
    <definedName name="__tab3" localSheetId="9">#REF!</definedName>
    <definedName name="__tab3">#REF!</definedName>
    <definedName name="__tab4" localSheetId="9">#REF!</definedName>
    <definedName name="__tab4">#REF!</definedName>
    <definedName name="__tab5" localSheetId="9">#REF!</definedName>
    <definedName name="__tab5">#REF!</definedName>
    <definedName name="__tab6" localSheetId="9">#REF!</definedName>
    <definedName name="__tab6">#REF!</definedName>
    <definedName name="__tab7" localSheetId="9">#REF!</definedName>
    <definedName name="__tab7">#REF!</definedName>
    <definedName name="__tab8" localSheetId="9">#REF!</definedName>
    <definedName name="__tab8">#REF!</definedName>
    <definedName name="__tab9" localSheetId="9">#REF!</definedName>
    <definedName name="__tab9">#REF!</definedName>
    <definedName name="__TB1" localSheetId="9">#REF!</definedName>
    <definedName name="__TB1">#REF!</definedName>
    <definedName name="__TL1" localSheetId="9">#REF!</definedName>
    <definedName name="__TL1">#REF!</definedName>
    <definedName name="__TL2" localSheetId="9">#REF!</definedName>
    <definedName name="__TL2">#REF!</definedName>
    <definedName name="__TL3" localSheetId="9">#REF!</definedName>
    <definedName name="__TL3">#REF!</definedName>
    <definedName name="__TLA120" localSheetId="9">#REF!</definedName>
    <definedName name="__TLA120">#REF!</definedName>
    <definedName name="__TLA35" localSheetId="9">#REF!</definedName>
    <definedName name="__TLA35">#REF!</definedName>
    <definedName name="__TLA50" localSheetId="9">#REF!</definedName>
    <definedName name="__TLA50">#REF!</definedName>
    <definedName name="__TLA70" localSheetId="9">#REF!</definedName>
    <definedName name="__TLA70">#REF!</definedName>
    <definedName name="__TLA95" localSheetId="9">#REF!</definedName>
    <definedName name="__TLA95">#REF!</definedName>
    <definedName name="__VL100" localSheetId="9">#REF!</definedName>
    <definedName name="__VL100">#REF!</definedName>
    <definedName name="__VL200" localSheetId="9">#REF!</definedName>
    <definedName name="__VL200">#REF!</definedName>
    <definedName name="__VL250" localSheetId="9">#REF!</definedName>
    <definedName name="__VL250">#REF!</definedName>
    <definedName name="__XY123" localSheetId="9">#REF!</definedName>
    <definedName name="__XY123">#REF!</definedName>
    <definedName name="_000139" localSheetId="9">#REF!</definedName>
    <definedName name="_000139">#REF!</definedName>
    <definedName name="_00103工资及附加费" localSheetId="9">#REF!</definedName>
    <definedName name="_00103工资及附加费">#REF!</definedName>
    <definedName name="_0013600" localSheetId="9">#REF!</definedName>
    <definedName name="_0013600">#REF!</definedName>
    <definedName name="_012月" localSheetId="9">#REF!</definedName>
    <definedName name="_012月">#REF!</definedName>
    <definedName name="_0136" localSheetId="9">#REF!</definedName>
    <definedName name="_0136">#REF!</definedName>
    <definedName name="_0139" localSheetId="9">#REF!</definedName>
    <definedName name="_0139">#REF!</definedName>
    <definedName name="_0170608" localSheetId="9">#REF!</definedName>
    <definedName name="_0170608">#REF!</definedName>
    <definedName name="_02标准" localSheetId="9">#REF!</definedName>
    <definedName name="_02标准">#REF!</definedName>
    <definedName name="_02差异" localSheetId="9">#REF!</definedName>
    <definedName name="_02差异">#REF!</definedName>
    <definedName name="_02制造费用" localSheetId="9">#REF!</definedName>
    <definedName name="_02制造费用">#REF!</definedName>
    <definedName name="_03标准" localSheetId="9">#REF!</definedName>
    <definedName name="_03标准">#REF!</definedName>
    <definedName name="_03差异" localSheetId="9">#REF!</definedName>
    <definedName name="_03差异">#REF!</definedName>
    <definedName name="_03费用" localSheetId="9">#REF!</definedName>
    <definedName name="_03费用">#REF!</definedName>
    <definedName name="_04" localSheetId="9">#REF!</definedName>
    <definedName name="_04">#REF!</definedName>
    <definedName name="_04标准" localSheetId="9">#REF!</definedName>
    <definedName name="_04标准">#REF!</definedName>
    <definedName name="_04差异" localSheetId="9">#REF!</definedName>
    <definedName name="_04差异">#REF!</definedName>
    <definedName name="_050202" localSheetId="9">#REF!</definedName>
    <definedName name="_050202">#REF!</definedName>
    <definedName name="_05B箱体材料" localSheetId="9">#REF!</definedName>
    <definedName name="_05B箱体材料">#REF!</definedName>
    <definedName name="_05B箱体差异" localSheetId="9">#REF!</definedName>
    <definedName name="_05B箱体差异">#REF!</definedName>
    <definedName name="_05G机材料" localSheetId="9">#REF!</definedName>
    <definedName name="_05G机材料">#REF!</definedName>
    <definedName name="_05G机差异" localSheetId="9">#REF!</definedName>
    <definedName name="_05G机差异">#REF!</definedName>
    <definedName name="_05G箱体材料" localSheetId="9">#REF!</definedName>
    <definedName name="_05G箱体材料">#REF!</definedName>
    <definedName name="_05G箱体差异" localSheetId="9">#REF!</definedName>
    <definedName name="_05G箱体差异">#REF!</definedName>
    <definedName name="_05Q机材料" localSheetId="9">#REF!</definedName>
    <definedName name="_05Q机材料">#REF!</definedName>
    <definedName name="_05Q机差异" localSheetId="9">#REF!</definedName>
    <definedName name="_05Q机差异">#REF!</definedName>
    <definedName name="_05标准" localSheetId="9">#REF!</definedName>
    <definedName name="_05标准">#REF!</definedName>
    <definedName name="_05差异" localSheetId="9">#REF!</definedName>
    <definedName name="_05差异">#REF!</definedName>
    <definedName name="_05吹塑材料" localSheetId="9">#REF!</definedName>
    <definedName name="_05吹塑材料">#REF!</definedName>
    <definedName name="_05吹塑差异" localSheetId="9">#REF!</definedName>
    <definedName name="_05吹塑差异">#REF!</definedName>
    <definedName name="_05费用" localSheetId="9">#REF!</definedName>
    <definedName name="_05费用">#REF!</definedName>
    <definedName name="_05月" localSheetId="9">#REF!</definedName>
    <definedName name="_05月">#REF!</definedName>
    <definedName name="_05注塑材料" localSheetId="9">#REF!</definedName>
    <definedName name="_05注塑材料">#REF!</definedName>
    <definedName name="_05注塑差异" localSheetId="9">#REF!</definedName>
    <definedName name="_05注塑差异">#REF!</definedName>
    <definedName name="_06标准" localSheetId="9">#REF!</definedName>
    <definedName name="_06标准">#REF!</definedName>
    <definedName name="_06差异" localSheetId="9">#REF!</definedName>
    <definedName name="_06差异">#REF!</definedName>
    <definedName name="_06费用" localSheetId="9">#REF!</definedName>
    <definedName name="_06费用">#REF!</definedName>
    <definedName name="_06月" localSheetId="9">#REF!</definedName>
    <definedName name="_06月">#REF!</definedName>
    <definedName name="_06月材料" localSheetId="9">#REF!</definedName>
    <definedName name="_06月材料">#REF!</definedName>
    <definedName name="_06月差异" localSheetId="9">#REF!</definedName>
    <definedName name="_06月差异">#REF!</definedName>
    <definedName name="_07材料" localSheetId="9">#REF!</definedName>
    <definedName name="_07材料">#REF!</definedName>
    <definedName name="_07差异" localSheetId="9">#REF!</definedName>
    <definedName name="_07差异">#REF!</definedName>
    <definedName name="_07费用" localSheetId="9">#REF!</definedName>
    <definedName name="_07费用">#REF!</definedName>
    <definedName name="_07制造费用" localSheetId="9">#REF!</definedName>
    <definedName name="_07制造费用">#REF!</definedName>
    <definedName name="_08标准" localSheetId="9">#REF!</definedName>
    <definedName name="_08标准">#REF!</definedName>
    <definedName name="_08差异" localSheetId="9">#REF!</definedName>
    <definedName name="_08差异">#REF!</definedName>
    <definedName name="_08制造费用" localSheetId="9">#REF!</definedName>
    <definedName name="_08制造费用">#REF!</definedName>
    <definedName name="_09" localSheetId="9">#REF!</definedName>
    <definedName name="_09">#REF!</definedName>
    <definedName name="_0901" localSheetId="9">#REF!</definedName>
    <definedName name="_0901">#REF!</definedName>
    <definedName name="_0902" localSheetId="9">#REF!</definedName>
    <definedName name="_0902">#REF!</definedName>
    <definedName name="_0903" localSheetId="9">#REF!</definedName>
    <definedName name="_0903">#REF!</definedName>
    <definedName name="_0904" localSheetId="9">#REF!</definedName>
    <definedName name="_0904">#REF!</definedName>
    <definedName name="_0910制造费用" localSheetId="9">#REF!</definedName>
    <definedName name="_0910制造费用">#REF!</definedName>
    <definedName name="_09标准" localSheetId="9">#REF!</definedName>
    <definedName name="_09标准">#REF!</definedName>
    <definedName name="_09差异" localSheetId="9">#REF!</definedName>
    <definedName name="_09差异">#REF!</definedName>
    <definedName name="_09销售" localSheetId="9">#REF!</definedName>
    <definedName name="_09销售">#REF!</definedName>
    <definedName name="_09制造费用" localSheetId="9">#REF!</definedName>
    <definedName name="_09制造费用">#REF!</definedName>
    <definedName name="_0出口机" localSheetId="9">#REF!</definedName>
    <definedName name="_0出口机">#REF!</definedName>
    <definedName name="_1">#N/A</definedName>
    <definedName name="_1_119_7" localSheetId="9">#REF!</definedName>
    <definedName name="_1_119_7">#REF!</definedName>
    <definedName name="_1_231060302固话" localSheetId="9">#REF!</definedName>
    <definedName name="_1_231060302固话">#REF!</definedName>
    <definedName name="_10_2" localSheetId="9">#REF!</definedName>
    <definedName name="_10_2">#REF!</definedName>
    <definedName name="_10_231060505出差补助" localSheetId="9">#REF!</definedName>
    <definedName name="_10_231060505出差补助">#REF!</definedName>
    <definedName name="_1000A01">#N/A</definedName>
    <definedName name="_1001" localSheetId="9">#REF!</definedName>
    <definedName name="_1001">#REF!</definedName>
    <definedName name="_1002" localSheetId="9">#REF!</definedName>
    <definedName name="_1002">#REF!</definedName>
    <definedName name="_1003" localSheetId="9">#REF!</definedName>
    <definedName name="_1003">#REF!</definedName>
    <definedName name="_1005" localSheetId="9">#REF!</definedName>
    <definedName name="_1005">#REF!</definedName>
    <definedName name="_1006" localSheetId="9">#REF!</definedName>
    <definedName name="_1006">#REF!</definedName>
    <definedName name="_1007" localSheetId="9">#REF!</definedName>
    <definedName name="_1007">#REF!</definedName>
    <definedName name="_10IV19999_" localSheetId="9">#REF!</definedName>
    <definedName name="_10IV19999_">#REF!</definedName>
    <definedName name="_10THAØNH_TIEÀN" localSheetId="9">#REF!</definedName>
    <definedName name="_10THAØNH_TIEÀN">#REF!</definedName>
    <definedName name="_10标准" localSheetId="9">#REF!</definedName>
    <definedName name="_10标准">#REF!</definedName>
    <definedName name="_10差异" localSheetId="9">#REF!</definedName>
    <definedName name="_10差异">#REF!</definedName>
    <definedName name="_10预提" localSheetId="9">#REF!</definedName>
    <definedName name="_10预提">#REF!</definedName>
    <definedName name="_11_231060506住宿费" localSheetId="9">#REF!</definedName>
    <definedName name="_11_231060506住宿费">#REF!</definedName>
    <definedName name="_1101" localSheetId="9">#REF!</definedName>
    <definedName name="_1101">#REF!</definedName>
    <definedName name="_1102" localSheetId="9">#REF!</definedName>
    <definedName name="_1102">#REF!</definedName>
    <definedName name="_1103" localSheetId="9">#REF!</definedName>
    <definedName name="_1103">#REF!</definedName>
    <definedName name="_1104" localSheetId="9">#REF!</definedName>
    <definedName name="_1104">#REF!</definedName>
    <definedName name="_1105" localSheetId="9">#REF!</definedName>
    <definedName name="_1105">#REF!</definedName>
    <definedName name="_111" localSheetId="9">#REF!</definedName>
    <definedName name="_111">#REF!</definedName>
    <definedName name="_11IV20000_" localSheetId="9">#REF!</definedName>
    <definedName name="_11IV20000_">#REF!</definedName>
    <definedName name="_11TRÒ_GIAÙ" localSheetId="9">#REF!</definedName>
    <definedName name="_11TRÒ_GIAÙ">#REF!</definedName>
    <definedName name="_11标准" localSheetId="9">#REF!</definedName>
    <definedName name="_11标准">#REF!</definedName>
    <definedName name="_11差异" localSheetId="9">#REF!</definedName>
    <definedName name="_11差异">#REF!</definedName>
    <definedName name="_11月费用" localSheetId="9">#REF!</definedName>
    <definedName name="_11月费用">#REF!</definedName>
    <definedName name="_12_231060510杂费" localSheetId="9">#REF!</definedName>
    <definedName name="_12_231060510杂费">#REF!</definedName>
    <definedName name="_1201" localSheetId="9">#REF!</definedName>
    <definedName name="_1201">#REF!</definedName>
    <definedName name="_1202" localSheetId="9">#REF!</definedName>
    <definedName name="_1202">#REF!</definedName>
    <definedName name="_1203" localSheetId="9">#REF!</definedName>
    <definedName name="_1203">#REF!</definedName>
    <definedName name="_123" localSheetId="9">#REF!</definedName>
    <definedName name="_123">#REF!</definedName>
    <definedName name="_12IV60000_" localSheetId="9">#REF!</definedName>
    <definedName name="_12IV60000_">#REF!</definedName>
    <definedName name="_12TRÒ_GIAÙ__VAT" localSheetId="9">#REF!</definedName>
    <definedName name="_12TRÒ_GIAÙ__VAT">#REF!</definedName>
    <definedName name="_12标准" localSheetId="9">#REF!</definedName>
    <definedName name="_12标准">#REF!</definedName>
    <definedName name="_12月差异" localSheetId="9">#REF!</definedName>
    <definedName name="_12月差异">#REF!</definedName>
    <definedName name="_12月费用" localSheetId="9">#REF!</definedName>
    <definedName name="_12月费用">#REF!</definedName>
    <definedName name="_13_231060601至经营部运费" localSheetId="9">#REF!</definedName>
    <definedName name="_13_231060601至经营部运费">#REF!</definedName>
    <definedName name="_136_出口滚筒" localSheetId="9">#REF!</definedName>
    <definedName name="_136_出口滚筒">#REF!</definedName>
    <definedName name="_136产成" localSheetId="9">#REF!</definedName>
    <definedName name="_136产成">#REF!</definedName>
    <definedName name="_136产成品" localSheetId="9">#REF!</definedName>
    <definedName name="_136产成品">#REF!</definedName>
    <definedName name="_136产成品12" localSheetId="9">#REF!</definedName>
    <definedName name="_136产成品12">#REF!</definedName>
    <definedName name="_136产成品12月" localSheetId="9">#REF!</definedName>
    <definedName name="_136产成品12月">#REF!</definedName>
    <definedName name="_136产成品出口机仓库" localSheetId="9">#REF!</definedName>
    <definedName name="_136产成品出口机仓库">#REF!</definedName>
    <definedName name="_136出口" localSheetId="9">#REF!</definedName>
    <definedName name="_136出口">#REF!</definedName>
    <definedName name="_136出口1" localSheetId="9">#REF!</definedName>
    <definedName name="_136出口1">#REF!</definedName>
    <definedName name="_136出口仓" localSheetId="9">#REF!</definedName>
    <definedName name="_136出口仓">#REF!</definedName>
    <definedName name="_136出口仓库" localSheetId="9">#REF!</definedName>
    <definedName name="_136出口仓库">#REF!</definedName>
    <definedName name="_136出口机" localSheetId="9">#REF!</definedName>
    <definedName name="_136出口机">#REF!</definedName>
    <definedName name="_136出口机仓" localSheetId="9">#REF!</definedName>
    <definedName name="_136出口机仓">#REF!</definedName>
    <definedName name="_136出口机仓库12" localSheetId="9">#REF!</definedName>
    <definedName name="_136出口机仓库12">#REF!</definedName>
    <definedName name="_136出口机仓库12月" localSheetId="9">#REF!</definedName>
    <definedName name="_136出口机仓库12月">#REF!</definedName>
    <definedName name="_136出口机仓新" localSheetId="9">#REF!</definedName>
    <definedName name="_136出口机仓新">#REF!</definedName>
    <definedName name="_137" localSheetId="9">#REF!</definedName>
    <definedName name="_137">#REF!</definedName>
    <definedName name="_1370101" localSheetId="9">#REF!</definedName>
    <definedName name="_1370101">#REF!</definedName>
    <definedName name="_1370202" localSheetId="9">#REF!</definedName>
    <definedName name="_1370202">#REF!</definedName>
    <definedName name="_13703" localSheetId="9">#REF!</definedName>
    <definedName name="_13703">#REF!</definedName>
    <definedName name="_139" localSheetId="9">#REF!</definedName>
    <definedName name="_139">#REF!</definedName>
    <definedName name="_139产成品12月" localSheetId="9">#REF!</definedName>
    <definedName name="_139产成品12月">#REF!</definedName>
    <definedName name="_139产成品发出" localSheetId="9">#REF!</definedName>
    <definedName name="_139产成品发出">#REF!</definedName>
    <definedName name="_139发出" localSheetId="9">#REF!</definedName>
    <definedName name="_139发出">#REF!</definedName>
    <definedName name="_139发出12" localSheetId="9">#REF!</definedName>
    <definedName name="_139发出12">#REF!</definedName>
    <definedName name="_139发出12月" localSheetId="9">#REF!</definedName>
    <definedName name="_139发出12月">#REF!</definedName>
    <definedName name="_139发出商品" localSheetId="9">#REF!</definedName>
    <definedName name="_139发出商品">#REF!</definedName>
    <definedName name="_13MAÕ_HAØNG" localSheetId="9">#REF!</definedName>
    <definedName name="_13MAÕ_HAØNG">#REF!</definedName>
    <definedName name="_14_231060604其他运费" localSheetId="9">#REF!</definedName>
    <definedName name="_14_231060604其他运费">#REF!</definedName>
    <definedName name="_14MAÕ_SOÁ_THUEÁ" localSheetId="9">#REF!</definedName>
    <definedName name="_14MAÕ_SOÁ_THUEÁ">#REF!</definedName>
    <definedName name="_15_231060605至客户运费" localSheetId="9">#REF!</definedName>
    <definedName name="_15_231060605至客户运费">#REF!</definedName>
    <definedName name="_15ÑÔN_GIAÙ" localSheetId="9">#REF!</definedName>
    <definedName name="_15ÑÔN_GIAÙ">#REF!</definedName>
    <definedName name="_16_231060701赠送品" localSheetId="9">#REF!</definedName>
    <definedName name="_16_231060701赠送品">#REF!</definedName>
    <definedName name="_160201" localSheetId="9">#REF!</definedName>
    <definedName name="_160201">#REF!</definedName>
    <definedName name="_160202" localSheetId="9">#REF!</definedName>
    <definedName name="_160202">#REF!</definedName>
    <definedName name="_160203" localSheetId="9">#REF!</definedName>
    <definedName name="_160203">#REF!</definedName>
    <definedName name="_160402" localSheetId="9">#REF!</definedName>
    <definedName name="_160402">#REF!</definedName>
    <definedName name="_16SOÁ_CTÖØ" localSheetId="9">#REF!</definedName>
    <definedName name="_16SOÁ_CTÖØ">#REF!</definedName>
    <definedName name="_17_231060702促销活动费" localSheetId="9">#REF!</definedName>
    <definedName name="_17_231060702促销活动费">#REF!</definedName>
    <definedName name="_17SOÁ_LÖÔÏNG" localSheetId="9">#REF!</definedName>
    <definedName name="_17SOÁ_LÖÔÏNG">#REF!</definedName>
    <definedName name="_18_2310608办公室租金" localSheetId="9">#REF!</definedName>
    <definedName name="_18_2310608办公室租金">#REF!</definedName>
    <definedName name="_19_2310609贴息费用" localSheetId="9">#REF!</definedName>
    <definedName name="_19_2310609贴息费用">#REF!</definedName>
    <definedName name="_19T02_" localSheetId="9">{"Book1"}</definedName>
    <definedName name="_19T02_">{"Book1"}</definedName>
    <definedName name="_1BA2500" localSheetId="9">#REF!</definedName>
    <definedName name="_1BA2500">#REF!</definedName>
    <definedName name="_1BA3250" localSheetId="9">#REF!</definedName>
    <definedName name="_1BA3250">#REF!</definedName>
    <definedName name="_1BA400P" localSheetId="9">#REF!</definedName>
    <definedName name="_1BA400P">#REF!</definedName>
    <definedName name="_1CAP001" localSheetId="9">#REF!</definedName>
    <definedName name="_1CAP001">#REF!</definedName>
    <definedName name="_1CAP011" localSheetId="9">#REF!</definedName>
    <definedName name="_1CAP011">#REF!</definedName>
    <definedName name="_1CAP012" localSheetId="9">#REF!</definedName>
    <definedName name="_1CAP012">#REF!</definedName>
    <definedName name="_1CDHT03" localSheetId="9">#REF!</definedName>
    <definedName name="_1CDHT03">#REF!</definedName>
    <definedName name="_1CHANG2" localSheetId="9">#REF!</definedName>
    <definedName name="_1CHANG2">#REF!</definedName>
    <definedName name="_1DADOI1" localSheetId="9">#REF!</definedName>
    <definedName name="_1DADOI1">#REF!</definedName>
    <definedName name="_1DAU002" localSheetId="9">#REF!</definedName>
    <definedName name="_1DAU002">#REF!</definedName>
    <definedName name="_1DDAY03" localSheetId="9">#REF!</definedName>
    <definedName name="_1DDAY03">#REF!</definedName>
    <definedName name="_1DDTT01" localSheetId="9">#REF!</definedName>
    <definedName name="_1DDTT01">#REF!</definedName>
    <definedName name="_1FCO101" localSheetId="9">#REF!</definedName>
    <definedName name="_1FCO101">#REF!</definedName>
    <definedName name="_1GG1_" localSheetId="9" hidden="1">{#N/A,#N/A,FALSE,"Aging Summary";#N/A,#N/A,FALSE,"Ratio Analysis";#N/A,#N/A,FALSE,"Test 120 Day Accts";#N/A,#N/A,FALSE,"Tickmarks"}</definedName>
    <definedName name="_1GG1_" hidden="1">{#N/A,#N/A,FALSE,"Aging Summary";#N/A,#N/A,FALSE,"Ratio Analysis";#N/A,#N/A,FALSE,"Test 120 Day Accts";#N/A,#N/A,FALSE,"Tickmarks"}</definedName>
    <definedName name="_1GIA101" localSheetId="9">#REF!</definedName>
    <definedName name="_1GIA101">#REF!</definedName>
    <definedName name="_1LA1001" localSheetId="9">#REF!</definedName>
    <definedName name="_1LA1001">#REF!</definedName>
    <definedName name="_1LP" localSheetId="9">#REF!</definedName>
    <definedName name="_1LP">#REF!</definedName>
    <definedName name="_1MCCBO2" localSheetId="9">#REF!</definedName>
    <definedName name="_1MCCBO2">#REF!</definedName>
    <definedName name="_1Personal_Einga_e" localSheetId="9">#REF!,#REF!,#REF!,#REF!,#REF!,#REF!,#REF!,#REF!,#REF!,#REF!,#REF!,#REF!,#REF!</definedName>
    <definedName name="_1Personal_Einga_e">#REF!,#REF!,#REF!,#REF!,#REF!,#REF!,#REF!,#REF!,#REF!,#REF!,#REF!,#REF!,#REF!</definedName>
    <definedName name="_1PKCAP1" localSheetId="9">#REF!</definedName>
    <definedName name="_1PKCAP1">#REF!</definedName>
    <definedName name="_1PKIEN2" localSheetId="9">#REF!</definedName>
    <definedName name="_1PKIEN2">#REF!</definedName>
    <definedName name="_1PKTT01" localSheetId="9">#REF!</definedName>
    <definedName name="_1PKTT01">#REF!</definedName>
    <definedName name="_1TCD101" localSheetId="9">#REF!</definedName>
    <definedName name="_1TCD101">#REF!</definedName>
    <definedName name="_1TCD201" localSheetId="9">#REF!</definedName>
    <definedName name="_1TCD201">#REF!</definedName>
    <definedName name="_1TCD203" localSheetId="9">#REF!</definedName>
    <definedName name="_1TCD203">#REF!</definedName>
    <definedName name="_1TD2001" localSheetId="9">#REF!</definedName>
    <definedName name="_1TD2001">#REF!</definedName>
    <definedName name="_1TIHT01" localSheetId="9">#REF!</definedName>
    <definedName name="_1TIHT01">#REF!</definedName>
    <definedName name="_1TIHT06" localSheetId="9">#REF!</definedName>
    <definedName name="_1TIHT06">#REF!</definedName>
    <definedName name="_1TIHT07" localSheetId="9">#REF!</definedName>
    <definedName name="_1TIHT07">#REF!</definedName>
    <definedName name="_1TRU121" localSheetId="9">#REF!</definedName>
    <definedName name="_1TRU121">#REF!</definedName>
    <definedName name="_1月" localSheetId="9">#REF!</definedName>
    <definedName name="_1月">#REF!</definedName>
    <definedName name="_1月G机标准" localSheetId="9">#REF!</definedName>
    <definedName name="_1月G机标准">#REF!</definedName>
    <definedName name="_1月G机差异" localSheetId="9">#REF!</definedName>
    <definedName name="_1月G机差异">#REF!</definedName>
    <definedName name="_1月标准" localSheetId="9">#REF!</definedName>
    <definedName name="_1月标准">#REF!</definedName>
    <definedName name="_1月波轮总装标准" localSheetId="9">#REF!</definedName>
    <definedName name="_1月波轮总装标准">#REF!</definedName>
    <definedName name="_1月差异" localSheetId="9">#REF!</definedName>
    <definedName name="_1月差异">#REF!</definedName>
    <definedName name="_1月费用" localSheetId="9">#REF!</definedName>
    <definedName name="_1月费用">#REF!</definedName>
    <definedName name="_1月间接" localSheetId="9">#REF!</definedName>
    <definedName name="_1月间接">#REF!</definedName>
    <definedName name="_1月直接" localSheetId="9">#REF!</definedName>
    <definedName name="_1月直接">#REF!</definedName>
    <definedName name="_1月总装波轮机差异" localSheetId="9">#REF!</definedName>
    <definedName name="_1月总装波轮机差异">#REF!</definedName>
    <definedName name="_2">#N/A</definedName>
    <definedName name="_2_231060401邮寄电汇费" localSheetId="9">#REF!</definedName>
    <definedName name="_2_231060401邮寄电汇费">#REF!</definedName>
    <definedName name="_20_231061001维修零件费用" localSheetId="9">#REF!</definedName>
    <definedName name="_20_231061001维修零件费用">#REF!</definedName>
    <definedName name="_201601" localSheetId="9">#REF!</definedName>
    <definedName name="_201601">#REF!</definedName>
    <definedName name="_201601001" localSheetId="9">#REF!</definedName>
    <definedName name="_201601001">#REF!</definedName>
    <definedName name="_201601002" localSheetId="9">#REF!</definedName>
    <definedName name="_201601002">#REF!</definedName>
    <definedName name="_201601003" localSheetId="9">#REF!</definedName>
    <definedName name="_201601003">#REF!</definedName>
    <definedName name="_201601005" localSheetId="9">#REF!</definedName>
    <definedName name="_201601005">#REF!</definedName>
    <definedName name="_201601预提" localSheetId="9">#REF!</definedName>
    <definedName name="_201601预提">#REF!</definedName>
    <definedName name="_201602" localSheetId="9">#REF!</definedName>
    <definedName name="_201602">#REF!</definedName>
    <definedName name="_201602差异" localSheetId="9">#REF!</definedName>
    <definedName name="_201602差异">#REF!</definedName>
    <definedName name="_201602在产品" localSheetId="9">#REF!</definedName>
    <definedName name="_201602在产品">#REF!</definedName>
    <definedName name="_201603" localSheetId="9">#REF!</definedName>
    <definedName name="_201603">#REF!</definedName>
    <definedName name="_20160301" localSheetId="9">#REF!</definedName>
    <definedName name="_20160301">#REF!</definedName>
    <definedName name="_20160302" localSheetId="9">#REF!</definedName>
    <definedName name="_20160302">#REF!</definedName>
    <definedName name="_20160306" localSheetId="9">#REF!</definedName>
    <definedName name="_20160306">#REF!</definedName>
    <definedName name="_20160307" localSheetId="9">#REF!</definedName>
    <definedName name="_20160307">#REF!</definedName>
    <definedName name="_20160502" localSheetId="9">#REF!</definedName>
    <definedName name="_20160502">#REF!</definedName>
    <definedName name="_20160503" localSheetId="9">#REF!</definedName>
    <definedName name="_20160503">#REF!</definedName>
    <definedName name="_20160504" localSheetId="9">#REF!</definedName>
    <definedName name="_20160504">#REF!</definedName>
    <definedName name="_20160505" localSheetId="9">#REF!</definedName>
    <definedName name="_20160505">#REF!</definedName>
    <definedName name="_20160507" localSheetId="9">#REF!</definedName>
    <definedName name="_20160507">#REF!</definedName>
    <definedName name="_201606007" localSheetId="9">#REF!</definedName>
    <definedName name="_201606007">#REF!</definedName>
    <definedName name="_20160601" localSheetId="9">#REF!</definedName>
    <definedName name="_20160601">#REF!</definedName>
    <definedName name="_20160602" localSheetId="9">#REF!</definedName>
    <definedName name="_20160602">#REF!</definedName>
    <definedName name="_20160603" localSheetId="9">#REF!</definedName>
    <definedName name="_20160603">#REF!</definedName>
    <definedName name="_20160701" localSheetId="9">#REF!</definedName>
    <definedName name="_20160701">#REF!</definedName>
    <definedName name="_20160702" localSheetId="9">#REF!</definedName>
    <definedName name="_20160702">#REF!</definedName>
    <definedName name="_20160703" localSheetId="9">#REF!</definedName>
    <definedName name="_20160703">#REF!</definedName>
    <definedName name="_20160705" localSheetId="9">#REF!</definedName>
    <definedName name="_20160705">#REF!</definedName>
    <definedName name="_20160801" localSheetId="9">#REF!</definedName>
    <definedName name="_20160801">#REF!</definedName>
    <definedName name="_20160802" localSheetId="9">#REF!</definedName>
    <definedName name="_20160802">#REF!</definedName>
    <definedName name="_20160804" localSheetId="9">#REF!</definedName>
    <definedName name="_20160804">#REF!</definedName>
    <definedName name="_20160805" localSheetId="9">#REF!</definedName>
    <definedName name="_20160805">#REF!</definedName>
    <definedName name="_20160806" localSheetId="9">#REF!</definedName>
    <definedName name="_20160806">#REF!</definedName>
    <definedName name="_20160807" localSheetId="9">#REF!</definedName>
    <definedName name="_20160807">#REF!</definedName>
    <definedName name="_201608预提" localSheetId="9">#REF!</definedName>
    <definedName name="_201608预提">#REF!</definedName>
    <definedName name="_201609" localSheetId="9">#REF!</definedName>
    <definedName name="_201609">#REF!</definedName>
    <definedName name="_20161101" localSheetId="9">#REF!</definedName>
    <definedName name="_20161101">#REF!</definedName>
    <definedName name="_20161102" localSheetId="9">#REF!</definedName>
    <definedName name="_20161102">#REF!</definedName>
    <definedName name="_20161103" localSheetId="9">#REF!</definedName>
    <definedName name="_20161103">#REF!</definedName>
    <definedName name="_20161104" localSheetId="9">#REF!</definedName>
    <definedName name="_20161104">#REF!</definedName>
    <definedName name="_20161105" localSheetId="9">#REF!</definedName>
    <definedName name="_20161105">#REF!</definedName>
    <definedName name="_20161201" localSheetId="9">#REF!</definedName>
    <definedName name="_20161201">#REF!</definedName>
    <definedName name="_20161204" localSheetId="9">#REF!</definedName>
    <definedName name="_20161204">#REF!</definedName>
    <definedName name="_20161206" localSheetId="9">#REF!</definedName>
    <definedName name="_20161206">#REF!</definedName>
    <definedName name="_20161208" localSheetId="9">#REF!</definedName>
    <definedName name="_20161208">#REF!</definedName>
    <definedName name="_2016年水" localSheetId="9">#REF!</definedName>
    <definedName name="_2016年水">#REF!</definedName>
    <definedName name="_201701" localSheetId="9">#REF!</definedName>
    <definedName name="_201701">#REF!</definedName>
    <definedName name="_20170101" localSheetId="9">#REF!</definedName>
    <definedName name="_20170101">#REF!</definedName>
    <definedName name="_20170102" localSheetId="9">#REF!</definedName>
    <definedName name="_20170102">#REF!</definedName>
    <definedName name="_20170103" localSheetId="9">#REF!</definedName>
    <definedName name="_20170103">#REF!</definedName>
    <definedName name="_20170104" localSheetId="9">#REF!</definedName>
    <definedName name="_20170104">#REF!</definedName>
    <definedName name="_20170105" localSheetId="9">#REF!</definedName>
    <definedName name="_20170105">#REF!</definedName>
    <definedName name="_20170109" localSheetId="9">#REF!</definedName>
    <definedName name="_20170109">#REF!</definedName>
    <definedName name="_201701销售" localSheetId="9">#REF!</definedName>
    <definedName name="_201701销售">#REF!</definedName>
    <definedName name="_20170201" localSheetId="9">#REF!</definedName>
    <definedName name="_20170201">#REF!</definedName>
    <definedName name="_20170202" localSheetId="9">#REF!</definedName>
    <definedName name="_20170202">#REF!</definedName>
    <definedName name="_20170203" localSheetId="9">#REF!</definedName>
    <definedName name="_20170203">#REF!</definedName>
    <definedName name="_20170204" localSheetId="9">#REF!</definedName>
    <definedName name="_20170204">#REF!</definedName>
    <definedName name="_20170205" localSheetId="9">#REF!</definedName>
    <definedName name="_20170205">#REF!</definedName>
    <definedName name="_20170206" localSheetId="9">#REF!</definedName>
    <definedName name="_20170206">#REF!</definedName>
    <definedName name="_20170207" localSheetId="9">#REF!</definedName>
    <definedName name="_20170207">#REF!</definedName>
    <definedName name="_201702224210" localSheetId="9">#REF!</definedName>
    <definedName name="_201702224210">#REF!</definedName>
    <definedName name="_20170301" localSheetId="9">#REF!</definedName>
    <definedName name="_20170301">#REF!</definedName>
    <definedName name="_20170302" localSheetId="9">#REF!</definedName>
    <definedName name="_20170302">#REF!</definedName>
    <definedName name="_20170303" localSheetId="9">#REF!</definedName>
    <definedName name="_20170303">#REF!</definedName>
    <definedName name="_20170304" localSheetId="9">#REF!</definedName>
    <definedName name="_20170304">#REF!</definedName>
    <definedName name="_20170306" localSheetId="9">#REF!</definedName>
    <definedName name="_20170306">#REF!</definedName>
    <definedName name="_20170401" localSheetId="9">#REF!</definedName>
    <definedName name="_20170401">#REF!</definedName>
    <definedName name="_20170402" localSheetId="9">#REF!</definedName>
    <definedName name="_20170402">#REF!</definedName>
    <definedName name="_20170403" localSheetId="9">#REF!</definedName>
    <definedName name="_20170403">#REF!</definedName>
    <definedName name="_20170404" localSheetId="9">#REF!</definedName>
    <definedName name="_20170404">#REF!</definedName>
    <definedName name="_20170405" localSheetId="9">#REF!</definedName>
    <definedName name="_20170405">#REF!</definedName>
    <definedName name="_20170501" localSheetId="9">#REF!</definedName>
    <definedName name="_20170501">#REF!</definedName>
    <definedName name="_20170502" localSheetId="9">#REF!</definedName>
    <definedName name="_20170502">#REF!</definedName>
    <definedName name="_20170503" localSheetId="9">#REF!</definedName>
    <definedName name="_20170503">#REF!</definedName>
    <definedName name="_20170504" localSheetId="9">#REF!</definedName>
    <definedName name="_20170504">#REF!</definedName>
    <definedName name="_20170505" localSheetId="9">#REF!</definedName>
    <definedName name="_20170505">#REF!</definedName>
    <definedName name="_20170507" localSheetId="9">#REF!</definedName>
    <definedName name="_20170507">#REF!</definedName>
    <definedName name="_20170508" localSheetId="9">#REF!</definedName>
    <definedName name="_20170508">#REF!</definedName>
    <definedName name="_20170509" localSheetId="9">#REF!</definedName>
    <definedName name="_20170509">#REF!</definedName>
    <definedName name="_20170601" localSheetId="9">#REF!</definedName>
    <definedName name="_20170601">#REF!</definedName>
    <definedName name="_20170602" localSheetId="9">#REF!</definedName>
    <definedName name="_20170602">#REF!</definedName>
    <definedName name="_20170603" localSheetId="9">#REF!</definedName>
    <definedName name="_20170603">#REF!</definedName>
    <definedName name="_20170604" localSheetId="9">#REF!</definedName>
    <definedName name="_20170604">#REF!</definedName>
    <definedName name="_20170605" localSheetId="9">#REF!</definedName>
    <definedName name="_20170605">#REF!</definedName>
    <definedName name="_201706预提" localSheetId="9">#REF!</definedName>
    <definedName name="_201706预提">#REF!</definedName>
    <definedName name="_20170701" localSheetId="9">#REF!</definedName>
    <definedName name="_20170701">#REF!</definedName>
    <definedName name="_20170702" localSheetId="9">#REF!</definedName>
    <definedName name="_20170702">#REF!</definedName>
    <definedName name="_20170703" localSheetId="9">#REF!</definedName>
    <definedName name="_20170703">#REF!</definedName>
    <definedName name="_20170704" localSheetId="9">#REF!</definedName>
    <definedName name="_20170704">#REF!</definedName>
    <definedName name="_20170801" localSheetId="9">#REF!</definedName>
    <definedName name="_20170801">#REF!</definedName>
    <definedName name="_20170802" localSheetId="9">#REF!</definedName>
    <definedName name="_20170802">#REF!</definedName>
    <definedName name="_20170803" localSheetId="9">#REF!</definedName>
    <definedName name="_20170803">#REF!</definedName>
    <definedName name="_20170804" localSheetId="9">#REF!</definedName>
    <definedName name="_20170804">#REF!</definedName>
    <definedName name="_20170805" localSheetId="9">#REF!</definedName>
    <definedName name="_20170805">#REF!</definedName>
    <definedName name="_20170806" localSheetId="9">#REF!</definedName>
    <definedName name="_20170806">#REF!</definedName>
    <definedName name="_20170901" localSheetId="9">#REF!</definedName>
    <definedName name="_20170901">#REF!</definedName>
    <definedName name="_20170902" localSheetId="9">#REF!</definedName>
    <definedName name="_20170902">#REF!</definedName>
    <definedName name="_20170903" localSheetId="9">#REF!</definedName>
    <definedName name="_20170903">#REF!</definedName>
    <definedName name="_20171001" localSheetId="9">#REF!</definedName>
    <definedName name="_20171001">#REF!</definedName>
    <definedName name="_20171101" localSheetId="9">#REF!</definedName>
    <definedName name="_20171101">#REF!</definedName>
    <definedName name="_20171102" localSheetId="9">#REF!</definedName>
    <definedName name="_20171102">#REF!</definedName>
    <definedName name="_20171103" localSheetId="9">#REF!</definedName>
    <definedName name="_20171103">#REF!</definedName>
    <definedName name="_20171104" localSheetId="9">#REF!</definedName>
    <definedName name="_20171104">#REF!</definedName>
    <definedName name="_20171105" localSheetId="9">#REF!</definedName>
    <definedName name="_20171105">#REF!</definedName>
    <definedName name="_20171106" localSheetId="9">#REF!</definedName>
    <definedName name="_20171106">#REF!</definedName>
    <definedName name="_20171107" localSheetId="9">#REF!</definedName>
    <definedName name="_20171107">#REF!</definedName>
    <definedName name="_20171201" localSheetId="9">#REF!</definedName>
    <definedName name="_20171201">#REF!</definedName>
    <definedName name="_20171202" localSheetId="9">#REF!</definedName>
    <definedName name="_20171202">#REF!</definedName>
    <definedName name="_20171203" localSheetId="9">#REF!</definedName>
    <definedName name="_20171203">#REF!</definedName>
    <definedName name="_20171204" localSheetId="9">#REF!</definedName>
    <definedName name="_20171204">#REF!</definedName>
    <definedName name="_20171205" localSheetId="9">#REF!</definedName>
    <definedName name="_20171205">#REF!</definedName>
    <definedName name="_20171206" localSheetId="9">#REF!</definedName>
    <definedName name="_20171206">#REF!</definedName>
    <definedName name="_2017年水" localSheetId="9">#REF!</definedName>
    <definedName name="_2017年水">#REF!</definedName>
    <definedName name="_20180101" localSheetId="9">#REF!</definedName>
    <definedName name="_20180101">#REF!</definedName>
    <definedName name="_20180102" localSheetId="9">#REF!</definedName>
    <definedName name="_20180102">#REF!</definedName>
    <definedName name="_20180103" localSheetId="9">#REF!</definedName>
    <definedName name="_20180103">#REF!</definedName>
    <definedName name="_20180104" localSheetId="9">#REF!</definedName>
    <definedName name="_20180104">#REF!</definedName>
    <definedName name="_20180105" localSheetId="9">#REF!</definedName>
    <definedName name="_20180105">#REF!</definedName>
    <definedName name="_20180201" localSheetId="9">#REF!</definedName>
    <definedName name="_20180201">#REF!</definedName>
    <definedName name="_20180202" localSheetId="9">#REF!</definedName>
    <definedName name="_20180202">#REF!</definedName>
    <definedName name="_20180203" localSheetId="9">#REF!</definedName>
    <definedName name="_20180203">#REF!</definedName>
    <definedName name="_20180204" localSheetId="9">#REF!</definedName>
    <definedName name="_20180204">#REF!</definedName>
    <definedName name="_20180205" localSheetId="9">#REF!</definedName>
    <definedName name="_20180205">#REF!</definedName>
    <definedName name="_20180208" localSheetId="9">#REF!</definedName>
    <definedName name="_20180208">#REF!</definedName>
    <definedName name="_20180301" localSheetId="9">#REF!</definedName>
    <definedName name="_20180301">#REF!</definedName>
    <definedName name="_20180302" localSheetId="9">#REF!</definedName>
    <definedName name="_20180302">#REF!</definedName>
    <definedName name="_20180303" localSheetId="9">#REF!</definedName>
    <definedName name="_20180303">#REF!</definedName>
    <definedName name="_20180305" localSheetId="9">#REF!</definedName>
    <definedName name="_20180305">#REF!</definedName>
    <definedName name="_20180306" localSheetId="9">#REF!</definedName>
    <definedName name="_20180306">#REF!</definedName>
    <definedName name="_20180309" localSheetId="9">#REF!</definedName>
    <definedName name="_20180309">#REF!</definedName>
    <definedName name="_20180401" localSheetId="9">#REF!</definedName>
    <definedName name="_20180401">#REF!</definedName>
    <definedName name="_20180402" localSheetId="9">#REF!</definedName>
    <definedName name="_20180402">#REF!</definedName>
    <definedName name="_20180403" localSheetId="9">#REF!</definedName>
    <definedName name="_20180403">#REF!</definedName>
    <definedName name="_20180404" localSheetId="9">#REF!</definedName>
    <definedName name="_20180404">#REF!</definedName>
    <definedName name="_20180501" localSheetId="9">#REF!</definedName>
    <definedName name="_20180501">#REF!</definedName>
    <definedName name="_20180502" localSheetId="9">#REF!</definedName>
    <definedName name="_20180502">#REF!</definedName>
    <definedName name="_20180503" localSheetId="9">#REF!</definedName>
    <definedName name="_20180503">#REF!</definedName>
    <definedName name="_20180504" localSheetId="9">#REF!</definedName>
    <definedName name="_20180504">#REF!</definedName>
    <definedName name="_20180506" localSheetId="9">#REF!</definedName>
    <definedName name="_20180506">#REF!</definedName>
    <definedName name="_20180601" localSheetId="9">#REF!</definedName>
    <definedName name="_20180601">#REF!</definedName>
    <definedName name="_20180602" localSheetId="9">#REF!</definedName>
    <definedName name="_20180602">#REF!</definedName>
    <definedName name="_20180603" localSheetId="9">#REF!</definedName>
    <definedName name="_20180603">#REF!</definedName>
    <definedName name="_20180605" localSheetId="9">#REF!</definedName>
    <definedName name="_20180605">#REF!</definedName>
    <definedName name="_201806预提" localSheetId="9">#REF!</definedName>
    <definedName name="_201806预提">#REF!</definedName>
    <definedName name="_20180701" localSheetId="9">#REF!</definedName>
    <definedName name="_20180701">#REF!</definedName>
    <definedName name="_20180702" localSheetId="9">#REF!</definedName>
    <definedName name="_20180702">#REF!</definedName>
    <definedName name="_20180703" localSheetId="9">#REF!</definedName>
    <definedName name="_20180703">#REF!</definedName>
    <definedName name="_20180704" localSheetId="9">#REF!</definedName>
    <definedName name="_20180704">#REF!</definedName>
    <definedName name="_20180705" localSheetId="9">#REF!</definedName>
    <definedName name="_20180705">#REF!</definedName>
    <definedName name="_20180709" localSheetId="9">#REF!</definedName>
    <definedName name="_20180709">#REF!</definedName>
    <definedName name="_20180801" localSheetId="9">#REF!</definedName>
    <definedName name="_20180801">#REF!</definedName>
    <definedName name="_20180802" localSheetId="9">#REF!</definedName>
    <definedName name="_20180802">#REF!</definedName>
    <definedName name="_20180803" localSheetId="9">#REF!</definedName>
    <definedName name="_20180803">#REF!</definedName>
    <definedName name="_20180804" localSheetId="9">#REF!</definedName>
    <definedName name="_20180804">#REF!</definedName>
    <definedName name="_20180805" localSheetId="9">#REF!</definedName>
    <definedName name="_20180805">#REF!</definedName>
    <definedName name="_20180808" localSheetId="9">#REF!</definedName>
    <definedName name="_20180808">#REF!</definedName>
    <definedName name="_20180901" localSheetId="9">#REF!</definedName>
    <definedName name="_20180901">#REF!</definedName>
    <definedName name="_20180902" localSheetId="9">#REF!</definedName>
    <definedName name="_20180902">#REF!</definedName>
    <definedName name="_20180903" localSheetId="9">#REF!</definedName>
    <definedName name="_20180903">#REF!</definedName>
    <definedName name="_20180904" localSheetId="9">#REF!</definedName>
    <definedName name="_20180904">#REF!</definedName>
    <definedName name="_20180905" localSheetId="9">#REF!</definedName>
    <definedName name="_20180905">#REF!</definedName>
    <definedName name="_20180906" localSheetId="9">#REF!</definedName>
    <definedName name="_20180906">#REF!</definedName>
    <definedName name="_20180907" localSheetId="9">#REF!</definedName>
    <definedName name="_20180907">#REF!</definedName>
    <definedName name="_20181001" localSheetId="9">#REF!</definedName>
    <definedName name="_20181001">#REF!</definedName>
    <definedName name="_20181002" localSheetId="9">#REF!</definedName>
    <definedName name="_20181002">#REF!</definedName>
    <definedName name="_20181003" localSheetId="9">#REF!</definedName>
    <definedName name="_20181003">#REF!</definedName>
    <definedName name="_20181004" localSheetId="9">#REF!</definedName>
    <definedName name="_20181004">#REF!</definedName>
    <definedName name="_20181005" localSheetId="9">#REF!</definedName>
    <definedName name="_20181005">#REF!</definedName>
    <definedName name="_20181006" localSheetId="9">#REF!</definedName>
    <definedName name="_20181006">#REF!</definedName>
    <definedName name="_20181101" localSheetId="9">#REF!</definedName>
    <definedName name="_20181101">#REF!</definedName>
    <definedName name="_20181102" localSheetId="9">#REF!</definedName>
    <definedName name="_20181102">#REF!</definedName>
    <definedName name="_20181103" localSheetId="9">#REF!</definedName>
    <definedName name="_20181103">#REF!</definedName>
    <definedName name="_20181104" localSheetId="9">#REF!</definedName>
    <definedName name="_20181104">#REF!</definedName>
    <definedName name="_20181105" localSheetId="9">#REF!</definedName>
    <definedName name="_20181105">#REF!</definedName>
    <definedName name="_201811预提" localSheetId="9">#REF!</definedName>
    <definedName name="_201811预提">#REF!</definedName>
    <definedName name="_201812" localSheetId="9">#REF!</definedName>
    <definedName name="_201812">#REF!</definedName>
    <definedName name="_20181201" localSheetId="9">#REF!</definedName>
    <definedName name="_20181201">#REF!</definedName>
    <definedName name="_20181202" localSheetId="9">#REF!</definedName>
    <definedName name="_20181202">#REF!</definedName>
    <definedName name="_20181203" localSheetId="9">#REF!</definedName>
    <definedName name="_20181203">#REF!</definedName>
    <definedName name="_20181204" localSheetId="9">#REF!</definedName>
    <definedName name="_20181204">#REF!</definedName>
    <definedName name="_20181205" localSheetId="9">#REF!</definedName>
    <definedName name="_20181205">#REF!</definedName>
    <definedName name="_20181206" localSheetId="9">#REF!</definedName>
    <definedName name="_20181206">#REF!</definedName>
    <definedName name="_201901" localSheetId="9">#REF!</definedName>
    <definedName name="_201901">#REF!</definedName>
    <definedName name="_20190101" localSheetId="9">#REF!</definedName>
    <definedName name="_20190101">#REF!</definedName>
    <definedName name="_20190102" localSheetId="9">#REF!</definedName>
    <definedName name="_20190102">#REF!</definedName>
    <definedName name="_20190103" localSheetId="9">#REF!</definedName>
    <definedName name="_20190103">#REF!</definedName>
    <definedName name="_20190105" localSheetId="9">#REF!</definedName>
    <definedName name="_20190105">#REF!</definedName>
    <definedName name="_20190201" localSheetId="9">#REF!</definedName>
    <definedName name="_20190201">#REF!</definedName>
    <definedName name="_20190203" localSheetId="9">#REF!</definedName>
    <definedName name="_20190203">#REF!</definedName>
    <definedName name="_20190205" localSheetId="9">#REF!</definedName>
    <definedName name="_20190205">#REF!</definedName>
    <definedName name="_20190206" localSheetId="9">#REF!</definedName>
    <definedName name="_20190206">#REF!</definedName>
    <definedName name="_20190208" localSheetId="9">#REF!</definedName>
    <definedName name="_20190208">#REF!</definedName>
    <definedName name="_20190301" localSheetId="9">#REF!</definedName>
    <definedName name="_20190301">#REF!</definedName>
    <definedName name="_20190302" localSheetId="9">#REF!</definedName>
    <definedName name="_20190302">#REF!</definedName>
    <definedName name="_20190303" localSheetId="9">#REF!</definedName>
    <definedName name="_20190303">#REF!</definedName>
    <definedName name="_20190306" localSheetId="9">#REF!</definedName>
    <definedName name="_20190306">#REF!</definedName>
    <definedName name="_20190309" localSheetId="9">#REF!</definedName>
    <definedName name="_20190309">#REF!</definedName>
    <definedName name="_20190401" localSheetId="9">#REF!</definedName>
    <definedName name="_20190401">#REF!</definedName>
    <definedName name="_20190402" localSheetId="9">#REF!</definedName>
    <definedName name="_20190402">#REF!</definedName>
    <definedName name="_20190403" localSheetId="9">#REF!</definedName>
    <definedName name="_20190403">#REF!</definedName>
    <definedName name="_20190404" localSheetId="9">#REF!</definedName>
    <definedName name="_20190404">#REF!</definedName>
    <definedName name="_20190406" localSheetId="9">#REF!</definedName>
    <definedName name="_20190406">#REF!</definedName>
    <definedName name="_20190409" localSheetId="9">#REF!</definedName>
    <definedName name="_20190409">#REF!</definedName>
    <definedName name="_20190410" localSheetId="9">#REF!</definedName>
    <definedName name="_20190410">#REF!</definedName>
    <definedName name="_20190501" localSheetId="9">#REF!</definedName>
    <definedName name="_20190501">#REF!</definedName>
    <definedName name="_20190502" localSheetId="9">#REF!</definedName>
    <definedName name="_20190502">#REF!</definedName>
    <definedName name="_20190503" localSheetId="9">#REF!</definedName>
    <definedName name="_20190503">#REF!</definedName>
    <definedName name="_20190504" localSheetId="9">#REF!</definedName>
    <definedName name="_20190504">#REF!</definedName>
    <definedName name="_20190505" localSheetId="9">#REF!</definedName>
    <definedName name="_20190505">#REF!</definedName>
    <definedName name="_20190507" localSheetId="9">#REF!</definedName>
    <definedName name="_20190507">#REF!</definedName>
    <definedName name="_20190508" localSheetId="9">#REF!</definedName>
    <definedName name="_20190508">#REF!</definedName>
    <definedName name="_20190509" localSheetId="9">#REF!</definedName>
    <definedName name="_20190509">#REF!</definedName>
    <definedName name="_20190510" localSheetId="9">#REF!</definedName>
    <definedName name="_20190510">#REF!</definedName>
    <definedName name="_20190601" localSheetId="9">#REF!</definedName>
    <definedName name="_20190601">#REF!</definedName>
    <definedName name="_20190602" localSheetId="9">#REF!</definedName>
    <definedName name="_20190602">#REF!</definedName>
    <definedName name="_20190603" localSheetId="9">#REF!</definedName>
    <definedName name="_20190603">#REF!</definedName>
    <definedName name="_20190605" localSheetId="9">#REF!</definedName>
    <definedName name="_20190605">#REF!</definedName>
    <definedName name="_20190606" localSheetId="9">#REF!</definedName>
    <definedName name="_20190606">#REF!</definedName>
    <definedName name="_20190701" localSheetId="9">#REF!</definedName>
    <definedName name="_20190701">#REF!</definedName>
    <definedName name="_20190702" localSheetId="9">#REF!</definedName>
    <definedName name="_20190702">#REF!</definedName>
    <definedName name="_20190703" localSheetId="9">#REF!</definedName>
    <definedName name="_20190703">#REF!</definedName>
    <definedName name="_20190705" localSheetId="9">#REF!</definedName>
    <definedName name="_20190705">#REF!</definedName>
    <definedName name="_20190706" localSheetId="9">#REF!</definedName>
    <definedName name="_20190706">#REF!</definedName>
    <definedName name="_20190801" localSheetId="9">#REF!</definedName>
    <definedName name="_20190801">#REF!</definedName>
    <definedName name="_20190802" localSheetId="9">#REF!</definedName>
    <definedName name="_20190802">#REF!</definedName>
    <definedName name="_20190803" localSheetId="9">#REF!</definedName>
    <definedName name="_20190803">#REF!</definedName>
    <definedName name="_20190804" localSheetId="9">#REF!</definedName>
    <definedName name="_20190804">#REF!</definedName>
    <definedName name="_20190805" localSheetId="9">#REF!</definedName>
    <definedName name="_20190805">#REF!</definedName>
    <definedName name="_20190806" localSheetId="9">#REF!</definedName>
    <definedName name="_20190806">#REF!</definedName>
    <definedName name="_20190807" localSheetId="9">#REF!</definedName>
    <definedName name="_20190807">#REF!</definedName>
    <definedName name="_20190901" localSheetId="9">#REF!</definedName>
    <definedName name="_20190901">#REF!</definedName>
    <definedName name="_20190902" localSheetId="9">#REF!</definedName>
    <definedName name="_20190902">#REF!</definedName>
    <definedName name="_20190903" localSheetId="9">#REF!</definedName>
    <definedName name="_20190903">#REF!</definedName>
    <definedName name="_20190904" localSheetId="9">#REF!</definedName>
    <definedName name="_20190904">#REF!</definedName>
    <definedName name="_20190905" localSheetId="9">#REF!</definedName>
    <definedName name="_20190905">#REF!</definedName>
    <definedName name="_20190908" localSheetId="9">#REF!</definedName>
    <definedName name="_20190908">#REF!</definedName>
    <definedName name="_20190909" localSheetId="9">#REF!</definedName>
    <definedName name="_20190909">#REF!</definedName>
    <definedName name="_20190910" localSheetId="9">#REF!</definedName>
    <definedName name="_20190910">#REF!</definedName>
    <definedName name="_20190911" localSheetId="9">#REF!</definedName>
    <definedName name="_20190911">#REF!</definedName>
    <definedName name="_20191001" localSheetId="9">#REF!</definedName>
    <definedName name="_20191001">#REF!</definedName>
    <definedName name="_20191002" localSheetId="9">#REF!</definedName>
    <definedName name="_20191002">#REF!</definedName>
    <definedName name="_20191003" localSheetId="9">#REF!</definedName>
    <definedName name="_20191003">#REF!</definedName>
    <definedName name="_20191004" localSheetId="9">#REF!</definedName>
    <definedName name="_20191004">#REF!</definedName>
    <definedName name="_20191005" localSheetId="9">#REF!</definedName>
    <definedName name="_20191005">#REF!</definedName>
    <definedName name="_20191008" localSheetId="9">#REF!</definedName>
    <definedName name="_20191008">#REF!</definedName>
    <definedName name="_20191101" localSheetId="9">#REF!</definedName>
    <definedName name="_20191101">#REF!</definedName>
    <definedName name="_20191102" localSheetId="9">#REF!</definedName>
    <definedName name="_20191102">#REF!</definedName>
    <definedName name="_20191103" localSheetId="9">#REF!</definedName>
    <definedName name="_20191103">#REF!</definedName>
    <definedName name="_20191105" localSheetId="9">#REF!</definedName>
    <definedName name="_20191105">#REF!</definedName>
    <definedName name="_20191201" localSheetId="9">#REF!</definedName>
    <definedName name="_20191201">#REF!</definedName>
    <definedName name="_20191202" localSheetId="9">#REF!</definedName>
    <definedName name="_20191202">#REF!</definedName>
    <definedName name="_20191203" localSheetId="9">#REF!</definedName>
    <definedName name="_20191203">#REF!</definedName>
    <definedName name="_20191204" localSheetId="9">#REF!</definedName>
    <definedName name="_20191204">#REF!</definedName>
    <definedName name="_20191205" localSheetId="9">#REF!</definedName>
    <definedName name="_20191205">#REF!</definedName>
    <definedName name="_20191206" localSheetId="9">#REF!</definedName>
    <definedName name="_20191206">#REF!</definedName>
    <definedName name="_20191207" localSheetId="9">#REF!</definedName>
    <definedName name="_20191207">#REF!</definedName>
    <definedName name="_20191208" localSheetId="9">#REF!</definedName>
    <definedName name="_20191208">#REF!</definedName>
    <definedName name="_20191209" localSheetId="9">#REF!</definedName>
    <definedName name="_20191209">#REF!</definedName>
    <definedName name="_20191210" localSheetId="9">#REF!</definedName>
    <definedName name="_20191210">#REF!</definedName>
    <definedName name="_20200110" localSheetId="9">#REF!</definedName>
    <definedName name="_20200110">#REF!</definedName>
    <definedName name="_20200201" localSheetId="9">#REF!</definedName>
    <definedName name="_20200201">#REF!</definedName>
    <definedName name="_20200202" localSheetId="9">#REF!</definedName>
    <definedName name="_20200202">#REF!</definedName>
    <definedName name="_20200203" localSheetId="9">#REF!</definedName>
    <definedName name="_20200203">#REF!</definedName>
    <definedName name="_20200301" localSheetId="9">#REF!</definedName>
    <definedName name="_20200301">#REF!</definedName>
    <definedName name="_20200302" localSheetId="9">#REF!</definedName>
    <definedName name="_20200302">#REF!</definedName>
    <definedName name="_20200303" localSheetId="9">#REF!</definedName>
    <definedName name="_20200303">#REF!</definedName>
    <definedName name="_20200304" localSheetId="9">#REF!</definedName>
    <definedName name="_20200304">#REF!</definedName>
    <definedName name="_20200305" localSheetId="9">#REF!</definedName>
    <definedName name="_20200305">#REF!</definedName>
    <definedName name="_20200309" localSheetId="9">#REF!</definedName>
    <definedName name="_20200309">#REF!</definedName>
    <definedName name="_20200401" localSheetId="9">#REF!</definedName>
    <definedName name="_20200401">#REF!</definedName>
    <definedName name="_20200402" localSheetId="9">#REF!</definedName>
    <definedName name="_20200402">#REF!</definedName>
    <definedName name="_20200403" localSheetId="9">#REF!</definedName>
    <definedName name="_20200403">#REF!</definedName>
    <definedName name="_20200405" localSheetId="9">#REF!</definedName>
    <definedName name="_20200405">#REF!</definedName>
    <definedName name="_20200501" localSheetId="9">#REF!</definedName>
    <definedName name="_20200501">#REF!</definedName>
    <definedName name="_20200502" localSheetId="9">#REF!</definedName>
    <definedName name="_20200502">#REF!</definedName>
    <definedName name="_20200503" localSheetId="9">#REF!</definedName>
    <definedName name="_20200503">#REF!</definedName>
    <definedName name="_20200504" localSheetId="9">#REF!</definedName>
    <definedName name="_20200504">#REF!</definedName>
    <definedName name="_20200601" localSheetId="9">#REF!</definedName>
    <definedName name="_20200601">#REF!</definedName>
    <definedName name="_20200602" localSheetId="9">#REF!</definedName>
    <definedName name="_20200602">#REF!</definedName>
    <definedName name="_20200603" localSheetId="9">#REF!</definedName>
    <definedName name="_20200603">#REF!</definedName>
    <definedName name="_20200701" localSheetId="9">#REF!</definedName>
    <definedName name="_20200701">#REF!</definedName>
    <definedName name="_20200702" localSheetId="9">#REF!</definedName>
    <definedName name="_20200702">#REF!</definedName>
    <definedName name="_20200703" localSheetId="9">#REF!</definedName>
    <definedName name="_20200703">#REF!</definedName>
    <definedName name="_20200706" localSheetId="9">#REF!</definedName>
    <definedName name="_20200706">#REF!</definedName>
    <definedName name="_20200801" localSheetId="9">#REF!</definedName>
    <definedName name="_20200801">#REF!</definedName>
    <definedName name="_20200802" localSheetId="9">#REF!</definedName>
    <definedName name="_20200802">#REF!</definedName>
    <definedName name="_20200803" localSheetId="9">#REF!</definedName>
    <definedName name="_20200803">#REF!</definedName>
    <definedName name="_20200804" localSheetId="9">#REF!</definedName>
    <definedName name="_20200804">#REF!</definedName>
    <definedName name="_20200805" localSheetId="9">#REF!</definedName>
    <definedName name="_20200805">#REF!</definedName>
    <definedName name="_20200901" localSheetId="9">#REF!</definedName>
    <definedName name="_20200901">#REF!</definedName>
    <definedName name="_20200902" localSheetId="9">#REF!</definedName>
    <definedName name="_20200902">#REF!</definedName>
    <definedName name="_20200903" localSheetId="9">#REF!</definedName>
    <definedName name="_20200903">#REF!</definedName>
    <definedName name="_20200904" localSheetId="9">#REF!</definedName>
    <definedName name="_20200904">#REF!</definedName>
    <definedName name="_20201001" localSheetId="9">#REF!</definedName>
    <definedName name="_20201001">#REF!</definedName>
    <definedName name="_20201002" localSheetId="9">#REF!</definedName>
    <definedName name="_20201002">#REF!</definedName>
    <definedName name="_20201003" localSheetId="9">#REF!</definedName>
    <definedName name="_20201003">#REF!</definedName>
    <definedName name="_20201102" localSheetId="9">#REF!</definedName>
    <definedName name="_20201102">#REF!</definedName>
    <definedName name="_20201103" localSheetId="9">#REF!</definedName>
    <definedName name="_20201103">#REF!</definedName>
    <definedName name="_20201105" localSheetId="9">#REF!</definedName>
    <definedName name="_20201105">#REF!</definedName>
    <definedName name="_20201203" localSheetId="9">#REF!</definedName>
    <definedName name="_20201203">#REF!</definedName>
    <definedName name="_20201205" localSheetId="9">#REF!</definedName>
    <definedName name="_20201205">#REF!</definedName>
    <definedName name="_20210202" localSheetId="9">#REF!</definedName>
    <definedName name="_20210202">#REF!</definedName>
    <definedName name="_20210203" localSheetId="9">#REF!</definedName>
    <definedName name="_20210203">#REF!</definedName>
    <definedName name="_20210301" localSheetId="9">#REF!</definedName>
    <definedName name="_20210301">#REF!</definedName>
    <definedName name="_20210302" localSheetId="9">#REF!</definedName>
    <definedName name="_20210302">#REF!</definedName>
    <definedName name="_20210401" localSheetId="9">#REF!</definedName>
    <definedName name="_20210401">#REF!</definedName>
    <definedName name="_20210402" localSheetId="9">#REF!</definedName>
    <definedName name="_20210402">#REF!</definedName>
    <definedName name="_20210403" localSheetId="9">#REF!</definedName>
    <definedName name="_20210403">#REF!</definedName>
    <definedName name="_20210404" localSheetId="9">#REF!</definedName>
    <definedName name="_20210404">#REF!</definedName>
    <definedName name="_2021年" localSheetId="9">#REF!</definedName>
    <definedName name="_2021年">#REF!</definedName>
    <definedName name="_20TEÂN_HAØNG" localSheetId="9">#REF!</definedName>
    <definedName name="_20TEÂN_HAØNG">#REF!</definedName>
    <definedName name="_21" localSheetId="9">#REF!</definedName>
    <definedName name="_21">#REF!</definedName>
    <definedName name="_21_231061101电视收音机" localSheetId="9">#REF!</definedName>
    <definedName name="_21_231061101电视收音机">#REF!</definedName>
    <definedName name="_21TEÂN_KHAÙCH_HAØ" localSheetId="9">#REF!</definedName>
    <definedName name="_21TEÂN_KHAÙCH_HAØ">#REF!</definedName>
    <definedName name="_22_231061102出版物" localSheetId="9">#REF!</definedName>
    <definedName name="_22_231061102出版物">#REF!</definedName>
    <definedName name="_224210" localSheetId="9">#REF!</definedName>
    <definedName name="_224210">#REF!</definedName>
    <definedName name="_22421002" localSheetId="9">#REF!</definedName>
    <definedName name="_22421002">#REF!</definedName>
    <definedName name="_22421006" localSheetId="9">#REF!</definedName>
    <definedName name="_22421006">#REF!</definedName>
    <definedName name="_2242100601" localSheetId="9">#REF!</definedName>
    <definedName name="_2242100601">#REF!</definedName>
    <definedName name="_22THAØNH_TIEÀN" localSheetId="9">#REF!</definedName>
    <definedName name="_22THAØNH_TIEÀN">#REF!</definedName>
    <definedName name="_23_231061103海报广告" localSheetId="9">#REF!</definedName>
    <definedName name="_23_231061103海报广告">#REF!</definedName>
    <definedName name="_231060302固话" localSheetId="9">#REF!</definedName>
    <definedName name="_231060302固话">#REF!</definedName>
    <definedName name="_231060401邮寄费" localSheetId="9">#REF!</definedName>
    <definedName name="_231060401邮寄费">#REF!</definedName>
    <definedName name="_231060402文具印刷" localSheetId="9">#REF!</definedName>
    <definedName name="_231060402文具印刷">#REF!</definedName>
    <definedName name="_231060402文具印刷费" localSheetId="9">#REF!</definedName>
    <definedName name="_231060402文具印刷费">#REF!</definedName>
    <definedName name="_231060403办公其他费用" localSheetId="9">#REF!</definedName>
    <definedName name="_231060403办公其他费用">#REF!</definedName>
    <definedName name="_231060501飞机票费" localSheetId="9">#REF!</definedName>
    <definedName name="_231060501飞机票费">#REF!</definedName>
    <definedName name="_231060502火车轮船" localSheetId="9">#REF!</definedName>
    <definedName name="_231060502火车轮船">#REF!</definedName>
    <definedName name="_231060503其他交通费" localSheetId="9">#REF!</definedName>
    <definedName name="_231060503其他交通费">#REF!</definedName>
    <definedName name="_231060505出差补助" localSheetId="9">#REF!</definedName>
    <definedName name="_231060505出差补助">#REF!</definedName>
    <definedName name="_231060506住宿费" localSheetId="9">#REF!</definedName>
    <definedName name="_231060506住宿费">#REF!</definedName>
    <definedName name="_231060510杂费" localSheetId="9">#REF!</definedName>
    <definedName name="_231060510杂费">#REF!</definedName>
    <definedName name="_231060601至经营部运费" localSheetId="9">#REF!</definedName>
    <definedName name="_231060601至经营部运费">#REF!</definedName>
    <definedName name="_231060604其他运费" localSheetId="9">#REF!</definedName>
    <definedName name="_231060604其他运费">#REF!</definedName>
    <definedName name="_231060605至客户运费" localSheetId="9">#REF!</definedName>
    <definedName name="_231060605至客户运费">#REF!</definedName>
    <definedName name="_231060701赠送品" localSheetId="9">#REF!</definedName>
    <definedName name="_231060701赠送品">#REF!</definedName>
    <definedName name="_231060702促销活动费" localSheetId="9">#REF!</definedName>
    <definedName name="_231060702促销活动费">#REF!</definedName>
    <definedName name="_2310608办公室租金" localSheetId="9">#REF!</definedName>
    <definedName name="_2310608办公室租金">#REF!</definedName>
    <definedName name="_2310609贴息费用" localSheetId="9">#REF!</definedName>
    <definedName name="_2310609贴息费用">#REF!</definedName>
    <definedName name="_231061001维修零件费用" localSheetId="9">#REF!</definedName>
    <definedName name="_231061001维修零件费用">#REF!</definedName>
    <definedName name="_231061101电视收音机" localSheetId="9">#REF!</definedName>
    <definedName name="_231061101电视收音机">#REF!</definedName>
    <definedName name="_231061102出版物" localSheetId="9">#REF!</definedName>
    <definedName name="_231061102出版物">#REF!</definedName>
    <definedName name="_231061103海报广告" localSheetId="9">#REF!</definedName>
    <definedName name="_231061103海报广告">#REF!</definedName>
    <definedName name="_231061105目录和手册" localSheetId="9">#REF!</definedName>
    <definedName name="_231061105目录和手册">#REF!</definedName>
    <definedName name="_231061106门头广告" localSheetId="9">#REF!</definedName>
    <definedName name="_231061106门头广告">#REF!</definedName>
    <definedName name="_231061107商场展销费" localSheetId="9">#REF!</definedName>
    <definedName name="_231061107商场展销费">#REF!</definedName>
    <definedName name="_231061108展会费" localSheetId="9">#REF!</definedName>
    <definedName name="_231061108展会费">#REF!</definedName>
    <definedName name="_231061110其他" localSheetId="9">#REF!</definedName>
    <definedName name="_231061110其他">#REF!</definedName>
    <definedName name="_231061203" localSheetId="9">#REF!</definedName>
    <definedName name="_231061203">#REF!</definedName>
    <definedName name="_231061301电费" localSheetId="9">#REF!</definedName>
    <definedName name="_231061301电费">#REF!</definedName>
    <definedName name="_231061302燃油" localSheetId="9">#REF!</definedName>
    <definedName name="_231061302燃油">#REF!</definedName>
    <definedName name="_231061303保暖费" localSheetId="9">#REF!</definedName>
    <definedName name="_231061303保暖费">#REF!</definedName>
    <definedName name="_231061304" localSheetId="9">#REF!</definedName>
    <definedName name="_231061304">#REF!</definedName>
    <definedName name="_231061304水" localSheetId="9">#REF!</definedName>
    <definedName name="_231061304水">#REF!</definedName>
    <definedName name="_231061401客户" localSheetId="9">#REF!</definedName>
    <definedName name="_231061401客户">#REF!</definedName>
    <definedName name="_231061402个人" localSheetId="9">#REF!</definedName>
    <definedName name="_231061402个人">#REF!</definedName>
    <definedName name="_2310615安装费" localSheetId="9">#REF!</definedName>
    <definedName name="_2310615安装费">#REF!</definedName>
    <definedName name="_231061601进场费" localSheetId="9">#REF!</definedName>
    <definedName name="_231061601进场费">#REF!</definedName>
    <definedName name="_231061602节庆店庆费" localSheetId="9">#REF!</definedName>
    <definedName name="_231061602节庆店庆费">#REF!</definedName>
    <definedName name="_231061603赞助费" localSheetId="9">#REF!</definedName>
    <definedName name="_231061603赞助费">#REF!</definedName>
    <definedName name="_231061604促销员管理费" localSheetId="9">#REF!</definedName>
    <definedName name="_231061604促销员管理费">#REF!</definedName>
    <definedName name="_231061610渠道费其他" localSheetId="9">#REF!</definedName>
    <definedName name="_231061610渠道费其他">#REF!</definedName>
    <definedName name="_2310617折旧修理费" localSheetId="9">#REF!</definedName>
    <definedName name="_2310617折旧修理费">#REF!</definedName>
    <definedName name="_2310621仓租" localSheetId="9">#REF!</definedName>
    <definedName name="_2310621仓租">#REF!</definedName>
    <definedName name="_2310622仓库管理成本" localSheetId="9">#REF!</definedName>
    <definedName name="_2310622仓库管理成本">#REF!</definedName>
    <definedName name="_2310650其他" localSheetId="9">#REF!</definedName>
    <definedName name="_2310650其他">#REF!</definedName>
    <definedName name="_23TRÒ_GIAÙ" localSheetId="9">#REF!</definedName>
    <definedName name="_23TRÒ_GIAÙ">#REF!</definedName>
    <definedName name="_24_231061105目录和手册" localSheetId="9">#REF!</definedName>
    <definedName name="_24_231061105目录和手册">#REF!</definedName>
    <definedName name="_24TRÒ_GIAÙ__VAT" localSheetId="9">#REF!</definedName>
    <definedName name="_24TRÒ_GIAÙ__VAT">#REF!</definedName>
    <definedName name="_25_231061106门头广告" localSheetId="9">#REF!</definedName>
    <definedName name="_25_231061106门头广告">#REF!</definedName>
    <definedName name="_26_231061107商场展销费" localSheetId="9">#REF!</definedName>
    <definedName name="_26_231061107商场展销费">#REF!</definedName>
    <definedName name="_261203" localSheetId="9">#REF!</definedName>
    <definedName name="_261203">#REF!</definedName>
    <definedName name="_27_231061108展会费" localSheetId="9">#REF!</definedName>
    <definedName name="_27_231061108展会费">#REF!</definedName>
    <definedName name="_28_231061110其他" localSheetId="9">#REF!</definedName>
    <definedName name="_28_231061110其他">#REF!</definedName>
    <definedName name="_29_231061203" localSheetId="9">#REF!</definedName>
    <definedName name="_29_231061203">#REF!</definedName>
    <definedName name="_2BLA100" localSheetId="9">#REF!</definedName>
    <definedName name="_2BLA100">#REF!</definedName>
    <definedName name="_2CHANG1" localSheetId="9">#REF!</definedName>
    <definedName name="_2CHANG1">#REF!</definedName>
    <definedName name="_2CHANG2" localSheetId="9">#REF!</definedName>
    <definedName name="_2CHANG2">#REF!</definedName>
    <definedName name="_2DADOI1" localSheetId="9">#REF!</definedName>
    <definedName name="_2DADOI1">#REF!</definedName>
    <definedName name="_2DAL201" localSheetId="9">#REF!</definedName>
    <definedName name="_2DAL201">#REF!</definedName>
    <definedName name="_2GG2_" localSheetId="9" hidden="1">{#N/A,#N/A,FALSE,"Aging Summary";#N/A,#N/A,FALSE,"Ratio Analysis";#N/A,#N/A,FALSE,"Test 120 Day Accts";#N/A,#N/A,FALSE,"Tickmarks"}</definedName>
    <definedName name="_2GG2_" hidden="1">{#N/A,#N/A,FALSE,"Aging Summary";#N/A,#N/A,FALSE,"Ratio Analysis";#N/A,#N/A,FALSE,"Test 120 Day Accts";#N/A,#N/A,FALSE,"Tickmarks"}</definedName>
    <definedName name="_2KD0222" localSheetId="9">#REF!</definedName>
    <definedName name="_2KD0222">#REF!</definedName>
    <definedName name="_2LP" localSheetId="9">#REF!</definedName>
    <definedName name="_2LP">#REF!</definedName>
    <definedName name="_2TD2001" localSheetId="9">#REF!</definedName>
    <definedName name="_2TD2001">#REF!</definedName>
    <definedName name="_2月" localSheetId="9">#REF!</definedName>
    <definedName name="_2月">#REF!</definedName>
    <definedName name="_2月G机标准" localSheetId="9">#REF!</definedName>
    <definedName name="_2月G机标准">#REF!</definedName>
    <definedName name="_2月G机差异" localSheetId="9">#REF!</definedName>
    <definedName name="_2月G机差异">#REF!</definedName>
    <definedName name="_2月Q机标准" localSheetId="9">#REF!</definedName>
    <definedName name="_2月Q机标准">#REF!</definedName>
    <definedName name="_2月Q机差异" localSheetId="9">#REF!</definedName>
    <definedName name="_2月Q机差异">#REF!</definedName>
    <definedName name="_3_119_8" localSheetId="9">#REF!</definedName>
    <definedName name="_3_119_8">#REF!</definedName>
    <definedName name="_3_20190418" localSheetId="9">#REF!</definedName>
    <definedName name="_3_20190418">#REF!</definedName>
    <definedName name="_3_231060401邮寄费" localSheetId="9">#REF!</definedName>
    <definedName name="_3_231060401邮寄费">#REF!</definedName>
    <definedName name="_30_231061301电费" localSheetId="9">#REF!</definedName>
    <definedName name="_30_231061301电费">#REF!</definedName>
    <definedName name="_31__123Graph_AGRAPHIQUE_1A" localSheetId="9" hidden="1">#REF!</definedName>
    <definedName name="_31__123Graph_AGRAPHIQUE_1A" hidden="1">#REF!</definedName>
    <definedName name="_31_231061302" localSheetId="9">#REF!</definedName>
    <definedName name="_31_231061302">#REF!</definedName>
    <definedName name="_32__123Graph_AGRAPHIQUE_2A" localSheetId="9" hidden="1">#REF!</definedName>
    <definedName name="_32__123Graph_AGRAPHIQUE_2A" hidden="1">#REF!</definedName>
    <definedName name="_32_231061302燃油" localSheetId="9">#REF!</definedName>
    <definedName name="_32_231061302燃油">#REF!</definedName>
    <definedName name="_33__123Graph_XGRAPHIQUE_1A" localSheetId="9" hidden="1">#REF!</definedName>
    <definedName name="_33__123Graph_XGRAPHIQUE_1A" hidden="1">#REF!</definedName>
    <definedName name="_33_231061303保暖费" localSheetId="9">#REF!</definedName>
    <definedName name="_33_231061303保暖费">#REF!</definedName>
    <definedName name="_34__123Graph_XGRAPHIQUE_2A" localSheetId="9" hidden="1">#REF!</definedName>
    <definedName name="_34__123Graph_XGRAPHIQUE_2A" hidden="1">#REF!</definedName>
    <definedName name="_34_231061304" localSheetId="9">#REF!</definedName>
    <definedName name="_34_231061304">#REF!</definedName>
    <definedName name="_35_231061304水" localSheetId="9">#REF!</definedName>
    <definedName name="_35_231061304水">#REF!</definedName>
    <definedName name="_36_231061401客户" localSheetId="9">#REF!</definedName>
    <definedName name="_36_231061401客户">#REF!</definedName>
    <definedName name="_37_231061402个人" localSheetId="9">#REF!</definedName>
    <definedName name="_37_231061402个人">#REF!</definedName>
    <definedName name="_38_2310615安装费" localSheetId="9">#REF!</definedName>
    <definedName name="_38_2310615安装费">#REF!</definedName>
    <definedName name="_39_231061601进场费" localSheetId="9">#REF!</definedName>
    <definedName name="_39_231061601进场费">#REF!</definedName>
    <definedName name="_3BLXMD" localSheetId="9">#REF!</definedName>
    <definedName name="_3BLXMD">#REF!</definedName>
    <definedName name="_3BOAG01" localSheetId="9">#REF!</definedName>
    <definedName name="_3BOAG01">#REF!</definedName>
    <definedName name="_3COSSE1" localSheetId="9">#REF!</definedName>
    <definedName name="_3COSSE1">#REF!</definedName>
    <definedName name="_3CTKHAC" localSheetId="9">#REF!</definedName>
    <definedName name="_3CTKHAC">#REF!</definedName>
    <definedName name="_3DMINO1" localSheetId="9">#REF!</definedName>
    <definedName name="_3DMINO1">#REF!</definedName>
    <definedName name="_3DMINO2" localSheetId="9">#REF!</definedName>
    <definedName name="_3DMINO2">#REF!</definedName>
    <definedName name="_3DUPSSS" localSheetId="9">#REF!</definedName>
    <definedName name="_3DUPSSS">#REF!</definedName>
    <definedName name="_3HTTR01" localSheetId="9">#REF!</definedName>
    <definedName name="_3HTTR01">#REF!</definedName>
    <definedName name="_3HTTR02" localSheetId="9">#REF!</definedName>
    <definedName name="_3HTTR02">#REF!</definedName>
    <definedName name="_3HTTR03" localSheetId="9">#REF!</definedName>
    <definedName name="_3HTTR03">#REF!</definedName>
    <definedName name="_3HTTR04" localSheetId="9">#REF!</definedName>
    <definedName name="_3HTTR04">#REF!</definedName>
    <definedName name="_3HTTR05" localSheetId="9">#REF!</definedName>
    <definedName name="_3HTTR05">#REF!</definedName>
    <definedName name="_3MAÕ_HAØNG" localSheetId="9">#REF!</definedName>
    <definedName name="_3MAÕ_HAØNG">#REF!</definedName>
    <definedName name="_3PKDOM1" localSheetId="9">#REF!</definedName>
    <definedName name="_3PKDOM1">#REF!</definedName>
    <definedName name="_3PKDOM2" localSheetId="9">#REF!</definedName>
    <definedName name="_3PKDOM2">#REF!</definedName>
    <definedName name="_3TRU122" localSheetId="9">#REF!</definedName>
    <definedName name="_3TRU122">#REF!</definedName>
    <definedName name="_3TU0609" localSheetId="9">#REF!</definedName>
    <definedName name="_3TU0609">#REF!</definedName>
    <definedName name="_3月" localSheetId="9">#REF!</definedName>
    <definedName name="_3月">#REF!</definedName>
    <definedName name="_3月G机标准" localSheetId="9">#REF!</definedName>
    <definedName name="_3月G机标准">#REF!</definedName>
    <definedName name="_3月G机差异" localSheetId="9">#REF!</definedName>
    <definedName name="_3月G机差异">#REF!</definedName>
    <definedName name="_3月Q机标准" localSheetId="9">#REF!</definedName>
    <definedName name="_3月Q机标准">#REF!</definedName>
    <definedName name="_3月Q机差异" localSheetId="9">#REF!</definedName>
    <definedName name="_3月Q机差异">#REF!</definedName>
    <definedName name="_4_123" localSheetId="9">#REF!</definedName>
    <definedName name="_4_123">#REF!</definedName>
    <definedName name="_4_231060402文具印刷" localSheetId="9">#REF!</definedName>
    <definedName name="_4_231060402文具印刷">#REF!</definedName>
    <definedName name="_40_231061602节庆店庆费" localSheetId="9">#REF!</definedName>
    <definedName name="_40_231061602节庆店庆费">#REF!</definedName>
    <definedName name="_4010103在产品差异" localSheetId="9">#REF!</definedName>
    <definedName name="_4010103在产品差异">#REF!</definedName>
    <definedName name="_41_231061603赞助费" localSheetId="9">#REF!</definedName>
    <definedName name="_41_231061603赞助费">#REF!</definedName>
    <definedName name="_42_231061604促销员管理费" localSheetId="9">#REF!</definedName>
    <definedName name="_42_231061604促销员管理费">#REF!</definedName>
    <definedName name="_43_231061610渠道费其他" localSheetId="9">#REF!</definedName>
    <definedName name="_43_231061610渠道费其他">#REF!</definedName>
    <definedName name="_430.001" localSheetId="9">#REF!</definedName>
    <definedName name="_430.001">#REF!</definedName>
    <definedName name="_44_2310617折旧修理费" localSheetId="9">#REF!</definedName>
    <definedName name="_44_2310617折旧修理费">#REF!</definedName>
    <definedName name="_45_2310621仓租" localSheetId="9">#REF!</definedName>
    <definedName name="_45_2310621仓租">#REF!</definedName>
    <definedName name="_456" localSheetId="9">#REF!</definedName>
    <definedName name="_456">#REF!</definedName>
    <definedName name="_46_2310622仓库管理成本" localSheetId="9">#REF!</definedName>
    <definedName name="_46_2310622仓库管理成本">#REF!</definedName>
    <definedName name="_47_2310650其他" localSheetId="9">#REF!</definedName>
    <definedName name="_47_2310650其他">#REF!</definedName>
    <definedName name="_48_80001" localSheetId="9">#REF!</definedName>
    <definedName name="_48_80001">#REF!</definedName>
    <definedName name="_49_86003" localSheetId="9">#REF!</definedName>
    <definedName name="_49_86003">#REF!</definedName>
    <definedName name="_4CNT240" localSheetId="9">#REF!</definedName>
    <definedName name="_4CNT240">#REF!</definedName>
    <definedName name="_4CTL240" localSheetId="9">#REF!</definedName>
    <definedName name="_4CTL240">#REF!</definedName>
    <definedName name="_4FCO100" localSheetId="9">#REF!</definedName>
    <definedName name="_4FCO100">#REF!</definedName>
    <definedName name="_4HDCTT4" localSheetId="9">#REF!</definedName>
    <definedName name="_4HDCTT4">#REF!</definedName>
    <definedName name="_4HNCTT4" localSheetId="9">#REF!</definedName>
    <definedName name="_4HNCTT4">#REF!</definedName>
    <definedName name="_4LBCO01" localSheetId="9">#REF!</definedName>
    <definedName name="_4LBCO01">#REF!</definedName>
    <definedName name="_4MAÕ_SOÁ_THUEÁ" localSheetId="9">#REF!</definedName>
    <definedName name="_4MAÕ_SOÁ_THUEÁ">#REF!</definedName>
    <definedName name="_4OSLCTT" localSheetId="9">#REF!</definedName>
    <definedName name="_4OSLCTT">#REF!</definedName>
    <definedName name="_4月" localSheetId="9">#REF!</definedName>
    <definedName name="_4月">#REF!</definedName>
    <definedName name="_4月B箱体材料" localSheetId="9">#REF!</definedName>
    <definedName name="_4月B箱体材料">#REF!</definedName>
    <definedName name="_4月B箱体差异" localSheetId="9">#REF!</definedName>
    <definedName name="_4月B箱体差异">#REF!</definedName>
    <definedName name="_4月G机车间材料" localSheetId="9">#REF!</definedName>
    <definedName name="_4月G机车间材料">#REF!</definedName>
    <definedName name="_4月G机车间差异" localSheetId="9">#REF!</definedName>
    <definedName name="_4月G机车间差异">#REF!</definedName>
    <definedName name="_4月G机箱体材料" localSheetId="9">#REF!</definedName>
    <definedName name="_4月G机箱体材料">#REF!</definedName>
    <definedName name="_4月G机箱体差异" localSheetId="9">#REF!</definedName>
    <definedName name="_4月G机箱体差异">#REF!</definedName>
    <definedName name="_4月Q机车间材料" localSheetId="9">#REF!</definedName>
    <definedName name="_4月Q机车间材料">#REF!</definedName>
    <definedName name="_4月Q机车间差异" localSheetId="9">#REF!</definedName>
    <definedName name="_4月Q机车间差异">#REF!</definedName>
    <definedName name="_4月制造费用" localSheetId="9">#REF!</definedName>
    <definedName name="_4月制造费用">#REF!</definedName>
    <definedName name="_4月注塑材料" localSheetId="9">#REF!</definedName>
    <definedName name="_4月注塑材料">#REF!</definedName>
    <definedName name="_4月注塑差异" localSheetId="9">#REF!</definedName>
    <definedName name="_4月注塑差异">#REF!</definedName>
    <definedName name="_5_131" localSheetId="9">#REF!</definedName>
    <definedName name="_5_131">#REF!</definedName>
    <definedName name="_5_231060402文具印刷费" localSheetId="9">#REF!</definedName>
    <definedName name="_5_231060402文具印刷费">#REF!</definedName>
    <definedName name="_50_86004" localSheetId="9">#REF!</definedName>
    <definedName name="_50_86004">#REF!</definedName>
    <definedName name="_5001010201" localSheetId="9">#REF!</definedName>
    <definedName name="_5001010201">#REF!</definedName>
    <definedName name="_5001010202" localSheetId="9">#REF!</definedName>
    <definedName name="_5001010202">#REF!</definedName>
    <definedName name="_500101020601" localSheetId="9">#REF!</definedName>
    <definedName name="_500101020601">#REF!</definedName>
    <definedName name="_500102" localSheetId="9">#REF!</definedName>
    <definedName name="_500102">#REF!</definedName>
    <definedName name="_501" localSheetId="9">#REF!</definedName>
    <definedName name="_501">#REF!</definedName>
    <definedName name="_501_2" localSheetId="9">#REF!</definedName>
    <definedName name="_501_2">#REF!</definedName>
    <definedName name="_502" localSheetId="9">#REF!</definedName>
    <definedName name="_502">#REF!</definedName>
    <definedName name="_50202" localSheetId="9">#REF!</definedName>
    <definedName name="_50202">#REF!</definedName>
    <definedName name="_50202出口" localSheetId="9">#REF!</definedName>
    <definedName name="_50202出口">#REF!</definedName>
    <definedName name="_50202出口12月" localSheetId="9">#REF!</definedName>
    <definedName name="_50202出口12月">#REF!</definedName>
    <definedName name="_50202出口销机" localSheetId="9">#REF!</definedName>
    <definedName name="_50202出口销机">#REF!</definedName>
    <definedName name="_50202出口销售" localSheetId="9">#REF!</definedName>
    <definedName name="_50202出口销售">#REF!</definedName>
    <definedName name="_50203" localSheetId="9">#REF!</definedName>
    <definedName name="_50203">#REF!</definedName>
    <definedName name="_50203出口CANDY" localSheetId="9">#REF!</definedName>
    <definedName name="_50203出口CANDY">#REF!</definedName>
    <definedName name="_50203出口CANDY12月" localSheetId="9">#REF!</definedName>
    <definedName name="_50203出口CANDY12月">#REF!</definedName>
    <definedName name="_50203直接出口CANDY" localSheetId="9">#REF!</definedName>
    <definedName name="_50203直接出口CANDY">#REF!</definedName>
    <definedName name="_50205定牌销售" localSheetId="9">#REF!</definedName>
    <definedName name="_50205定牌销售">#REF!</definedName>
    <definedName name="_502出口" localSheetId="9">#REF!</definedName>
    <definedName name="_502出口">#REF!</definedName>
    <definedName name="_5080591" localSheetId="9">#REF!</definedName>
    <definedName name="_5080591">#REF!</definedName>
    <definedName name="_51_86005" localSheetId="9">#REF!</definedName>
    <definedName name="_51_86005">#REF!</definedName>
    <definedName name="_51010401" localSheetId="9">#REF!</definedName>
    <definedName name="_51010401">#REF!</definedName>
    <definedName name="_51010402" localSheetId="9">#REF!</definedName>
    <definedName name="_51010402">#REF!</definedName>
    <definedName name="_51010403" localSheetId="9">#REF!</definedName>
    <definedName name="_51010403">#REF!</definedName>
    <definedName name="_51010404" localSheetId="9">#REF!</definedName>
    <definedName name="_51010404">#REF!</definedName>
    <definedName name="_510105" localSheetId="9">#REF!</definedName>
    <definedName name="_510105">#REF!</definedName>
    <definedName name="_510142" localSheetId="9">#REF!</definedName>
    <definedName name="_510142">#REF!</definedName>
    <definedName name="_52_86006" localSheetId="9">#REF!</definedName>
    <definedName name="_52_86006">#REF!</definedName>
    <definedName name="_53_86007" localSheetId="9">#REF!</definedName>
    <definedName name="_53_86007">#REF!</definedName>
    <definedName name="_54_86008" localSheetId="9">#REF!</definedName>
    <definedName name="_54_86008">#REF!</definedName>
    <definedName name="_5GG1_" localSheetId="9" hidden="1">{#N/A,#N/A,FALSE,"Aging Summary";#N/A,#N/A,FALSE,"Ratio Analysis";#N/A,#N/A,FALSE,"Test 120 Day Accts";#N/A,#N/A,FALSE,"Tickmarks"}</definedName>
    <definedName name="_5GG1_" hidden="1">{#N/A,#N/A,FALSE,"Aging Summary";#N/A,#N/A,FALSE,"Ratio Analysis";#N/A,#N/A,FALSE,"Test 120 Day Accts";#N/A,#N/A,FALSE,"Tickmarks"}</definedName>
    <definedName name="_5ÑÔN_GIAÙ" localSheetId="9">#REF!</definedName>
    <definedName name="_5ÑÔN_GIAÙ">#REF!</definedName>
    <definedName name="_6" localSheetId="9">#REF!</definedName>
    <definedName name="_6">#REF!</definedName>
    <definedName name="_6_13120" localSheetId="9">#REF!</definedName>
    <definedName name="_6_13120">#REF!</definedName>
    <definedName name="_6_231060403办公其他费用" localSheetId="9">#REF!</definedName>
    <definedName name="_6_231060403办公其他费用">#REF!</definedName>
    <definedName name="_65" localSheetId="9">#REF!</definedName>
    <definedName name="_65">#REF!</definedName>
    <definedName name="_67" localSheetId="9">#REF!</definedName>
    <definedName name="_67">#REF!</definedName>
    <definedName name="_6SOÁ_CTÖØ" localSheetId="9">#REF!</definedName>
    <definedName name="_6SOÁ_CTÖØ">#REF!</definedName>
    <definedName name="_6月" localSheetId="9">#REF!</definedName>
    <definedName name="_6月">#REF!</definedName>
    <definedName name="_7_134_138" localSheetId="9">#REF!</definedName>
    <definedName name="_7_134_138">#REF!</definedName>
    <definedName name="_7_231060501飞机票费" localSheetId="9">#REF!</definedName>
    <definedName name="_7_231060501飞机票费">#REF!</definedName>
    <definedName name="_7GG2_" localSheetId="9" hidden="1">{#N/A,#N/A,FALSE,"Aging Summary";#N/A,#N/A,FALSE,"Ratio Analysis";#N/A,#N/A,FALSE,"Test 120 Day Accts";#N/A,#N/A,FALSE,"Tickmarks"}</definedName>
    <definedName name="_7GG2_" hidden="1">{#N/A,#N/A,FALSE,"Aging Summary";#N/A,#N/A,FALSE,"Ratio Analysis";#N/A,#N/A,FALSE,"Test 120 Day Accts";#N/A,#N/A,FALSE,"Tickmarks"}</definedName>
    <definedName name="_7SOÁ_LÖÔÏNG" localSheetId="9">#REF!</definedName>
    <definedName name="_7SOÁ_LÖÔÏNG">#REF!</definedName>
    <definedName name="_7月销售" localSheetId="9">#REF!</definedName>
    <definedName name="_7月销售">#REF!</definedName>
    <definedName name="_8" localSheetId="9">#REF!</definedName>
    <definedName name="_8">#REF!</definedName>
    <definedName name="_8_231060502火车轮船" localSheetId="9">#REF!</definedName>
    <definedName name="_8_231060502火车轮船">#REF!</definedName>
    <definedName name="_80001" localSheetId="9">#REF!</definedName>
    <definedName name="_80001">#REF!</definedName>
    <definedName name="_86003" localSheetId="9">#REF!</definedName>
    <definedName name="_86003">#REF!</definedName>
    <definedName name="_86004" localSheetId="9">#REF!</definedName>
    <definedName name="_86004">#REF!</definedName>
    <definedName name="_86005" localSheetId="9">#REF!</definedName>
    <definedName name="_86005">#REF!</definedName>
    <definedName name="_86006" localSheetId="9">#REF!</definedName>
    <definedName name="_86006">#REF!</definedName>
    <definedName name="_86007" localSheetId="9">#REF!</definedName>
    <definedName name="_86007">#REF!</definedName>
    <definedName name="_86008" localSheetId="9">#REF!</definedName>
    <definedName name="_86008">#REF!</definedName>
    <definedName name="_8IV16532_" localSheetId="9">#REF!</definedName>
    <definedName name="_8IV16532_">#REF!</definedName>
    <definedName name="_8TEÂN_HAØNG" localSheetId="9">#REF!</definedName>
    <definedName name="_8TEÂN_HAØNG">#REF!</definedName>
    <definedName name="_9" localSheetId="9">#REF!</definedName>
    <definedName name="_9">#REF!</definedName>
    <definedName name="_9_231060503其他交通费" localSheetId="9">#REF!</definedName>
    <definedName name="_9_231060503其他交通费">#REF!</definedName>
    <definedName name="_93" localSheetId="9">#REF!</definedName>
    <definedName name="_93">#REF!</definedName>
    <definedName name="_94" localSheetId="9">#REF!</definedName>
    <definedName name="_94">#REF!</definedName>
    <definedName name="_95" localSheetId="9">#REF!</definedName>
    <definedName name="_95">#REF!</definedName>
    <definedName name="_96" localSheetId="9">#REF!</definedName>
    <definedName name="_96">#REF!</definedName>
    <definedName name="_97" localSheetId="9">#REF!</definedName>
    <definedName name="_97">#REF!</definedName>
    <definedName name="_98" localSheetId="9">#REF!</definedName>
    <definedName name="_98">#REF!</definedName>
    <definedName name="_99" localSheetId="9">#REF!</definedName>
    <definedName name="_99">#REF!</definedName>
    <definedName name="_9IV17532_" localSheetId="9">#REF!</definedName>
    <definedName name="_9IV17532_">#REF!</definedName>
    <definedName name="_9TEÂN_KHAÙCH_HAØ" localSheetId="9">#REF!</definedName>
    <definedName name="_9TEÂN_KHAÙCH_HAØ">#REF!</definedName>
    <definedName name="_9月预提" localSheetId="9">#REF!</definedName>
    <definedName name="_9月预提">#REF!</definedName>
    <definedName name="_A" localSheetId="9">#REF!</definedName>
    <definedName name="_A">#REF!</definedName>
    <definedName name="_BQ4.10" localSheetId="9" hidden="1">#REF!</definedName>
    <definedName name="_BQ4.10" hidden="1">#REF!</definedName>
    <definedName name="_BQ4.5" localSheetId="9" hidden="1">#REF!</definedName>
    <definedName name="_BQ4.5" hidden="1">#REF!</definedName>
    <definedName name="_BQ4.8" localSheetId="9" hidden="1">#REF!</definedName>
    <definedName name="_BQ4.8" hidden="1">#REF!</definedName>
    <definedName name="_BQ4.9" localSheetId="9" hidden="1">#REF!</definedName>
    <definedName name="_BQ4.9" hidden="1">#REF!</definedName>
    <definedName name="_CON1" localSheetId="9">#REF!</definedName>
    <definedName name="_CON1">#REF!</definedName>
    <definedName name="_CON2" localSheetId="9">#REF!</definedName>
    <definedName name="_CON2">#REF!</definedName>
    <definedName name="_ddn400" localSheetId="9">#REF!</definedName>
    <definedName name="_ddn400">#REF!</definedName>
    <definedName name="_ddn600" localSheetId="9">#REF!</definedName>
    <definedName name="_ddn600">#REF!</definedName>
    <definedName name="_E99999" localSheetId="9">#REF!</definedName>
    <definedName name="_E99999">#REF!</definedName>
    <definedName name="_ETI2" localSheetId="9">#REF!</definedName>
    <definedName name="_ETI2">#REF!</definedName>
    <definedName name="_Fill" localSheetId="9" hidden="1">#REF!</definedName>
    <definedName name="_Fill" hidden="1">#REF!</definedName>
    <definedName name="_xlnm._FilterDatabase">#REF!</definedName>
    <definedName name="_GG1" localSheetId="9" hidden="1">{#N/A,#N/A,FALSE,"Aging Summary";#N/A,#N/A,FALSE,"Ratio Analysis";#N/A,#N/A,FALSE,"Test 120 Day Accts";#N/A,#N/A,FALSE,"Tickmarks"}</definedName>
    <definedName name="_GG1" hidden="1">{#N/A,#N/A,FALSE,"Aging Summary";#N/A,#N/A,FALSE,"Ratio Analysis";#N/A,#N/A,FALSE,"Test 120 Day Accts";#N/A,#N/A,FALSE,"Tickmarks"}</definedName>
    <definedName name="_GG2" localSheetId="9" hidden="1">{#N/A,#N/A,FALSE,"Aging Summary";#N/A,#N/A,FALSE,"Ratio Analysis";#N/A,#N/A,FALSE,"Test 120 Day Accts";#N/A,#N/A,FALSE,"Tickmarks"}</definedName>
    <definedName name="_GG2" hidden="1">{#N/A,#N/A,FALSE,"Aging Summary";#N/A,#N/A,FALSE,"Ratio Analysis";#N/A,#N/A,FALSE,"Test 120 Day Accts";#N/A,#N/A,FALSE,"Tickmarks"}</definedName>
    <definedName name="_gon4" localSheetId="9">#REF!</definedName>
    <definedName name="_gon4">#REF!</definedName>
    <definedName name="_GRE2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_GRE2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_IV16532" localSheetId="9">#REF!</definedName>
    <definedName name="_IV16532">#REF!</definedName>
    <definedName name="_IV17532" localSheetId="9">#REF!</definedName>
    <definedName name="_IV17532">#REF!</definedName>
    <definedName name="_IV19999" localSheetId="9">#REF!</definedName>
    <definedName name="_IV19999">#REF!</definedName>
    <definedName name="_IV20000" localSheetId="9">#REF!</definedName>
    <definedName name="_IV20000">#REF!</definedName>
    <definedName name="_IV60000" localSheetId="9">#REF!</definedName>
    <definedName name="_IV60000">#REF!</definedName>
    <definedName name="_IV999999" localSheetId="9">#REF!</definedName>
    <definedName name="_IV999999">#REF!</definedName>
    <definedName name="_IZ53" localSheetId="9">#REF!</definedName>
    <definedName name="_IZ53">#REF!</definedName>
    <definedName name="_JZ123" localSheetId="9">#REF!</definedName>
    <definedName name="_JZ123">#REF!</definedName>
    <definedName name="_Key1" localSheetId="9" hidden="1">#REF!</definedName>
    <definedName name="_Key1" hidden="1">#REF!</definedName>
    <definedName name="_key10000" localSheetId="9" hidden="1">#REF!</definedName>
    <definedName name="_key10000" hidden="1">#REF!</definedName>
    <definedName name="_Key10000000000" localSheetId="9" hidden="1">#REF!</definedName>
    <definedName name="_Key10000000000" hidden="1">#REF!</definedName>
    <definedName name="_Key2" localSheetId="9" hidden="1">#REF!</definedName>
    <definedName name="_Key2" hidden="1">#REF!</definedName>
    <definedName name="_lap1" localSheetId="9">#REF!</definedName>
    <definedName name="_lap1">#REF!</definedName>
    <definedName name="_lap2" localSheetId="9">#REF!</definedName>
    <definedName name="_lap2">#REF!</definedName>
    <definedName name="_LI1" localSheetId="9">OFFSET(#REF!,4,0,COUNTA(#REF!)-1,1)</definedName>
    <definedName name="_LI1">OFFSET(#REF!,4,0,COUNTA(#REF!)-1,1)</definedName>
    <definedName name="_LI10" localSheetId="9">OFFSET(#REF!,4,0,COUNTA(#REF!)-1,1)</definedName>
    <definedName name="_LI10">OFFSET(#REF!,4,0,COUNTA(#REF!)-1,1)</definedName>
    <definedName name="_LI11" localSheetId="9">OFFSET(#REF!,4,0,COUNTA(#REF!)-1,1)</definedName>
    <definedName name="_LI11">OFFSET(#REF!,4,0,COUNTA(#REF!)-1,1)</definedName>
    <definedName name="_LI12" localSheetId="9">OFFSET(#REF!,4,0,COUNTA(#REF!)-1,1)</definedName>
    <definedName name="_LI12">OFFSET(#REF!,4,0,COUNTA(#REF!)-1,1)</definedName>
    <definedName name="_LI13" localSheetId="9">OFFSET(#REF!,4,0,COUNTA(#REF!)-1,1)</definedName>
    <definedName name="_LI13">OFFSET(#REF!,4,0,COUNTA(#REF!)-1,1)</definedName>
    <definedName name="_LI14" localSheetId="9">OFFSET(#REF!,4,0,COUNTA(#REF!)-1,1)</definedName>
    <definedName name="_LI14">OFFSET(#REF!,4,0,COUNTA(#REF!)-1,1)</definedName>
    <definedName name="_LI15" localSheetId="9">OFFSET(#REF!,4,0,COUNTA(#REF!)-1,1)</definedName>
    <definedName name="_LI15">OFFSET(#REF!,4,0,COUNTA(#REF!)-1,1)</definedName>
    <definedName name="_LI16" localSheetId="9">OFFSET(#REF!,4,0,COUNTA(#REF!)-1,1)</definedName>
    <definedName name="_LI16">OFFSET(#REF!,4,0,COUNTA(#REF!)-1,1)</definedName>
    <definedName name="_LI17" localSheetId="9">OFFSET(#REF!,4,0,COUNTA(#REF!)-1,1)</definedName>
    <definedName name="_LI17">OFFSET(#REF!,4,0,COUNTA(#REF!)-1,1)</definedName>
    <definedName name="_LI18" localSheetId="9">OFFSET(#REF!,4,0,COUNTA(#REF!)-1,1)</definedName>
    <definedName name="_LI18">OFFSET(#REF!,4,0,COUNTA(#REF!)-1,1)</definedName>
    <definedName name="_LI19" localSheetId="9">OFFSET(#REF!,4,0,COUNTA(#REF!)-1,1)</definedName>
    <definedName name="_LI19">OFFSET(#REF!,4,0,COUNTA(#REF!)-1,1)</definedName>
    <definedName name="_LI2" localSheetId="9">OFFSET(#REF!,4,0,COUNTA(#REF!)-1,1)</definedName>
    <definedName name="_LI2">OFFSET(#REF!,4,0,COUNTA(#REF!)-1,1)</definedName>
    <definedName name="_LI20" localSheetId="9">OFFSET(#REF!,4,0,COUNTA(#REF!)-1,1)</definedName>
    <definedName name="_LI20">OFFSET(#REF!,4,0,COUNTA(#REF!)-1,1)</definedName>
    <definedName name="_LI21" localSheetId="9">OFFSET(#REF!,4,0,COUNTA(#REF!)-1,1)</definedName>
    <definedName name="_LI21">OFFSET(#REF!,4,0,COUNTA(#REF!)-1,1)</definedName>
    <definedName name="_LI22" localSheetId="9">OFFSET(#REF!,4,0,COUNTA(#REF!)-1,1)</definedName>
    <definedName name="_LI22">OFFSET(#REF!,4,0,COUNTA(#REF!)-1,1)</definedName>
    <definedName name="_LI23" localSheetId="9">OFFSET(#REF!,4,0,COUNTA(#REF!)-1,1)</definedName>
    <definedName name="_LI23">OFFSET(#REF!,4,0,COUNTA(#REF!)-1,1)</definedName>
    <definedName name="_LI24" localSheetId="9">OFFSET(#REF!,4,0,COUNTA(#REF!)-1,1)</definedName>
    <definedName name="_LI24">OFFSET(#REF!,4,0,COUNTA(#REF!)-1,1)</definedName>
    <definedName name="_LI25" localSheetId="9">OFFSET(#REF!,4,0,COUNTA(#REF!)-1,1)</definedName>
    <definedName name="_LI25">OFFSET(#REF!,4,0,COUNTA(#REF!)-1,1)</definedName>
    <definedName name="_LI3" localSheetId="9">OFFSET(#REF!,4,0,COUNTA(#REF!)-1,1)</definedName>
    <definedName name="_LI3">OFFSET(#REF!,4,0,COUNTA(#REF!)-1,1)</definedName>
    <definedName name="_LI30" localSheetId="9">OFFSET(#REF!,4,0,COUNTA(#REF!)-1,1)</definedName>
    <definedName name="_LI30">OFFSET(#REF!,4,0,COUNTA(#REF!)-1,1)</definedName>
    <definedName name="_LI4" localSheetId="9">OFFSET(#REF!,4,0,COUNTA(#REF!)-1,1)</definedName>
    <definedName name="_LI4">OFFSET(#REF!,4,0,COUNTA(#REF!)-1,1)</definedName>
    <definedName name="_LI5" localSheetId="9">OFFSET(#REF!,4,0,COUNTA(#REF!)-1,1)</definedName>
    <definedName name="_LI5">OFFSET(#REF!,4,0,COUNTA(#REF!)-1,1)</definedName>
    <definedName name="_LI6" localSheetId="9">OFFSET(#REF!,4,0,COUNTA(#REF!)-1,1)</definedName>
    <definedName name="_LI6">OFFSET(#REF!,4,0,COUNTA(#REF!)-1,1)</definedName>
    <definedName name="_LI7" localSheetId="9">OFFSET(#REF!,4,0,COUNTA(#REF!)-1,1)</definedName>
    <definedName name="_LI7">OFFSET(#REF!,4,0,COUNTA(#REF!)-1,1)</definedName>
    <definedName name="_LI8" localSheetId="9">OFFSET(#REF!,4,0,COUNTA(#REF!)-1,1)</definedName>
    <definedName name="_LI8">OFFSET(#REF!,4,0,COUNTA(#REF!)-1,1)</definedName>
    <definedName name="_LI9" localSheetId="9">OFFSET(#REF!,4,0,COUNTA(#REF!)-1,1)</definedName>
    <definedName name="_LI9">OFFSET(#REF!,4,0,COUNTA(#REF!)-1,1)</definedName>
    <definedName name="_LZ123" localSheetId="9">#REF!</definedName>
    <definedName name="_LZ123">#REF!</definedName>
    <definedName name="_M1110" localSheetId="9" hidden="1">{#N/A,#N/A,FALSE,"Aging"}</definedName>
    <definedName name="_M1110" hidden="1">{#N/A,#N/A,FALSE,"Aging"}</definedName>
    <definedName name="_M136" localSheetId="9">#REF!</definedName>
    <definedName name="_M136">#REF!</definedName>
    <definedName name="_M139" localSheetId="9">#REF!</definedName>
    <definedName name="_M139">#REF!</definedName>
    <definedName name="_MAC12" localSheetId="9">#REF!</definedName>
    <definedName name="_MAC12">#REF!</definedName>
    <definedName name="_MAC46" localSheetId="9">#REF!</definedName>
    <definedName name="_MAC46">#REF!</definedName>
    <definedName name="_MZ53" localSheetId="9">#REF!</definedName>
    <definedName name="_MZ53">#REF!</definedName>
    <definedName name="_NCL100" localSheetId="9">#REF!</definedName>
    <definedName name="_NCL100">#REF!</definedName>
    <definedName name="_NCL200" localSheetId="9">#REF!</definedName>
    <definedName name="_NCL200">#REF!</definedName>
    <definedName name="_NCL250" localSheetId="9">#REF!</definedName>
    <definedName name="_NCL250">#REF!</definedName>
    <definedName name="_NET2" localSheetId="9">#REF!</definedName>
    <definedName name="_NET2">#REF!</definedName>
    <definedName name="_nin190" localSheetId="9">#REF!</definedName>
    <definedName name="_nin190">#REF!</definedName>
    <definedName name="_Order1" hidden="1">255</definedName>
    <definedName name="_Order2" hidden="1">255</definedName>
    <definedName name="_Parse_Out" localSheetId="9" hidden="1">#REF!</definedName>
    <definedName name="_Parse_Out" hidden="1">#REF!</definedName>
    <definedName name="_Regression_X" localSheetId="9" hidden="1">#REF!</definedName>
    <definedName name="_Regression_X" hidden="1">#REF!</definedName>
    <definedName name="_sc1" localSheetId="9">#REF!</definedName>
    <definedName name="_sc1">#REF!</definedName>
    <definedName name="_SC2" localSheetId="9">#REF!</definedName>
    <definedName name="_SC2">#REF!</definedName>
    <definedName name="_sc3" localSheetId="9">#REF!</definedName>
    <definedName name="_sc3">#REF!</definedName>
    <definedName name="_SN3" localSheetId="9">#REF!</definedName>
    <definedName name="_SN3">#REF!</definedName>
    <definedName name="_Sort" localSheetId="9" hidden="1">#REF!</definedName>
    <definedName name="_Sort" hidden="1">#REF!</definedName>
    <definedName name="_T02" localSheetId="9">{"Book1"}</definedName>
    <definedName name="_T02">{"Book1"}</definedName>
    <definedName name="_tab1" localSheetId="9">#REF!</definedName>
    <definedName name="_tab1">#REF!</definedName>
    <definedName name="_tab10" localSheetId="9">#REF!</definedName>
    <definedName name="_tab10">#REF!</definedName>
    <definedName name="_tab11" localSheetId="9">#REF!</definedName>
    <definedName name="_tab11">#REF!</definedName>
    <definedName name="_tab12" localSheetId="9">#REF!</definedName>
    <definedName name="_tab12">#REF!</definedName>
    <definedName name="_tab2" localSheetId="9">#REF!</definedName>
    <definedName name="_tab2">#REF!</definedName>
    <definedName name="_tab3" localSheetId="9">#REF!</definedName>
    <definedName name="_tab3">#REF!</definedName>
    <definedName name="_tab4" localSheetId="9">#REF!</definedName>
    <definedName name="_tab4">#REF!</definedName>
    <definedName name="_tab5" localSheetId="9">#REF!</definedName>
    <definedName name="_tab5">#REF!</definedName>
    <definedName name="_tab6" localSheetId="9">#REF!</definedName>
    <definedName name="_tab6">#REF!</definedName>
    <definedName name="_tab7" localSheetId="9">#REF!</definedName>
    <definedName name="_tab7">#REF!</definedName>
    <definedName name="_tab8" localSheetId="9">#REF!</definedName>
    <definedName name="_tab8">#REF!</definedName>
    <definedName name="_tab9" localSheetId="9">#REF!</definedName>
    <definedName name="_tab9">#REF!</definedName>
    <definedName name="_Table2_In1" localSheetId="9" hidden="1">#REF!</definedName>
    <definedName name="_Table2_In1" hidden="1">#REF!</definedName>
    <definedName name="_Table2_In2" localSheetId="9" hidden="1">#REF!</definedName>
    <definedName name="_Table2_In2" hidden="1">#REF!</definedName>
    <definedName name="_TB1" localSheetId="9">#REF!</definedName>
    <definedName name="_TB1">#REF!</definedName>
    <definedName name="_TC07" localSheetId="9">#REF!</definedName>
    <definedName name="_TC07">#REF!</definedName>
    <definedName name="_TL1" localSheetId="9">#REF!</definedName>
    <definedName name="_TL1">#REF!</definedName>
    <definedName name="_TL2" localSheetId="9">#REF!</definedName>
    <definedName name="_TL2">#REF!</definedName>
    <definedName name="_TL3" localSheetId="9">#REF!</definedName>
    <definedName name="_TL3">#REF!</definedName>
    <definedName name="_TLA120" localSheetId="9">#REF!</definedName>
    <definedName name="_TLA120">#REF!</definedName>
    <definedName name="_TLA35" localSheetId="9">#REF!</definedName>
    <definedName name="_TLA35">#REF!</definedName>
    <definedName name="_TLA50" localSheetId="9">#REF!</definedName>
    <definedName name="_TLA50">#REF!</definedName>
    <definedName name="_TLA70" localSheetId="9">#REF!</definedName>
    <definedName name="_TLA70">#REF!</definedName>
    <definedName name="_TLA95" localSheetId="9">#REF!</definedName>
    <definedName name="_TLA95">#REF!</definedName>
    <definedName name="_UNDO_UPS_" localSheetId="9" hidden="1">#REF!</definedName>
    <definedName name="_UNDO_UPS_" hidden="1">#REF!</definedName>
    <definedName name="_UNDO_UPS_SEL_" localSheetId="9" hidden="1">#REF!</definedName>
    <definedName name="_UNDO_UPS_SEL_" hidden="1">#REF!</definedName>
    <definedName name="_UNDO31X31X_" localSheetId="9" hidden="1">#REF!</definedName>
    <definedName name="_UNDO31X31X_" hidden="1">#REF!</definedName>
    <definedName name="_VL100" localSheetId="9">#REF!</definedName>
    <definedName name="_VL100">#REF!</definedName>
    <definedName name="_VL200" localSheetId="9">#REF!</definedName>
    <definedName name="_VL200">#REF!</definedName>
    <definedName name="_VL250" localSheetId="9">#REF!</definedName>
    <definedName name="_VL250">#REF!</definedName>
    <definedName name="_XY123" localSheetId="9">#REF!</definedName>
    <definedName name="_XY123">#REF!</definedName>
    <definedName name="_销售09" localSheetId="9">#REF!</definedName>
    <definedName name="_销售09">#REF!</definedName>
    <definedName name="_预提06" localSheetId="9">#REF!</definedName>
    <definedName name="_预提06">#REF!</definedName>
    <definedName name="_预提08" localSheetId="9">#REF!</definedName>
    <definedName name="_预提08">#REF!</definedName>
    <definedName name="a" localSheetId="9">{"Book1"}</definedName>
    <definedName name="a">{"Book1"}</definedName>
    <definedName name="A_impresión_IM" localSheetId="9">#REF!</definedName>
    <definedName name="A_impresión_IM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20_" localSheetId="9">#REF!</definedName>
    <definedName name="A120_">#REF!</definedName>
    <definedName name="a277Print_Titles" localSheetId="9">#REF!</definedName>
    <definedName name="a277Print_Titles">#REF!</definedName>
    <definedName name="A35_" localSheetId="9">#REF!</definedName>
    <definedName name="A35_">#REF!</definedName>
    <definedName name="A50_" localSheetId="9">#REF!</definedName>
    <definedName name="A50_">#REF!</definedName>
    <definedName name="A70_" localSheetId="9">#REF!</definedName>
    <definedName name="A70_">#REF!</definedName>
    <definedName name="A95_" localSheetId="9">#REF!</definedName>
    <definedName name="A95_">#REF!</definedName>
    <definedName name="AA" localSheetId="9">#REF!</definedName>
    <definedName name="AA">#REF!</definedName>
    <definedName name="AA_SIZE" localSheetId="9">#REF!</definedName>
    <definedName name="AA_SIZE">#REF!</definedName>
    <definedName name="aaa" localSheetId="9" hidden="1">#REF!</definedName>
    <definedName name="aaa" hidden="1">#REF!</definedName>
    <definedName name="aaaaaaaa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aaaaaaa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ABC" localSheetId="9">#REF!</definedName>
    <definedName name="ABC">#REF!</definedName>
    <definedName name="AC" localSheetId="9" hidden="1">{"'Actual'!$A$1:$F$25"}</definedName>
    <definedName name="AC" hidden="1">{"'Actual'!$A$1:$F$25"}</definedName>
    <definedName name="AC120_" localSheetId="9">#REF!</definedName>
    <definedName name="AC120_">#REF!</definedName>
    <definedName name="AC35_" localSheetId="9">#REF!</definedName>
    <definedName name="AC35_">#REF!</definedName>
    <definedName name="AC50_" localSheetId="9">#REF!</definedName>
    <definedName name="AC50_">#REF!</definedName>
    <definedName name="AC70_" localSheetId="9">#REF!</definedName>
    <definedName name="AC70_">#REF!</definedName>
    <definedName name="AC95_" localSheetId="9">#REF!</definedName>
    <definedName name="AC95_">#REF!</definedName>
    <definedName name="AccessDatabase" hidden="1">"Z:\FI\Finance\Liuxj\Export sales\pastdue-e 2004\France 04.mdb"</definedName>
    <definedName name="actpl" localSheetId="9">#REF!</definedName>
    <definedName name="actpl">#REF!</definedName>
    <definedName name="ad" localSheetId="9">#REF!</definedName>
    <definedName name="ad">#REF!</definedName>
    <definedName name="Address" localSheetId="9">#REF!</definedName>
    <definedName name="Address">#REF!</definedName>
    <definedName name="adsa" localSheetId="9" hidden="1">{"'Actual'!$A$1:$F$25"}</definedName>
    <definedName name="adsa" hidden="1">{"'Actual'!$A$1:$F$25"}</definedName>
    <definedName name="All_Item" localSheetId="9">#REF!</definedName>
    <definedName name="All_Item">#REF!</definedName>
    <definedName name="ALPIN">#N/A</definedName>
    <definedName name="ALPJYOU">#N/A</definedName>
    <definedName name="ALPTOI">#N/A</definedName>
    <definedName name="April" localSheetId="9">#REF!</definedName>
    <definedName name="April">#REF!</definedName>
    <definedName name="Arbeitsinhalte_Bemerkungen" localSheetId="9">#REF!,#REF!</definedName>
    <definedName name="Arbeitsinhalte_Bemerkungen">#REF!,#REF!</definedName>
    <definedName name="Arbeitsinhalte_Eingabe" localSheetId="9">#REF!,#REF!,#REF!,#REF!</definedName>
    <definedName name="Arbeitsinhalte_Eingabe">#REF!,#REF!,#REF!,#REF!</definedName>
    <definedName name="ARCHIVO" localSheetId="9">#REF!</definedName>
    <definedName name="ARCHIVO">#REF!</definedName>
    <definedName name="Area_access_852" localSheetId="9">#REF!</definedName>
    <definedName name="Area_access_852">#REF!</definedName>
    <definedName name="Area_stampa_MI" localSheetId="9">#REF!</definedName>
    <definedName name="Area_stampa_MI">#REF!</definedName>
    <definedName name="as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a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AS2DocOpenMode" hidden="1">"AS2DocumentEdit"</definedName>
    <definedName name="asd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as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Assessment" localSheetId="9">#REF!</definedName>
    <definedName name="Assessment">#REF!</definedName>
    <definedName name="assumptionProductionOverhead" localSheetId="9">#REF!</definedName>
    <definedName name="assumptionProductionOverhead">#REF!</definedName>
    <definedName name="AuraStyleDefaultsReset" hidden="1">#N/A</definedName>
    <definedName name="b" localSheetId="9">#REF!</definedName>
    <definedName name="b">#REF!</definedName>
    <definedName name="b_240" localSheetId="9">#REF!</definedName>
    <definedName name="b_240">#REF!</definedName>
    <definedName name="b_280" localSheetId="9">#REF!</definedName>
    <definedName name="b_280">#REF!</definedName>
    <definedName name="b_320" localSheetId="9">#REF!</definedName>
    <definedName name="b_320">#REF!</definedName>
    <definedName name="B_AM_act" localSheetId="9">#REF!</definedName>
    <definedName name="B_AM_act">#REF!</definedName>
    <definedName name="B_AM_plan" localSheetId="9">#REF!</definedName>
    <definedName name="B_AM_plan">#REF!</definedName>
    <definedName name="B_AS_act" localSheetId="9">#REF!</definedName>
    <definedName name="B_AS_act">#REF!</definedName>
    <definedName name="B_AS_plan" localSheetId="9">#REF!</definedName>
    <definedName name="B_AS_plan">#REF!</definedName>
    <definedName name="B_EU_act" localSheetId="9">#REF!</definedName>
    <definedName name="B_EU_act">#REF!</definedName>
    <definedName name="B_EU_plan" localSheetId="9">#REF!</definedName>
    <definedName name="B_EU_plan">#REF!</definedName>
    <definedName name="B_tinh" localSheetId="9">#REF!</definedName>
    <definedName name="B_tinh">#REF!</definedName>
    <definedName name="b70_" localSheetId="9">#REF!</definedName>
    <definedName name="b70_">#REF!</definedName>
    <definedName name="Bang_cly" localSheetId="9">#REF!</definedName>
    <definedName name="Bang_cly">#REF!</definedName>
    <definedName name="Bang_CVC" localSheetId="9">#REF!</definedName>
    <definedName name="Bang_CVC">#REF!</definedName>
    <definedName name="bang_gia" localSheetId="9">#REF!</definedName>
    <definedName name="bang_gia">#REF!</definedName>
    <definedName name="Bang_travl" localSheetId="9">#REF!</definedName>
    <definedName name="Bang_travl">#REF!</definedName>
    <definedName name="BarData" localSheetId="9">#REF!</definedName>
    <definedName name="BarData">#REF!</definedName>
    <definedName name="Basisdaten_Eingabe" localSheetId="9">#REF!,#REF!,#REF!,#REF!,#REF!,#REF!,#REF!,#REF!,#REF!,#REF!,#REF!,#REF!,#REF!,#REF!,#REF!,#REF!</definedName>
    <definedName name="Basisdaten_Eingabe">#REF!,#REF!,#REF!,#REF!,#REF!,#REF!,#REF!,#REF!,#REF!,#REF!,#REF!,#REF!,#REF!,#REF!,#REF!,#REF!</definedName>
    <definedName name="BB" localSheetId="9">#REF!</definedName>
    <definedName name="BB">#REF!</definedName>
    <definedName name="bbb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b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bb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bbbbb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bb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bbbbbbbb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bbbbb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egin10" localSheetId="9">#REF!</definedName>
    <definedName name="begin10">#REF!</definedName>
    <definedName name="BEL" localSheetId="9">#REF!</definedName>
    <definedName name="BEL">#REF!</definedName>
    <definedName name="BIL_NO">"MO85110026"</definedName>
    <definedName name="blkh" localSheetId="9">#REF!</definedName>
    <definedName name="blkh">#REF!</definedName>
    <definedName name="blkh1" localSheetId="9">#REF!</definedName>
    <definedName name="blkh1">#REF!</definedName>
    <definedName name="BLOCK" localSheetId="9">#REF!</definedName>
    <definedName name="BLOCK">#REF!</definedName>
    <definedName name="BLOCK1" localSheetId="9">#REF!</definedName>
    <definedName name="BLOCK1">#REF!</definedName>
    <definedName name="BLOCK2" localSheetId="9">#REF!</definedName>
    <definedName name="BLOCK2">#REF!</definedName>
    <definedName name="BLOCK3" localSheetId="9">#REF!</definedName>
    <definedName name="BLOCK3">#REF!</definedName>
    <definedName name="bn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n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OQ" localSheetId="9">#REF!</definedName>
    <definedName name="BOQ">#REF!</definedName>
    <definedName name="BREAKDOWN" localSheetId="9">#REF!</definedName>
    <definedName name="BREAKDOWN">#REF!</definedName>
    <definedName name="BS_Date" localSheetId="9">#REF!</definedName>
    <definedName name="BS_Date">#REF!</definedName>
    <definedName name="BTLT1pm" localSheetId="9">#REF!</definedName>
    <definedName name="BTLT1pm">#REF!</definedName>
    <definedName name="BTLT3pm" localSheetId="9">#REF!</definedName>
    <definedName name="BTLT3pm">#REF!</definedName>
    <definedName name="BTLTct" localSheetId="9">#REF!</definedName>
    <definedName name="BTLTct">#REF!</definedName>
    <definedName name="BTLTHTDL" localSheetId="9">#REF!</definedName>
    <definedName name="BTLTHTDL">#REF!</definedName>
    <definedName name="BTLTHTHH" localSheetId="9">#REF!</definedName>
    <definedName name="BTLTHTHH">#REF!</definedName>
    <definedName name="BTRAM" localSheetId="9">#REF!</definedName>
    <definedName name="BTRAM">#REF!</definedName>
    <definedName name="Build">1</definedName>
    <definedName name="BVCISUMMARY" localSheetId="9">#REF!</definedName>
    <definedName name="BVCISUMMARY">#REF!</definedName>
    <definedName name="BZ" localSheetId="9">#REF!</definedName>
    <definedName name="BZ">#REF!</definedName>
    <definedName name="C_O" localSheetId="9">#REF!</definedName>
    <definedName name="C_O">#REF!</definedName>
    <definedName name="C_SIZE" localSheetId="9">#REF!</definedName>
    <definedName name="C_SIZE">#REF!</definedName>
    <definedName name="C2.7" localSheetId="9">#REF!</definedName>
    <definedName name="C2.7">#REF!</definedName>
    <definedName name="C3.0" localSheetId="9">#REF!</definedName>
    <definedName name="C3.0">#REF!</definedName>
    <definedName name="C3.5" localSheetId="9">#REF!</definedName>
    <definedName name="C3.5">#REF!</definedName>
    <definedName name="C3.7" localSheetId="9">#REF!</definedName>
    <definedName name="C3.7">#REF!</definedName>
    <definedName name="C4.0" localSheetId="9">#REF!</definedName>
    <definedName name="C4.0">#REF!</definedName>
    <definedName name="calculocosthora" localSheetId="9">#REF!</definedName>
    <definedName name="calculocosthora">#REF!</definedName>
    <definedName name="cap" localSheetId="9">#REF!</definedName>
    <definedName name="cap">#REF!</definedName>
    <definedName name="cap0.7" localSheetId="9">#REF!</definedName>
    <definedName name="cap0.7">#REF!</definedName>
    <definedName name="capdat" localSheetId="9">#REF!</definedName>
    <definedName name="capdat">#REF!</definedName>
    <definedName name="Capex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apex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apexCorn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apexCorn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ategory_All" localSheetId="9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AL" localSheetId="9">#REF!</definedName>
    <definedName name="CAUSAL">#REF!</definedName>
    <definedName name="CB1_END_DD">"2008-05-13"</definedName>
    <definedName name="cc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c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cccccccccccccccccccccccccccccccccccccccc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cccccccccccccccccccccccccccccccccccccc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cccccccccccccccccccccccccccccccccccccccccccccc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cccccccccccccccccccccccccccccccccccccccccccc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cddddd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cdddd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S" localSheetId="9">#REF!</definedName>
    <definedName name="CCS">#REF!</definedName>
    <definedName name="CDD" localSheetId="9">#REF!</definedName>
    <definedName name="CDD">#REF!</definedName>
    <definedName name="CDDD" localSheetId="9">#REF!</definedName>
    <definedName name="CDDD">#REF!</definedName>
    <definedName name="CDDD1P" localSheetId="9">#REF!</definedName>
    <definedName name="CDDD1P">#REF!</definedName>
    <definedName name="CDDD1PHA" localSheetId="9">#REF!</definedName>
    <definedName name="CDDD1PHA">#REF!</definedName>
    <definedName name="CDDD3PHA" localSheetId="9">#REF!</definedName>
    <definedName name="CDDD3PHA">#REF!</definedName>
    <definedName name="Cdnum" localSheetId="9">#REF!</definedName>
    <definedName name="Cdnum">#REF!</definedName>
    <definedName name="CellaValuta" localSheetId="9">#REF!</definedName>
    <definedName name="CellaValuta">#REF!</definedName>
    <definedName name="ceri" localSheetId="9">#REF!</definedName>
    <definedName name="ceri">#REF!</definedName>
    <definedName name="CH" localSheetId="9">#REF!</definedName>
    <definedName name="CH">#REF!</definedName>
    <definedName name="chang1pm" localSheetId="9">#REF!</definedName>
    <definedName name="chang1pm">#REF!</definedName>
    <definedName name="chang3pm" localSheetId="9">#REF!</definedName>
    <definedName name="chang3pm">#REF!</definedName>
    <definedName name="changct" localSheetId="9">#REF!</definedName>
    <definedName name="changct">#REF!</definedName>
    <definedName name="changht" localSheetId="9">#REF!</definedName>
    <definedName name="changht">#REF!</definedName>
    <definedName name="changHTDL" localSheetId="9">#REF!</definedName>
    <definedName name="changHTDL">#REF!</definedName>
    <definedName name="changHTHH" localSheetId="9">#REF!</definedName>
    <definedName name="changHTHH">#REF!</definedName>
    <definedName name="China" localSheetId="9">#REF!</definedName>
    <definedName name="China">#REF!</definedName>
    <definedName name="China_critera" localSheetId="9">#REF!</definedName>
    <definedName name="China_critera">#REF!</definedName>
    <definedName name="China_criteria" localSheetId="9">#REF!</definedName>
    <definedName name="China_criteria">#REF!</definedName>
    <definedName name="choice" localSheetId="9">#REF!</definedName>
    <definedName name="choice">#REF!</definedName>
    <definedName name="City" localSheetId="9">#REF!</definedName>
    <definedName name="City">#REF!</definedName>
    <definedName name="CK" localSheetId="9">#REF!</definedName>
    <definedName name="CK">#REF!</definedName>
    <definedName name="CL" localSheetId="9">#REF!</definedName>
    <definedName name="CL">#REF!</definedName>
    <definedName name="CLA" localSheetId="9">#REF!</definedName>
    <definedName name="CLA">#REF!</definedName>
    <definedName name="clvc" localSheetId="9">#REF!</definedName>
    <definedName name="clvc">#REF!</definedName>
    <definedName name="CLVC3">0.1</definedName>
    <definedName name="CLVC35" localSheetId="9">#REF!</definedName>
    <definedName name="CLVC35">#REF!</definedName>
    <definedName name="CLVCTB" localSheetId="9">#REF!</definedName>
    <definedName name="CLVCTB">#REF!</definedName>
    <definedName name="CLVL" localSheetId="9">#REF!</definedName>
    <definedName name="CLVL">#REF!</definedName>
    <definedName name="Co" localSheetId="9">#REF!</definedName>
    <definedName name="Co">#REF!</definedName>
    <definedName name="Code" localSheetId="9" hidden="1">#REF!</definedName>
    <definedName name="Code" hidden="1">#REF!</definedName>
    <definedName name="Code_to_Position_Name" localSheetId="9">#REF!</definedName>
    <definedName name="Code_to_Position_Name">#REF!</definedName>
    <definedName name="Cöï_ly_vaän_chuyeãn" localSheetId="9">#REF!</definedName>
    <definedName name="Cöï_ly_vaän_chuyeãn">#REF!</definedName>
    <definedName name="CÖÏ_LY_VAÄN_CHUYEÅN" localSheetId="9">#REF!</definedName>
    <definedName name="CÖÏ_LY_VAÄN_CHUYEÅN">#REF!</definedName>
    <definedName name="COLUMNS10">#N/A</definedName>
    <definedName name="COMMON" localSheetId="9">#REF!</definedName>
    <definedName name="COMMON">#REF!</definedName>
    <definedName name="comp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omp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ompany" localSheetId="9">#REF!</definedName>
    <definedName name="Company">#REF!</definedName>
    <definedName name="COMPARATIVO" localSheetId="9">#REF!</definedName>
    <definedName name="COMPARATIVO">#REF!</definedName>
    <definedName name="compnew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ompnew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ompOutlk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ompOutlk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ON_EQP_COS" localSheetId="9">#REF!</definedName>
    <definedName name="CON_EQP_COS">#REF!</definedName>
    <definedName name="CON_EQP_COST" localSheetId="9">#REF!</definedName>
    <definedName name="CON_EQP_COST">#REF!</definedName>
    <definedName name="Cong_HM_DTCT" localSheetId="9">#REF!</definedName>
    <definedName name="Cong_HM_DTCT">#REF!</definedName>
    <definedName name="Cong_M_DTCT" localSheetId="9">#REF!</definedName>
    <definedName name="Cong_M_DTCT">#REF!</definedName>
    <definedName name="Cong_NC_DTCT" localSheetId="9">#REF!</definedName>
    <definedName name="Cong_NC_DTCT">#REF!</definedName>
    <definedName name="Cong_VL_DTCT" localSheetId="9">#REF!</definedName>
    <definedName name="Cong_VL_DTCT">#REF!</definedName>
    <definedName name="CONST_EQ" localSheetId="9">#REF!</definedName>
    <definedName name="CONST_EQ">#REF!</definedName>
    <definedName name="CONSUMOACUMULAD" localSheetId="9">#REF!</definedName>
    <definedName name="CONSUMOACUMULAD">#REF!</definedName>
    <definedName name="consumomes" localSheetId="9">#REF!</definedName>
    <definedName name="consumomes">#REF!</definedName>
    <definedName name="CONTABILE" localSheetId="9">#REF!</definedName>
    <definedName name="CONTABILE">#REF!</definedName>
    <definedName name="Cost" localSheetId="9">#REF!</definedName>
    <definedName name="Cost">#REF!</definedName>
    <definedName name="COSTO" localSheetId="9">#REF!</definedName>
    <definedName name="COSTO">#REF!</definedName>
    <definedName name="Count_In_OnePage">1</definedName>
    <definedName name="Countr" localSheetId="9">#REF!</definedName>
    <definedName name="Countr">#REF!</definedName>
    <definedName name="Country" localSheetId="9">#REF!</definedName>
    <definedName name="Country">#REF!</definedName>
    <definedName name="Country_Source" localSheetId="9">#REF!</definedName>
    <definedName name="Country_Source">#REF!</definedName>
    <definedName name="COVER" localSheetId="9">#REF!</definedName>
    <definedName name="COVER">#REF!</definedName>
    <definedName name="CPC" localSheetId="9">#REF!</definedName>
    <definedName name="CPC">#REF!</definedName>
    <definedName name="CPVC35" localSheetId="9">#REF!</definedName>
    <definedName name="CPVC35">#REF!</definedName>
    <definedName name="CPVCDN" localSheetId="9">#REF!</definedName>
    <definedName name="CPVCDN">#REF!</definedName>
    <definedName name="cr" localSheetId="9">#REF!</definedName>
    <definedName name="cr">#REF!</definedName>
    <definedName name="CRD" localSheetId="9">#REF!</definedName>
    <definedName name="CRD">#REF!</definedName>
    <definedName name="CRITINST" localSheetId="9">#REF!</definedName>
    <definedName name="CRITINST">#REF!</definedName>
    <definedName name="CRITPURC" localSheetId="9">#REF!</definedName>
    <definedName name="CRITPURC">#REF!</definedName>
    <definedName name="CRS" localSheetId="9">#REF!</definedName>
    <definedName name="CRS">#REF!</definedName>
    <definedName name="CS" localSheetId="9">#REF!</definedName>
    <definedName name="CS">#REF!</definedName>
    <definedName name="CS_10" localSheetId="9">#REF!</definedName>
    <definedName name="CS_10">#REF!</definedName>
    <definedName name="CS_100" localSheetId="9">#REF!</definedName>
    <definedName name="CS_100">#REF!</definedName>
    <definedName name="CS_10S" localSheetId="9">#REF!</definedName>
    <definedName name="CS_10S">#REF!</definedName>
    <definedName name="CS_120" localSheetId="9">#REF!</definedName>
    <definedName name="CS_120">#REF!</definedName>
    <definedName name="CS_140" localSheetId="9">#REF!</definedName>
    <definedName name="CS_140">#REF!</definedName>
    <definedName name="CS_160" localSheetId="9">#REF!</definedName>
    <definedName name="CS_160">#REF!</definedName>
    <definedName name="CS_20" localSheetId="9">#REF!</definedName>
    <definedName name="CS_20">#REF!</definedName>
    <definedName name="CS_30" localSheetId="9">#REF!</definedName>
    <definedName name="CS_30">#REF!</definedName>
    <definedName name="CS_40" localSheetId="9">#REF!</definedName>
    <definedName name="CS_40">#REF!</definedName>
    <definedName name="CS_40S" localSheetId="9">#REF!</definedName>
    <definedName name="CS_40S">#REF!</definedName>
    <definedName name="CS_5S" localSheetId="9">#REF!</definedName>
    <definedName name="CS_5S">#REF!</definedName>
    <definedName name="CS_60" localSheetId="9">#REF!</definedName>
    <definedName name="CS_60">#REF!</definedName>
    <definedName name="CS_80" localSheetId="9">#REF!</definedName>
    <definedName name="CS_80">#REF!</definedName>
    <definedName name="CS_80S" localSheetId="9">#REF!</definedName>
    <definedName name="CS_80S">#REF!</definedName>
    <definedName name="CS_STD" localSheetId="9">#REF!</definedName>
    <definedName name="CS_STD">#REF!</definedName>
    <definedName name="CS_XS" localSheetId="9">#REF!</definedName>
    <definedName name="CS_XS">#REF!</definedName>
    <definedName name="CS_XXS" localSheetId="9">#REF!</definedName>
    <definedName name="CS_XXS">#REF!</definedName>
    <definedName name="csd3p" localSheetId="9">#REF!</definedName>
    <definedName name="csd3p">#REF!</definedName>
    <definedName name="csddg1p" localSheetId="9">#REF!</definedName>
    <definedName name="csddg1p">#REF!</definedName>
    <definedName name="csddt1p" localSheetId="9">#REF!</definedName>
    <definedName name="csddt1p">#REF!</definedName>
    <definedName name="csht3p" localSheetId="9">#REF!</definedName>
    <definedName name="csht3p">#REF!</definedName>
    <definedName name="ctdn9697" localSheetId="9">#REF!</definedName>
    <definedName name="ctdn9697">#REF!</definedName>
    <definedName name="ctiep" localSheetId="9">#REF!</definedName>
    <definedName name="ctiep">#REF!</definedName>
    <definedName name="CTIET" localSheetId="9">#REF!</definedName>
    <definedName name="CTIET">#REF!</definedName>
    <definedName name="CURRENCY" localSheetId="9">#REF!</definedName>
    <definedName name="CURRENCY">#REF!</definedName>
    <definedName name="Currency_list" localSheetId="9">#REF!</definedName>
    <definedName name="Currency_list">#REF!</definedName>
    <definedName name="Current_Qtr" localSheetId="9">#REF!</definedName>
    <definedName name="Current_Qtr">#REF!</definedName>
    <definedName name="CX" localSheetId="9">#REF!</definedName>
    <definedName name="CX">#REF!</definedName>
    <definedName name="Cycle" localSheetId="9">#REF!</definedName>
    <definedName name="Cycle">#REF!</definedName>
    <definedName name="Cycle_Name" localSheetId="9">#REF!</definedName>
    <definedName name="Cycle_Name">#REF!</definedName>
    <definedName name="d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_7101A_B" localSheetId="9">#REF!</definedName>
    <definedName name="D_7101A_B">#REF!</definedName>
    <definedName name="D_SIZE">"Dsize"</definedName>
    <definedName name="D300A" localSheetId="9" hidden="1">#REF!</definedName>
    <definedName name="D300A" hidden="1">#REF!</definedName>
    <definedName name="dad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a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anhmuc" localSheetId="9">#REF!</definedName>
    <definedName name="danhmuc">#REF!</definedName>
    <definedName name="data" localSheetId="9">OFFSET(#REF!,0,0,COUNTA(#REF!),COUNTA(#REF!))</definedName>
    <definedName name="data">OFFSET(#REF!,0,0,COUNTA(#REF!),COUNTA(#REF!))</definedName>
    <definedName name="DATA_DATA2_List" localSheetId="9">#REF!</definedName>
    <definedName name="DATA_DATA2_List">#REF!</definedName>
    <definedName name="data1" localSheetId="9" hidden="1">#REF!</definedName>
    <definedName name="data1" hidden="1">#REF!</definedName>
    <definedName name="Data11" localSheetId="9">#REF!</definedName>
    <definedName name="Data11">#REF!</definedName>
    <definedName name="data2" localSheetId="9" hidden="1">#REF!</definedName>
    <definedName name="data2" hidden="1">#REF!</definedName>
    <definedName name="data3" localSheetId="9" hidden="1">#REF!</definedName>
    <definedName name="data3" hidden="1">#REF!</definedName>
    <definedName name="Data41" localSheetId="9">#REF!</definedName>
    <definedName name="Data41">#REF!</definedName>
    <definedName name="DATA498" localSheetId="9">OFFSET(#REF!,,,COUNTA(#REF!)-6,COUNTA(#REF!))</definedName>
    <definedName name="DATA498">OFFSET(#REF!,,,COUNTA(#REF!)-6,COUNTA(#REF!))</definedName>
    <definedName name="Database" localSheetId="9">#REF!</definedName>
    <definedName name="Database">#REF!</definedName>
    <definedName name="DATACAS" localSheetId="9">OFFSET(#REF!,,,COUNTA(#REF!),COUNTA(#REF!))</definedName>
    <definedName name="DATACAS">OFFSET(#REF!,,,COUNTA(#REF!),COUNTA(#REF!))</definedName>
    <definedName name="DATATKDT" localSheetId="9">#REF!</definedName>
    <definedName name="DATATKDT">#REF!</definedName>
    <definedName name="DAY">#N/A</definedName>
    <definedName name="DB_Input_Dol" localSheetId="9">#REF!</definedName>
    <definedName name="DB_Input_Dol">#REF!</definedName>
    <definedName name="dcfg" localSheetId="9" hidden="1">{"'Actual'!$A$1:$F$25"}</definedName>
    <definedName name="dcfg" hidden="1">{"'Actual'!$A$1:$F$25"}</definedName>
    <definedName name="DD" localSheetId="9">#REF!</definedName>
    <definedName name="DD">#REF!</definedName>
    <definedName name="DDAY" localSheetId="9">#REF!</definedName>
    <definedName name="DDAY">#REF!</definedName>
    <definedName name="dddd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dd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dddd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ddd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dddddddddddddddd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ddddddddddddddd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df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d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e" localSheetId="9" hidden="1">{"'Actual'!$A$1:$F$25"}</definedName>
    <definedName name="de" hidden="1">{"'Actual'!$A$1:$F$25"}</definedName>
    <definedName name="Delta_pcs" localSheetId="9">#REF!</definedName>
    <definedName name="Delta_pcs">#REF!</definedName>
    <definedName name="den_bu" localSheetId="9">#REF!</definedName>
    <definedName name="den_bu">#REF!</definedName>
    <definedName name="DEP">"外1线"</definedName>
    <definedName name="DEP_NM">""</definedName>
    <definedName name="DEPT" localSheetId="9">#REF!</definedName>
    <definedName name="DEPT">#REF!</definedName>
    <definedName name="df" localSheetId="9">#REF!</definedName>
    <definedName name="df">#REF!</definedName>
    <definedName name="dfdfd" localSheetId="9" hidden="1">{#N/A,#N/A,FALSE,"Aging";#N/A,#N/A,FALSE,"Cerebos";#N/A,#N/A,FALSE,"Coca";#N/A,#N/A,FALSE,"GM";#N/A,#N/A,FALSE,"Hawley ";#N/A,#N/A,FALSE,"Inchape";#N/A,#N/A,FALSE,"JWT";#N/A,#N/A,FALSE,"Nestle";#N/A,#N/A,FALSE,"CCNR";#N/A,#N/A,FALSE,"nutrasweet";#N/A,#N/A,FALSE,"Oris";#N/A,#N/A,FALSE,"RJR ";#N/A,#N/A,FALSE,"NPL(RJR-619)";#N/A,#N/A,FALSE,"WBI";#N/A,#N/A,FALSE,"Citiplaza";#N/A,#N/A,FALSE,"Spectrum";#N/A,#N/A,FALSE,"Tinan";#N/A,#N/A,FALSE,"William ";#N/A,#N/A,FALSE,"R&amp;C";#N/A,#N/A,FALSE,"TetraPak";#N/A,#N/A,FALSE,"CMI";#N/A,#N/A,FALSE,"L'oreal";#N/A,#N/A,FALSE,"Lifung";#N/A,#N/A,FALSE,"CME";#N/A,#N/A,FALSE,"Garden";#N/A,#N/A,FALSE,"MRytd"}</definedName>
    <definedName name="dfdfd" hidden="1">{#N/A,#N/A,FALSE,"Aging";#N/A,#N/A,FALSE,"Cerebos";#N/A,#N/A,FALSE,"Coca";#N/A,#N/A,FALSE,"GM";#N/A,#N/A,FALSE,"Hawley ";#N/A,#N/A,FALSE,"Inchape";#N/A,#N/A,FALSE,"JWT";#N/A,#N/A,FALSE,"Nestle";#N/A,#N/A,FALSE,"CCNR";#N/A,#N/A,FALSE,"nutrasweet";#N/A,#N/A,FALSE,"Oris";#N/A,#N/A,FALSE,"RJR ";#N/A,#N/A,FALSE,"NPL(RJR-619)";#N/A,#N/A,FALSE,"WBI";#N/A,#N/A,FALSE,"Citiplaza";#N/A,#N/A,FALSE,"Spectrum";#N/A,#N/A,FALSE,"Tinan";#N/A,#N/A,FALSE,"William ";#N/A,#N/A,FALSE,"R&amp;C";#N/A,#N/A,FALSE,"TetraPak";#N/A,#N/A,FALSE,"CMI";#N/A,#N/A,FALSE,"L'oreal";#N/A,#N/A,FALSE,"Lifung";#N/A,#N/A,FALSE,"CME";#N/A,#N/A,FALSE,"Garden";#N/A,#N/A,FALSE,"MRytd"}</definedName>
    <definedName name="dffg" localSheetId="9" hidden="1">{"'Actual'!$A$1:$F$25"}</definedName>
    <definedName name="dffg" hidden="1">{"'Actual'!$A$1:$F$25"}</definedName>
    <definedName name="dfg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f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fgd" localSheetId="9">#REF!</definedName>
    <definedName name="dfgd">#REF!</definedName>
    <definedName name="dfgfg" localSheetId="9" hidden="1">{"'Actual'!$A$1:$F$25"}</definedName>
    <definedName name="dfgfg" hidden="1">{"'Actual'!$A$1:$F$25"}</definedName>
    <definedName name="dft" localSheetId="9" hidden="1">{"'Actual'!$A$1:$F$25"}</definedName>
    <definedName name="dft" hidden="1">{"'Actual'!$A$1:$F$25"}</definedName>
    <definedName name="DGCTI592" localSheetId="9">#REF!</definedName>
    <definedName name="DGCTI592">#REF!</definedName>
    <definedName name="DGNC" localSheetId="9">#REF!</definedName>
    <definedName name="DGNC">#REF!</definedName>
    <definedName name="DGTV" localSheetId="9">#REF!</definedName>
    <definedName name="DGTV">#REF!</definedName>
    <definedName name="dgvc" localSheetId="9">#REF!</definedName>
    <definedName name="dgvc">#REF!</definedName>
    <definedName name="DGVT" localSheetId="9">#REF!</definedName>
    <definedName name="DGVT">#REF!</definedName>
    <definedName name="Diagramm_Eingabe" localSheetId="9">#REF!,#REF!,#REF!,#REF!,#REF!</definedName>
    <definedName name="Diagramm_Eingabe">#REF!,#REF!,#REF!,#REF!,#REF!</definedName>
    <definedName name="DIARIO46" localSheetId="9">#REF!</definedName>
    <definedName name="DIARIO46">#REF!</definedName>
    <definedName name="DIARIO47" localSheetId="9">#REF!</definedName>
    <definedName name="DIARIO47">#REF!</definedName>
    <definedName name="Direct_Labor_Cost_Per_H_2022" localSheetId="9">#REF!</definedName>
    <definedName name="Direct_Labor_Cost_Per_H_2022">#REF!</definedName>
    <definedName name="directlabor" localSheetId="9">#REF!</definedName>
    <definedName name="directlabor">#REF!</definedName>
    <definedName name="Discount" localSheetId="9" hidden="1">#REF!</definedName>
    <definedName name="Discount" hidden="1">#REF!</definedName>
    <definedName name="display_area_2" localSheetId="9" hidden="1">#REF!</definedName>
    <definedName name="display_area_2" hidden="1">#REF!</definedName>
    <definedName name="DLCC" localSheetId="9">#REF!</definedName>
    <definedName name="DLCC">#REF!</definedName>
    <definedName name="DM" localSheetId="9">#REF!</definedName>
    <definedName name="DM">#REF!</definedName>
    <definedName name="dobt" localSheetId="9">#REF!</definedName>
    <definedName name="dobt">#REF!</definedName>
    <definedName name="Document_array" localSheetId="9">{"Thuxm2.xls","Sheet1"}</definedName>
    <definedName name="Document_array">{"Thuxm2.xls","Sheet1"}</definedName>
    <definedName name="DruckeMitVorschau">#N/A</definedName>
    <definedName name="DS1p1vc" localSheetId="9">#REF!</definedName>
    <definedName name="DS1p1vc">#REF!</definedName>
    <definedName name="ds1p2nc" localSheetId="9">#REF!</definedName>
    <definedName name="ds1p2nc">#REF!</definedName>
    <definedName name="ds1p2vc" localSheetId="9">#REF!</definedName>
    <definedName name="ds1p2vc">#REF!</definedName>
    <definedName name="ds1p2vl" localSheetId="9">#REF!</definedName>
    <definedName name="ds1p2vl">#REF!</definedName>
    <definedName name="ds1pnc" localSheetId="9">#REF!</definedName>
    <definedName name="ds1pnc">#REF!</definedName>
    <definedName name="ds1pvl" localSheetId="9">#REF!</definedName>
    <definedName name="ds1pvl">#REF!</definedName>
    <definedName name="ds3pctnc" localSheetId="9">#REF!</definedName>
    <definedName name="ds3pctnc">#REF!</definedName>
    <definedName name="ds3pctvc" localSheetId="9">#REF!</definedName>
    <definedName name="ds3pctvc">#REF!</definedName>
    <definedName name="ds3pctvl" localSheetId="9">#REF!</definedName>
    <definedName name="ds3pctvl">#REF!</definedName>
    <definedName name="ds3pmnc" localSheetId="9">#REF!</definedName>
    <definedName name="ds3pmnc">#REF!</definedName>
    <definedName name="ds3pmvc" localSheetId="9">#REF!</definedName>
    <definedName name="ds3pmvc">#REF!</definedName>
    <definedName name="ds3pmvl" localSheetId="9">#REF!</definedName>
    <definedName name="ds3pmvl">#REF!</definedName>
    <definedName name="ds3pnc" localSheetId="9">#REF!</definedName>
    <definedName name="ds3pnc">#REF!</definedName>
    <definedName name="ds3pvl" localSheetId="9">#REF!</definedName>
    <definedName name="ds3pvl">#REF!</definedName>
    <definedName name="dsct3pnc" localSheetId="9">#REF!</definedName>
    <definedName name="dsct3pnc">#REF!</definedName>
    <definedName name="dsct3pvl" localSheetId="9">#REF!</definedName>
    <definedName name="dsct3pvl">#REF!</definedName>
    <definedName name="DSPK1p1nc" localSheetId="9">#REF!</definedName>
    <definedName name="DSPK1p1nc">#REF!</definedName>
    <definedName name="DSPK1p1vl" localSheetId="9">#REF!</definedName>
    <definedName name="DSPK1p1vl">#REF!</definedName>
    <definedName name="DSPK1pnc" localSheetId="9">#REF!</definedName>
    <definedName name="DSPK1pnc">#REF!</definedName>
    <definedName name="DSPK1pvl" localSheetId="9">#REF!</definedName>
    <definedName name="DSPK1pvl">#REF!</definedName>
    <definedName name="DSTD_Clear">#N/A</definedName>
    <definedName name="DSUMDATA" localSheetId="9">#REF!</definedName>
    <definedName name="DSUMDATA">#REF!</definedName>
    <definedName name="dt" localSheetId="9">#REF!</definedName>
    <definedName name="dt">#REF!</definedName>
    <definedName name="dtdt" localSheetId="9">#REF!</definedName>
    <definedName name="dtdt">#REF!</definedName>
    <definedName name="Durchführng">"AutoForm 5"</definedName>
    <definedName name="Durchführung">"AutoForm 5"</definedName>
    <definedName name="dwe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we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WHAM0011" localSheetId="9">OFFSET(#REF!,,,COUNTA(#REF!),COUNTA(#REF!))</definedName>
    <definedName name="DWHAM0011">OFFSET(#REF!,,,COUNTA(#REF!),COUNTA(#REF!))</definedName>
    <definedName name="e" localSheetId="9">#REF!</definedName>
    <definedName name="e">#REF!</definedName>
    <definedName name="ED_DEP_NM">"外1线"</definedName>
    <definedName name="ee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e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E_DEPDOWN_NM">""</definedName>
    <definedName name="EE_DEPUP_NM">"外1线"</definedName>
    <definedName name="EE_QTY_FIN">150</definedName>
    <definedName name="EE_TZ_DD">"2008-05-11"</definedName>
    <definedName name="EE_TZ_NO">"TZ85110078"</definedName>
    <definedName name="eeee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eee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FFETTIVO" localSheetId="9">#REF!</definedName>
    <definedName name="EFFETTIVO">#REF!</definedName>
    <definedName name="Einmalaufwand_Bemerkungen" localSheetId="9">#REF!,#REF!,#REF!,#REF!</definedName>
    <definedName name="Einmalaufwand_Bemerkungen">#REF!,#REF!,#REF!,#REF!</definedName>
    <definedName name="Einmalaufwand_Eingabe" localSheetId="9">#REF!,#REF!,#REF!,#REF!,#REF!,#REF!,#REF!,#REF!,#REF!</definedName>
    <definedName name="Einmalaufwand_Eingabe">#REF!,#REF!,#REF!,#REF!,#REF!,#REF!,#REF!,#REF!,#REF!</definedName>
    <definedName name="ej" localSheetId="9">#REF!</definedName>
    <definedName name="ej">#REF!</definedName>
    <definedName name="Email" localSheetId="9">#REF!</definedName>
    <definedName name="Email">#REF!</definedName>
    <definedName name="End_1" localSheetId="9">#REF!</definedName>
    <definedName name="End_1">#REF!</definedName>
    <definedName name="End_10" localSheetId="9">#REF!</definedName>
    <definedName name="End_10">#REF!</definedName>
    <definedName name="End_11" localSheetId="9">#REF!</definedName>
    <definedName name="End_11">#REF!</definedName>
    <definedName name="End_12" localSheetId="9">#REF!</definedName>
    <definedName name="End_12">#REF!</definedName>
    <definedName name="End_13" localSheetId="9">#REF!</definedName>
    <definedName name="End_13">#REF!</definedName>
    <definedName name="End_2" localSheetId="9">#REF!</definedName>
    <definedName name="End_2">#REF!</definedName>
    <definedName name="End_3" localSheetId="9">#REF!</definedName>
    <definedName name="End_3">#REF!</definedName>
    <definedName name="End_4" localSheetId="9">#REF!</definedName>
    <definedName name="End_4">#REF!</definedName>
    <definedName name="End_5" localSheetId="9">#REF!</definedName>
    <definedName name="End_5">#REF!</definedName>
    <definedName name="End_6" localSheetId="9">#REF!</definedName>
    <definedName name="End_6">#REF!</definedName>
    <definedName name="End_7" localSheetId="9">#REF!</definedName>
    <definedName name="End_7">#REF!</definedName>
    <definedName name="End_8" localSheetId="9">#REF!</definedName>
    <definedName name="End_8">#REF!</definedName>
    <definedName name="End_9" localSheetId="9">#REF!</definedName>
    <definedName name="End_9">#REF!</definedName>
    <definedName name="Ende">"AutoForm 3"</definedName>
    <definedName name="epina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pin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pinal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pinal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r">#N/A</definedName>
    <definedName name="err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rr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rt" localSheetId="9">#REF!</definedName>
    <definedName name="ert">#REF!</definedName>
    <definedName name="EV__LASTREFTIME__" hidden="1">"20/10/2004 PM 4:03:03"</definedName>
    <definedName name="EV__MAXEXPCOLS__" hidden="1">100</definedName>
    <definedName name="EV__MAXEXPROWS__" hidden="1">1000</definedName>
    <definedName name="EV__WBEVMODE__" hidden="1">0</definedName>
    <definedName name="EV__WBREFOPTIONS__" hidden="1">134217735</definedName>
    <definedName name="EV__WBVERSION__" hidden="1">0</definedName>
    <definedName name="EV__WSINFO__" hidden="1">"everest"</definedName>
    <definedName name="Ext_factor" localSheetId="9">#REF!</definedName>
    <definedName name="Ext_factor">#REF!</definedName>
    <definedName name="F" localSheetId="9">#REF!</definedName>
    <definedName name="F">#REF!</definedName>
    <definedName name="fa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ACTOR" localSheetId="9">#REF!</definedName>
    <definedName name="FACTOR">#REF!</definedName>
    <definedName name="Fan" localSheetId="9" hidden="1">{"'Actual'!$A$1:$F$25"}</definedName>
    <definedName name="Fan" hidden="1">{"'Actual'!$A$1:$F$25"}</definedName>
    <definedName name="FAS_TABLE_BODY">"6;1;51;6;"</definedName>
    <definedName name="FAS_TABLE_BODY_AUTOSIZE">"FALSE"</definedName>
    <definedName name="fasa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as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ax" localSheetId="9">#REF!</definedName>
    <definedName name="Fax">#REF!</definedName>
    <definedName name="FCode" localSheetId="9" hidden="1">#REF!</definedName>
    <definedName name="FCode" hidden="1">#REF!</definedName>
    <definedName name="fd" localSheetId="9">#REF!</definedName>
    <definedName name="fd">#REF!</definedName>
    <definedName name="fdhdt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dhd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dhdt1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dhdt1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ebruary" localSheetId="9">#REF!</definedName>
    <definedName name="February">#REF!</definedName>
    <definedName name="Fertigungsart" localSheetId="9">#REF!</definedName>
    <definedName name="Fertigungsart">#REF!</definedName>
    <definedName name="ff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ff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f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fff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ff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fffff" localSheetId="9">#REF!</definedName>
    <definedName name="ffffff">#REF!</definedName>
    <definedName name="fffffffffffff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fffffffffff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FST">"BRSUM FFST"</definedName>
    <definedName name="fgf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g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GService" localSheetId="9">#REF!</definedName>
    <definedName name="FGService">#REF!</definedName>
    <definedName name="FiltroDati_BS">#N/A</definedName>
    <definedName name="FiltroDati_Country">#N/A</definedName>
    <definedName name="FiltroDati_Country1">#N/A</definedName>
    <definedName name="FiltroDati_month">#N/A</definedName>
    <definedName name="FiltroDati_Prodotto">#N/A</definedName>
    <definedName name="FL" localSheetId="9">IF(ISERROR(FIND("PE薄膜",V_12)),IF(ISERROR(FIND("牛皮",V_12)),"其他","包装材料_包装箱体"),"包装材料_PE")</definedName>
    <definedName name="FL">IF(ISERROR(FIND("PE薄膜",V_12)),IF(ISERROR(FIND("牛皮",V_12)),"其他","包装材料_包装箱体"),"包装材料_PE")</definedName>
    <definedName name="freecf1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reecf1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" localSheetId="9">#REF!</definedName>
    <definedName name="G">#REF!</definedName>
    <definedName name="G_ME" localSheetId="9">#REF!</definedName>
    <definedName name="G_ME">#REF!</definedName>
    <definedName name="gelb">"Ellipse 245"</definedName>
    <definedName name="gg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ggggg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gggg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ggggggggggg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gggggggggg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hhhh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hhhh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hj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hj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ia" localSheetId="9">#REF!</definedName>
    <definedName name="gia">#REF!</definedName>
    <definedName name="Gia_CT" localSheetId="9">#REF!</definedName>
    <definedName name="Gia_CT">#REF!</definedName>
    <definedName name="gia_tien" localSheetId="9">#REF!</definedName>
    <definedName name="gia_tien">#REF!</definedName>
    <definedName name="gia_tien_BTN" localSheetId="9">#REF!</definedName>
    <definedName name="gia_tien_BTN">#REF!</definedName>
    <definedName name="Gia_VT" localSheetId="9">#REF!</definedName>
    <definedName name="Gia_VT">#REF!</definedName>
    <definedName name="GIAVLIEUTN" localSheetId="9">#REF!</definedName>
    <definedName name="GIAVLIEUTN">#REF!</definedName>
    <definedName name="Giocong" localSheetId="9">#REF!</definedName>
    <definedName name="Giocong">#REF!</definedName>
    <definedName name="gl3p" localSheetId="9">#REF!</definedName>
    <definedName name="gl3p">#REF!</definedName>
    <definedName name="GROSS" localSheetId="9">#REF!</definedName>
    <definedName name="GROSS">#REF!</definedName>
    <definedName name="GROUP" localSheetId="9">#REF!</definedName>
    <definedName name="GROUP">#REF!</definedName>
    <definedName name="Growth" localSheetId="9">#REF!</definedName>
    <definedName name="Growth">#REF!</definedName>
    <definedName name="grün">"Ellipse 246"</definedName>
    <definedName name="gsd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s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T" localSheetId="9">#REF!</definedName>
    <definedName name="GT">#REF!</definedName>
    <definedName name="GTXL" localSheetId="9">#REF!</definedName>
    <definedName name="GTXL">#REF!</definedName>
    <definedName name="h" localSheetId="9">#REF!</definedName>
    <definedName name="h">#REF!</definedName>
    <definedName name="H_THUCHTHH" localSheetId="9">#REF!</definedName>
    <definedName name="H_THUCHTHH">#REF!</definedName>
    <definedName name="H_THUCTT" localSheetId="9">#REF!</definedName>
    <definedName name="H_THUCTT">#REF!</definedName>
    <definedName name="hay" localSheetId="9">#REF!</definedName>
    <definedName name="hay">#REF!</definedName>
    <definedName name="Haytabel" localSheetId="9">#REF!</definedName>
    <definedName name="Haytabel">#REF!</definedName>
    <definedName name="HC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H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hdhdhdh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hdhdhdh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Heä_soá_laép_xaø_H">1.7</definedName>
    <definedName name="heä_soá_sình_laày" localSheetId="9">#REF!</definedName>
    <definedName name="heä_soá_sình_laày">#REF!</definedName>
    <definedName name="hfi" localSheetId="9">#REF!</definedName>
    <definedName name="hfi">#REF!</definedName>
    <definedName name="hh" localSheetId="9" hidden="1">{"'Actual'!$A$1:$F$25"}</definedName>
    <definedName name="hh" hidden="1">{"'Actual'!$A$1:$F$25"}</definedName>
    <definedName name="HHTT" localSheetId="9">#REF!</definedName>
    <definedName name="HHTT">#REF!</definedName>
    <definedName name="HiddenRows" localSheetId="9" hidden="1">#REF!</definedName>
    <definedName name="HiddenRows" hidden="1">#REF!</definedName>
    <definedName name="hien" localSheetId="9">#REF!</definedName>
    <definedName name="hien">#REF!</definedName>
    <definedName name="HIEU" localSheetId="9" hidden="1">{"'Sheet1'!$L$16"}</definedName>
    <definedName name="HIEU" hidden="1">{"'Sheet1'!$L$16"}</definedName>
    <definedName name="Hinh_thuc">"bangtra"</definedName>
    <definedName name="hjlx" localSheetId="9">#REF!</definedName>
    <definedName name="hjlx">#REF!</definedName>
    <definedName name="HOME_MANP" localSheetId="9">#REF!</definedName>
    <definedName name="HOME_MANP">#REF!</definedName>
    <definedName name="HOMEOFFICE_COST" localSheetId="9">#REF!</definedName>
    <definedName name="HOMEOFFICE_COST">#REF!</definedName>
    <definedName name="hoten" localSheetId="9">#REF!</definedName>
    <definedName name="hoten">#REF!</definedName>
    <definedName name="Hoü_vaì_tãn" localSheetId="9">#REF!</definedName>
    <definedName name="Hoü_vaì_tãn">#REF!</definedName>
    <definedName name="Hours" localSheetId="9">#REF!</definedName>
    <definedName name="Hours">#REF!</definedName>
    <definedName name="hrthrtde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hrthrtde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HSCT3">0.1</definedName>
    <definedName name="hsdc" localSheetId="9">#REF!</definedName>
    <definedName name="hsdc">#REF!</definedName>
    <definedName name="hsdc1" localSheetId="9">#REF!</definedName>
    <definedName name="hsdc1">#REF!</definedName>
    <definedName name="HSDN" localSheetId="9">#REF!</definedName>
    <definedName name="HSDN">#REF!</definedName>
    <definedName name="HSHH" localSheetId="9">#REF!</definedName>
    <definedName name="HSHH">#REF!</definedName>
    <definedName name="HSHHUT" localSheetId="9">#REF!</definedName>
    <definedName name="HSHHUT">#REF!</definedName>
    <definedName name="hsk" localSheetId="9">#REF!</definedName>
    <definedName name="hsk">#REF!</definedName>
    <definedName name="hskd" localSheetId="9">#REF!</definedName>
    <definedName name="hskd">#REF!</definedName>
    <definedName name="hskk" localSheetId="9">#REF!</definedName>
    <definedName name="hskk">#REF!</definedName>
    <definedName name="HSKK35" localSheetId="9">#REF!</definedName>
    <definedName name="HSKK35">#REF!</definedName>
    <definedName name="hslx" localSheetId="9">#REF!</definedName>
    <definedName name="hslx">#REF!</definedName>
    <definedName name="hslxh" localSheetId="9">#REF!</definedName>
    <definedName name="hslxh">#REF!</definedName>
    <definedName name="HSLXP" localSheetId="9">#REF!</definedName>
    <definedName name="HSLXP">#REF!</definedName>
    <definedName name="HSSL" localSheetId="9">#REF!</definedName>
    <definedName name="HSSL">#REF!</definedName>
    <definedName name="HSVC1" localSheetId="9">#REF!</definedName>
    <definedName name="HSVC1">#REF!</definedName>
    <definedName name="HSVC2" localSheetId="9">#REF!</definedName>
    <definedName name="HSVC2">#REF!</definedName>
    <definedName name="HSVC3" localSheetId="9">#REF!</definedName>
    <definedName name="HSVC3">#REF!</definedName>
    <definedName name="HTHH" localSheetId="9">#REF!</definedName>
    <definedName name="HTHH">#REF!</definedName>
    <definedName name="HTML_CodePage" hidden="1">1252</definedName>
    <definedName name="HTML_Control" localSheetId="9" hidden="1">{"'Foglio1'!$J$12:$M$12"}</definedName>
    <definedName name="HTML_Control" hidden="1">{"'Foglio1'!$J$12:$M$12"}</definedName>
    <definedName name="HtML_Controlb" localSheetId="9" hidden="1">{"'Actual'!$A$1:$F$25"}</definedName>
    <definedName name="HtML_Controlb" hidden="1">{"'Actual'!$A$1:$F$25"}</definedName>
    <definedName name="HTML_Description" hidden="1">""</definedName>
    <definedName name="HTML_Email" hidden="1">""</definedName>
    <definedName name="HTML_Greg" localSheetId="9" hidden="1">{"'Actual'!$A$1:$F$25"}</definedName>
    <definedName name="HTML_Greg" hidden="1">{"'Actual'!$A$1:$F$25"}</definedName>
    <definedName name="HTML_Header" hidden="1">"Foglio1"</definedName>
    <definedName name="HTML_LastUpdate" hidden="1">"22/10/99"</definedName>
    <definedName name="HTML_LineAfter" hidden="1">FALSE</definedName>
    <definedName name="HTML_LineBefore" hidden="1">FALSE</definedName>
    <definedName name="HTML_Name" hidden="1">"CANDY"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"C:\WINNT\Profiles\Ippolito\Personale\MioHTML.htm"</definedName>
    <definedName name="HTML_PathTemplate" hidden="1">"Z:\2000 seasonalized\htmlfiles\TESTBORDER.HTM"</definedName>
    <definedName name="HTML_Title" hidden="1">"Auspeit"</definedName>
    <definedName name="HTNC" localSheetId="9">#REF!</definedName>
    <definedName name="HTNC">#REF!</definedName>
    <definedName name="HTVL" localSheetId="9">#REF!</definedName>
    <definedName name="HTVL">#REF!</definedName>
    <definedName name="huy" localSheetId="9" hidden="1">{"'Sheet1'!$L$16"}</definedName>
    <definedName name="huy" hidden="1">{"'Sheet1'!$L$16"}</definedName>
    <definedName name="I" localSheetId="9">#REF!</definedName>
    <definedName name="I">#REF!</definedName>
    <definedName name="IDLAB_COST" localSheetId="9">#REF!</definedName>
    <definedName name="IDLAB_COST">#REF!</definedName>
    <definedName name="ii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ii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IND_LAB" localSheetId="9">#REF!</definedName>
    <definedName name="IND_LAB">#REF!</definedName>
    <definedName name="INDMANP" localSheetId="9">#REF!</definedName>
    <definedName name="INDMANP">#REF!</definedName>
    <definedName name="IV" localSheetId="9">#REF!</definedName>
    <definedName name="IV">#REF!</definedName>
    <definedName name="j" localSheetId="9">#REF!</definedName>
    <definedName name="j">#REF!</definedName>
    <definedName name="j356C8" localSheetId="9">#REF!</definedName>
    <definedName name="j356C8">#REF!</definedName>
    <definedName name="ja" localSheetId="9">#REF!</definedName>
    <definedName name="ja">#REF!</definedName>
    <definedName name="January" localSheetId="9">#REF!</definedName>
    <definedName name="January">#REF!</definedName>
    <definedName name="jjjjj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jjjjj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JL" localSheetId="9">#REF!</definedName>
    <definedName name="JL">#REF!</definedName>
    <definedName name="Job_Family_Code___Title" localSheetId="9">#REF!</definedName>
    <definedName name="Job_Family_Code___Title">#REF!</definedName>
    <definedName name="josecf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josec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JP" localSheetId="9">#REF!</definedName>
    <definedName name="JP">#REF!</definedName>
    <definedName name="JULY">#N/A</definedName>
    <definedName name="K" localSheetId="9">#REF!</definedName>
    <definedName name="K">#REF!</definedName>
    <definedName name="k2b" localSheetId="9">#REF!</definedName>
    <definedName name="k2b">#REF!</definedName>
    <definedName name="kcong" localSheetId="9">#REF!</definedName>
    <definedName name="kcong">#REF!</definedName>
    <definedName name="keycust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keycus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KH_Chang" localSheetId="9">#REF!</definedName>
    <definedName name="KH_Chang">#REF!</definedName>
    <definedName name="khoi" localSheetId="9" hidden="1">{"'Sheet1'!$L$16"}</definedName>
    <definedName name="khoi" hidden="1">{"'Sheet1'!$L$16"}</definedName>
    <definedName name="kind" localSheetId="9">#REF!</definedName>
    <definedName name="kind">#REF!</definedName>
    <definedName name="kl_ME" localSheetId="9">#REF!</definedName>
    <definedName name="kl_ME">#REF!</definedName>
    <definedName name="KLTHDN" localSheetId="9">#REF!</definedName>
    <definedName name="KLTHDN">#REF!</definedName>
    <definedName name="KLVANKHUON" localSheetId="9">#REF!</definedName>
    <definedName name="KLVANKHUON">#REF!</definedName>
    <definedName name="korea" localSheetId="9">#REF!</definedName>
    <definedName name="korea">#REF!</definedName>
    <definedName name="Kosa_aktuell" localSheetId="9">#REF!</definedName>
    <definedName name="Kosa_aktuell">#REF!</definedName>
    <definedName name="kp1ph" localSheetId="9">#REF!</definedName>
    <definedName name="kp1ph">#REF!</definedName>
    <definedName name="KSTK" localSheetId="9">#REF!</definedName>
    <definedName name="KSTK">#REF!</definedName>
    <definedName name="KVC" localSheetId="9">#REF!</definedName>
    <definedName name="KVC">#REF!</definedName>
    <definedName name="L" localSheetId="9">#REF!</definedName>
    <definedName name="L">#REF!</definedName>
    <definedName name="L_AM_act" localSheetId="9">#REF!</definedName>
    <definedName name="L_AM_act">#REF!</definedName>
    <definedName name="L_AM_plan" localSheetId="9">#REF!</definedName>
    <definedName name="L_AM_plan">#REF!</definedName>
    <definedName name="L_AS_act" localSheetId="9">#REF!</definedName>
    <definedName name="L_AS_act">#REF!</definedName>
    <definedName name="L_AS_plan" localSheetId="9">#REF!</definedName>
    <definedName name="L_AS_plan">#REF!</definedName>
    <definedName name="L_EU_act" localSheetId="9">#REF!</definedName>
    <definedName name="L_EU_act">#REF!</definedName>
    <definedName name="L_EU_plan" localSheetId="9">#REF!</definedName>
    <definedName name="L_EU_plan">#REF!</definedName>
    <definedName name="L_mong" localSheetId="9">#REF!</definedName>
    <definedName name="L_mong">#REF!</definedName>
    <definedName name="lan" localSheetId="9" hidden="1">{#N/A,#N/A,TRUE,"BT M200 da 10x20"}</definedName>
    <definedName name="lan" hidden="1">{#N/A,#N/A,TRUE,"BT M200 da 10x20"}</definedName>
    <definedName name="laychua" localSheetId="9">{"Thuxm2.xls","Sheet1"}</definedName>
    <definedName name="laychua">{"Thuxm2.xls","Sheet1"}</definedName>
    <definedName name="LI" localSheetId="9">OFFSET(#REF!,4,0,COUNTA(#REF!)-1,1)</definedName>
    <definedName name="LI">OFFSET(#REF!,4,0,COUNTA(#REF!)-1,1)</definedName>
    <definedName name="LINE" localSheetId="9">#REF!</definedName>
    <definedName name="LINE">#REF!</definedName>
    <definedName name="LINK" localSheetId="9">INDIRECT(#REF!&amp;"!A1")</definedName>
    <definedName name="LINK">INDIRECT(#REF!&amp;"!A1")</definedName>
    <definedName name="list" localSheetId="9">#REF!</definedName>
    <definedName name="list">#REF!</definedName>
    <definedName name="lk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lk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LK_hathe" localSheetId="9">#REF!</definedName>
    <definedName name="LK_hathe">#REF!</definedName>
    <definedName name="llll" localSheetId="9">#REF!</definedName>
    <definedName name="llll">#REF!</definedName>
    <definedName name="LLLLL" localSheetId="9" hidden="1">{#N/A,#N/A,FALSE,"Chi tiÆt"}</definedName>
    <definedName name="LLLLL" hidden="1">{#N/A,#N/A,FALSE,"Chi tiÆt"}</definedName>
    <definedName name="Lmk" localSheetId="9">#REF!</definedName>
    <definedName name="Lmk">#REF!</definedName>
    <definedName name="LN" localSheetId="9">#REF!</definedName>
    <definedName name="LN">#REF!</definedName>
    <definedName name="lo" localSheetId="9" hidden="1">#REF!</definedName>
    <definedName name="lo" hidden="1">#REF!</definedName>
    <definedName name="Loai_TD" localSheetId="9">#REF!</definedName>
    <definedName name="Loai_TD">#REF!</definedName>
    <definedName name="LOC" localSheetId="9">#REF!</definedName>
    <definedName name="LOC">#REF!</definedName>
    <definedName name="location" localSheetId="9">#REF!</definedName>
    <definedName name="location">#REF!</definedName>
    <definedName name="location1" localSheetId="9">#REF!</definedName>
    <definedName name="location1">#REF!</definedName>
    <definedName name="lois" localSheetId="9" hidden="1">{"'Actual'!$A$1:$F$25"}</definedName>
    <definedName name="lois" hidden="1">{"'Actual'!$A$1:$F$25"}</definedName>
    <definedName name="LOis_Greg" localSheetId="9" hidden="1">{"'Actual'!$A$1:$F$25"}</definedName>
    <definedName name="LOis_Greg" hidden="1">{"'Actual'!$A$1:$F$25"}</definedName>
    <definedName name="Losses" localSheetId="9">#REF!</definedName>
    <definedName name="Losses">#REF!</definedName>
    <definedName name="luca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luc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lVC" localSheetId="9">#REF!</definedName>
    <definedName name="lVC">#REF!</definedName>
    <definedName name="m" localSheetId="9">#REF!</definedName>
    <definedName name="m">#REF!</definedName>
    <definedName name="M102bnnc" localSheetId="9">#REF!</definedName>
    <definedName name="M102bnnc">#REF!</definedName>
    <definedName name="M102bnvl" localSheetId="9">#REF!</definedName>
    <definedName name="M102bnvl">#REF!</definedName>
    <definedName name="M10aanc" localSheetId="9">#REF!</definedName>
    <definedName name="M10aanc">#REF!</definedName>
    <definedName name="M10aavc" localSheetId="9">#REF!</definedName>
    <definedName name="M10aavc">#REF!</definedName>
    <definedName name="M10aavl" localSheetId="9">#REF!</definedName>
    <definedName name="M10aavl">#REF!</definedName>
    <definedName name="M10banc" localSheetId="9">#REF!</definedName>
    <definedName name="M10banc">#REF!</definedName>
    <definedName name="M10bavl" localSheetId="9">#REF!</definedName>
    <definedName name="M10bavl">#REF!</definedName>
    <definedName name="M12aavl" localSheetId="9">#REF!</definedName>
    <definedName name="M12aavl">#REF!</definedName>
    <definedName name="M12ba3p" localSheetId="9">#REF!</definedName>
    <definedName name="M12ba3p">#REF!</definedName>
    <definedName name="M12banc" localSheetId="9">#REF!</definedName>
    <definedName name="M12banc">#REF!</definedName>
    <definedName name="M12bavl" localSheetId="9">#REF!</definedName>
    <definedName name="M12bavl">#REF!</definedName>
    <definedName name="M12bb1p" localSheetId="9">#REF!</definedName>
    <definedName name="M12bb1p">#REF!</definedName>
    <definedName name="M12bbnc" localSheetId="9">#REF!</definedName>
    <definedName name="M12bbnc">#REF!</definedName>
    <definedName name="M12bbvl" localSheetId="9">#REF!</definedName>
    <definedName name="M12bbvl">#REF!</definedName>
    <definedName name="M12bnnc" localSheetId="9">#REF!</definedName>
    <definedName name="M12bnnc">#REF!</definedName>
    <definedName name="M12bnvl" localSheetId="9">#REF!</definedName>
    <definedName name="M12bnvl">#REF!</definedName>
    <definedName name="M136出口" localSheetId="9">#REF!</definedName>
    <definedName name="M136出口">#REF!</definedName>
    <definedName name="M14bb1p" localSheetId="9">#REF!</definedName>
    <definedName name="M14bb1p">#REF!</definedName>
    <definedName name="M14bbnc" localSheetId="9">#REF!</definedName>
    <definedName name="M14bbnc">#REF!</definedName>
    <definedName name="M14bbvc" localSheetId="9">#REF!</definedName>
    <definedName name="M14bbvc">#REF!</definedName>
    <definedName name="M14bbvl" localSheetId="9">#REF!</definedName>
    <definedName name="M14bbvl">#REF!</definedName>
    <definedName name="M8a" localSheetId="9">#REF!</definedName>
    <definedName name="M8a">#REF!</definedName>
    <definedName name="M8aa" localSheetId="9">#REF!</definedName>
    <definedName name="M8aa">#REF!</definedName>
    <definedName name="m8aanc" localSheetId="9">#REF!</definedName>
    <definedName name="m8aanc">#REF!</definedName>
    <definedName name="m8aavl" localSheetId="9">#REF!</definedName>
    <definedName name="m8aavl">#REF!</definedName>
    <definedName name="Ma3pnc" localSheetId="9">#REF!</definedName>
    <definedName name="Ma3pnc">#REF!</definedName>
    <definedName name="Ma3pvl" localSheetId="9">#REF!</definedName>
    <definedName name="Ma3pvl">#REF!</definedName>
    <definedName name="Maa3pnc" localSheetId="9">#REF!</definedName>
    <definedName name="Maa3pnc">#REF!</definedName>
    <definedName name="Maa3pvl" localSheetId="9">#REF!</definedName>
    <definedName name="Maa3pvl">#REF!</definedName>
    <definedName name="MAJ_CON_EQP" localSheetId="9">#REF!</definedName>
    <definedName name="MAJ_CON_EQP">#REF!</definedName>
    <definedName name="MaNV" localSheetId="9">#REF!</definedName>
    <definedName name="MaNV">#REF!</definedName>
    <definedName name="March" localSheetId="9">#REF!</definedName>
    <definedName name="March">#REF!</definedName>
    <definedName name="MAVANKHUON" localSheetId="9">#REF!</definedName>
    <definedName name="MAVANKHUON">#REF!</definedName>
    <definedName name="MAVLTHDN" localSheetId="9">#REF!</definedName>
    <definedName name="MAVLTHDN">#REF!</definedName>
    <definedName name="May" localSheetId="9">#REF!</definedName>
    <definedName name="May">#REF!</definedName>
    <definedName name="Mba1p" localSheetId="9">#REF!</definedName>
    <definedName name="Mba1p">#REF!</definedName>
    <definedName name="Mba3p" localSheetId="9">#REF!</definedName>
    <definedName name="Mba3p">#REF!</definedName>
    <definedName name="Mbb3p" localSheetId="9">#REF!</definedName>
    <definedName name="Mbb3p">#REF!</definedName>
    <definedName name="mbmbmbm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mbmbmbm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MBnc" localSheetId="9">#REF!</definedName>
    <definedName name="MBnc">#REF!</definedName>
    <definedName name="MBvl" localSheetId="9">#REF!</definedName>
    <definedName name="MBvl">#REF!</definedName>
    <definedName name="MC" localSheetId="9">#REF!</definedName>
    <definedName name="MC">#REF!</definedName>
    <definedName name="Meilenstein">"AutoForm 4"</definedName>
    <definedName name="MERIT" localSheetId="9">#REF!</definedName>
    <definedName name="MERIT">#REF!</definedName>
    <definedName name="MG_A" localSheetId="9">#REF!</definedName>
    <definedName name="MG_A">#REF!</definedName>
    <definedName name="mktng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mktn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mmmmm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mmmmm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MO_NO">"MO85110026"</definedName>
    <definedName name="mod" localSheetId="9">#REF!,#REF!,#REF!,#REF!,#REF!</definedName>
    <definedName name="mod">#REF!,#REF!,#REF!,#REF!,#REF!</definedName>
    <definedName name="mong1pm" localSheetId="9">#REF!</definedName>
    <definedName name="mong1pm">#REF!</definedName>
    <definedName name="mong3pm" localSheetId="9">#REF!</definedName>
    <definedName name="mong3pm">#REF!</definedName>
    <definedName name="mongct" localSheetId="9">#REF!</definedName>
    <definedName name="mongct">#REF!</definedName>
    <definedName name="monght" localSheetId="9">#REF!</definedName>
    <definedName name="monght">#REF!</definedName>
    <definedName name="mongHTDL" localSheetId="9">#REF!</definedName>
    <definedName name="mongHTDL">#REF!</definedName>
    <definedName name="mongHTHH" localSheetId="9">#REF!</definedName>
    <definedName name="mongHTHH">#REF!</definedName>
    <definedName name="mongneo1pm" localSheetId="9">#REF!</definedName>
    <definedName name="mongneo1pm">#REF!</definedName>
    <definedName name="mongneo3pm" localSheetId="9">#REF!</definedName>
    <definedName name="mongneo3pm">#REF!</definedName>
    <definedName name="mongneoct" localSheetId="9">#REF!</definedName>
    <definedName name="mongneoct">#REF!</definedName>
    <definedName name="mongneoht" localSheetId="9">#REF!</definedName>
    <definedName name="mongneoht">#REF!</definedName>
    <definedName name="mongneoHTDL" localSheetId="9">#REF!</definedName>
    <definedName name="mongneoHTDL">#REF!</definedName>
    <definedName name="mongneoHTHH" localSheetId="9">#REF!</definedName>
    <definedName name="mongneoHTHH">#REF!</definedName>
    <definedName name="Moùng" localSheetId="9">#REF!</definedName>
    <definedName name="Moùng">#REF!</definedName>
    <definedName name="MRP_BAT_NO">""</definedName>
    <definedName name="MRP_BIL_NO">"MO85110026"</definedName>
    <definedName name="MRP_NOMBC">""</definedName>
    <definedName name="MRP_QTY_B">1.2</definedName>
    <definedName name="MRP_SPC">"NB50D"</definedName>
    <definedName name="MRP_UNIT">"件"</definedName>
    <definedName name="MRP_UNITNM_B">"件"</definedName>
    <definedName name="MRP_ZC_NAME">"外机柜"</definedName>
    <definedName name="MRP_ZC_NAME1">"外机柜"</definedName>
    <definedName name="MSCT" localSheetId="9">#REF!</definedName>
    <definedName name="MSCT">#REF!</definedName>
    <definedName name="MTC1P" localSheetId="9">#REF!</definedName>
    <definedName name="MTC1P">#REF!</definedName>
    <definedName name="MTC3P" localSheetId="9">#REF!</definedName>
    <definedName name="MTC3P">#REF!</definedName>
    <definedName name="MTCMB" localSheetId="9">#REF!</definedName>
    <definedName name="MTCMB">#REF!</definedName>
    <definedName name="MTMAC12" localSheetId="9">#REF!</definedName>
    <definedName name="MTMAC12">#REF!</definedName>
    <definedName name="mtram" localSheetId="9">#REF!</definedName>
    <definedName name="mtram">#REF!</definedName>
    <definedName name="MULTIPLICA" localSheetId="9">#REF!</definedName>
    <definedName name="MULTIPLICA">#REF!</definedName>
    <definedName name="n" localSheetId="9">#REF!</definedName>
    <definedName name="n">#REF!</definedName>
    <definedName name="n1pig" localSheetId="9">#REF!</definedName>
    <definedName name="n1pig">#REF!</definedName>
    <definedName name="N1pIGnc" localSheetId="9">#REF!</definedName>
    <definedName name="N1pIGnc">#REF!</definedName>
    <definedName name="N1pIGvc" localSheetId="9">#REF!</definedName>
    <definedName name="N1pIGvc">#REF!</definedName>
    <definedName name="N1pIGvl" localSheetId="9">#REF!</definedName>
    <definedName name="N1pIGvl">#REF!</definedName>
    <definedName name="n1pind" localSheetId="9">#REF!</definedName>
    <definedName name="n1pind">#REF!</definedName>
    <definedName name="N1pINDnc" localSheetId="9">#REF!</definedName>
    <definedName name="N1pINDnc">#REF!</definedName>
    <definedName name="N1pINDvc" localSheetId="9">#REF!</definedName>
    <definedName name="N1pINDvc">#REF!</definedName>
    <definedName name="N1pINDvl" localSheetId="9">#REF!</definedName>
    <definedName name="N1pINDvl">#REF!</definedName>
    <definedName name="n1ping" localSheetId="9">#REF!</definedName>
    <definedName name="n1ping">#REF!</definedName>
    <definedName name="N1pINGnc" localSheetId="9">#REF!</definedName>
    <definedName name="N1pINGnc">#REF!</definedName>
    <definedName name="N1pINGvc" localSheetId="9">#REF!</definedName>
    <definedName name="N1pINGvc">#REF!</definedName>
    <definedName name="N1pINGvl" localSheetId="9">#REF!</definedName>
    <definedName name="N1pINGvl">#REF!</definedName>
    <definedName name="n1pint" localSheetId="9">#REF!</definedName>
    <definedName name="n1pint">#REF!</definedName>
    <definedName name="N1pINTnc" localSheetId="9">#REF!</definedName>
    <definedName name="N1pINTnc">#REF!</definedName>
    <definedName name="N1pINTvc" localSheetId="9">#REF!</definedName>
    <definedName name="N1pINTvc">#REF!</definedName>
    <definedName name="N1pINTvl" localSheetId="9">#REF!</definedName>
    <definedName name="N1pINTvl">#REF!</definedName>
    <definedName name="N1pNLnc" localSheetId="9">#REF!</definedName>
    <definedName name="N1pNLnc">#REF!</definedName>
    <definedName name="N1pNLvc" localSheetId="9">#REF!</definedName>
    <definedName name="N1pNLvc">#REF!</definedName>
    <definedName name="N1pNLvl" localSheetId="9">#REF!</definedName>
    <definedName name="N1pNLvl">#REF!</definedName>
    <definedName name="NA" localSheetId="9">#REF!</definedName>
    <definedName name="NA">#REF!</definedName>
    <definedName name="Ñaép_ñaát" localSheetId="9">#REF!</definedName>
    <definedName name="Ñaép_ñaát">#REF!</definedName>
    <definedName name="name" localSheetId="9">#REF!</definedName>
    <definedName name="name">#REF!</definedName>
    <definedName name="Ñaøo_ñaát_tieáp_ñòa" localSheetId="9">#REF!</definedName>
    <definedName name="Ñaøo_ñaát_tieáp_ñòa">#REF!</definedName>
    <definedName name="nc" localSheetId="9">#REF!</definedName>
    <definedName name="nc">#REF!</definedName>
    <definedName name="NC1P" localSheetId="9">#REF!</definedName>
    <definedName name="NC1P">#REF!</definedName>
    <definedName name="NC3P" localSheetId="9">#REF!</definedName>
    <definedName name="NC3P">#REF!</definedName>
    <definedName name="NCBD100" localSheetId="9">#REF!</definedName>
    <definedName name="NCBD100">#REF!</definedName>
    <definedName name="NCBD200" localSheetId="9">#REF!</definedName>
    <definedName name="NCBD200">#REF!</definedName>
    <definedName name="NCBD250" localSheetId="9">#REF!</definedName>
    <definedName name="NCBD250">#REF!</definedName>
    <definedName name="NCcap0.7" localSheetId="9">#REF!</definedName>
    <definedName name="NCcap0.7">#REF!</definedName>
    <definedName name="NCcap1" localSheetId="9">#REF!</definedName>
    <definedName name="NCcap1">#REF!</definedName>
    <definedName name="NCCT3p" localSheetId="9">#REF!</definedName>
    <definedName name="NCCT3p">#REF!</definedName>
    <definedName name="nctram" localSheetId="9">#REF!</definedName>
    <definedName name="nctram">#REF!</definedName>
    <definedName name="NCVC100" localSheetId="9">#REF!</definedName>
    <definedName name="NCVC100">#REF!</definedName>
    <definedName name="NCVC200" localSheetId="9">#REF!</definedName>
    <definedName name="NCVC200">#REF!</definedName>
    <definedName name="NCVC250" localSheetId="9">#REF!</definedName>
    <definedName name="NCVC250">#REF!</definedName>
    <definedName name="NCVC3P" localSheetId="9">#REF!</definedName>
    <definedName name="NCVC3P">#REF!</definedName>
    <definedName name="NET" localSheetId="9">#REF!</definedName>
    <definedName name="NET">#REF!</definedName>
    <definedName name="NET_1" localSheetId="9">#REF!</definedName>
    <definedName name="NET_1">#REF!</definedName>
    <definedName name="NET_ANA" localSheetId="9">#REF!</definedName>
    <definedName name="NET_ANA">#REF!</definedName>
    <definedName name="NET_ANA_1" localSheetId="9">#REF!</definedName>
    <definedName name="NET_ANA_1">#REF!</definedName>
    <definedName name="NET_ANA_2" localSheetId="9">#REF!</definedName>
    <definedName name="NET_ANA_2">#REF!</definedName>
    <definedName name="NGAØY" localSheetId="9">#REF!</definedName>
    <definedName name="NGAØY">#REF!</definedName>
    <definedName name="NH" localSheetId="9">#REF!</definedName>
    <definedName name="NH">#REF!</definedName>
    <definedName name="NHAÂN_COÂNG" localSheetId="9">#REF!</definedName>
    <definedName name="NHAÂN_COÂNG">#REF!</definedName>
    <definedName name="Nhapsolieu" localSheetId="9">#REF!</definedName>
    <definedName name="Nhapsolieu">#REF!</definedName>
    <definedName name="nhn" localSheetId="9">#REF!</definedName>
    <definedName name="nhn">#REF!</definedName>
    <definedName name="NHot" localSheetId="9">#REF!</definedName>
    <definedName name="NHot">#REF!</definedName>
    <definedName name="nig" localSheetId="9">#REF!</definedName>
    <definedName name="nig">#REF!</definedName>
    <definedName name="nig1p" localSheetId="9">#REF!</definedName>
    <definedName name="nig1p">#REF!</definedName>
    <definedName name="nig3p" localSheetId="9">#REF!</definedName>
    <definedName name="nig3p">#REF!</definedName>
    <definedName name="NIGnc" localSheetId="9">#REF!</definedName>
    <definedName name="NIGnc">#REF!</definedName>
    <definedName name="nignc1p" localSheetId="9">#REF!</definedName>
    <definedName name="nignc1p">#REF!</definedName>
    <definedName name="NIGvc" localSheetId="9">#REF!</definedName>
    <definedName name="NIGvc">#REF!</definedName>
    <definedName name="NIGvl" localSheetId="9">#REF!</definedName>
    <definedName name="NIGvl">#REF!</definedName>
    <definedName name="nigvl1p" localSheetId="9">#REF!</definedName>
    <definedName name="nigvl1p">#REF!</definedName>
    <definedName name="nin" localSheetId="9">#REF!</definedName>
    <definedName name="nin">#REF!</definedName>
    <definedName name="nin1903p" localSheetId="9">#REF!</definedName>
    <definedName name="nin1903p">#REF!</definedName>
    <definedName name="NIN190nc" localSheetId="9">#REF!</definedName>
    <definedName name="NIN190nc">#REF!</definedName>
    <definedName name="NIN190vl" localSheetId="9">#REF!</definedName>
    <definedName name="NIN190vl">#REF!</definedName>
    <definedName name="nin3p" localSheetId="9">#REF!</definedName>
    <definedName name="nin3p">#REF!</definedName>
    <definedName name="nind" localSheetId="9">#REF!</definedName>
    <definedName name="nind">#REF!</definedName>
    <definedName name="nind1p" localSheetId="9">#REF!</definedName>
    <definedName name="nind1p">#REF!</definedName>
    <definedName name="nind3p" localSheetId="9">#REF!</definedName>
    <definedName name="nind3p">#REF!</definedName>
    <definedName name="NINDnc" localSheetId="9">#REF!</definedName>
    <definedName name="NINDnc">#REF!</definedName>
    <definedName name="nindnc1p" localSheetId="9">#REF!</definedName>
    <definedName name="nindnc1p">#REF!</definedName>
    <definedName name="NINDvc" localSheetId="9">#REF!</definedName>
    <definedName name="NINDvc">#REF!</definedName>
    <definedName name="NINDvl" localSheetId="9">#REF!</definedName>
    <definedName name="NINDvl">#REF!</definedName>
    <definedName name="nindvl1p" localSheetId="9">#REF!</definedName>
    <definedName name="nindvl1p">#REF!</definedName>
    <definedName name="ning1p" localSheetId="9">#REF!</definedName>
    <definedName name="ning1p">#REF!</definedName>
    <definedName name="ningnc1p" localSheetId="9">#REF!</definedName>
    <definedName name="ningnc1p">#REF!</definedName>
    <definedName name="ningvl1p" localSheetId="9">#REF!</definedName>
    <definedName name="ningvl1p">#REF!</definedName>
    <definedName name="NINnc" localSheetId="9">#REF!</definedName>
    <definedName name="NINnc">#REF!</definedName>
    <definedName name="nint1p" localSheetId="9">#REF!</definedName>
    <definedName name="nint1p">#REF!</definedName>
    <definedName name="nintnc1p" localSheetId="9">#REF!</definedName>
    <definedName name="nintnc1p">#REF!</definedName>
    <definedName name="nintvl1p" localSheetId="9">#REF!</definedName>
    <definedName name="nintvl1p">#REF!</definedName>
    <definedName name="NINvc" localSheetId="9">#REF!</definedName>
    <definedName name="NINvc">#REF!</definedName>
    <definedName name="NINvl" localSheetId="9">#REF!</definedName>
    <definedName name="NINvl">#REF!</definedName>
    <definedName name="nl" localSheetId="9">#REF!</definedName>
    <definedName name="nl">#REF!</definedName>
    <definedName name="NL12nc" localSheetId="9">#REF!</definedName>
    <definedName name="NL12nc">#REF!</definedName>
    <definedName name="NL12vl" localSheetId="9">#REF!</definedName>
    <definedName name="NL12vl">#REF!</definedName>
    <definedName name="nl1p" localSheetId="9">#REF!</definedName>
    <definedName name="nl1p">#REF!</definedName>
    <definedName name="nl3p" localSheetId="9">#REF!</definedName>
    <definedName name="nl3p">#REF!</definedName>
    <definedName name="nlht" localSheetId="9">#REF!</definedName>
    <definedName name="nlht">#REF!</definedName>
    <definedName name="NLTK1p" localSheetId="9">#REF!</definedName>
    <definedName name="NLTK1p">#REF!</definedName>
    <definedName name="nmTemplate" localSheetId="9">#REF!</definedName>
    <definedName name="nmTemplate">#REF!</definedName>
    <definedName name="nn" localSheetId="9">#REF!</definedName>
    <definedName name="nn">#REF!</definedName>
    <definedName name="nn1p" localSheetId="9">#REF!</definedName>
    <definedName name="nn1p">#REF!</definedName>
    <definedName name="nn3p" localSheetId="9">#REF!</definedName>
    <definedName name="nn3p">#REF!</definedName>
    <definedName name="nnmnm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nnmnm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nnnn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nnnn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nnnnn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nnnnn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No" localSheetId="9">#REF!</definedName>
    <definedName name="No">#REF!</definedName>
    <definedName name="NomeTabella">"Dummy"</definedName>
    <definedName name="nota02" localSheetId="9">#REF!</definedName>
    <definedName name="nota02">#REF!</definedName>
    <definedName name="nota04" localSheetId="9">#REF!</definedName>
    <definedName name="nota04">#REF!</definedName>
    <definedName name="nota10" localSheetId="9">#REF!</definedName>
    <definedName name="nota10">#REF!</definedName>
    <definedName name="nota11" localSheetId="9">#REF!</definedName>
    <definedName name="nota11">#REF!</definedName>
    <definedName name="nota12" localSheetId="9">#REF!</definedName>
    <definedName name="nota12">#REF!</definedName>
    <definedName name="NOW" localSheetId="9">#REF!</definedName>
    <definedName name="NOW">#REF!</definedName>
    <definedName name="nsl" localSheetId="9">#REF!</definedName>
    <definedName name="nsl">#REF!</definedName>
    <definedName name="nx" localSheetId="9">#REF!</definedName>
    <definedName name="nx">#REF!</definedName>
    <definedName name="OneP_AM_act" localSheetId="9">#REF!</definedName>
    <definedName name="OneP_AM_act">#REF!</definedName>
    <definedName name="OneP_AM_plan" localSheetId="9">#REF!</definedName>
    <definedName name="OneP_AM_plan">#REF!</definedName>
    <definedName name="OneP_AS_act" localSheetId="9">#REF!</definedName>
    <definedName name="OneP_AS_act">#REF!</definedName>
    <definedName name="OneP_AS_plan" localSheetId="9">#REF!</definedName>
    <definedName name="OneP_AS_plan">#REF!</definedName>
    <definedName name="OneP_EU_act" localSheetId="9">#REF!</definedName>
    <definedName name="OneP_EU_act">#REF!</definedName>
    <definedName name="OneP_EU_plan" localSheetId="9">#REF!</definedName>
    <definedName name="OneP_EU_plan">#REF!</definedName>
    <definedName name="op" localSheetId="9">#REF!</definedName>
    <definedName name="op">#REF!</definedName>
    <definedName name="OrderTable" localSheetId="9" hidden="1">#REF!</definedName>
    <definedName name="OrderTable" hidden="1">#REF!</definedName>
    <definedName name="Org_Size" localSheetId="9">#REF!</definedName>
    <definedName name="Org_Size">#REF!</definedName>
    <definedName name="osc" localSheetId="9">#REF!</definedName>
    <definedName name="osc">#REF!</definedName>
    <definedName name="overall" localSheetId="9">#REF!</definedName>
    <definedName name="overall">#REF!</definedName>
    <definedName name="P_12">!$V1</definedName>
    <definedName name="p_all" localSheetId="9">#REF!</definedName>
    <definedName name="p_all">#REF!</definedName>
    <definedName name="P_Attributi">25</definedName>
    <definedName name="P_Dimensione">"Account"</definedName>
    <definedName name="Pais" localSheetId="9">#REF!</definedName>
    <definedName name="Pais">#REF!</definedName>
    <definedName name="PAPELLINER" localSheetId="9">#REF!</definedName>
    <definedName name="PAPELLINER">#REF!</definedName>
    <definedName name="PAPER_LINER" localSheetId="9">#REF!</definedName>
    <definedName name="PAPER_LINER">#REF!</definedName>
    <definedName name="PAymentType" localSheetId="9">#REF!</definedName>
    <definedName name="PAymentType">#REF!</definedName>
    <definedName name="PDR" localSheetId="9">#REF!</definedName>
    <definedName name="PDR">#REF!</definedName>
    <definedName name="Performance" localSheetId="9">#REF!</definedName>
    <definedName name="Performance">#REF!</definedName>
    <definedName name="Period" localSheetId="9">#REF!</definedName>
    <definedName name="Period">#REF!</definedName>
    <definedName name="Personal_Bemerkungen" localSheetId="9">#REF!,#REF!,#REF!,#REF!,#REF!,#REF!,#REF!</definedName>
    <definedName name="Personal_Bemerkungen">#REF!,#REF!,#REF!,#REF!,#REF!,#REF!,#REF!</definedName>
    <definedName name="PfcstQtr" localSheetId="9">#REF!</definedName>
    <definedName name="PfcstQtr">#REF!</definedName>
    <definedName name="Phanbothue" localSheetId="9">#REF!</definedName>
    <definedName name="Phanbothue">#REF!</definedName>
    <definedName name="Phone" localSheetId="9">#REF!</definedName>
    <definedName name="Phone">#REF!</definedName>
    <definedName name="phu_luc_vua" localSheetId="9">#REF!</definedName>
    <definedName name="phu_luc_vua">#REF!</definedName>
    <definedName name="pippo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pippo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PK" localSheetId="9">#REF!</definedName>
    <definedName name="PK">#REF!</definedName>
    <definedName name="Plan96b" localSheetId="9" hidden="1">#REF!</definedName>
    <definedName name="Plan96b" hidden="1">#REF!</definedName>
    <definedName name="PLANENE99" localSheetId="9">#REF!</definedName>
    <definedName name="PLANENE99">#REF!</definedName>
    <definedName name="planmonthly" localSheetId="9">#REF!</definedName>
    <definedName name="planmonthly">#REF!</definedName>
    <definedName name="planqtr" localSheetId="9">#REF!</definedName>
    <definedName name="planqtr">#REF!</definedName>
    <definedName name="Potential" localSheetId="9">#REF!</definedName>
    <definedName name="Potential">#REF!</definedName>
    <definedName name="pp" localSheetId="9" hidden="1">#REF!</definedName>
    <definedName name="pp" hidden="1">#REF!</definedName>
    <definedName name="pp_1XDM" localSheetId="9">#REF!</definedName>
    <definedName name="pp_1XDM">#REF!</definedName>
    <definedName name="pp_3NC" localSheetId="9">#REF!</definedName>
    <definedName name="pp_3NC">#REF!</definedName>
    <definedName name="pp_3XDM" localSheetId="9">#REF!</definedName>
    <definedName name="pp_3XDM">#REF!</definedName>
    <definedName name="PRD_CHG">""</definedName>
    <definedName name="PRD_NM_C">"底盘组件"</definedName>
    <definedName name="PRD_NO">"RYF111A002B"</definedName>
    <definedName name="PRD_NOMBC">"QT10050"</definedName>
    <definedName name="PRECIO" localSheetId="9">#REF!</definedName>
    <definedName name="PRECIO">#REF!</definedName>
    <definedName name="PRICE" localSheetId="9">#REF!</definedName>
    <definedName name="PRICE">#REF!</definedName>
    <definedName name="PRICE1" localSheetId="9">#REF!</definedName>
    <definedName name="PRICE1">#REF!</definedName>
    <definedName name="_xlnm.Print_Area" localSheetId="9">#REF!</definedName>
    <definedName name="_xlnm.Print_Area">#REF!</definedName>
    <definedName name="_xlnm.Print_Titles" localSheetId="9">#REF!</definedName>
    <definedName name="_xlnm.Print_Titles">#REF!</definedName>
    <definedName name="Print_Titles_MI" localSheetId="9">#REF!</definedName>
    <definedName name="Print_Titles_MI">#REF!</definedName>
    <definedName name="PRINTA" localSheetId="9">#REF!</definedName>
    <definedName name="PRINTA">#REF!</definedName>
    <definedName name="PRINTB" localSheetId="9">#REF!</definedName>
    <definedName name="PRINTB">#REF!</definedName>
    <definedName name="PRINTC" localSheetId="9">#REF!</definedName>
    <definedName name="PRINTC">#REF!</definedName>
    <definedName name="pro" localSheetId="9" hidden="1">{"'Foglio1'!$J$12:$M$12"}</definedName>
    <definedName name="pro" hidden="1">{"'Foglio1'!$J$12:$M$12"}</definedName>
    <definedName name="ProdForm" localSheetId="9" hidden="1">#REF!</definedName>
    <definedName name="ProdForm" hidden="1">#REF!</definedName>
    <definedName name="Product" localSheetId="9" hidden="1">#REF!</definedName>
    <definedName name="Product" hidden="1">#REF!</definedName>
    <definedName name="Projekt" localSheetId="9">#REF!</definedName>
    <definedName name="Projekt">#REF!</definedName>
    <definedName name="PROPOSAL" localSheetId="9">#REF!</definedName>
    <definedName name="PROPOSAL">#REF!</definedName>
    <definedName name="PT_Duong" localSheetId="9">#REF!</definedName>
    <definedName name="PT_Duong">#REF!</definedName>
    <definedName name="ptdg" localSheetId="9">#REF!</definedName>
    <definedName name="ptdg">#REF!</definedName>
    <definedName name="PTDG_cau" localSheetId="9">#REF!</definedName>
    <definedName name="PTDG_cau">#REF!</definedName>
    <definedName name="PtichDTL">#N/A</definedName>
    <definedName name="PTNC" localSheetId="9">#REF!</definedName>
    <definedName name="PTNC">#REF!</definedName>
    <definedName name="PYQtr_prod" localSheetId="9">#REF!</definedName>
    <definedName name="PYQtr_prod">#REF!</definedName>
    <definedName name="q" localSheetId="9">#REF!</definedName>
    <definedName name="q">#REF!</definedName>
    <definedName name="qq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qq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QTY_RSV">150</definedName>
    <definedName name="QTYB_RTN">1.2</definedName>
    <definedName name="QTYMBC">150</definedName>
    <definedName name="QUERY_DATA" localSheetId="9">#REF!</definedName>
    <definedName name="QUERY_DATA">#REF!</definedName>
    <definedName name="ra11p" localSheetId="9">#REF!</definedName>
    <definedName name="ra11p">#REF!</definedName>
    <definedName name="ra13p" localSheetId="9">#REF!</definedName>
    <definedName name="ra13p">#REF!</definedName>
    <definedName name="rack1" localSheetId="9">#REF!</definedName>
    <definedName name="rack1">#REF!</definedName>
    <definedName name="rack2" localSheetId="9">#REF!</definedName>
    <definedName name="rack2">#REF!</definedName>
    <definedName name="rack3" localSheetId="9">#REF!</definedName>
    <definedName name="rack3">#REF!</definedName>
    <definedName name="rack4" localSheetId="9">#REF!</definedName>
    <definedName name="rack4">#REF!</definedName>
    <definedName name="Range2" localSheetId="9">#REF!</definedName>
    <definedName name="Range2">#REF!</definedName>
    <definedName name="RANK" localSheetId="9">#REF!</definedName>
    <definedName name="RANK">#REF!</definedName>
    <definedName name="rate">14000</definedName>
    <definedName name="RATIOD" localSheetId="9">#REF!</definedName>
    <definedName name="RATIOD">#REF!</definedName>
    <definedName name="RB" localSheetId="9">#REF!</definedName>
    <definedName name="RB">#REF!</definedName>
    <definedName name="RCArea" localSheetId="9" hidden="1">#REF!</definedName>
    <definedName name="RCArea" hidden="1">#REF!</definedName>
    <definedName name="Recorder1" localSheetId="9">#REF!</definedName>
    <definedName name="Recorder1">#REF!</definedName>
    <definedName name="RECOUT">#N/A</definedName>
    <definedName name="Recover" localSheetId="9">#REF!</definedName>
    <definedName name="Recover">#REF!</definedName>
    <definedName name="Ref" localSheetId="9">#REF!</definedName>
    <definedName name="Ref">#REF!</definedName>
    <definedName name="REMARK_H">""</definedName>
    <definedName name="RESULT99" localSheetId="9">#REF!</definedName>
    <definedName name="RESULT99">#REF!</definedName>
    <definedName name="RESUMEN" localSheetId="9">#REF!</definedName>
    <definedName name="RESUMEN">#REF!</definedName>
    <definedName name="RFP003A" localSheetId="9">#REF!</definedName>
    <definedName name="RFP003A">#REF!</definedName>
    <definedName name="RFP003B" localSheetId="9">#REF!</definedName>
    <definedName name="RFP003B">#REF!</definedName>
    <definedName name="RFP003C" localSheetId="9">#REF!</definedName>
    <definedName name="RFP003C">#REF!</definedName>
    <definedName name="RFP003D" localSheetId="9">#REF!</definedName>
    <definedName name="RFP003D">#REF!</definedName>
    <definedName name="RFP003E" localSheetId="9">#REF!</definedName>
    <definedName name="RFP003E">#REF!</definedName>
    <definedName name="RFP003F" localSheetId="9">#REF!</definedName>
    <definedName name="RFP003F">#REF!</definedName>
    <definedName name="rmcAccount">103400</definedName>
    <definedName name="rmcCategory">"ACTUAL"</definedName>
    <definedName name="rmcFrequency">"MON"</definedName>
    <definedName name="rmcName">"CDICON"</definedName>
    <definedName name="RMCOptions">"*010000000000000"</definedName>
    <definedName name="rmcPeriod">9701</definedName>
    <definedName name="rot">"Ellipse 244"</definedName>
    <definedName name="rr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rr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rt" localSheetId="9">#REF!</definedName>
    <definedName name="rt">#REF!</definedName>
    <definedName name="s" localSheetId="9">{"Folie 3",#N/A,FALSE,"Jahresumsätze";"Folie 4",#N/A,FALSE,"Jahresumsätze";"Folie 5",#N/A,FALSE,"Jahresumsätze";"Folie 6",#N/A,FALSE,"Jahresumsätze";"Folie 7",#N/A,FALSE,"Jahresumsätze";"Folie 8",#N/A,FALSE,"Jahresumsätze"}</definedName>
    <definedName name="s">{"Folie 3",#N/A,FALSE,"Jahresumsätze";"Folie 4",#N/A,FALSE,"Jahresumsätze";"Folie 5",#N/A,FALSE,"Jahresumsätze";"Folie 6",#N/A,FALSE,"Jahresumsätze";"Folie 7",#N/A,FALSE,"Jahresumsätze";"Folie 8",#N/A,FALSE,"Jahresumsätze"}</definedName>
    <definedName name="sad" localSheetId="9">#REF!</definedName>
    <definedName name="sad">#REF!</definedName>
    <definedName name="Safety1" localSheetId="9" hidden="1">{"'Actual'!$A$1:$F$25"}</definedName>
    <definedName name="Safety1" hidden="1">{"'Actual'!$A$1:$F$25"}</definedName>
    <definedName name="SAPBEXdnldView" hidden="1">"3UZMH742MMSVV8IA3B4G5296Z"</definedName>
    <definedName name="SAPBEXrevision" hidden="1">5</definedName>
    <definedName name="SAPBEXREVISIONN" hidden="1">25</definedName>
    <definedName name="SAPBEXsysID" hidden="1">"B10"</definedName>
    <definedName name="SAPBEXwbID" hidden="1">"0422K8FL3VHURLAH1ZE0FYH10"</definedName>
    <definedName name="SAV" localSheetId="9">#REF!</definedName>
    <definedName name="SAV">#REF!</definedName>
    <definedName name="SBDATA" localSheetId="9">OFFSET(#REF!,0,0,COUNTA(#REF!),COUNTA(#REF!))</definedName>
    <definedName name="SBDATA">OFFSET(#REF!,0,0,COUNTA(#REF!),COUNTA(#REF!))</definedName>
    <definedName name="SC" localSheetId="9">#REF!</definedName>
    <definedName name="SC">#REF!</definedName>
    <definedName name="SCH" localSheetId="9">#REF!</definedName>
    <definedName name="SCH">#REF!</definedName>
    <definedName name="sd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d1p" localSheetId="9">#REF!</definedName>
    <definedName name="sd1p">#REF!</definedName>
    <definedName name="sd3p" localSheetId="9">#REF!</definedName>
    <definedName name="sd3p">#REF!</definedName>
    <definedName name="SDDK" localSheetId="9">#REF!</definedName>
    <definedName name="SDDK">#REF!</definedName>
    <definedName name="sdfg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df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dfs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df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DMONG" localSheetId="9">#REF!</definedName>
    <definedName name="SDMONG">#REF!</definedName>
    <definedName name="sdr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dr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ds" localSheetId="9">#REF!</definedName>
    <definedName name="sds">#REF!</definedName>
    <definedName name="sells" localSheetId="9">#REF!</definedName>
    <definedName name="sells">#REF!</definedName>
    <definedName name="sfg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f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heet1" localSheetId="9">#REF!</definedName>
    <definedName name="Sheet1">#REF!</definedName>
    <definedName name="ShowZeroValues">"TRUE"</definedName>
    <definedName name="sht" localSheetId="9">#REF!</definedName>
    <definedName name="sht">#REF!</definedName>
    <definedName name="sht1p" localSheetId="9">#REF!</definedName>
    <definedName name="sht1p">#REF!</definedName>
    <definedName name="sht3p" localSheetId="9">#REF!</definedName>
    <definedName name="sht3p">#REF!</definedName>
    <definedName name="SIZE" localSheetId="9">#REF!</definedName>
    <definedName name="SIZE">#REF!</definedName>
    <definedName name="SL_CRD" localSheetId="9">#REF!</definedName>
    <definedName name="SL_CRD">#REF!</definedName>
    <definedName name="SL_CRS" localSheetId="9">#REF!</definedName>
    <definedName name="SL_CRS">#REF!</definedName>
    <definedName name="SL_CS" localSheetId="9">#REF!</definedName>
    <definedName name="SL_CS">#REF!</definedName>
    <definedName name="SL_DD" localSheetId="9">#REF!</definedName>
    <definedName name="SL_DD">#REF!</definedName>
    <definedName name="slBTLT1pm" localSheetId="9">#REF!</definedName>
    <definedName name="slBTLT1pm">#REF!</definedName>
    <definedName name="slBTLT3pm" localSheetId="9">#REF!</definedName>
    <definedName name="slBTLT3pm">#REF!</definedName>
    <definedName name="slBTLTct" localSheetId="9">#REF!</definedName>
    <definedName name="slBTLTct">#REF!</definedName>
    <definedName name="slBTLTHTDL" localSheetId="9">#REF!</definedName>
    <definedName name="slBTLTHTDL">#REF!</definedName>
    <definedName name="slBTLTHTHH" localSheetId="9">#REF!</definedName>
    <definedName name="slBTLTHTHH">#REF!</definedName>
    <definedName name="slchang1pm" localSheetId="9">#REF!</definedName>
    <definedName name="slchang1pm">#REF!</definedName>
    <definedName name="slchang3pm" localSheetId="9">#REF!</definedName>
    <definedName name="slchang3pm">#REF!</definedName>
    <definedName name="slchangct" localSheetId="9">#REF!</definedName>
    <definedName name="slchangct">#REF!</definedName>
    <definedName name="slchanght" localSheetId="9">#REF!</definedName>
    <definedName name="slchanght">#REF!</definedName>
    <definedName name="slchangHTDL" localSheetId="9">#REF!</definedName>
    <definedName name="slchangHTDL">#REF!</definedName>
    <definedName name="slchangHTHH" localSheetId="9">#REF!</definedName>
    <definedName name="slchangHTHH">#REF!</definedName>
    <definedName name="slmong1pm" localSheetId="9">#REF!</definedName>
    <definedName name="slmong1pm">#REF!</definedName>
    <definedName name="slmong3pm" localSheetId="9">#REF!</definedName>
    <definedName name="slmong3pm">#REF!</definedName>
    <definedName name="slmongct" localSheetId="9">#REF!</definedName>
    <definedName name="slmongct">#REF!</definedName>
    <definedName name="slmonght" localSheetId="9">#REF!</definedName>
    <definedName name="slmonght">#REF!</definedName>
    <definedName name="slmongHTDL" localSheetId="9">#REF!</definedName>
    <definedName name="slmongHTDL">#REF!</definedName>
    <definedName name="slmongHTHH" localSheetId="9">#REF!</definedName>
    <definedName name="slmongHTHH">#REF!</definedName>
    <definedName name="slmongneo1pm" localSheetId="9">#REF!</definedName>
    <definedName name="slmongneo1pm">#REF!</definedName>
    <definedName name="slmongneo3pm" localSheetId="9">#REF!</definedName>
    <definedName name="slmongneo3pm">#REF!</definedName>
    <definedName name="slmongneoct" localSheetId="9">#REF!</definedName>
    <definedName name="slmongneoct">#REF!</definedName>
    <definedName name="slmongneoht" localSheetId="9">#REF!</definedName>
    <definedName name="slmongneoht">#REF!</definedName>
    <definedName name="slmongneoHTDL" localSheetId="9">#REF!</definedName>
    <definedName name="slmongneoHTDL">#REF!</definedName>
    <definedName name="slmongneoHTHH" localSheetId="9">#REF!</definedName>
    <definedName name="slmongneoHTHH">#REF!</definedName>
    <definedName name="sltdll1pm" localSheetId="9">#REF!</definedName>
    <definedName name="sltdll1pm">#REF!</definedName>
    <definedName name="sltdll3pm" localSheetId="9">#REF!</definedName>
    <definedName name="sltdll3pm">#REF!</definedName>
    <definedName name="sltdllct" localSheetId="9">#REF!</definedName>
    <definedName name="sltdllct">#REF!</definedName>
    <definedName name="sltdllHTDL" localSheetId="9">#REF!</definedName>
    <definedName name="sltdllHTDL">#REF!</definedName>
    <definedName name="sltdllHTHH" localSheetId="9">#REF!</definedName>
    <definedName name="sltdllHTHH">#REF!</definedName>
    <definedName name="slxa1pm" localSheetId="9">#REF!</definedName>
    <definedName name="slxa1pm">#REF!</definedName>
    <definedName name="slxa3pm" localSheetId="9">#REF!</definedName>
    <definedName name="slxa3pm">#REF!</definedName>
    <definedName name="slxact" localSheetId="9">#REF!</definedName>
    <definedName name="slxact">#REF!</definedName>
    <definedName name="Smart_Chart_Data_Table_27f4f82f0c0f4057bbbab2f04b9c894e" localSheetId="9">#REF!</definedName>
    <definedName name="Smart_Chart_Data_Table_27f4f82f0c0f4057bbbab2f04b9c894e">#REF!</definedName>
    <definedName name="Smart_Chart_Data_Table_5b72017a517240a799186d1337bfdfce" localSheetId="9">#REF!</definedName>
    <definedName name="Smart_Chart_Data_Table_5b72017a517240a799186d1337bfdfce">#REF!</definedName>
    <definedName name="Smart_Chart_Data_Table_64e0f834349d4de3b0d1a7cf5e3f4513" localSheetId="9">#REF!</definedName>
    <definedName name="Smart_Chart_Data_Table_64e0f834349d4de3b0d1a7cf5e3f4513">#REF!</definedName>
    <definedName name="Smart_Chart_Data_Table_6f6ecac17fd3421681dd9724a8c66d84" localSheetId="9">#REF!</definedName>
    <definedName name="Smart_Chart_Data_Table_6f6ecac17fd3421681dd9724a8c66d84">#REF!</definedName>
    <definedName name="Smart_Chart_Data_Table_91c1bef4fd55481e901bf0bd8383a99e" localSheetId="9">#REF!</definedName>
    <definedName name="Smart_Chart_Data_Table_91c1bef4fd55481e901bf0bd8383a99e">#REF!</definedName>
    <definedName name="Smart_Chart_Data_Table_a957bfd43f894968aaa002649366cc27" localSheetId="9">#REF!</definedName>
    <definedName name="Smart_Chart_Data_Table_a957bfd43f894968aaa002649366cc27">#REF!</definedName>
    <definedName name="Smart_Chart_Data_Table_c6a74c0a7dc945569ee569cd5a307e16" localSheetId="9">#REF!</definedName>
    <definedName name="Smart_Chart_Data_Table_c6a74c0a7dc945569ee569cd5a307e16">#REF!</definedName>
    <definedName name="Smart_Chart_Data_Table_d45706aa413a4b538c90f42abcbf26d2" localSheetId="9">#REF!</definedName>
    <definedName name="Smart_Chart_Data_Table_d45706aa413a4b538c90f42abcbf26d2">#REF!</definedName>
    <definedName name="Smart_Chart_Data_Table_dbe9a02b1a194c4e9c625fa64958b6a4" localSheetId="9">#REF!</definedName>
    <definedName name="Smart_Chart_Data_Table_dbe9a02b1a194c4e9c625fa64958b6a4">#REF!</definedName>
    <definedName name="Smart_Chart_Data_Table_f05b9a942e73421db797b135b2784000" localSheetId="9">#REF!</definedName>
    <definedName name="Smart_Chart_Data_Table_f05b9a942e73421db797b135b2784000">#REF!</definedName>
    <definedName name="Smart_Chart_Data_Table_f392ba94b11f479e9e0b294fefdc3d10" localSheetId="9">#REF!</definedName>
    <definedName name="Smart_Chart_Data_Table_f392ba94b11f479e9e0b294fefdc3d10">#REF!</definedName>
    <definedName name="Smart_Chart_Data_Table_f5e48cfbca8f4fb7b042004850329d97" localSheetId="9">#REF!</definedName>
    <definedName name="Smart_Chart_Data_Table_f5e48cfbca8f4fb7b042004850329d97">#REF!</definedName>
    <definedName name="SO_NOMRP">""</definedName>
    <definedName name="soc3p" localSheetId="9">#REF!</definedName>
    <definedName name="soc3p">#REF!</definedName>
    <definedName name="solieu" localSheetId="9">#REF!</definedName>
    <definedName name="solieu">#REF!</definedName>
    <definedName name="sort" localSheetId="9">#REF!</definedName>
    <definedName name="sort">#REF!</definedName>
    <definedName name="spec" localSheetId="9">#REF!</definedName>
    <definedName name="spec">#REF!</definedName>
    <definedName name="SpecialPrice" localSheetId="9" hidden="1">#REF!</definedName>
    <definedName name="SpecialPrice" hidden="1">#REF!</definedName>
    <definedName name="SPECSUMMARY" localSheetId="9">#REF!</definedName>
    <definedName name="SPECSUMMARY">#REF!</definedName>
    <definedName name="SPEND" localSheetId="9">#REF!</definedName>
    <definedName name="SPEND">#REF!</definedName>
    <definedName name="ss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ss" localSheetId="9" hidden="1">{"'Actual'!$A$1:$F$25"}</definedName>
    <definedName name="sss" hidden="1">{"'Actual'!$A$1:$F$25"}</definedName>
    <definedName name="ssss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ss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ssssssssssssss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sssssssssssss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ssssssssssssssssss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sssssssssssssssss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t1p" localSheetId="9">#REF!</definedName>
    <definedName name="st1p">#REF!</definedName>
    <definedName name="st3p" localSheetId="9">#REF!</definedName>
    <definedName name="st3p">#REF!</definedName>
    <definedName name="Stagegate" localSheetId="9">#REF!</definedName>
    <definedName name="Stagegate">#REF!</definedName>
    <definedName name="Stand" localSheetId="9">#REF!</definedName>
    <definedName name="Stand">#REF!</definedName>
    <definedName name="STANDARCOSTAA" localSheetId="9">#REF!</definedName>
    <definedName name="STANDARCOSTAA">#REF!</definedName>
    <definedName name="STANDARCOSTC" localSheetId="9">#REF!</definedName>
    <definedName name="STANDARCOSTC">#REF!</definedName>
    <definedName name="STANDARCOSTD" localSheetId="9">#REF!</definedName>
    <definedName name="STANDARCOSTD">#REF!</definedName>
    <definedName name="Start">"AutoForm 2"</definedName>
    <definedName name="Start_1" localSheetId="9">#REF!</definedName>
    <definedName name="Start_1">#REF!</definedName>
    <definedName name="Start_10" localSheetId="9">#REF!</definedName>
    <definedName name="Start_10">#REF!</definedName>
    <definedName name="Start_11" localSheetId="9">#REF!</definedName>
    <definedName name="Start_11">#REF!</definedName>
    <definedName name="Start_12" localSheetId="9">#REF!</definedName>
    <definedName name="Start_12">#REF!</definedName>
    <definedName name="Start_13" localSheetId="9">#REF!</definedName>
    <definedName name="Start_13">#REF!</definedName>
    <definedName name="Start_2" localSheetId="9">#REF!</definedName>
    <definedName name="Start_2">#REF!</definedName>
    <definedName name="Start_3" localSheetId="9">#REF!</definedName>
    <definedName name="Start_3">#REF!</definedName>
    <definedName name="Start_4" localSheetId="9">#REF!</definedName>
    <definedName name="Start_4">#REF!</definedName>
    <definedName name="Start_5" localSheetId="9">#REF!</definedName>
    <definedName name="Start_5">#REF!</definedName>
    <definedName name="Start_6" localSheetId="9">#REF!</definedName>
    <definedName name="Start_6">#REF!</definedName>
    <definedName name="Start_7" localSheetId="9">#REF!</definedName>
    <definedName name="Start_7">#REF!</definedName>
    <definedName name="Start_8" localSheetId="9">#REF!</definedName>
    <definedName name="Start_8">#REF!</definedName>
    <definedName name="Start_9" localSheetId="9">#REF!</definedName>
    <definedName name="Start_9">#REF!</definedName>
    <definedName name="START_DD_H">"2008-05-13"</definedName>
    <definedName name="State" localSheetId="9">#REF!</definedName>
    <definedName name="State">#REF!</definedName>
    <definedName name="Status" localSheetId="9">#REF!</definedName>
    <definedName name="Status">#REF!</definedName>
    <definedName name="Statusbericht_Eingabe" localSheetId="9">#REF!,#REF!</definedName>
    <definedName name="Statusbericht_Eingabe">#REF!,#REF!</definedName>
    <definedName name="SUMMARY" localSheetId="9">#REF!</definedName>
    <definedName name="SUMMARY">#REF!</definedName>
    <definedName name="T" localSheetId="9">#REF!</definedName>
    <definedName name="T">#REF!</definedName>
    <definedName name="t_all" localSheetId="9">#REF!</definedName>
    <definedName name="t_all">#REF!</definedName>
    <definedName name="T_AM_act" localSheetId="9">#REF!</definedName>
    <definedName name="T_AM_act">#REF!</definedName>
    <definedName name="T_AM_plan" localSheetId="9">#REF!</definedName>
    <definedName name="T_AM_plan">#REF!</definedName>
    <definedName name="T_AS_act" localSheetId="9">#REF!</definedName>
    <definedName name="T_AS_act">#REF!</definedName>
    <definedName name="T_AS_plan" localSheetId="9">#REF!</definedName>
    <definedName name="T_AS_plan">#REF!</definedName>
    <definedName name="T_EU_act" localSheetId="9">#REF!</definedName>
    <definedName name="T_EU_act">#REF!</definedName>
    <definedName name="T_EU_plan" localSheetId="9">#REF!</definedName>
    <definedName name="T_EU_plan">#REF!</definedName>
    <definedName name="T_HOP" localSheetId="9">#REF!</definedName>
    <definedName name="T_HOP">#REF!</definedName>
    <definedName name="T02_DANH_MUC_CONG_VIEC" localSheetId="9">#REF!</definedName>
    <definedName name="T02_DANH_MUC_CONG_VIEC">#REF!</definedName>
    <definedName name="T03_BANG_GIA_VAT_LIEU" localSheetId="9">#REF!</definedName>
    <definedName name="T03_BANG_GIA_VAT_LIEU">#REF!</definedName>
    <definedName name="T09_DINH_MUC_DU_TOAN" localSheetId="9">#REF!</definedName>
    <definedName name="T09_DINH_MUC_DU_TOAN">#REF!</definedName>
    <definedName name="t101p" localSheetId="9">#REF!</definedName>
    <definedName name="t101p">#REF!</definedName>
    <definedName name="t103p" localSheetId="9">#REF!</definedName>
    <definedName name="t103p">#REF!</definedName>
    <definedName name="t10m" localSheetId="9">#REF!</definedName>
    <definedName name="t10m">#REF!</definedName>
    <definedName name="T10nc" localSheetId="9">#REF!</definedName>
    <definedName name="T10nc">#REF!</definedName>
    <definedName name="t10nc1p" localSheetId="9">#REF!</definedName>
    <definedName name="t10nc1p">#REF!</definedName>
    <definedName name="T10vc" localSheetId="9">#REF!</definedName>
    <definedName name="T10vc">#REF!</definedName>
    <definedName name="T10vl" localSheetId="9">#REF!</definedName>
    <definedName name="T10vl">#REF!</definedName>
    <definedName name="t10vl1p" localSheetId="9">#REF!</definedName>
    <definedName name="t10vl1p">#REF!</definedName>
    <definedName name="t121p" localSheetId="9">#REF!</definedName>
    <definedName name="t121p">#REF!</definedName>
    <definedName name="t123p" localSheetId="9">#REF!</definedName>
    <definedName name="t123p">#REF!</definedName>
    <definedName name="T12nc" localSheetId="9">#REF!</definedName>
    <definedName name="T12nc">#REF!</definedName>
    <definedName name="t12nc3p" localSheetId="9">#REF!</definedName>
    <definedName name="t12nc3p">#REF!</definedName>
    <definedName name="T12vc" localSheetId="9">#REF!</definedName>
    <definedName name="T12vc">#REF!</definedName>
    <definedName name="T12vl" localSheetId="9">#REF!</definedName>
    <definedName name="T12vl">#REF!</definedName>
    <definedName name="t141p" localSheetId="9">#REF!</definedName>
    <definedName name="t141p">#REF!</definedName>
    <definedName name="t143p" localSheetId="9">#REF!</definedName>
    <definedName name="t143p">#REF!</definedName>
    <definedName name="T14nc" localSheetId="9">#REF!</definedName>
    <definedName name="T14nc">#REF!</definedName>
    <definedName name="T14vc" localSheetId="9">#REF!</definedName>
    <definedName name="T14vc">#REF!</definedName>
    <definedName name="T14vl" localSheetId="9">#REF!</definedName>
    <definedName name="T14vl">#REF!</definedName>
    <definedName name="t7m" localSheetId="9">#REF!</definedName>
    <definedName name="t7m">#REF!</definedName>
    <definedName name="t8m" localSheetId="9">#REF!</definedName>
    <definedName name="t8m">#REF!</definedName>
    <definedName name="TA" localSheetId="9">#REF!</definedName>
    <definedName name="TA">#REF!</definedName>
    <definedName name="Tab_sverweis" localSheetId="9">#REF!</definedName>
    <definedName name="Tab_sverweis">#REF!</definedName>
    <definedName name="TableName">"Dummy"</definedName>
    <definedName name="TAM">#N/A</definedName>
    <definedName name="TAMTINH" localSheetId="9">#REF!</definedName>
    <definedName name="TAMTINH">#REF!</definedName>
    <definedName name="TaxTV">10%</definedName>
    <definedName name="TaxXL">5%</definedName>
    <definedName name="tb" localSheetId="9">#REF!</definedName>
    <definedName name="tb">#REF!</definedName>
    <definedName name="tbl_ProdInfo" localSheetId="9" hidden="1">#REF!</definedName>
    <definedName name="tbl_ProdInfo" hidden="1">#REF!</definedName>
    <definedName name="tbtram" localSheetId="9">#REF!</definedName>
    <definedName name="tbtram">#REF!</definedName>
    <definedName name="TBXD" localSheetId="9">#REF!</definedName>
    <definedName name="TBXD">#REF!</definedName>
    <definedName name="TC" localSheetId="9">#REF!</definedName>
    <definedName name="TC">#REF!</definedName>
    <definedName name="TC_NHANH1" localSheetId="9">#REF!</definedName>
    <definedName name="TC_NHANH1">#REF!</definedName>
    <definedName name="td" localSheetId="9">#REF!</definedName>
    <definedName name="td">#REF!</definedName>
    <definedName name="td10vl" localSheetId="9">#REF!</definedName>
    <definedName name="td10vl">#REF!</definedName>
    <definedName name="td12nc" localSheetId="9">#REF!</definedName>
    <definedName name="td12nc">#REF!</definedName>
    <definedName name="TD12vl" localSheetId="9">#REF!</definedName>
    <definedName name="TD12vl">#REF!</definedName>
    <definedName name="TD1p1nc" localSheetId="9">#REF!</definedName>
    <definedName name="TD1p1nc">#REF!</definedName>
    <definedName name="td1p1vc" localSheetId="9">#REF!</definedName>
    <definedName name="td1p1vc">#REF!</definedName>
    <definedName name="TD1p1vl" localSheetId="9">#REF!</definedName>
    <definedName name="TD1p1vl">#REF!</definedName>
    <definedName name="TD1p2nc" localSheetId="9">#REF!</definedName>
    <definedName name="TD1p2nc">#REF!</definedName>
    <definedName name="TD1p2vc" localSheetId="9">#REF!</definedName>
    <definedName name="TD1p2vc">#REF!</definedName>
    <definedName name="TD1p2vl" localSheetId="9">#REF!</definedName>
    <definedName name="TD1p2vl">#REF!</definedName>
    <definedName name="TD1pnc" localSheetId="9">#REF!</definedName>
    <definedName name="TD1pnc">#REF!</definedName>
    <definedName name="TD1pvl" localSheetId="9">#REF!</definedName>
    <definedName name="TD1pvl">#REF!</definedName>
    <definedName name="td3p" localSheetId="9">#REF!</definedName>
    <definedName name="td3p">#REF!</definedName>
    <definedName name="TDctnc" localSheetId="9">#REF!</definedName>
    <definedName name="TDctnc">#REF!</definedName>
    <definedName name="TDctvc" localSheetId="9">#REF!</definedName>
    <definedName name="TDctvc">#REF!</definedName>
    <definedName name="TDctvl" localSheetId="9">#REF!</definedName>
    <definedName name="TDctvl">#REF!</definedName>
    <definedName name="tdll1pm" localSheetId="9">#REF!</definedName>
    <definedName name="tdll1pm">#REF!</definedName>
    <definedName name="tdll3pm" localSheetId="9">#REF!</definedName>
    <definedName name="tdll3pm">#REF!</definedName>
    <definedName name="tdllct" localSheetId="9">#REF!</definedName>
    <definedName name="tdllct">#REF!</definedName>
    <definedName name="tdllHTDL" localSheetId="9">#REF!</definedName>
    <definedName name="tdllHTDL">#REF!</definedName>
    <definedName name="tdllHTHH" localSheetId="9">#REF!</definedName>
    <definedName name="tdllHTHH">#REF!</definedName>
    <definedName name="TDmnc" localSheetId="9">#REF!</definedName>
    <definedName name="TDmnc">#REF!</definedName>
    <definedName name="TDmvc" localSheetId="9">#REF!</definedName>
    <definedName name="TDmvc">#REF!</definedName>
    <definedName name="TDmvl" localSheetId="9">#REF!</definedName>
    <definedName name="TDmvl">#REF!</definedName>
    <definedName name="tdnc1p" localSheetId="9">#REF!</definedName>
    <definedName name="tdnc1p">#REF!</definedName>
    <definedName name="tdtr2cnc" localSheetId="9">#REF!</definedName>
    <definedName name="tdtr2cnc">#REF!</definedName>
    <definedName name="tdtr2cvl" localSheetId="9">#REF!</definedName>
    <definedName name="tdtr2cvl">#REF!</definedName>
    <definedName name="tdvl1p" localSheetId="9">#REF!</definedName>
    <definedName name="tdvl1p">#REF!</definedName>
    <definedName name="Team" localSheetId="9">#REF!</definedName>
    <definedName name="Team">#REF!</definedName>
    <definedName name="TENCT" localSheetId="9">#REF!</definedName>
    <definedName name="TENCT">#REF!</definedName>
    <definedName name="Termin_Eingabefelder" localSheetId="9">#REF!,#REF!,#REF!,#REF!,#REF!</definedName>
    <definedName name="Termin_Eingabefelder">#REF!,#REF!,#REF!,#REF!,#REF!</definedName>
    <definedName name="Termin_Soll_Felder" localSheetId="9">#REF!,#REF!,#REF!,#REF!</definedName>
    <definedName name="Termin_Soll_Felder">#REF!,#REF!,#REF!,#REF!</definedName>
    <definedName name="Termin_Termine" localSheetId="9">#REF!,#REF!</definedName>
    <definedName name="Termin_Termine">#REF!,#REF!</definedName>
    <definedName name="test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es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est12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est12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est2Total" localSheetId="9">#REF!</definedName>
    <definedName name="Test2Total">#REF!</definedName>
    <definedName name="TestTotal" localSheetId="9">#REF!</definedName>
    <definedName name="TestTotal">#REF!</definedName>
    <definedName name="TextRefCopy1" localSheetId="9">#REF!</definedName>
    <definedName name="TextRefCopy1">#REF!</definedName>
    <definedName name="TextRefCopy10" localSheetId="9">#REF!</definedName>
    <definedName name="TextRefCopy10">#REF!</definedName>
    <definedName name="TextRefCopy2" localSheetId="9">#REF!</definedName>
    <definedName name="TextRefCopy2">#REF!</definedName>
    <definedName name="TextRefCopy3" localSheetId="9">#REF!</definedName>
    <definedName name="TextRefCopy3">#REF!</definedName>
    <definedName name="TextRefCopy4" localSheetId="9">#REF!</definedName>
    <definedName name="TextRefCopy4">#REF!</definedName>
    <definedName name="TextRefCopy5" localSheetId="9">#REF!</definedName>
    <definedName name="TextRefCopy5">#REF!</definedName>
    <definedName name="TextRefCopy6" localSheetId="9">#REF!</definedName>
    <definedName name="TextRefCopy6">#REF!</definedName>
    <definedName name="TextRefCopy7" localSheetId="9">#REF!</definedName>
    <definedName name="TextRefCopy7">#REF!</definedName>
    <definedName name="TextRefCopy8" localSheetId="9">#REF!</definedName>
    <definedName name="TextRefCopy8">#REF!</definedName>
    <definedName name="TextRefCopy9" localSheetId="9">#REF!</definedName>
    <definedName name="TextRefCopy9">#REF!</definedName>
    <definedName name="TextRefCopyRangeCount" hidden="1">10</definedName>
    <definedName name="TG" localSheetId="9">#REF!</definedName>
    <definedName name="TG">#REF!</definedName>
    <definedName name="thai" localSheetId="9">#REF!</definedName>
    <definedName name="thai">#REF!</definedName>
    <definedName name="THCTAU" localSheetId="9">#REF!</definedName>
    <definedName name="THCTAU">#REF!</definedName>
    <definedName name="THGO1pnc" localSheetId="9">#REF!</definedName>
    <definedName name="THGO1pnc">#REF!</definedName>
    <definedName name="thht" localSheetId="9">#REF!</definedName>
    <definedName name="thht">#REF!</definedName>
    <definedName name="THI" localSheetId="9">#REF!</definedName>
    <definedName name="THI">#REF!</definedName>
    <definedName name="thkp3" localSheetId="9">#REF!</definedName>
    <definedName name="thkp3">#REF!</definedName>
    <definedName name="THT" localSheetId="9">#REF!</definedName>
    <definedName name="THT">#REF!</definedName>
    <definedName name="thtt" localSheetId="9">#REF!</definedName>
    <definedName name="thtt">#REF!</definedName>
    <definedName name="Tien" localSheetId="9">#REF!</definedName>
    <definedName name="Tien">#REF!</definedName>
    <definedName name="TienLuong" localSheetId="9">#REF!</definedName>
    <definedName name="TienLuong">#REF!</definedName>
    <definedName name="TITAN" localSheetId="9">#REF!</definedName>
    <definedName name="TITAN">#REF!</definedName>
    <definedName name="TLAC120" localSheetId="9">#REF!</definedName>
    <definedName name="TLAC120">#REF!</definedName>
    <definedName name="TLAC35" localSheetId="9">#REF!</definedName>
    <definedName name="TLAC35">#REF!</definedName>
    <definedName name="TLAC50" localSheetId="9">#REF!</definedName>
    <definedName name="TLAC50">#REF!</definedName>
    <definedName name="TLAC70" localSheetId="9">#REF!</definedName>
    <definedName name="TLAC70">#REF!</definedName>
    <definedName name="TLAC95" localSheetId="9">#REF!</definedName>
    <definedName name="TLAC95">#REF!</definedName>
    <definedName name="Tle" localSheetId="9">#REF!</definedName>
    <definedName name="Tle">#REF!</definedName>
    <definedName name="tluong" localSheetId="9">#REF!</definedName>
    <definedName name="tluong">#REF!</definedName>
    <definedName name="TM" localSheetId="9">#REF!</definedName>
    <definedName name="TM">#REF!</definedName>
    <definedName name="TNCM" localSheetId="9">#REF!</definedName>
    <definedName name="TNCM">#REF!</definedName>
    <definedName name="token" localSheetId="9" hidden="1">{"'page 1'!$K$13","'page 1'!$A$1:$V$50"}</definedName>
    <definedName name="token" hidden="1">{"'page 1'!$K$13","'page 1'!$A$1:$V$50"}</definedName>
    <definedName name="TONGDUTOAN" localSheetId="9">#REF!</definedName>
    <definedName name="TONGDUTOAN">#REF!</definedName>
    <definedName name="TOP" localSheetId="9">#REF!</definedName>
    <definedName name="TOP">#REF!</definedName>
    <definedName name="total" localSheetId="9">#REF!</definedName>
    <definedName name="total">#REF!</definedName>
    <definedName name="totald" localSheetId="9">#REF!</definedName>
    <definedName name="totald">#REF!</definedName>
    <definedName name="Totales" localSheetId="9">#REF!,#REF!,#REF!,#REF!</definedName>
    <definedName name="Totales">#REF!,#REF!,#REF!,#REF!</definedName>
    <definedName name="Totales2" localSheetId="9">#REF!,#REF!,#REF!,#REF!,#REF!</definedName>
    <definedName name="Totales2">#REF!,#REF!,#REF!,#REF!,#REF!</definedName>
    <definedName name="TPLRP" localSheetId="9">#REF!</definedName>
    <definedName name="TPLRP">#REF!</definedName>
    <definedName name="TPM" localSheetId="9">#REF!</definedName>
    <definedName name="TPM">#REF!</definedName>
    <definedName name="tr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r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ra_DM_su_dung" localSheetId="9">#REF!</definedName>
    <definedName name="Tra_DM_su_dung">#REF!</definedName>
    <definedName name="Tra_don_gia_KS" localSheetId="9">#REF!</definedName>
    <definedName name="Tra_don_gia_KS">#REF!</definedName>
    <definedName name="Tra_DTCT" localSheetId="9">#REF!</definedName>
    <definedName name="Tra_DTCT">#REF!</definedName>
    <definedName name="Tra_tim_hang_mucPT_trung" localSheetId="9">#REF!</definedName>
    <definedName name="Tra_tim_hang_mucPT_trung">#REF!</definedName>
    <definedName name="Tra_TL" localSheetId="9">#REF!</definedName>
    <definedName name="Tra_TL">#REF!</definedName>
    <definedName name="Tra_ty_le2" localSheetId="9">#REF!</definedName>
    <definedName name="Tra_ty_le2">#REF!</definedName>
    <definedName name="Tra_ty_le3" localSheetId="9">#REF!</definedName>
    <definedName name="Tra_ty_le3">#REF!</definedName>
    <definedName name="Tra_ty_le4" localSheetId="9">#REF!</definedName>
    <definedName name="Tra_ty_le4">#REF!</definedName>
    <definedName name="Tra_ty_le5" localSheetId="9">#REF!</definedName>
    <definedName name="Tra_ty_le5">#REF!</definedName>
    <definedName name="TRADE2" localSheetId="9">#REF!</definedName>
    <definedName name="TRADE2">#REF!</definedName>
    <definedName name="TRAM" localSheetId="9">#REF!</definedName>
    <definedName name="TRAM">#REF!</definedName>
    <definedName name="tt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T_1P" localSheetId="9">#REF!</definedName>
    <definedName name="TT_1P">#REF!</definedName>
    <definedName name="TT_3p" localSheetId="9">#REF!</definedName>
    <definedName name="TT_3p">#REF!</definedName>
    <definedName name="ttbt" localSheetId="9">#REF!</definedName>
    <definedName name="ttbt">#REF!</definedName>
    <definedName name="TTDD" localSheetId="9">#REF!</definedName>
    <definedName name="TTDD">#REF!</definedName>
    <definedName name="TTDDCT3p" localSheetId="9">#REF!</definedName>
    <definedName name="TTDDCT3p">#REF!</definedName>
    <definedName name="tthi" localSheetId="9">#REF!</definedName>
    <definedName name="tthi">#REF!</definedName>
    <definedName name="ttronmk" localSheetId="9">#REF!</definedName>
    <definedName name="ttronmk">#REF!</definedName>
    <definedName name="tttt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tt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tttt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ttt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URNBACK" localSheetId="9">INDIRECT("09_STD_EXPORT_标准成本计算表!"&amp;""&amp;"G"&amp;""&amp;MATCH(!$K$1,#REF!,0))</definedName>
    <definedName name="TURNBACK">INDIRECT("09_STD_EXPORT_标准成本计算表!"&amp;""&amp;"G"&amp;""&amp;MATCH(!$K$1,#REF!,0))</definedName>
    <definedName name="tv75nc" localSheetId="9">#REF!</definedName>
    <definedName name="tv75nc">#REF!</definedName>
    <definedName name="tv75vl" localSheetId="9">#REF!</definedName>
    <definedName name="tv75vl">#REF!</definedName>
    <definedName name="TXL">#N/A</definedName>
    <definedName name="ty" localSheetId="9">#REF!</definedName>
    <definedName name="ty">#REF!</definedName>
    <definedName name="ty_le" localSheetId="9">#REF!</definedName>
    <definedName name="ty_le">#REF!</definedName>
    <definedName name="ty_le_BTN" localSheetId="9">#REF!</definedName>
    <definedName name="ty_le_BTN">#REF!</definedName>
    <definedName name="Ty_le1" localSheetId="9">#REF!</definedName>
    <definedName name="Ty_le1">#REF!</definedName>
    <definedName name="TYU" localSheetId="9">#REF!</definedName>
    <definedName name="TYU">#REF!</definedName>
    <definedName name="Überleitung_DB" localSheetId="9">#REF!</definedName>
    <definedName name="Überleitung_DB">#REF!</definedName>
    <definedName name="Überleitung_Eingabe" localSheetId="9">#REF!,#REF!,#REF!,#REF!,#REF!</definedName>
    <definedName name="Überleitung_Eingabe">#REF!,#REF!,#REF!,#REF!,#REF!</definedName>
    <definedName name="Überleitung_Ende" localSheetId="9">#REF!</definedName>
    <definedName name="Überleitung_Ende">#REF!</definedName>
    <definedName name="Überleitung_Start" localSheetId="9">#REF!</definedName>
    <definedName name="Überleitung_Start">#REF!</definedName>
    <definedName name="UFPrn20040307090525" localSheetId="9">#REF!</definedName>
    <definedName name="UFPrn20040307090525">#REF!</definedName>
    <definedName name="UFPrn20040726091933" localSheetId="9">#REF!</definedName>
    <definedName name="UFPrn20040726091933">#REF!</definedName>
    <definedName name="UFPrn20040812141748" localSheetId="9">#REF!</definedName>
    <definedName name="UFPrn20040812141748">#REF!</definedName>
    <definedName name="UFPrn20040812141839" localSheetId="9">#REF!</definedName>
    <definedName name="UFPrn20040812141839">#REF!</definedName>
    <definedName name="UFPrn20040907140125" localSheetId="9">#REF!</definedName>
    <definedName name="UFPrn20040907140125">#REF!</definedName>
    <definedName name="UFPrn20040908134652" localSheetId="9">#REF!</definedName>
    <definedName name="UFPrn20040908134652">#REF!</definedName>
    <definedName name="UFPrn20040908142005" localSheetId="9">#REF!</definedName>
    <definedName name="UFPrn20040908142005">#REF!</definedName>
    <definedName name="UFPrn20040908194024" localSheetId="9">#REF!</definedName>
    <definedName name="UFPrn20040908194024">#REF!</definedName>
    <definedName name="UFPrn20060209101325" localSheetId="9">#REF!</definedName>
    <definedName name="UFPrn20060209101325">#REF!</definedName>
    <definedName name="UFPrn20060619133457" localSheetId="9">#REF!</definedName>
    <definedName name="UFPrn20060619133457">#REF!</definedName>
    <definedName name="UFPrn20060718080716" localSheetId="9">#REF!</definedName>
    <definedName name="UFPrn20060718080716">#REF!</definedName>
    <definedName name="UFPrn20060911132821" localSheetId="9">#REF!</definedName>
    <definedName name="UFPrn20060911132821">#REF!</definedName>
    <definedName name="UFPrn20070403092159" localSheetId="9">#REF!</definedName>
    <definedName name="UFPrn20070403092159">#REF!</definedName>
    <definedName name="UFPrn20070408164725" localSheetId="9">#REF!</definedName>
    <definedName name="UFPrn20070408164725">#REF!</definedName>
    <definedName name="UFPrn20070510144339" localSheetId="9">#REF!</definedName>
    <definedName name="UFPrn20070510144339">#REF!</definedName>
    <definedName name="UFPrn20070511091410" localSheetId="9">#REF!</definedName>
    <definedName name="UFPrn20070511091410">#REF!</definedName>
    <definedName name="UFPrn20070511145629" localSheetId="9">#REF!</definedName>
    <definedName name="UFPrn20070511145629">#REF!</definedName>
    <definedName name="UFPrn20070808151404" localSheetId="9">#REF!</definedName>
    <definedName name="UFPrn20070808151404">#REF!</definedName>
    <definedName name="UFPrn20070830143250" localSheetId="9">#REF!</definedName>
    <definedName name="UFPrn20070830143250">#REF!</definedName>
    <definedName name="UFPrn20070910200831" localSheetId="9">#REF!</definedName>
    <definedName name="UFPrn20070910200831">#REF!</definedName>
    <definedName name="UFPrn20080110145527" localSheetId="9">#REF!</definedName>
    <definedName name="UFPrn20080110145527">#REF!</definedName>
    <definedName name="UFPrn20080112173740" localSheetId="9">#REF!</definedName>
    <definedName name="UFPrn20080112173740">#REF!</definedName>
    <definedName name="UFPrn20080113100755" localSheetId="9">#REF!</definedName>
    <definedName name="UFPrn20080113100755">#REF!</definedName>
    <definedName name="UFPrn20080113141141" localSheetId="9">#REF!</definedName>
    <definedName name="UFPrn20080113141141">#REF!</definedName>
    <definedName name="UFPrn20080309105151" localSheetId="9">#REF!</definedName>
    <definedName name="UFPrn20080309105151">#REF!</definedName>
    <definedName name="UFPrn20080309121540" localSheetId="9">#REF!</definedName>
    <definedName name="UFPrn20080309121540">#REF!</definedName>
    <definedName name="UFPrn20080309122017" localSheetId="9">#REF!</definedName>
    <definedName name="UFPrn20080309122017">#REF!</definedName>
    <definedName name="UFPrn20080311203947" localSheetId="9">#REF!</definedName>
    <definedName name="UFPrn20080311203947">#REF!</definedName>
    <definedName name="UFPrn20080311210649" localSheetId="9">#REF!</definedName>
    <definedName name="UFPrn20080311210649">#REF!</definedName>
    <definedName name="UFPrn20080711135145" localSheetId="9">#REF!</definedName>
    <definedName name="UFPrn20080711135145">#REF!</definedName>
    <definedName name="UFPrn20080820202221" localSheetId="9">#REF!</definedName>
    <definedName name="UFPrn20080820202221">#REF!</definedName>
    <definedName name="UFPrn20080821091044" localSheetId="9">#REF!</definedName>
    <definedName name="UFPrn20080821091044">#REF!</definedName>
    <definedName name="UFPrn20080911103747" localSheetId="9">#REF!</definedName>
    <definedName name="UFPrn20080911103747">#REF!</definedName>
    <definedName name="UFPrn20080911103816" localSheetId="9">#REF!</definedName>
    <definedName name="UFPrn20080911103816">#REF!</definedName>
    <definedName name="UFPrn20080911133101" localSheetId="9">#REF!</definedName>
    <definedName name="UFPrn20080911133101">#REF!</definedName>
    <definedName name="UFPrn20080911133300" localSheetId="9">#REF!</definedName>
    <definedName name="UFPrn20080911133300">#REF!</definedName>
    <definedName name="UFPrn20081013131046" localSheetId="9">#REF!</definedName>
    <definedName name="UFPrn20081013131046">#REF!</definedName>
    <definedName name="UFPrn20081013131211" localSheetId="9">#REF!</definedName>
    <definedName name="UFPrn20081013131211">#REF!</definedName>
    <definedName name="UFPrn20081111175139" localSheetId="9">#REF!</definedName>
    <definedName name="UFPrn20081111175139">#REF!</definedName>
    <definedName name="UFPrn20081111180955" localSheetId="9">#REF!</definedName>
    <definedName name="UFPrn20081111180955">#REF!</definedName>
    <definedName name="UFPrn20090111160623" localSheetId="9">#REF!</definedName>
    <definedName name="UFPrn20090111160623">#REF!</definedName>
    <definedName name="UFPrn20090311145703" localSheetId="9">#REF!</definedName>
    <definedName name="UFPrn20090311145703">#REF!</definedName>
    <definedName name="UFPrn20090311145809" localSheetId="9">#REF!</definedName>
    <definedName name="UFPrn20090311145809">#REF!</definedName>
    <definedName name="UFPrn20090311145904" localSheetId="9">#REF!</definedName>
    <definedName name="UFPrn20090311145904">#REF!</definedName>
    <definedName name="UFPrn20090311150600" localSheetId="9">#REF!</definedName>
    <definedName name="UFPrn20090311150600">#REF!</definedName>
    <definedName name="UFPrn20090311154256" localSheetId="9">#REF!</definedName>
    <definedName name="UFPrn20090311154256">#REF!</definedName>
    <definedName name="UFPrn20090316164432" localSheetId="9">#REF!</definedName>
    <definedName name="UFPrn20090316164432">#REF!</definedName>
    <definedName name="UFPrn20090321085735" localSheetId="9">#REF!</definedName>
    <definedName name="UFPrn20090321085735">#REF!</definedName>
    <definedName name="UFPrn20090321090017" localSheetId="9">#REF!</definedName>
    <definedName name="UFPrn20090321090017">#REF!</definedName>
    <definedName name="UFPrn20090321133401" localSheetId="9">#REF!</definedName>
    <definedName name="UFPrn20090321133401">#REF!</definedName>
    <definedName name="UFPrn20090322163121" localSheetId="9">#REF!</definedName>
    <definedName name="UFPrn20090322163121">#REF!</definedName>
    <definedName name="UFPrn20090323114938" localSheetId="9">#REF!</definedName>
    <definedName name="UFPrn20090323114938">#REF!</definedName>
    <definedName name="UFPrn20090323152818" localSheetId="9">#REF!</definedName>
    <definedName name="UFPrn20090323152818">#REF!</definedName>
    <definedName name="UFPrn20090323153515" localSheetId="9">#REF!</definedName>
    <definedName name="UFPrn20090323153515">#REF!</definedName>
    <definedName name="UFPrn20090415154333" localSheetId="9">#REF!</definedName>
    <definedName name="UFPrn20090415154333">#REF!</definedName>
    <definedName name="UFPrn20090415214439" localSheetId="9">#REF!</definedName>
    <definedName name="UFPrn20090415214439">#REF!</definedName>
    <definedName name="UFPrn20090415214838" localSheetId="9">#REF!</definedName>
    <definedName name="UFPrn20090415214838">#REF!</definedName>
    <definedName name="UFPrn20090416090741" localSheetId="9">#REF!</definedName>
    <definedName name="UFPrn20090416090741">#REF!</definedName>
    <definedName name="UFPrn20091020081531" localSheetId="9">#REF!</definedName>
    <definedName name="UFPrn20091020081531">#REF!</definedName>
    <definedName name="UFPrn20091020082219" localSheetId="9">#REF!</definedName>
    <definedName name="UFPrn20091020082219">#REF!</definedName>
    <definedName name="UFPrn20091020082643" localSheetId="9">#REF!</definedName>
    <definedName name="UFPrn20091020082643">#REF!</definedName>
    <definedName name="UFPrn20091201154615" localSheetId="9">#REF!</definedName>
    <definedName name="UFPrn20091201154615">#REF!</definedName>
    <definedName name="UFPrn20100118085714" localSheetId="9">#REF!</definedName>
    <definedName name="UFPrn20100118085714">#REF!</definedName>
    <definedName name="UFPrn20100224145859" localSheetId="9">#REF!</definedName>
    <definedName name="UFPrn20100224145859">#REF!</definedName>
    <definedName name="UFPrn20100618111500" localSheetId="9">#REF!</definedName>
    <definedName name="UFPrn20100618111500">#REF!</definedName>
    <definedName name="UFPrn20100729085941" localSheetId="9">#REF!</definedName>
    <definedName name="UFPrn20100729085941">#REF!</definedName>
    <definedName name="UFPrn20100914083828" localSheetId="9">#REF!</definedName>
    <definedName name="UFPrn20100914083828">#REF!</definedName>
    <definedName name="UFPrn20100915111121" localSheetId="9">#REF!</definedName>
    <definedName name="UFPrn20100915111121">#REF!</definedName>
    <definedName name="UFPrn20101013130415" localSheetId="9">#REF!</definedName>
    <definedName name="UFPrn20101013130415">#REF!</definedName>
    <definedName name="UFPrn20101022114100" localSheetId="9">#REF!</definedName>
    <definedName name="UFPrn20101022114100">#REF!</definedName>
    <definedName name="UFPrn20110223110834" localSheetId="9">#REF!</definedName>
    <definedName name="UFPrn20110223110834">#REF!</definedName>
    <definedName name="UFPrn20110228094712" localSheetId="9">#REF!</definedName>
    <definedName name="UFPrn20110228094712">#REF!</definedName>
    <definedName name="UFPrn20110312113110" localSheetId="9">#REF!</definedName>
    <definedName name="UFPrn20110312113110">#REF!</definedName>
    <definedName name="UFPrn20110312113153" localSheetId="9">#REF!</definedName>
    <definedName name="UFPrn20110312113153">#REF!</definedName>
    <definedName name="UFPrn20110312113228" localSheetId="9">#REF!</definedName>
    <definedName name="UFPrn20110312113228">#REF!</definedName>
    <definedName name="UFPrn20110312113816" localSheetId="9">#REF!</definedName>
    <definedName name="UFPrn20110312113816">#REF!</definedName>
    <definedName name="UFPrn20110314081841" localSheetId="9">#REF!</definedName>
    <definedName name="UFPrn20110314081841">#REF!</definedName>
    <definedName name="UFPrn20110314131511" localSheetId="9">#REF!</definedName>
    <definedName name="UFPrn20110314131511">#REF!</definedName>
    <definedName name="UFPrn20110314132052" localSheetId="9">#REF!</definedName>
    <definedName name="UFPrn20110314132052">#REF!</definedName>
    <definedName name="UFPrn20110506165142" localSheetId="9">#REF!</definedName>
    <definedName name="UFPrn20110506165142">#REF!</definedName>
    <definedName name="UFPrn20110506165356" localSheetId="9">#REF!</definedName>
    <definedName name="UFPrn20110506165356">#REF!</definedName>
    <definedName name="UFPrn20110509084038" localSheetId="9">#REF!</definedName>
    <definedName name="UFPrn20110509084038">#REF!</definedName>
    <definedName name="UFPrn20110607095000" localSheetId="9">#REF!</definedName>
    <definedName name="UFPrn20110607095000">#REF!</definedName>
    <definedName name="UFPrn20110608131553" localSheetId="9">#REF!</definedName>
    <definedName name="UFPrn20110608131553">#REF!</definedName>
    <definedName name="UFPrn20110608154512" localSheetId="9">#REF!</definedName>
    <definedName name="UFPrn20110608154512">#REF!</definedName>
    <definedName name="UFPrn20110608154633" localSheetId="9">#REF!</definedName>
    <definedName name="UFPrn20110608154633">#REF!</definedName>
    <definedName name="UFPrn20110608154741" localSheetId="9">#REF!</definedName>
    <definedName name="UFPrn20110608154741">#REF!</definedName>
    <definedName name="UFPrn20110608154850" localSheetId="9">#REF!</definedName>
    <definedName name="UFPrn20110608154850">#REF!</definedName>
    <definedName name="UFPrn20110706095824" localSheetId="9">#REF!</definedName>
    <definedName name="UFPrn20110706095824">#REF!</definedName>
    <definedName name="UFPrn20110706102816" localSheetId="9">#REF!</definedName>
    <definedName name="UFPrn20110706102816">#REF!</definedName>
    <definedName name="UFPrn20110706103124" localSheetId="9">#REF!</definedName>
    <definedName name="UFPrn20110706103124">#REF!</definedName>
    <definedName name="UFPrn20110706103236" localSheetId="9">#REF!</definedName>
    <definedName name="UFPrn20110706103236">#REF!</definedName>
    <definedName name="UFPrn20110706124743" localSheetId="9">#REF!</definedName>
    <definedName name="UFPrn20110706124743">#REF!</definedName>
    <definedName name="UFPrn20110707081037" localSheetId="9">#REF!</definedName>
    <definedName name="UFPrn20110707081037">#REF!</definedName>
    <definedName name="UFPrn20110802151114" localSheetId="9">#REF!</definedName>
    <definedName name="UFPrn20110802151114">#REF!</definedName>
    <definedName name="UFPrn20110805124424" localSheetId="9">#REF!</definedName>
    <definedName name="UFPrn20110805124424">#REF!</definedName>
    <definedName name="UFPrn20110805131938" localSheetId="9">#REF!</definedName>
    <definedName name="UFPrn20110805131938">#REF!</definedName>
    <definedName name="UFPrn20110901083638" localSheetId="9">#REF!</definedName>
    <definedName name="UFPrn20110901083638">#REF!</definedName>
    <definedName name="UFPrn20110905143956" localSheetId="9">#REF!</definedName>
    <definedName name="UFPrn20110905143956">#REF!</definedName>
    <definedName name="UFPrn20110907083942" localSheetId="9">#REF!</definedName>
    <definedName name="UFPrn20110907083942">#REF!</definedName>
    <definedName name="UFPrn20110907143602" localSheetId="9">#REF!</definedName>
    <definedName name="UFPrn20110907143602">#REF!</definedName>
    <definedName name="UFPrn20111009162258" localSheetId="9">#REF!</definedName>
    <definedName name="UFPrn20111009162258">#REF!</definedName>
    <definedName name="UFPrn20111009162430" localSheetId="9">#REF!</definedName>
    <definedName name="UFPrn20111009162430">#REF!</definedName>
    <definedName name="UFPrn20111104093902" localSheetId="9">#REF!</definedName>
    <definedName name="UFPrn20111104093902">#REF!</definedName>
    <definedName name="UFPrn20111104094418" localSheetId="9">#REF!</definedName>
    <definedName name="UFPrn20111104094418">#REF!</definedName>
    <definedName name="UFPrn20111206174234" localSheetId="9">#REF!</definedName>
    <definedName name="UFPrn20111206174234">#REF!</definedName>
    <definedName name="UFPrn20111207185704" localSheetId="9">#REF!</definedName>
    <definedName name="UFPrn20111207185704">#REF!</definedName>
    <definedName name="UFPrn20120308085547" localSheetId="9">#REF!</definedName>
    <definedName name="UFPrn20120308085547">#REF!</definedName>
    <definedName name="UFPrn20120315101023" localSheetId="9">#REF!</definedName>
    <definedName name="UFPrn20120315101023">#REF!</definedName>
    <definedName name="UFPrn20120406164734" localSheetId="9">#REF!</definedName>
    <definedName name="UFPrn20120406164734">#REF!</definedName>
    <definedName name="UFPrn20120409123857" localSheetId="9">#REF!</definedName>
    <definedName name="UFPrn20120409123857">#REF!</definedName>
    <definedName name="UFPrn20120409161805" localSheetId="9">#REF!</definedName>
    <definedName name="UFPrn20120409161805">#REF!</definedName>
    <definedName name="UFPrn20120410135245" localSheetId="9">#REF!</definedName>
    <definedName name="UFPrn20120410135245">#REF!</definedName>
    <definedName name="UFPrn20120507110003" localSheetId="9">#REF!</definedName>
    <definedName name="UFPrn20120507110003">#REF!</definedName>
    <definedName name="UFPrn20120908122839" localSheetId="9">#REF!</definedName>
    <definedName name="UFPrn20120908122839">#REF!</definedName>
    <definedName name="UFPrn20121106155432" localSheetId="9">#REF!</definedName>
    <definedName name="UFPrn20121106155432">#REF!</definedName>
    <definedName name="UFPrn20121205170425" localSheetId="9">#REF!</definedName>
    <definedName name="UFPrn20121205170425">#REF!</definedName>
    <definedName name="UFPrn20121206151333" localSheetId="9">#REF!</definedName>
    <definedName name="UFPrn20121206151333">#REF!</definedName>
    <definedName name="UFPrn20130926133927" localSheetId="9">#REF!</definedName>
    <definedName name="UFPrn20130926133927">#REF!</definedName>
    <definedName name="UFPrn20160217150326" localSheetId="9">#REF!</definedName>
    <definedName name="UFPrn20160217150326">#REF!</definedName>
    <definedName name="UFPrn20160217150449" localSheetId="9">#REF!</definedName>
    <definedName name="UFPrn20160217150449">#REF!</definedName>
    <definedName name="UFPrn20160301112822" localSheetId="9">#REF!</definedName>
    <definedName name="UFPrn20160301112822">#REF!</definedName>
    <definedName name="UFPrn20160315133614" localSheetId="9">#REF!</definedName>
    <definedName name="UFPrn20160315133614">#REF!</definedName>
    <definedName name="UFPrn20160405103344" localSheetId="9">#REF!</definedName>
    <definedName name="UFPrn20160405103344">#REF!</definedName>
    <definedName name="UFPrn20160405173412" localSheetId="9">#REF!</definedName>
    <definedName name="UFPrn20160405173412">#REF!</definedName>
    <definedName name="UFPrn20160425163611" localSheetId="9">#REF!</definedName>
    <definedName name="UFPrn20160425163611">#REF!</definedName>
    <definedName name="UFPrn20160505100929" localSheetId="9">#REF!</definedName>
    <definedName name="UFPrn20160505100929">#REF!</definedName>
    <definedName name="UFPrn20160505101205" localSheetId="9">#REF!</definedName>
    <definedName name="UFPrn20160505101205">#REF!</definedName>
    <definedName name="UFPrn20160602171851" localSheetId="9">#REF!</definedName>
    <definedName name="UFPrn20160602171851">#REF!</definedName>
    <definedName name="UFPrn20160712102814" localSheetId="9">#REF!</definedName>
    <definedName name="UFPrn20160712102814">#REF!</definedName>
    <definedName name="UFPrn20160804132814" localSheetId="9">#REF!</definedName>
    <definedName name="UFPrn20160804132814">#REF!</definedName>
    <definedName name="UFPrn20160805093936" localSheetId="9">#REF!</definedName>
    <definedName name="UFPrn20160805093936">#REF!</definedName>
    <definedName name="UFPrn20160811132810" localSheetId="9">#REF!</definedName>
    <definedName name="UFPrn20160811132810">#REF!</definedName>
    <definedName name="UFPrn20161214093413" localSheetId="9">#REF!</definedName>
    <definedName name="UFPrn20161214093413">#REF!</definedName>
    <definedName name="UFPrn20170105092535" localSheetId="9">#REF!</definedName>
    <definedName name="UFPrn20170105092535">#REF!</definedName>
    <definedName name="UFPrn20170105162652" localSheetId="9">#REF!</definedName>
    <definedName name="UFPrn20170105162652">#REF!</definedName>
    <definedName name="UFPrn20170106135035" localSheetId="9">#REF!</definedName>
    <definedName name="UFPrn20170106135035">#REF!</definedName>
    <definedName name="UFPrn20170106142914" localSheetId="9">#REF!</definedName>
    <definedName name="UFPrn20170106142914">#REF!</definedName>
    <definedName name="UFPrn20170106142947" localSheetId="9">#REF!</definedName>
    <definedName name="UFPrn20170106142947">#REF!</definedName>
    <definedName name="UFPrn20170107123845" localSheetId="9">#REF!</definedName>
    <definedName name="UFPrn20170107123845">#REF!</definedName>
    <definedName name="UFPrn20170116144549" localSheetId="9">#REF!</definedName>
    <definedName name="UFPrn20170116144549">#REF!</definedName>
    <definedName name="UFPrn20170208135627" localSheetId="9">#REF!</definedName>
    <definedName name="UFPrn20170208135627">#REF!</definedName>
    <definedName name="UFPrn20170209173555" localSheetId="9">#REF!</definedName>
    <definedName name="UFPrn20170209173555">#REF!</definedName>
    <definedName name="UFPrn20170306115246" localSheetId="9">#REF!</definedName>
    <definedName name="UFPrn20170306115246">#REF!</definedName>
    <definedName name="UFPrn20170508104430" localSheetId="9">#REF!</definedName>
    <definedName name="UFPrn20170508104430">#REF!</definedName>
    <definedName name="UFPrn20170508135507" localSheetId="9">#REF!</definedName>
    <definedName name="UFPrn20170508135507">#REF!</definedName>
    <definedName name="UFPrn20170705144357" localSheetId="9">#REF!</definedName>
    <definedName name="UFPrn20170705144357">#REF!</definedName>
    <definedName name="UFPrn20170705144614" localSheetId="9">#REF!</definedName>
    <definedName name="UFPrn20170705144614">#REF!</definedName>
    <definedName name="UFPrn20170807093913" localSheetId="9">#REF!</definedName>
    <definedName name="UFPrn20170807093913">#REF!</definedName>
    <definedName name="UFPrn20170907144938" localSheetId="9">#REF!</definedName>
    <definedName name="UFPrn20170907144938">#REF!</definedName>
    <definedName name="UFPrn20171006175654" localSheetId="9">#REF!</definedName>
    <definedName name="UFPrn20171006175654">#REF!</definedName>
    <definedName name="UFPrn20171006175905" localSheetId="9">#REF!</definedName>
    <definedName name="UFPrn20171006175905">#REF!</definedName>
    <definedName name="UFPrn20171010143532" localSheetId="9">#REF!</definedName>
    <definedName name="UFPrn20171010143532">#REF!</definedName>
    <definedName name="UFPrn20171010144119" localSheetId="9">#REF!</definedName>
    <definedName name="UFPrn20171010144119">#REF!</definedName>
    <definedName name="UFPrn20171206091823" localSheetId="9">#REF!</definedName>
    <definedName name="UFPrn20171206091823">#REF!</definedName>
    <definedName name="UFPrn20171214105740" localSheetId="9">#REF!</definedName>
    <definedName name="UFPrn20171214105740">#REF!</definedName>
    <definedName name="UFPrn20180108112427" localSheetId="9">#REF!</definedName>
    <definedName name="UFPrn20180108112427">#REF!</definedName>
    <definedName name="UFPrn20180110115602" localSheetId="9">#REF!</definedName>
    <definedName name="UFPrn20180110115602">#REF!</definedName>
    <definedName name="UFPrn20180208170946" localSheetId="9">#REF!</definedName>
    <definedName name="UFPrn20180208170946">#REF!</definedName>
    <definedName name="UFPrn20180306110044" localSheetId="9">#REF!</definedName>
    <definedName name="UFPrn20180306110044">#REF!</definedName>
    <definedName name="UFPrn20180413100810" localSheetId="9">#REF!</definedName>
    <definedName name="UFPrn20180413100810">#REF!</definedName>
    <definedName name="UFPrn20180505143952" localSheetId="9">#REF!</definedName>
    <definedName name="UFPrn20180505143952">#REF!</definedName>
    <definedName name="UFPrn20180505154754" localSheetId="9">#REF!</definedName>
    <definedName name="UFPrn20180505154754">#REF!</definedName>
    <definedName name="UFPrn20180516145539" localSheetId="9">#REF!</definedName>
    <definedName name="UFPrn20180516145539">#REF!</definedName>
    <definedName name="UFPrn20180612103610" localSheetId="9">#REF!</definedName>
    <definedName name="UFPrn20180612103610">#REF!</definedName>
    <definedName name="UFPrn20180619160122" localSheetId="9">#REF!</definedName>
    <definedName name="UFPrn20180619160122">#REF!</definedName>
    <definedName name="UFPrn20180803142522" localSheetId="9">#REF!</definedName>
    <definedName name="UFPrn20180803142522">#REF!</definedName>
    <definedName name="UFPrn20180803151337" localSheetId="9">#REF!</definedName>
    <definedName name="UFPrn20180803151337">#REF!</definedName>
    <definedName name="UFPrn20181015091203" localSheetId="9">#REF!</definedName>
    <definedName name="UFPrn20181015091203">#REF!</definedName>
    <definedName name="UFPrn20181019145605" localSheetId="9">#REF!</definedName>
    <definedName name="UFPrn20181019145605">#REF!</definedName>
    <definedName name="UFPrn20181019165642" localSheetId="9">#REF!</definedName>
    <definedName name="UFPrn20181019165642">#REF!</definedName>
    <definedName name="UFPrn20181019170516" localSheetId="9">#REF!</definedName>
    <definedName name="UFPrn20181019170516">#REF!</definedName>
    <definedName name="UFPrn20181105105423" localSheetId="9">#REF!</definedName>
    <definedName name="UFPrn20181105105423">#REF!</definedName>
    <definedName name="UFPrn20181106094035" localSheetId="9">#REF!</definedName>
    <definedName name="UFPrn20181106094035">#REF!</definedName>
    <definedName name="UFPrn20181205132835" localSheetId="9">#REF!</definedName>
    <definedName name="UFPrn20181205132835">#REF!</definedName>
    <definedName name="UFPrn20190107110758" localSheetId="9">#REF!</definedName>
    <definedName name="UFPrn20190107110758">#REF!</definedName>
    <definedName name="UFPrn20190108103414" localSheetId="9">#REF!</definedName>
    <definedName name="UFPrn20190108103414">#REF!</definedName>
    <definedName name="UFPrn20190108180257" localSheetId="9">#REF!</definedName>
    <definedName name="UFPrn20190108180257">#REF!</definedName>
    <definedName name="UFPrn20190109141935" localSheetId="9">#REF!</definedName>
    <definedName name="UFPrn20190109141935">#REF!</definedName>
    <definedName name="UFPrn20190213092225" localSheetId="9">#REF!</definedName>
    <definedName name="UFPrn20190213092225">#REF!</definedName>
    <definedName name="UFPrn20190306151616" localSheetId="9">#REF!</definedName>
    <definedName name="UFPrn20190306151616">#REF!</definedName>
    <definedName name="UFPrn20190409150916" localSheetId="9">#REF!</definedName>
    <definedName name="UFPrn20190409150916">#REF!</definedName>
    <definedName name="UFPrn20190506135146" localSheetId="9">#REF!</definedName>
    <definedName name="UFPrn20190506135146">#REF!</definedName>
    <definedName name="UFPrn20190806091455" localSheetId="9">#REF!</definedName>
    <definedName name="UFPrn20190806091455">#REF!</definedName>
    <definedName name="UFPrn20191008103428" localSheetId="9">#REF!</definedName>
    <definedName name="UFPrn20191008103428">#REF!</definedName>
    <definedName name="UFPrn20191203104536" localSheetId="9">#REF!</definedName>
    <definedName name="UFPrn20191203104536">#REF!</definedName>
    <definedName name="UFPrn20200213153353" localSheetId="9">#REF!</definedName>
    <definedName name="UFPrn20200213153353">#REF!</definedName>
    <definedName name="UFPrn20200224090018" localSheetId="9">#REF!</definedName>
    <definedName name="UFPrn20200224090018">#REF!</definedName>
    <definedName name="UFPrn20200228145325" localSheetId="9">#REF!</definedName>
    <definedName name="UFPrn20200228145325">#REF!</definedName>
    <definedName name="UFPrn20200304134318" localSheetId="9">#REF!</definedName>
    <definedName name="UFPrn20200304134318">#REF!</definedName>
    <definedName name="UFPrn20200309140500" localSheetId="9">#REF!</definedName>
    <definedName name="UFPrn20200309140500">#REF!</definedName>
    <definedName name="UFPrn20200503114338" localSheetId="9">#REF!</definedName>
    <definedName name="UFPrn20200503114338">#REF!</definedName>
    <definedName name="UFPrn20200507092901" localSheetId="9">#REF!</definedName>
    <definedName name="UFPrn20200507092901">#REF!</definedName>
    <definedName name="UFPrn20200508091120" localSheetId="9">#REF!</definedName>
    <definedName name="UFPrn20200508091120">#REF!</definedName>
    <definedName name="UFPrn20200713094632" localSheetId="9">#REF!</definedName>
    <definedName name="UFPrn20200713094632">#REF!</definedName>
    <definedName name="UFPrn20200914155832" localSheetId="9">#REF!</definedName>
    <definedName name="UFPrn20200914155832">#REF!</definedName>
    <definedName name="UFPrn20201003160641" localSheetId="9">#REF!</definedName>
    <definedName name="UFPrn20201003160641">#REF!</definedName>
    <definedName name="UFPrn20201004122757" localSheetId="9">#REF!</definedName>
    <definedName name="UFPrn20201004122757">#REF!</definedName>
    <definedName name="UFPrn20201102100110" localSheetId="9">#REF!</definedName>
    <definedName name="UFPrn20201102100110">#REF!</definedName>
    <definedName name="UFPrn20201104091235" localSheetId="9">#REF!</definedName>
    <definedName name="UFPrn20201104091235">#REF!</definedName>
    <definedName name="UFPrn20201207133934" localSheetId="9">#REF!</definedName>
    <definedName name="UFPrn20201207133934">#REF!</definedName>
    <definedName name="UFPrn20210219094824" localSheetId="9">#REF!</definedName>
    <definedName name="UFPrn20210219094824">#REF!</definedName>
    <definedName name="UFPrn20210223165249" localSheetId="9">#REF!</definedName>
    <definedName name="UFPrn20210223165249">#REF!</definedName>
    <definedName name="UFPrn20210305134417" localSheetId="9">#REF!</definedName>
    <definedName name="UFPrn20210305134417">#REF!</definedName>
    <definedName name="UFPrn20210316143204" localSheetId="9">#REF!</definedName>
    <definedName name="UFPrn20210316143204">#REF!</definedName>
    <definedName name="UFPrn20210402093029" localSheetId="9">#REF!</definedName>
    <definedName name="UFPrn20210402093029">#REF!</definedName>
    <definedName name="UFPrn20210406135437" localSheetId="9">#REF!</definedName>
    <definedName name="UFPrn20210406135437">#REF!</definedName>
    <definedName name="UFPrn20210407090422" localSheetId="9">#REF!</definedName>
    <definedName name="UFPrn20210407090422">#REF!</definedName>
    <definedName name="UFPrn20210408145505" localSheetId="9">#REF!</definedName>
    <definedName name="UFPrn20210408145505">#REF!</definedName>
    <definedName name="UFPrn20210601170007" localSheetId="9">#REF!</definedName>
    <definedName name="UFPrn20210601170007">#REF!</definedName>
    <definedName name="UFPrn20210602153204" localSheetId="9">#REF!</definedName>
    <definedName name="UFPrn20210602153204">#REF!</definedName>
    <definedName name="UFPrn20210604090138" localSheetId="9">#REF!</definedName>
    <definedName name="UFPrn20210604090138">#REF!</definedName>
    <definedName name="UFPrn20210607102139" localSheetId="9">#REF!</definedName>
    <definedName name="UFPrn20210607102139">#REF!</definedName>
    <definedName name="UIO" localSheetId="9">#REF!</definedName>
    <definedName name="UIO">#REF!</definedName>
    <definedName name="uk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uk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unit" localSheetId="9">#REF!</definedName>
    <definedName name="unit">#REF!</definedName>
    <definedName name="v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_12">!G1</definedName>
    <definedName name="VAÄT_LIEÄU">"ATRAM"</definedName>
    <definedName name="Value0" localSheetId="9">#REF!</definedName>
    <definedName name="Value0">#REF!</definedName>
    <definedName name="Value1" localSheetId="9">#REF!</definedName>
    <definedName name="Value1">#REF!</definedName>
    <definedName name="Value10" localSheetId="9">#REF!</definedName>
    <definedName name="Value10">#REF!</definedName>
    <definedName name="Value11" localSheetId="9">#REF!</definedName>
    <definedName name="Value11">#REF!</definedName>
    <definedName name="Value12" localSheetId="9">#REF!</definedName>
    <definedName name="Value12">#REF!</definedName>
    <definedName name="Value13" localSheetId="9">#REF!</definedName>
    <definedName name="Value13">#REF!</definedName>
    <definedName name="Value14" localSheetId="9">#REF!</definedName>
    <definedName name="Value14">#REF!</definedName>
    <definedName name="Value15" localSheetId="9">#REF!</definedName>
    <definedName name="Value15">#REF!</definedName>
    <definedName name="Value16" localSheetId="9">#REF!</definedName>
    <definedName name="Value16">#REF!</definedName>
    <definedName name="Value17" localSheetId="9">#REF!</definedName>
    <definedName name="Value17">#REF!</definedName>
    <definedName name="Value18" localSheetId="9">#REF!</definedName>
    <definedName name="Value18">#REF!</definedName>
    <definedName name="Value19" localSheetId="9">#REF!</definedName>
    <definedName name="Value19">#REF!</definedName>
    <definedName name="Value2" localSheetId="9">#REF!</definedName>
    <definedName name="Value2">#REF!</definedName>
    <definedName name="Value20" localSheetId="9">#REF!</definedName>
    <definedName name="Value20">#REF!</definedName>
    <definedName name="Value21" localSheetId="9">#REF!</definedName>
    <definedName name="Value21">#REF!</definedName>
    <definedName name="Value22" localSheetId="9">#REF!</definedName>
    <definedName name="Value22">#REF!</definedName>
    <definedName name="Value23" localSheetId="9">#REF!</definedName>
    <definedName name="Value23">#REF!</definedName>
    <definedName name="Value24" localSheetId="9">#REF!</definedName>
    <definedName name="Value24">#REF!</definedName>
    <definedName name="Value25" localSheetId="9">#REF!</definedName>
    <definedName name="Value25">#REF!</definedName>
    <definedName name="Value26" localSheetId="9">#REF!</definedName>
    <definedName name="Value26">#REF!</definedName>
    <definedName name="Value27" localSheetId="9">#REF!</definedName>
    <definedName name="Value27">#REF!</definedName>
    <definedName name="Value28" localSheetId="9">#REF!</definedName>
    <definedName name="Value28">#REF!</definedName>
    <definedName name="Value29" localSheetId="9">#REF!</definedName>
    <definedName name="Value29">#REF!</definedName>
    <definedName name="Value3" localSheetId="9">#REF!</definedName>
    <definedName name="Value3">#REF!</definedName>
    <definedName name="Value30" localSheetId="9">#REF!</definedName>
    <definedName name="Value30">#REF!</definedName>
    <definedName name="Value31" localSheetId="9">#REF!</definedName>
    <definedName name="Value31">#REF!</definedName>
    <definedName name="Value32" localSheetId="9">#REF!</definedName>
    <definedName name="Value32">#REF!</definedName>
    <definedName name="Value33" localSheetId="9">#REF!</definedName>
    <definedName name="Value33">#REF!</definedName>
    <definedName name="Value34" localSheetId="9">#REF!</definedName>
    <definedName name="Value34">#REF!</definedName>
    <definedName name="Value35" localSheetId="9">#REF!</definedName>
    <definedName name="Value35">#REF!</definedName>
    <definedName name="Value36" localSheetId="9">#REF!</definedName>
    <definedName name="Value36">#REF!</definedName>
    <definedName name="Value37" localSheetId="9">#REF!</definedName>
    <definedName name="Value37">#REF!</definedName>
    <definedName name="Value38" localSheetId="9">#REF!</definedName>
    <definedName name="Value38">#REF!</definedName>
    <definedName name="Value39" localSheetId="9">#REF!</definedName>
    <definedName name="Value39">#REF!</definedName>
    <definedName name="Value4" localSheetId="9">#REF!</definedName>
    <definedName name="Value4">#REF!</definedName>
    <definedName name="Value40" localSheetId="9">#REF!</definedName>
    <definedName name="Value40">#REF!</definedName>
    <definedName name="Value41" localSheetId="9">#REF!</definedName>
    <definedName name="Value41">#REF!</definedName>
    <definedName name="Value42" localSheetId="9">#REF!</definedName>
    <definedName name="Value42">#REF!</definedName>
    <definedName name="Value43" localSheetId="9">#REF!</definedName>
    <definedName name="Value43">#REF!</definedName>
    <definedName name="Value44" localSheetId="9">#REF!</definedName>
    <definedName name="Value44">#REF!</definedName>
    <definedName name="Value45" localSheetId="9">#REF!</definedName>
    <definedName name="Value45">#REF!</definedName>
    <definedName name="Value46" localSheetId="9">#REF!</definedName>
    <definedName name="Value46">#REF!</definedName>
    <definedName name="Value47" localSheetId="9">#REF!</definedName>
    <definedName name="Value47">#REF!</definedName>
    <definedName name="Value48" localSheetId="9">#REF!</definedName>
    <definedName name="Value48">#REF!</definedName>
    <definedName name="Value49" localSheetId="9">#REF!</definedName>
    <definedName name="Value49">#REF!</definedName>
    <definedName name="Value5" localSheetId="9">#REF!</definedName>
    <definedName name="Value5">#REF!</definedName>
    <definedName name="Value50" localSheetId="9">#REF!</definedName>
    <definedName name="Value50">#REF!</definedName>
    <definedName name="Value51" localSheetId="9">#REF!</definedName>
    <definedName name="Value51">#REF!</definedName>
    <definedName name="Value52" localSheetId="9">#REF!</definedName>
    <definedName name="Value52">#REF!</definedName>
    <definedName name="Value53" localSheetId="9">#REF!</definedName>
    <definedName name="Value53">#REF!</definedName>
    <definedName name="Value54" localSheetId="9">#REF!</definedName>
    <definedName name="Value54">#REF!</definedName>
    <definedName name="Value55" localSheetId="9">#REF!</definedName>
    <definedName name="Value55">#REF!</definedName>
    <definedName name="Value6" localSheetId="9">#REF!</definedName>
    <definedName name="Value6">#REF!</definedName>
    <definedName name="Value7" localSheetId="9">#REF!</definedName>
    <definedName name="Value7">#REF!</definedName>
    <definedName name="Value8" localSheetId="9">#REF!</definedName>
    <definedName name="Value8">#REF!</definedName>
    <definedName name="Value9" localSheetId="9">#REF!</definedName>
    <definedName name="Value9">#REF!</definedName>
    <definedName name="VARIINST" localSheetId="9">#REF!</definedName>
    <definedName name="VARIINST">#REF!</definedName>
    <definedName name="VARIPURC" localSheetId="9">#REF!</definedName>
    <definedName name="VARIPURC">#REF!</definedName>
    <definedName name="VAT" localSheetId="9">#REF!</definedName>
    <definedName name="VAT">#REF!</definedName>
    <definedName name="Vat_tu" localSheetId="9">#REF!</definedName>
    <definedName name="Vat_tu">#REF!</definedName>
    <definedName name="vbtchongnuocm300" localSheetId="9">#REF!</definedName>
    <definedName name="vbtchongnuocm300">#REF!</definedName>
    <definedName name="vbtm150" localSheetId="9">#REF!</definedName>
    <definedName name="vbtm150">#REF!</definedName>
    <definedName name="vbtm300" localSheetId="9">#REF!</definedName>
    <definedName name="vbtm300">#REF!</definedName>
    <definedName name="vbtm400" localSheetId="9">#REF!</definedName>
    <definedName name="vbtm400">#REF!</definedName>
    <definedName name="vbvb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bv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bvbvbvb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bvbvbv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bvv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bvv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C" localSheetId="9">#REF!</definedName>
    <definedName name="VC">#REF!</definedName>
    <definedName name="vccot" localSheetId="9">#REF!</definedName>
    <definedName name="vccot">#REF!</definedName>
    <definedName name="VCDD1P" localSheetId="9">#REF!</definedName>
    <definedName name="VCDD1P">#REF!</definedName>
    <definedName name="VCDD3p" localSheetId="9">#REF!</definedName>
    <definedName name="VCDD3p">#REF!</definedName>
    <definedName name="VCDDCT3p" localSheetId="9">#REF!</definedName>
    <definedName name="VCDDCT3p">#REF!</definedName>
    <definedName name="VCDDMBA" localSheetId="9">#REF!</definedName>
    <definedName name="VCDDMBA">#REF!</definedName>
    <definedName name="VCHT" localSheetId="9">#REF!</definedName>
    <definedName name="VCHT">#REF!</definedName>
    <definedName name="VCPKHTK" localSheetId="9">#REF!</definedName>
    <definedName name="VCPKHTK">#REF!</definedName>
    <definedName name="vctb" localSheetId="9">#REF!</definedName>
    <definedName name="vctb">#REF!</definedName>
    <definedName name="VCVBT1" localSheetId="9">#REF!</definedName>
    <definedName name="VCVBT1">#REF!</definedName>
    <definedName name="VCVBT2" localSheetId="9">#REF!</definedName>
    <definedName name="VCVBT2">#REF!</definedName>
    <definedName name="vd3p" localSheetId="9">#REF!</definedName>
    <definedName name="vd3p">#REF!</definedName>
    <definedName name="Veränderungen_Eingabe" localSheetId="9">#REF!,#REF!,#REF!,#REF!,#REF!,#REF!</definedName>
    <definedName name="Veränderungen_Eingabe">#REF!,#REF!,#REF!,#REF!,#REF!,#REF!</definedName>
    <definedName name="vkcauthang" localSheetId="9">#REF!</definedName>
    <definedName name="vkcauthang">#REF!</definedName>
    <definedName name="vksan" localSheetId="9">#REF!</definedName>
    <definedName name="vksan">#REF!</definedName>
    <definedName name="vl" localSheetId="9">#REF!</definedName>
    <definedName name="vl">#REF!</definedName>
    <definedName name="VL1P" localSheetId="9">#REF!</definedName>
    <definedName name="VL1P">#REF!</definedName>
    <definedName name="VL3P" localSheetId="9">#REF!</definedName>
    <definedName name="VL3P">#REF!</definedName>
    <definedName name="Vlcap0.7" localSheetId="9">#REF!</definedName>
    <definedName name="Vlcap0.7">#REF!</definedName>
    <definedName name="VLcap1" localSheetId="9">#REF!</definedName>
    <definedName name="VLcap1">#REF!</definedName>
    <definedName name="VLCT3p" localSheetId="9">#REF!</definedName>
    <definedName name="VLCT3p">#REF!</definedName>
    <definedName name="vldn400" localSheetId="9">#REF!</definedName>
    <definedName name="vldn400">#REF!</definedName>
    <definedName name="vldn600" localSheetId="9">#REF!</definedName>
    <definedName name="vldn600">#REF!</definedName>
    <definedName name="vltram" localSheetId="9">#REF!</definedName>
    <definedName name="vltram">#REF!</definedName>
    <definedName name="vr3p" localSheetId="9">#REF!</definedName>
    <definedName name="vr3p">#REF!</definedName>
    <definedName name="VT" localSheetId="9">#REF!</definedName>
    <definedName name="VT">#REF!</definedName>
    <definedName name="vvvv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vvv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vvvvvvvvvvvvvv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vvvvvvvvvvvvvv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" localSheetId="9">#REF!</definedName>
    <definedName name="W">#REF!</definedName>
    <definedName name="WA" localSheetId="9" hidden="1">{"'Actual'!$A$1:$F$25"}</definedName>
    <definedName name="WA" hidden="1">{"'Actual'!$A$1:$F$25"}</definedName>
    <definedName name="WE">#N/A</definedName>
    <definedName name="wer" localSheetId="9">#REF!</definedName>
    <definedName name="wer">#REF!</definedName>
    <definedName name="Werk" localSheetId="9">#REF!</definedName>
    <definedName name="Werk">#REF!</definedName>
    <definedName name="WERT" localSheetId="9">#REF!</definedName>
    <definedName name="WERT">#REF!</definedName>
    <definedName name="wewewew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ewewew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H_BODY">"2201"</definedName>
    <definedName name="WH_NM">""</definedName>
    <definedName name="WH_NO">"2201"</definedName>
    <definedName name="whatever" localSheetId="9">#REF!</definedName>
    <definedName name="whatever">#REF!</definedName>
    <definedName name="WJDATA" localSheetId="9">OFFSET(#REF!,0,0,COUNTA(#REF!),COUNTA(#REF!))</definedName>
    <definedName name="WJDATA">OFFSET(#REF!,0,0,COUNTA(#REF!),COUNTA(#REF!))</definedName>
    <definedName name="WorkshopRel" localSheetId="9">#REF!</definedName>
    <definedName name="WorkshopRel">#REF!</definedName>
    <definedName name="Workstream" localSheetId="9">#REF!</definedName>
    <definedName name="Workstream">#REF!</definedName>
    <definedName name="WP_Ref" localSheetId="9">#REF!</definedName>
    <definedName name="WP_Ref">#REF!</definedName>
    <definedName name="wrn.Account._.Receivable." localSheetId="9" hidden="1">{#N/A,#N/A,FALSE,"Aging";#N/A,#N/A,FALSE,"Cerebos";#N/A,#N/A,FALSE,"Coca";#N/A,#N/A,FALSE,"GM";#N/A,#N/A,FALSE,"Hawley ";#N/A,#N/A,FALSE,"Inchape";#N/A,#N/A,FALSE,"JWT";#N/A,#N/A,FALSE,"Nestle";#N/A,#N/A,FALSE,"CCNR";#N/A,#N/A,FALSE,"nutrasweet";#N/A,#N/A,FALSE,"Oris";#N/A,#N/A,FALSE,"RJR ";#N/A,#N/A,FALSE,"NPL(RJR-619)";#N/A,#N/A,FALSE,"WBI";#N/A,#N/A,FALSE,"Citiplaza";#N/A,#N/A,FALSE,"Spectrum";#N/A,#N/A,FALSE,"Tinan";#N/A,#N/A,FALSE,"William ";#N/A,#N/A,FALSE,"R&amp;C";#N/A,#N/A,FALSE,"TetraPak";#N/A,#N/A,FALSE,"CMI";#N/A,#N/A,FALSE,"L'oreal";#N/A,#N/A,FALSE,"Lifung";#N/A,#N/A,FALSE,"CME";#N/A,#N/A,FALSE,"Garden";#N/A,#N/A,FALSE,"MRytd"}</definedName>
    <definedName name="wrn.Account._.Receivable." hidden="1">{#N/A,#N/A,FALSE,"Aging";#N/A,#N/A,FALSE,"Cerebos";#N/A,#N/A,FALSE,"Coca";#N/A,#N/A,FALSE,"GM";#N/A,#N/A,FALSE,"Hawley ";#N/A,#N/A,FALSE,"Inchape";#N/A,#N/A,FALSE,"JWT";#N/A,#N/A,FALSE,"Nestle";#N/A,#N/A,FALSE,"CCNR";#N/A,#N/A,FALSE,"nutrasweet";#N/A,#N/A,FALSE,"Oris";#N/A,#N/A,FALSE,"RJR ";#N/A,#N/A,FALSE,"NPL(RJR-619)";#N/A,#N/A,FALSE,"WBI";#N/A,#N/A,FALSE,"Citiplaza";#N/A,#N/A,FALSE,"Spectrum";#N/A,#N/A,FALSE,"Tinan";#N/A,#N/A,FALSE,"William ";#N/A,#N/A,FALSE,"R&amp;C";#N/A,#N/A,FALSE,"TetraPak";#N/A,#N/A,FALSE,"CMI";#N/A,#N/A,FALSE,"L'oreal";#N/A,#N/A,FALSE,"Lifung";#N/A,#N/A,FALSE,"CME";#N/A,#N/A,FALSE,"Garden";#N/A,#N/A,FALSE,"MRytd"}</definedName>
    <definedName name="wrn.Aging._.and._.Trend._.Analysis." localSheetId="9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and._Trend._.Analysis.GG" localSheetId="9" hidden="1">{#N/A,#N/A,FALSE,"Aging Summary";#N/A,#N/A,FALSE,"Ratio Analysis";#N/A,#N/A,FALSE,"Test 120 Day Accts";#N/A,#N/A,FALSE,"Tickmarks"}</definedName>
    <definedName name="wrn.Aging._and._Trend._.Analysis.GG" hidden="1">{#N/A,#N/A,FALSE,"Aging Summary";#N/A,#N/A,FALSE,"Ratio Analysis";#N/A,#N/A,FALSE,"Test 120 Day Accts";#N/A,#N/A,FALSE,"Tickmarks"}</definedName>
    <definedName name="wrn.AR.MONTHEND." localSheetId="9" hidden="1">{#N/A,#N/A,FALSE,"Aging"}</definedName>
    <definedName name="wrn.AR.MONTHEND." hidden="1">{#N/A,#N/A,FALSE,"Aging"}</definedName>
    <definedName name="wrn.chi._.tiÆt." localSheetId="9" hidden="1">{#N/A,#N/A,FALSE,"Chi tiÆt"}</definedName>
    <definedName name="wrn.chi._.tiÆt." hidden="1">{#N/A,#N/A,FALSE,"Chi tiÆt"}</definedName>
    <definedName name="wrn.Jahresumsätze._.Folien._.3._.bis._.8.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rn.Jahresumsätze._.Folien._.3._.bis._.8.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rn.Summary._.sheet._.print." localSheetId="9" hidden="1">{"print view",#N/A,FALSE,"Summary"}</definedName>
    <definedName name="wrn.Summary._.sheet._.print." hidden="1">{"print view",#N/A,FALSE,"Summary"}</definedName>
    <definedName name="wrn.Tout._.Sauf._.BG." localSheetId="9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vd." localSheetId="9" hidden="1">{#N/A,#N/A,TRUE,"BT M200 da 10x20"}</definedName>
    <definedName name="wrn.vd." hidden="1">{#N/A,#N/A,TRUE,"BT M200 da 10x20"}</definedName>
    <definedName name="wrn.负债及权益." localSheetId="9" hidden="1">{"负债及权益",#N/A,FALSE,"TB-BS"}</definedName>
    <definedName name="wrn.负债及权益." hidden="1">{"负债及权益",#N/A,FALSE,"TB-BS"}</definedName>
    <definedName name="wrn.现金." localSheetId="9" hidden="1">{"现金主表",#N/A,FALSE,"正式Cashflow"}</definedName>
    <definedName name="wrn.现金." hidden="1">{"现金主表",#N/A,FALSE,"正式Cashflow"}</definedName>
    <definedName name="wrn.现金主表." localSheetId="9" hidden="1">{"现金主表",#N/A,FALSE,"正式Cashflow"}</definedName>
    <definedName name="wrn.现金主表." hidden="1">{"现金主表",#N/A,FALSE,"正式Cashflow"}</definedName>
    <definedName name="wrn.资产." localSheetId="9" hidden="1">{"资产",#N/A,FALSE,"TB-BS"}</definedName>
    <definedName name="wrn.资产." hidden="1">{"资产",#N/A,FALSE,"TB-BS"}</definedName>
    <definedName name="ww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w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WWWW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WWWW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ybór" localSheetId="9">#REF!</definedName>
    <definedName name="Wybór">#REF!</definedName>
    <definedName name="x" localSheetId="9">#REF!</definedName>
    <definedName name="x">#REF!</definedName>
    <definedName name="X1pFCOnc" localSheetId="9">#REF!</definedName>
    <definedName name="X1pFCOnc">#REF!</definedName>
    <definedName name="X1pFCOvc" localSheetId="9">#REF!</definedName>
    <definedName name="X1pFCOvc">#REF!</definedName>
    <definedName name="X1pFCOvl" localSheetId="9">#REF!</definedName>
    <definedName name="X1pFCOvl">#REF!</definedName>
    <definedName name="X1pIGnc" localSheetId="9">#REF!</definedName>
    <definedName name="X1pIGnc">#REF!</definedName>
    <definedName name="X1pIGvc" localSheetId="9">#REF!</definedName>
    <definedName name="X1pIGvc">#REF!</definedName>
    <definedName name="X1pIGvl" localSheetId="9">#REF!</definedName>
    <definedName name="X1pIGvl">#REF!</definedName>
    <definedName name="x1pind" localSheetId="9">#REF!</definedName>
    <definedName name="x1pind">#REF!</definedName>
    <definedName name="X1pINDnc" localSheetId="9">#REF!</definedName>
    <definedName name="X1pINDnc">#REF!</definedName>
    <definedName name="X1pINDvc" localSheetId="9">#REF!</definedName>
    <definedName name="X1pINDvc">#REF!</definedName>
    <definedName name="X1pINDvl" localSheetId="9">#REF!</definedName>
    <definedName name="X1pINDvl">#REF!</definedName>
    <definedName name="x1ping" localSheetId="9">#REF!</definedName>
    <definedName name="x1ping">#REF!</definedName>
    <definedName name="X1pINGnc" localSheetId="9">#REF!</definedName>
    <definedName name="X1pINGnc">#REF!</definedName>
    <definedName name="X1pINGvc" localSheetId="9">#REF!</definedName>
    <definedName name="X1pINGvc">#REF!</definedName>
    <definedName name="X1pINGvl" localSheetId="9">#REF!</definedName>
    <definedName name="X1pINGvl">#REF!</definedName>
    <definedName name="x1pint" localSheetId="9">#REF!</definedName>
    <definedName name="x1pint">#REF!</definedName>
    <definedName name="X1pINTnc" localSheetId="9">#REF!</definedName>
    <definedName name="X1pINTnc">#REF!</definedName>
    <definedName name="X1pINTvc" localSheetId="9">#REF!</definedName>
    <definedName name="X1pINTvc">#REF!</definedName>
    <definedName name="X1pINTvl" localSheetId="9">#REF!</definedName>
    <definedName name="X1pINTvl">#REF!</definedName>
    <definedName name="X1pITnc" localSheetId="9">#REF!</definedName>
    <definedName name="X1pITnc">#REF!</definedName>
    <definedName name="X1pITvc" localSheetId="9">#REF!</definedName>
    <definedName name="X1pITvc">#REF!</definedName>
    <definedName name="X1pITvl" localSheetId="9">#REF!</definedName>
    <definedName name="X1pITvl">#REF!</definedName>
    <definedName name="xa1pm" localSheetId="9">#REF!</definedName>
    <definedName name="xa1pm">#REF!</definedName>
    <definedName name="xa3pm" localSheetId="9">#REF!</definedName>
    <definedName name="xa3pm">#REF!</definedName>
    <definedName name="xact" localSheetId="9">#REF!</definedName>
    <definedName name="xact">#REF!</definedName>
    <definedName name="XCCT">0.5</definedName>
    <definedName name="xcvc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xcv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xcxcc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xcx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xfco" localSheetId="9">#REF!</definedName>
    <definedName name="xfco">#REF!</definedName>
    <definedName name="xfco3p" localSheetId="9">#REF!</definedName>
    <definedName name="xfco3p">#REF!</definedName>
    <definedName name="XFCOnc" localSheetId="9">#REF!</definedName>
    <definedName name="XFCOnc">#REF!</definedName>
    <definedName name="xfcotnc" localSheetId="9">#REF!</definedName>
    <definedName name="xfcotnc">#REF!</definedName>
    <definedName name="xfcotvl" localSheetId="9">#REF!</definedName>
    <definedName name="xfcotvl">#REF!</definedName>
    <definedName name="XFCOvc" localSheetId="9">#REF!</definedName>
    <definedName name="XFCOvc">#REF!</definedName>
    <definedName name="XFCOvl" localSheetId="9">#REF!</definedName>
    <definedName name="XFCOvl">#REF!</definedName>
    <definedName name="xh" localSheetId="9">#REF!</definedName>
    <definedName name="xh">#REF!</definedName>
    <definedName name="xhn" localSheetId="9">#REF!</definedName>
    <definedName name="xhn">#REF!</definedName>
    <definedName name="xig" localSheetId="9">#REF!</definedName>
    <definedName name="xig">#REF!</definedName>
    <definedName name="xig1" localSheetId="9">#REF!</definedName>
    <definedName name="xig1">#REF!</definedName>
    <definedName name="XIG1nc" localSheetId="9">#REF!</definedName>
    <definedName name="XIG1nc">#REF!</definedName>
    <definedName name="xig1p" localSheetId="9">#REF!</definedName>
    <definedName name="xig1p">#REF!</definedName>
    <definedName name="XIG1vl" localSheetId="9">#REF!</definedName>
    <definedName name="XIG1vl">#REF!</definedName>
    <definedName name="xig3p" localSheetId="9">#REF!</definedName>
    <definedName name="xig3p">#REF!</definedName>
    <definedName name="XIGnc" localSheetId="9">#REF!</definedName>
    <definedName name="XIGnc">#REF!</definedName>
    <definedName name="XIGvc" localSheetId="9">#REF!</definedName>
    <definedName name="XIGvc">#REF!</definedName>
    <definedName name="XIGvl" localSheetId="9">#REF!</definedName>
    <definedName name="XIGvl">#REF!</definedName>
    <definedName name="xin" localSheetId="9">#REF!</definedName>
    <definedName name="xin">#REF!</definedName>
    <definedName name="xin190" localSheetId="9">#REF!</definedName>
    <definedName name="xin190">#REF!</definedName>
    <definedName name="xin1903p" localSheetId="9">#REF!</definedName>
    <definedName name="xin1903p">#REF!</definedName>
    <definedName name="XIN190nc" localSheetId="9">#REF!</definedName>
    <definedName name="XIN190nc">#REF!</definedName>
    <definedName name="XIN190vc" localSheetId="9">#REF!</definedName>
    <definedName name="XIN190vc">#REF!</definedName>
    <definedName name="XIN190vl" localSheetId="9">#REF!</definedName>
    <definedName name="XIN190vl">#REF!</definedName>
    <definedName name="xin3p" localSheetId="9">#REF!</definedName>
    <definedName name="xin3p">#REF!</definedName>
    <definedName name="xind" localSheetId="9">#REF!</definedName>
    <definedName name="xind">#REF!</definedName>
    <definedName name="xind1p" localSheetId="9">#REF!</definedName>
    <definedName name="xind1p">#REF!</definedName>
    <definedName name="xind3p" localSheetId="9">#REF!</definedName>
    <definedName name="xind3p">#REF!</definedName>
    <definedName name="XINDnc" localSheetId="9">#REF!</definedName>
    <definedName name="XINDnc">#REF!</definedName>
    <definedName name="xindnc1p" localSheetId="9">#REF!</definedName>
    <definedName name="xindnc1p">#REF!</definedName>
    <definedName name="XINDvc" localSheetId="9">#REF!</definedName>
    <definedName name="XINDvc">#REF!</definedName>
    <definedName name="XINDvl" localSheetId="9">#REF!</definedName>
    <definedName name="XINDvl">#REF!</definedName>
    <definedName name="xindvl1p" localSheetId="9">#REF!</definedName>
    <definedName name="xindvl1p">#REF!</definedName>
    <definedName name="xing1p" localSheetId="9">#REF!</definedName>
    <definedName name="xing1p">#REF!</definedName>
    <definedName name="xingnc1p" localSheetId="9">#REF!</definedName>
    <definedName name="xingnc1p">#REF!</definedName>
    <definedName name="xingvl1p" localSheetId="9">#REF!</definedName>
    <definedName name="xingvl1p">#REF!</definedName>
    <definedName name="XINnc" localSheetId="9">#REF!</definedName>
    <definedName name="XINnc">#REF!</definedName>
    <definedName name="xint1p" localSheetId="9">#REF!</definedName>
    <definedName name="xint1p">#REF!</definedName>
    <definedName name="XINvc" localSheetId="9">#REF!</definedName>
    <definedName name="XINvc">#REF!</definedName>
    <definedName name="XINvl" localSheetId="9">#REF!</definedName>
    <definedName name="XINvl">#REF!</definedName>
    <definedName name="xit" localSheetId="9">#REF!</definedName>
    <definedName name="xit">#REF!</definedName>
    <definedName name="xit1" localSheetId="9">#REF!</definedName>
    <definedName name="xit1">#REF!</definedName>
    <definedName name="XIT1nc" localSheetId="9">#REF!</definedName>
    <definedName name="XIT1nc">#REF!</definedName>
    <definedName name="xit1p" localSheetId="9">#REF!</definedName>
    <definedName name="xit1p">#REF!</definedName>
    <definedName name="XIT1vl" localSheetId="9">#REF!</definedName>
    <definedName name="XIT1vl">#REF!</definedName>
    <definedName name="xit3p" localSheetId="9">#REF!</definedName>
    <definedName name="xit3p">#REF!</definedName>
    <definedName name="XITnc" localSheetId="9">#REF!</definedName>
    <definedName name="XITnc">#REF!</definedName>
    <definedName name="XITvc" localSheetId="9">#REF!</definedName>
    <definedName name="XITvc">#REF!</definedName>
    <definedName name="XITvl" localSheetId="9">#REF!</definedName>
    <definedName name="XITvl">#REF!</definedName>
    <definedName name="xlbs" localSheetId="9">#REF!</definedName>
    <definedName name="xlbs">#REF!</definedName>
    <definedName name="xmcax" localSheetId="9">#REF!</definedName>
    <definedName name="xmcax">#REF!</definedName>
    <definedName name="xn" localSheetId="9">#REF!</definedName>
    <definedName name="xn">#REF!</definedName>
    <definedName name="XREF_COLUMN_1" localSheetId="9" hidden="1">#REF!</definedName>
    <definedName name="XREF_COLUMN_1" hidden="1">#REF!</definedName>
    <definedName name="XREF_COLUMN_10" localSheetId="9" hidden="1">#REF!</definedName>
    <definedName name="XREF_COLUMN_10" hidden="1">#REF!</definedName>
    <definedName name="XREF_COLUMN_11" localSheetId="9" hidden="1">#REF!</definedName>
    <definedName name="XREF_COLUMN_11" hidden="1">#REF!</definedName>
    <definedName name="XREF_COLUMN_2" localSheetId="9" hidden="1">#REF!</definedName>
    <definedName name="XREF_COLUMN_2" hidden="1">#REF!</definedName>
    <definedName name="XREF_COLUMN_3" localSheetId="9" hidden="1">#REF!</definedName>
    <definedName name="XREF_COLUMN_3" hidden="1">#REF!</definedName>
    <definedName name="XREF_COLUMN_4" localSheetId="9" hidden="1">#REF!</definedName>
    <definedName name="XREF_COLUMN_4" hidden="1">#REF!</definedName>
    <definedName name="XREF_COLUMN_5" localSheetId="9" hidden="1">#REF!</definedName>
    <definedName name="XREF_COLUMN_5" hidden="1">#REF!</definedName>
    <definedName name="XREF_COLUMN_6" localSheetId="9" hidden="1">#REF!</definedName>
    <definedName name="XREF_COLUMN_6" hidden="1">#REF!</definedName>
    <definedName name="XREF_COLUMN_7" localSheetId="9" hidden="1">#REF!</definedName>
    <definedName name="XREF_COLUMN_7" hidden="1">#REF!</definedName>
    <definedName name="XREF_COLUMN_8" localSheetId="9" hidden="1">#REF!</definedName>
    <definedName name="XREF_COLUMN_8" hidden="1">#REF!</definedName>
    <definedName name="XREF_COLUMN_9" localSheetId="9" hidden="1">#REF!</definedName>
    <definedName name="XREF_COLUMN_9" hidden="1">#REF!</definedName>
    <definedName name="XRefActiveRow" localSheetId="9" hidden="1">#REF!</definedName>
    <definedName name="XRefActiveRow" hidden="1">#REF!</definedName>
    <definedName name="XRefColumnsCount" hidden="1">12</definedName>
    <definedName name="XRefCopy1" localSheetId="9" hidden="1">#REF!</definedName>
    <definedName name="XRefCopy1" hidden="1">#REF!</definedName>
    <definedName name="XRefCopy10" localSheetId="9" hidden="1">#REF!</definedName>
    <definedName name="XRefCopy10" hidden="1">#REF!</definedName>
    <definedName name="XRefCopy10Row" localSheetId="9" hidden="1">#REF!</definedName>
    <definedName name="XRefCopy10Row" hidden="1">#REF!</definedName>
    <definedName name="XRefCopy11" localSheetId="9" hidden="1">#REF!</definedName>
    <definedName name="XRefCopy11" hidden="1">#REF!</definedName>
    <definedName name="XRefCopy11Row" localSheetId="9" hidden="1">#REF!</definedName>
    <definedName name="XRefCopy11Row" hidden="1">#REF!</definedName>
    <definedName name="XRefCopy12" localSheetId="9" hidden="1">#REF!</definedName>
    <definedName name="XRefCopy12" hidden="1">#REF!</definedName>
    <definedName name="XRefCopy12Row" localSheetId="9" hidden="1">#REF!</definedName>
    <definedName name="XRefCopy12Row" hidden="1">#REF!</definedName>
    <definedName name="XRefCopy13" localSheetId="9" hidden="1">#REF!</definedName>
    <definedName name="XRefCopy13" hidden="1">#REF!</definedName>
    <definedName name="XRefCopy13Row" localSheetId="9" hidden="1">#REF!</definedName>
    <definedName name="XRefCopy13Row" hidden="1">#REF!</definedName>
    <definedName name="XRefCopy14" localSheetId="9" hidden="1">#REF!</definedName>
    <definedName name="XRefCopy14" hidden="1">#REF!</definedName>
    <definedName name="XRefCopy14Row" localSheetId="9" hidden="1">#REF!</definedName>
    <definedName name="XRefCopy14Row" hidden="1">#REF!</definedName>
    <definedName name="XRefCopy15" localSheetId="9" hidden="1">#REF!</definedName>
    <definedName name="XRefCopy15" hidden="1">#REF!</definedName>
    <definedName name="XRefCopy15Row" localSheetId="9" hidden="1">#REF!</definedName>
    <definedName name="XRefCopy15Row" hidden="1">#REF!</definedName>
    <definedName name="XRefCopy16" localSheetId="9" hidden="1">#REF!</definedName>
    <definedName name="XRefCopy16" hidden="1">#REF!</definedName>
    <definedName name="XRefCopy16Row" localSheetId="9" hidden="1">#REF!</definedName>
    <definedName name="XRefCopy16Row" hidden="1">#REF!</definedName>
    <definedName name="XRefCopy17" localSheetId="9" hidden="1">#REF!</definedName>
    <definedName name="XRefCopy17" hidden="1">#REF!</definedName>
    <definedName name="XRefCopy17Row" localSheetId="9" hidden="1">#REF!</definedName>
    <definedName name="XRefCopy17Row" hidden="1">#REF!</definedName>
    <definedName name="XRefCopy19" localSheetId="9" hidden="1">#REF!</definedName>
    <definedName name="XRefCopy19" hidden="1">#REF!</definedName>
    <definedName name="XRefCopy19Row" localSheetId="9" hidden="1">#REF!</definedName>
    <definedName name="XRefCopy19Row" hidden="1">#REF!</definedName>
    <definedName name="XRefCopy1Row" localSheetId="9" hidden="1">#REF!</definedName>
    <definedName name="XRefCopy1Row" hidden="1">#REF!</definedName>
    <definedName name="XRefCopy2" localSheetId="9" hidden="1">#REF!</definedName>
    <definedName name="XRefCopy2" hidden="1">#REF!</definedName>
    <definedName name="XRefCopy20" localSheetId="9" hidden="1">#REF!</definedName>
    <definedName name="XRefCopy20" hidden="1">#REF!</definedName>
    <definedName name="XRefCopy20Row" localSheetId="9" hidden="1">#REF!</definedName>
    <definedName name="XRefCopy20Row" hidden="1">#REF!</definedName>
    <definedName name="XRefCopy21" localSheetId="9" hidden="1">#REF!</definedName>
    <definedName name="XRefCopy21" hidden="1">#REF!</definedName>
    <definedName name="XRefCopy23" localSheetId="9" hidden="1">#REF!</definedName>
    <definedName name="XRefCopy23" hidden="1">#REF!</definedName>
    <definedName name="XRefCopy23Row" localSheetId="9" hidden="1">#REF!</definedName>
    <definedName name="XRefCopy23Row" hidden="1">#REF!</definedName>
    <definedName name="XRefCopy24" localSheetId="9" hidden="1">#REF!</definedName>
    <definedName name="XRefCopy24" hidden="1">#REF!</definedName>
    <definedName name="XRefCopy24Row" localSheetId="9" hidden="1">#REF!</definedName>
    <definedName name="XRefCopy24Row" hidden="1">#REF!</definedName>
    <definedName name="XRefCopy25" localSheetId="9" hidden="1">#REF!</definedName>
    <definedName name="XRefCopy25" hidden="1">#REF!</definedName>
    <definedName name="XRefCopy25Row" localSheetId="9" hidden="1">#REF!</definedName>
    <definedName name="XRefCopy25Row" hidden="1">#REF!</definedName>
    <definedName name="XRefCopy26" localSheetId="9" hidden="1">#REF!</definedName>
    <definedName name="XRefCopy26" hidden="1">#REF!</definedName>
    <definedName name="XRefCopy29" localSheetId="9" hidden="1">#REF!</definedName>
    <definedName name="XRefCopy29" hidden="1">#REF!</definedName>
    <definedName name="XRefCopy29Row" localSheetId="9" hidden="1">#REF!</definedName>
    <definedName name="XRefCopy29Row" hidden="1">#REF!</definedName>
    <definedName name="XRefCopy2Row" localSheetId="9" hidden="1">#REF!</definedName>
    <definedName name="XRefCopy2Row" hidden="1">#REF!</definedName>
    <definedName name="XRefCopy3" localSheetId="9" hidden="1">#REF!</definedName>
    <definedName name="XRefCopy3" hidden="1">#REF!</definedName>
    <definedName name="XRefCopy30" localSheetId="9" hidden="1">#REF!</definedName>
    <definedName name="XRefCopy30" hidden="1">#REF!</definedName>
    <definedName name="XRefCopy31" localSheetId="9" hidden="1">#REF!</definedName>
    <definedName name="XRefCopy31" hidden="1">#REF!</definedName>
    <definedName name="XRefCopy32" localSheetId="9" hidden="1">#REF!</definedName>
    <definedName name="XRefCopy32" hidden="1">#REF!</definedName>
    <definedName name="XRefCopy33" localSheetId="9" hidden="1">#REF!</definedName>
    <definedName name="XRefCopy33" hidden="1">#REF!</definedName>
    <definedName name="XRefCopy33Row" localSheetId="9" hidden="1">#REF!</definedName>
    <definedName name="XRefCopy33Row" hidden="1">#REF!</definedName>
    <definedName name="XRefCopy34" localSheetId="9" hidden="1">#REF!</definedName>
    <definedName name="XRefCopy34" hidden="1">#REF!</definedName>
    <definedName name="XRefCopy34Row" localSheetId="9" hidden="1">#REF!</definedName>
    <definedName name="XRefCopy34Row" hidden="1">#REF!</definedName>
    <definedName name="XRefCopy35" localSheetId="9" hidden="1">#REF!</definedName>
    <definedName name="XRefCopy35" hidden="1">#REF!</definedName>
    <definedName name="XRefCopy35Row" localSheetId="9" hidden="1">#REF!</definedName>
    <definedName name="XRefCopy35Row" hidden="1">#REF!</definedName>
    <definedName name="XRefCopy36" localSheetId="9" hidden="1">#REF!</definedName>
    <definedName name="XRefCopy36" hidden="1">#REF!</definedName>
    <definedName name="XRefCopy36Row" localSheetId="9" hidden="1">#REF!</definedName>
    <definedName name="XRefCopy36Row" hidden="1">#REF!</definedName>
    <definedName name="XRefCopy37" localSheetId="9" hidden="1">#REF!</definedName>
    <definedName name="XRefCopy37" hidden="1">#REF!</definedName>
    <definedName name="XRefCopy37Row" localSheetId="9" hidden="1">#REF!</definedName>
    <definedName name="XRefCopy37Row" hidden="1">#REF!</definedName>
    <definedName name="XRefCopy38" localSheetId="9" hidden="1">#REF!</definedName>
    <definedName name="XRefCopy38" hidden="1">#REF!</definedName>
    <definedName name="XRefCopy38Row" localSheetId="9" hidden="1">#REF!</definedName>
    <definedName name="XRefCopy38Row" hidden="1">#REF!</definedName>
    <definedName name="XRefCopy39" localSheetId="9" hidden="1">#REF!</definedName>
    <definedName name="XRefCopy39" hidden="1">#REF!</definedName>
    <definedName name="XRefCopy39Row" localSheetId="9" hidden="1">#REF!</definedName>
    <definedName name="XRefCopy39Row" hidden="1">#REF!</definedName>
    <definedName name="XRefCopy3Row" localSheetId="9" hidden="1">#REF!</definedName>
    <definedName name="XRefCopy3Row" hidden="1">#REF!</definedName>
    <definedName name="XRefCopy4" localSheetId="9" hidden="1">#REF!</definedName>
    <definedName name="XRefCopy4" hidden="1">#REF!</definedName>
    <definedName name="XRefCopy4Row" localSheetId="9" hidden="1">#REF!</definedName>
    <definedName name="XRefCopy4Row" hidden="1">#REF!</definedName>
    <definedName name="XRefCopy5" localSheetId="9" hidden="1">#REF!</definedName>
    <definedName name="XRefCopy5" hidden="1">#REF!</definedName>
    <definedName name="XRefCopy5Row" localSheetId="9" hidden="1">#REF!</definedName>
    <definedName name="XRefCopy5Row" hidden="1">#REF!</definedName>
    <definedName name="XRefCopy6" localSheetId="9" hidden="1">#REF!</definedName>
    <definedName name="XRefCopy6" hidden="1">#REF!</definedName>
    <definedName name="XRefCopy6Row" localSheetId="9" hidden="1">#REF!</definedName>
    <definedName name="XRefCopy6Row" hidden="1">#REF!</definedName>
    <definedName name="XRefCopy7" localSheetId="9" hidden="1">#REF!</definedName>
    <definedName name="XRefCopy7" hidden="1">#REF!</definedName>
    <definedName name="XRefCopy7Row" localSheetId="9" hidden="1">#REF!</definedName>
    <definedName name="XRefCopy7Row" hidden="1">#REF!</definedName>
    <definedName name="XRefCopy8" localSheetId="9" hidden="1">#REF!</definedName>
    <definedName name="XRefCopy8" hidden="1">#REF!</definedName>
    <definedName name="XRefCopy8Row" localSheetId="9" hidden="1">#REF!</definedName>
    <definedName name="XRefCopy8Row" hidden="1">#REF!</definedName>
    <definedName name="XRefCopy9" localSheetId="9" hidden="1">#REF!</definedName>
    <definedName name="XRefCopy9" hidden="1">#REF!</definedName>
    <definedName name="XRefCopy9Row" localSheetId="9" hidden="1">#REF!</definedName>
    <definedName name="XRefCopy9Row" hidden="1">#REF!</definedName>
    <definedName name="XRefCopyRangeCount" hidden="1">39</definedName>
    <definedName name="XRefPaste1" localSheetId="9" hidden="1">#REF!</definedName>
    <definedName name="XRefPaste1" hidden="1">#REF!</definedName>
    <definedName name="XRefPaste10" localSheetId="9" hidden="1">#REF!</definedName>
    <definedName name="XRefPaste10" hidden="1">#REF!</definedName>
    <definedName name="XRefPaste10Row" localSheetId="9" hidden="1">#REF!</definedName>
    <definedName name="XRefPaste10Row" hidden="1">#REF!</definedName>
    <definedName name="XRefPaste11" localSheetId="9" hidden="1">#REF!</definedName>
    <definedName name="XRefPaste11" hidden="1">#REF!</definedName>
    <definedName name="XRefPaste11Row" localSheetId="9" hidden="1">#REF!</definedName>
    <definedName name="XRefPaste11Row" hidden="1">#REF!</definedName>
    <definedName name="XRefPaste12" localSheetId="9" hidden="1">#REF!</definedName>
    <definedName name="XRefPaste12" hidden="1">#REF!</definedName>
    <definedName name="XRefPaste12Row" localSheetId="9" hidden="1">#REF!</definedName>
    <definedName name="XRefPaste12Row" hidden="1">#REF!</definedName>
    <definedName name="XRefPaste13" localSheetId="9" hidden="1">#REF!</definedName>
    <definedName name="XRefPaste13" hidden="1">#REF!</definedName>
    <definedName name="XRefPaste13Row" localSheetId="9" hidden="1">#REF!</definedName>
    <definedName name="XRefPaste13Row" hidden="1">#REF!</definedName>
    <definedName name="XRefPaste14Row" localSheetId="9" hidden="1">#REF!</definedName>
    <definedName name="XRefPaste14Row" hidden="1">#REF!</definedName>
    <definedName name="XRefPaste1Row" localSheetId="9" hidden="1">#REF!</definedName>
    <definedName name="XRefPaste1Row" hidden="1">#REF!</definedName>
    <definedName name="XRefPaste2" localSheetId="9" hidden="1">#REF!</definedName>
    <definedName name="XRefPaste2" hidden="1">#REF!</definedName>
    <definedName name="XRefPaste2Row" localSheetId="9" hidden="1">#REF!</definedName>
    <definedName name="XRefPaste2Row" hidden="1">#REF!</definedName>
    <definedName name="XRefPaste3" localSheetId="9" hidden="1">#REF!</definedName>
    <definedName name="XRefPaste3" hidden="1">#REF!</definedName>
    <definedName name="XRefPaste3Row" localSheetId="9" hidden="1">#REF!</definedName>
    <definedName name="XRefPaste3Row" hidden="1">#REF!</definedName>
    <definedName name="XRefPaste4" localSheetId="9" hidden="1">#REF!</definedName>
    <definedName name="XRefPaste4" hidden="1">#REF!</definedName>
    <definedName name="XRefPaste4Row" localSheetId="9" hidden="1">#REF!</definedName>
    <definedName name="XRefPaste4Row" hidden="1">#REF!</definedName>
    <definedName name="XRefPaste5" localSheetId="9" hidden="1">#REF!</definedName>
    <definedName name="XRefPaste5" hidden="1">#REF!</definedName>
    <definedName name="XRefPaste5Row" localSheetId="9" hidden="1">#REF!</definedName>
    <definedName name="XRefPaste5Row" hidden="1">#REF!</definedName>
    <definedName name="XRefPaste6" localSheetId="9" hidden="1">#REF!</definedName>
    <definedName name="XRefPaste6" hidden="1">#REF!</definedName>
    <definedName name="XRefPaste6Row" localSheetId="9" hidden="1">#REF!</definedName>
    <definedName name="XRefPaste6Row" hidden="1">#REF!</definedName>
    <definedName name="XRefPaste7" localSheetId="9" hidden="1">#REF!</definedName>
    <definedName name="XRefPaste7" hidden="1">#REF!</definedName>
    <definedName name="XRefPaste7Row" localSheetId="9" hidden="1">#REF!</definedName>
    <definedName name="XRefPaste7Row" hidden="1">#REF!</definedName>
    <definedName name="XRefPaste8" localSheetId="9" hidden="1">#REF!</definedName>
    <definedName name="XRefPaste8" hidden="1">#REF!</definedName>
    <definedName name="XRefPaste8Row" localSheetId="9" hidden="1">#REF!</definedName>
    <definedName name="XRefPaste8Row" hidden="1">#REF!</definedName>
    <definedName name="XRefPaste9" localSheetId="9" hidden="1">#REF!</definedName>
    <definedName name="XRefPaste9" hidden="1">#REF!</definedName>
    <definedName name="XRefPaste9Row" localSheetId="9" hidden="1">#REF!</definedName>
    <definedName name="XRefPaste9Row" hidden="1">#REF!</definedName>
    <definedName name="XRefPasteRangeCount" hidden="1">13</definedName>
    <definedName name="xxx" localSheetId="9">#REF!</definedName>
    <definedName name="xxx">#REF!</definedName>
    <definedName name="xxxx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xxxx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xxxxxy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xxxxxy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y" localSheetId="9">#REF!,#REF!,#REF!,#REF!,#REF!</definedName>
    <definedName name="y">#REF!,#REF!,#REF!,#REF!,#REF!</definedName>
    <definedName name="Y_N" localSheetId="9">#REF!</definedName>
    <definedName name="Y_N">#REF!</definedName>
    <definedName name="YearMonth" localSheetId="9">#REF!&amp;""&amp;#REF!</definedName>
    <definedName name="YearMonth">#REF!&amp;""&amp;#REF!</definedName>
    <definedName name="yen" localSheetId="9" hidden="1">{#N/A,#N/A,FALSE,"Chi tiÆt"}</definedName>
    <definedName name="yen" hidden="1">{#N/A,#N/A,FALSE,"Chi tiÆt"}</definedName>
    <definedName name="YJ" localSheetId="9">#REF!</definedName>
    <definedName name="YJ">#REF!</definedName>
    <definedName name="yt" localSheetId="9">#REF!</definedName>
    <definedName name="yt">#REF!</definedName>
    <definedName name="yu" localSheetId="9">#REF!</definedName>
    <definedName name="yu">#REF!</definedName>
    <definedName name="yy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yy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yyy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yyy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" localSheetId="9">#REF!</definedName>
    <definedName name="Z">#REF!</definedName>
    <definedName name="Z_AD771281_6285_11D2_935C_0060088983C6_.wvu.Rows" localSheetId="9" hidden="1">#REF!</definedName>
    <definedName name="Z_AD771281_6285_11D2_935C_0060088983C6_.wvu.Rows" hidden="1">#REF!</definedName>
    <definedName name="zaza" localSheetId="9">#REF!</definedName>
    <definedName name="zaza">#REF!</definedName>
    <definedName name="ZC_NO_B">"WJG"</definedName>
    <definedName name="ZC_NO_H">"WJG"</definedName>
    <definedName name="Zip" localSheetId="9">#REF!</definedName>
    <definedName name="Zip">#REF!</definedName>
    <definedName name="Zwischenstatus_121099" localSheetId="9">#REF!</definedName>
    <definedName name="Zwischenstatus_121099">#REF!</definedName>
    <definedName name="zx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x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xcv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xcv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XD" localSheetId="9">#REF!</definedName>
    <definedName name="ZXD">#REF!</definedName>
    <definedName name="ZXDF" localSheetId="9">#REF!</definedName>
    <definedName name="ZXDF">#REF!</definedName>
    <definedName name="ZYX" localSheetId="9">#REF!</definedName>
    <definedName name="ZYX">#REF!</definedName>
    <definedName name="zz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z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ZZ" localSheetId="9">#REF!</definedName>
    <definedName name="ZZZ">#REF!</definedName>
    <definedName name="zzz2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zz2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zzz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zzz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zzzz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zzzz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Использование" localSheetId="9">#REF!</definedName>
    <definedName name="Использование">#REF!</definedName>
    <definedName name="МВЗ" localSheetId="9">#REF!</definedName>
    <definedName name="МВЗ">#REF!</definedName>
    <definedName name="СЗ" localSheetId="9">#REF!</definedName>
    <definedName name="СЗ">#REF!</definedName>
    <definedName name="Тип_расходов" localSheetId="9">#REF!</definedName>
    <definedName name="Тип_расходов">#REF!</definedName>
    <definedName name="ффф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ффф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ЦЗ" localSheetId="9">#REF!</definedName>
    <definedName name="ЦЗ">#REF!</definedName>
    <definedName name="ээээээээээээээ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ээээээээээээээ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安徽部" localSheetId="9">#REF!</definedName>
    <definedName name="安徽部">#REF!</definedName>
    <definedName name="办公室固定电话费" localSheetId="9">#REF!</definedName>
    <definedName name="办公室固定电话费">#REF!</definedName>
    <definedName name="办公用品" localSheetId="9">#REF!</definedName>
    <definedName name="办公用品">#REF!</definedName>
    <definedName name="半成品" localSheetId="9">#REF!</definedName>
    <definedName name="半成品">#REF!</definedName>
    <definedName name="报废" localSheetId="9">#REF!</definedName>
    <definedName name="报废">#REF!</definedName>
    <definedName name="北京" localSheetId="9">#REF!</definedName>
    <definedName name="北京">#REF!</definedName>
    <definedName name="北京分公司" localSheetId="9">#REF!</definedName>
    <definedName name="北京分公司">#REF!</definedName>
    <definedName name="本部" localSheetId="9">#REF!</definedName>
    <definedName name="本部">#REF!</definedName>
    <definedName name="币种" localSheetId="9">#REF!</definedName>
    <definedName name="币种">#REF!</definedName>
    <definedName name="边料" localSheetId="9">#REF!</definedName>
    <definedName name="边料">#REF!</definedName>
    <definedName name="表名">"Dummy"</definedName>
    <definedName name="部门" localSheetId="9">#REF!</definedName>
    <definedName name="部门">#REF!</definedName>
    <definedName name="材料" localSheetId="9">#REF!</definedName>
    <definedName name="材料">#REF!</definedName>
    <definedName name="材料库存" localSheetId="9">#REF!</definedName>
    <definedName name="材料库存">#REF!</definedName>
    <definedName name="材料销售" localSheetId="9">#REF!</definedName>
    <definedName name="材料销售">#REF!</definedName>
    <definedName name="材料销售11" localSheetId="9">#REF!</definedName>
    <definedName name="材料销售11">#REF!</definedName>
    <definedName name="仓库" localSheetId="9">#REF!</definedName>
    <definedName name="仓库">#REF!</definedName>
    <definedName name="差旅费12" localSheetId="9">#REF!</definedName>
    <definedName name="差旅费12">#REF!</definedName>
    <definedName name="差异" localSheetId="9">#REF!</definedName>
    <definedName name="差异">#REF!</definedName>
    <definedName name="差异201601" localSheetId="9">#REF!</definedName>
    <definedName name="差异201601">#REF!</definedName>
    <definedName name="出口" localSheetId="9">#REF!</definedName>
    <definedName name="出口">#REF!</definedName>
    <definedName name="出口机" localSheetId="9">#REF!</definedName>
    <definedName name="出口机">#REF!</definedName>
    <definedName name="出口销售" localSheetId="9">#REF!</definedName>
    <definedName name="出口销售">#REF!</definedName>
    <definedName name="厨房" localSheetId="9">#REF!</definedName>
    <definedName name="厨房">#REF!</definedName>
    <definedName name="次品仓出库中转数量" localSheetId="9">OFFSET(#REF!,4,0,COUNTA(#REF!)-1,1)</definedName>
    <definedName name="次品仓出库中转数量">OFFSET(#REF!,4,0,COUNTA(#REF!)-1,1)</definedName>
    <definedName name="次品仓中转台数" localSheetId="9">OFFSET(#REF!,4,0,COUNTA(#REF!)-1,1)</definedName>
    <definedName name="次品仓中转台数">OFFSET(#REF!,4,0,COUNTA(#REF!)-1,1)</definedName>
    <definedName name="存货明细___1_原材料_" localSheetId="9">#REF!</definedName>
    <definedName name="存货明细___1_原材料_">#REF!</definedName>
    <definedName name="单位往来" localSheetId="9">#REF!</definedName>
    <definedName name="单位往来">#REF!</definedName>
    <definedName name="电" localSheetId="9">#REF!</definedName>
    <definedName name="电">#REF!</definedName>
    <definedName name="谔谔" localSheetId="9" hidden="1">{#N/A,#N/A,FALSE,"Aging"}</definedName>
    <definedName name="谔谔" hidden="1">{#N/A,#N/A,FALSE,"Aging"}</definedName>
    <definedName name="发生额" localSheetId="9">#REF!</definedName>
    <definedName name="发生额">#REF!</definedName>
    <definedName name="费用" localSheetId="9">#REF!</definedName>
    <definedName name="费用">#REF!</definedName>
    <definedName name="福建" localSheetId="9">#REF!</definedName>
    <definedName name="福建">#REF!</definedName>
    <definedName name="负债表_合并" localSheetId="9">#REF!</definedName>
    <definedName name="负债表_合并">#REF!</definedName>
    <definedName name="负债表合并" localSheetId="9">#REF!</definedName>
    <definedName name="负债表合并">#REF!</definedName>
    <definedName name="供应商" localSheetId="9">#REF!</definedName>
    <definedName name="供应商">#REF!</definedName>
    <definedName name="固定资产" localSheetId="9">#REF!</definedName>
    <definedName name="固定资产">#REF!</definedName>
    <definedName name="固定资产付款申请单" localSheetId="9">#REF!</definedName>
    <definedName name="固定资产付款申请单">#REF!</definedName>
    <definedName name="广东二" localSheetId="9">#REF!</definedName>
    <definedName name="广东二">#REF!</definedName>
    <definedName name="广东一" localSheetId="9">#REF!</definedName>
    <definedName name="广东一">#REF!</definedName>
    <definedName name="广西" localSheetId="9">#REF!</definedName>
    <definedName name="广西">#REF!</definedName>
    <definedName name="广西分公司" localSheetId="9">#REF!</definedName>
    <definedName name="广西分公司">#REF!</definedName>
    <definedName name="广州" localSheetId="9">#REF!</definedName>
    <definedName name="广州">#REF!</definedName>
    <definedName name="广州分公司" localSheetId="9">#REF!</definedName>
    <definedName name="广州分公司">#REF!</definedName>
    <definedName name="贵州" localSheetId="9">#REF!</definedName>
    <definedName name="贵州">#REF!</definedName>
    <definedName name="国内出库中转数量" localSheetId="9">OFFSET(#REF!,4,0,COUNTA(#REF!)-1,1)</definedName>
    <definedName name="国内出库中转数量">OFFSET(#REF!,4,0,COUNTA(#REF!)-1,1)</definedName>
    <definedName name="国内出库中转体积" localSheetId="9">OFFSET(#REF!,4,0,COUNTA(#REF!)-1,1)</definedName>
    <definedName name="国内出库中转体积">OFFSET(#REF!,4,0,COUNTA(#REF!)-1,1)</definedName>
    <definedName name="哈尔滨分公司" localSheetId="9">#REF!</definedName>
    <definedName name="哈尔滨分公司">#REF!</definedName>
    <definedName name="海南" localSheetId="9">#REF!</definedName>
    <definedName name="海南">#REF!</definedName>
    <definedName name="合并" localSheetId="9">#REF!</definedName>
    <definedName name="合并">#REF!</definedName>
    <definedName name="河南部" localSheetId="9">#REF!</definedName>
    <definedName name="河南部">#REF!</definedName>
    <definedName name="核算项目余额表" localSheetId="9">#REF!</definedName>
    <definedName name="核算项目余额表">#REF!</definedName>
    <definedName name="湖北" localSheetId="9">#REF!</definedName>
    <definedName name="湖北">#REF!</definedName>
    <definedName name="湖北分公司" localSheetId="9">#REF!</definedName>
    <definedName name="湖北分公司">#REF!</definedName>
    <definedName name="湖南" localSheetId="9">#REF!</definedName>
    <definedName name="湖南">#REF!</definedName>
    <definedName name="汇总" localSheetId="9">#REF!</definedName>
    <definedName name="汇总">#REF!</definedName>
    <definedName name="基础表3" localSheetId="9" hidden="1">{"'Foglio1'!$J$12:$M$12"}</definedName>
    <definedName name="基础表3" hidden="1">{"'Foglio1'!$J$12:$M$12"}</definedName>
    <definedName name="间接" localSheetId="9">#REF!</definedName>
    <definedName name="间接">#REF!</definedName>
    <definedName name="江西" localSheetId="9">#REF!</definedName>
    <definedName name="江西">#REF!</definedName>
    <definedName name="金羚电器有限公司" localSheetId="9">#REF!</definedName>
    <definedName name="金羚电器有限公司">#REF!</definedName>
    <definedName name="经办人" localSheetId="9">#REF!</definedName>
    <definedName name="经办人">#REF!</definedName>
    <definedName name="科目余额表" localSheetId="9">#REF!</definedName>
    <definedName name="科目余额表">#REF!</definedName>
    <definedName name="料工费分配表" localSheetId="9" hidden="1">#REF!</definedName>
    <definedName name="料工费分配表" hidden="1">#REF!</definedName>
    <definedName name="Recorder" localSheetId="9">#REF!</definedName>
    <definedName name="Recorder">#REF!</definedName>
    <definedName name="美心思" localSheetId="9">#REF!</definedName>
    <definedName name="美心思">#REF!</definedName>
    <definedName name="美心思1" localSheetId="9">#REF!</definedName>
    <definedName name="美心思1">#REF!</definedName>
    <definedName name="门市部" localSheetId="9">#REF!</definedName>
    <definedName name="门市部">#REF!</definedName>
    <definedName name="南宁" localSheetId="9">#REF!</definedName>
    <definedName name="南宁">#REF!</definedName>
    <definedName name="年份" localSheetId="9">#REF!</definedName>
    <definedName name="年份">#REF!</definedName>
    <definedName name="其他费用" localSheetId="9">#REF!</definedName>
    <definedName name="其他费用">#REF!</definedName>
    <definedName name="全部末级余额" localSheetId="9">#REF!</definedName>
    <definedName name="全部末级余额">#REF!</definedName>
    <definedName name="入库类型" localSheetId="9">OFFSET(#REF!,2,0,COUNTA(#REF!)-1,1)</definedName>
    <definedName name="入库类型">OFFSET(#REF!,2,0,COUNTA(#REF!)-1,1)</definedName>
    <definedName name="入库数量" localSheetId="9">OFFSET(#REF!,2,0,COUNTA(#REF!)-1,1)</definedName>
    <definedName name="入库数量">OFFSET(#REF!,2,0,COUNTA(#REF!)-1,1)</definedName>
    <definedName name="入库型号" localSheetId="9">OFFSET(#REF!,2,0,COUNTA(#REF!)-1,1)</definedName>
    <definedName name="入库型号">OFFSET(#REF!,2,0,COUNTA(#REF!)-1,1)</definedName>
    <definedName name="陕西宁夏" localSheetId="9">#REF!</definedName>
    <definedName name="陕西宁夏">#REF!</definedName>
    <definedName name="上和" localSheetId="9">#REF!</definedName>
    <definedName name="上和">#REF!</definedName>
    <definedName name="试1" localSheetId="9" hidden="1">{#N/A,#N/A,FALSE,"Aging Summary";#N/A,#N/A,FALSE,"Ratio Analysis";#N/A,#N/A,FALSE,"Test 120 Day Accts";#N/A,#N/A,FALSE,"Tickmarks"}</definedName>
    <definedName name="试1" hidden="1">{#N/A,#N/A,FALSE,"Aging Summary";#N/A,#N/A,FALSE,"Ratio Analysis";#N/A,#N/A,FALSE,"Test 120 Day Accts";#N/A,#N/A,FALSE,"Tickmarks"}</definedName>
    <definedName name="试算平衡表" localSheetId="9">#REF!</definedName>
    <definedName name="试算平衡表">#REF!</definedName>
    <definedName name="数量金额总账" localSheetId="9">#REF!</definedName>
    <definedName name="数量金额总账">#REF!</definedName>
    <definedName name="水" localSheetId="9">#REF!</definedName>
    <definedName name="水">#REF!</definedName>
    <definedName name="税款负担方式" localSheetId="9">#REF!</definedName>
    <definedName name="税款负担方式">#REF!</definedName>
    <definedName name="四川" localSheetId="9">#REF!</definedName>
    <definedName name="四川">#REF!</definedName>
    <definedName name="损_益_表_合并" localSheetId="9">#REF!</definedName>
    <definedName name="损_益_表_合并">#REF!</definedName>
    <definedName name="损益表_合并" localSheetId="9">#REF!</definedName>
    <definedName name="损益表_合并">#REF!</definedName>
    <definedName name="体积明细" localSheetId="9">OFFSET(#REF!,1,0,COUNTA(#REF!)-1,6)</definedName>
    <definedName name="体积明细">OFFSET(#REF!,1,0,COUNTA(#REF!)-1,6)</definedName>
    <definedName name="往来对账单" localSheetId="9">#REF!</definedName>
    <definedName name="往来对账单">#REF!</definedName>
    <definedName name="我市" localSheetId="9">#REF!</definedName>
    <definedName name="我市">#REF!</definedName>
    <definedName name="武汉" localSheetId="9">#REF!</definedName>
    <definedName name="武汉">#REF!</definedName>
    <definedName name="物料代码0503" localSheetId="9">#REF!</definedName>
    <definedName name="物料代码0503">#REF!</definedName>
    <definedName name="项目性质" localSheetId="9">#REF!</definedName>
    <definedName name="项目性质">#REF!</definedName>
    <definedName name="销售成本" localSheetId="9" hidden="1">{#N/A,#N/A,FALSE,"Aging Summary";#N/A,#N/A,FALSE,"Ratio Analysis";#N/A,#N/A,FALSE,"Test 120 Day Accts";#N/A,#N/A,FALSE,"Tickmarks"}</definedName>
    <definedName name="销售成本" hidden="1">{#N/A,#N/A,FALSE,"Aging Summary";#N/A,#N/A,FALSE,"Ratio Analysis";#N/A,#N/A,FALSE,"Test 120 Day Accts";#N/A,#N/A,FALSE,"Tickmarks"}</definedName>
    <definedName name="新" localSheetId="9">#REF!</definedName>
    <definedName name="新">#REF!</definedName>
    <definedName name="新136" localSheetId="9">#REF!</definedName>
    <definedName name="新136">#REF!</definedName>
    <definedName name="杨总房租" localSheetId="9">#REF!</definedName>
    <definedName name="杨总房租">#REF!</definedName>
    <definedName name="应付工资" localSheetId="9">#REF!</definedName>
    <definedName name="应付工资">#REF!</definedName>
    <definedName name="应付款" localSheetId="9">#REF!</definedName>
    <definedName name="应付款">#REF!</definedName>
    <definedName name="用友办公用品" localSheetId="9">#REF!</definedName>
    <definedName name="用友办公用品">#REF!</definedName>
    <definedName name="用友科目" localSheetId="9">#REF!</definedName>
    <definedName name="用友科目">#REF!</definedName>
    <definedName name="余额表" localSheetId="9">#REF!</definedName>
    <definedName name="余额表">#REF!</definedName>
    <definedName name="预提" localSheetId="9">#REF!</definedName>
    <definedName name="预提">#REF!</definedName>
    <definedName name="预提费用201611" localSheetId="9">#REF!</definedName>
    <definedName name="预提费用201611">#REF!</definedName>
    <definedName name="月份" localSheetId="9">#REF!</definedName>
    <definedName name="月份">#REF!</definedName>
    <definedName name="云南" localSheetId="9">#REF!</definedName>
    <definedName name="云南">#REF!</definedName>
    <definedName name="在产品201601" localSheetId="9">#REF!</definedName>
    <definedName name="在产品201601">#REF!</definedName>
    <definedName name="在产品201601003" localSheetId="9">#REF!</definedName>
    <definedName name="在产品201601003">#REF!</definedName>
    <definedName name="在产品20160102" localSheetId="9">#REF!</definedName>
    <definedName name="在产品20160102">#REF!</definedName>
    <definedName name="招待费12" localSheetId="9">#REF!</definedName>
    <definedName name="招待费12">#REF!</definedName>
    <definedName name="折旧1" localSheetId="9" hidden="1">{#N/A,#N/A,FALSE,"Aging Summary";#N/A,#N/A,FALSE,"Ratio Analysis";#N/A,#N/A,FALSE,"Test 120 Day Accts";#N/A,#N/A,FALSE,"Tickmarks"}</definedName>
    <definedName name="折旧1" hidden="1">{#N/A,#N/A,FALSE,"Aging Summary";#N/A,#N/A,FALSE,"Ratio Analysis";#N/A,#N/A,FALSE,"Test 120 Day Accts";#N/A,#N/A,FALSE,"Tickmarks"}</definedName>
    <definedName name="浙江" localSheetId="9">#REF!</definedName>
    <definedName name="浙江">#REF!</definedName>
    <definedName name="郑州" localSheetId="9">#REF!</definedName>
    <definedName name="郑州">#REF!</definedName>
    <definedName name="郑州分公司" localSheetId="9">#REF!</definedName>
    <definedName name="郑州分公司">#REF!</definedName>
    <definedName name="直接" localSheetId="9">#REF!</definedName>
    <definedName name="直接">#REF!</definedName>
    <definedName name="中转出库台数" localSheetId="9">OFFSET(#REF!,4,0,COUNTA(#REF!)-1,1)</definedName>
    <definedName name="中转出库台数">OFFSET(#REF!,4,0,COUNTA(#REF!)-1,1)</definedName>
    <definedName name="总部" localSheetId="9">#REF!</definedName>
    <definedName name="总部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<sst xmlns="http://schemas.openxmlformats.org/spreadsheetml/2006/main" count="3612" uniqueCount="654">
  <si>
    <t>24年实际</t>
  </si>
  <si>
    <t>千欧</t>
  </si>
  <si>
    <t>科目</t>
  </si>
  <si>
    <t>24年1月</t>
  </si>
  <si>
    <t>24年2月</t>
  </si>
  <si>
    <t>24年3月</t>
  </si>
  <si>
    <t>24年4月</t>
  </si>
  <si>
    <t>24年5月</t>
  </si>
  <si>
    <t>24年6月</t>
  </si>
  <si>
    <t>24年7月</t>
  </si>
  <si>
    <t>24年8月</t>
  </si>
  <si>
    <t>24年9月</t>
  </si>
  <si>
    <t>24年10月</t>
  </si>
  <si>
    <t>24年11月</t>
  </si>
  <si>
    <t>24年12月</t>
  </si>
  <si>
    <t>合计</t>
  </si>
  <si>
    <t>单台</t>
  </si>
  <si>
    <t>占比</t>
  </si>
  <si>
    <t>费率</t>
  </si>
  <si>
    <t>同比</t>
  </si>
  <si>
    <t>平均单价</t>
  </si>
  <si>
    <t>产量</t>
  </si>
  <si>
    <t>固定制造</t>
  </si>
  <si>
    <t>折旧-不含FC</t>
  </si>
  <si>
    <t>运营费</t>
  </si>
  <si>
    <t>存货跌价准备</t>
  </si>
  <si>
    <t>固定能源费</t>
  </si>
  <si>
    <t>间接人工成本-辅助人员</t>
  </si>
  <si>
    <t>固定人工-白领</t>
  </si>
  <si>
    <t>半固定-班车/工作服</t>
  </si>
  <si>
    <t>变动制造</t>
  </si>
  <si>
    <t>直接人工</t>
  </si>
  <si>
    <t>废料</t>
  </si>
  <si>
    <t>生产耗用品</t>
  </si>
  <si>
    <t>废品收入</t>
  </si>
  <si>
    <t>变动能源费</t>
  </si>
  <si>
    <t>分摊</t>
  </si>
  <si>
    <t>分摊费用</t>
  </si>
  <si>
    <t>IT Expense-Internal Charge Out</t>
  </si>
  <si>
    <t>Association dues</t>
  </si>
  <si>
    <t>G&amp;A</t>
  </si>
  <si>
    <t>青岛不包含科目</t>
  </si>
  <si>
    <t>functional currency</t>
  </si>
  <si>
    <t xml:space="preserve">  </t>
  </si>
  <si>
    <t>厨电25年实际</t>
  </si>
  <si>
    <t>年累</t>
  </si>
  <si>
    <t>25年1月</t>
  </si>
  <si>
    <t>25年2月</t>
  </si>
  <si>
    <t>25年3月</t>
  </si>
  <si>
    <t>25年4月</t>
  </si>
  <si>
    <t>25年5月</t>
  </si>
  <si>
    <t>25年6月</t>
  </si>
  <si>
    <t>25年7月</t>
  </si>
  <si>
    <t>25年8月</t>
  </si>
  <si>
    <t>25年9月</t>
  </si>
  <si>
    <t>25年10月</t>
  </si>
  <si>
    <t>25年11月</t>
  </si>
  <si>
    <t>25年12月</t>
  </si>
  <si>
    <t>平均单价（自制）</t>
  </si>
  <si>
    <t>折旧</t>
  </si>
  <si>
    <t xml:space="preserve">   IT Expense-Internal Charge Out</t>
  </si>
  <si>
    <t xml:space="preserve">   Association dues</t>
  </si>
  <si>
    <t xml:space="preserve">   G&amp;A</t>
  </si>
  <si>
    <t>厨电25年预算</t>
  </si>
  <si>
    <t>厨电26年实际</t>
  </si>
  <si>
    <t>折旧（含FC)</t>
  </si>
  <si>
    <t>可回收废料</t>
  </si>
  <si>
    <t>废品回收</t>
  </si>
  <si>
    <t>制造费率</t>
  </si>
  <si>
    <t>厨电26年预算</t>
  </si>
  <si>
    <t>折旧（含FC）</t>
  </si>
  <si>
    <t>额</t>
  </si>
  <si>
    <t>备注</t>
  </si>
  <si>
    <t>2月年累</t>
  </si>
  <si>
    <t>3月年累</t>
  </si>
  <si>
    <t>4月年累</t>
  </si>
  <si>
    <t>5月年累</t>
  </si>
  <si>
    <t>6月年累</t>
  </si>
  <si>
    <t>7月年累</t>
  </si>
  <si>
    <t>8月年累</t>
  </si>
  <si>
    <t>9月年累</t>
  </si>
  <si>
    <t>10月年累</t>
  </si>
  <si>
    <t>11月年累</t>
  </si>
  <si>
    <t>12月年累</t>
  </si>
  <si>
    <t>25年3月/9月各涨18%</t>
  </si>
  <si>
    <t>洗碗机24年实际</t>
  </si>
  <si>
    <t>折旧-含FC</t>
  </si>
  <si>
    <t>1-6月按预算计入，7-11月按存货损失逻辑计提，12月调整全年总损失与预算一致</t>
  </si>
  <si>
    <t>洗碗机25年实际</t>
  </si>
  <si>
    <t>1-5月按预算金额计入，6月按存货损失逻辑计提</t>
  </si>
  <si>
    <t>洗碗机25年预算</t>
  </si>
  <si>
    <t>洗碗机26年实际</t>
  </si>
  <si>
    <t>40890</t>
  </si>
  <si>
    <t>洗碗机26年预算</t>
  </si>
  <si>
    <t>厨电</t>
  </si>
  <si>
    <t>洗碗机</t>
  </si>
  <si>
    <t>预算</t>
  </si>
  <si>
    <t>单台/欧</t>
  </si>
  <si>
    <t>实际</t>
  </si>
  <si>
    <t>同期</t>
  </si>
  <si>
    <t>单台同比</t>
  </si>
  <si>
    <r>
      <rPr>
        <b/>
        <sz val="9"/>
        <color theme="0"/>
        <rFont val="微软雅黑"/>
        <charset val="134"/>
      </rPr>
      <t xml:space="preserve">规模影响
</t>
    </r>
    <r>
      <rPr>
        <b/>
        <sz val="6"/>
        <color theme="0"/>
        <rFont val="微软雅黑"/>
        <charset val="134"/>
      </rPr>
      <t>（正数负贡献）</t>
    </r>
  </si>
  <si>
    <t>效率影响</t>
  </si>
  <si>
    <t>制造费用合计</t>
  </si>
  <si>
    <t>分摊费用小计</t>
  </si>
  <si>
    <t>Q1月 厨电产量同比上升22%，制造费用单台24EUR，同比↓9EUR，其中由于产量上升↓6EUR, 工厂效率↓3EUR。</t>
  </si>
  <si>
    <t>洗碗机产量同比↓20%， 制造费用单台46EUR, 同比↑10EUR,产量影响↑9EUR, 效率影响↑1EUR。</t>
  </si>
  <si>
    <r>
      <rPr>
        <b/>
        <sz val="10"/>
        <color rgb="FF000000"/>
        <rFont val="微软雅黑"/>
        <charset val="134"/>
      </rPr>
      <t>厨电：4月</t>
    </r>
    <r>
      <rPr>
        <sz val="10"/>
        <color rgb="FF000000"/>
        <rFont val="微软雅黑"/>
        <charset val="134"/>
      </rPr>
      <t>单台19欧，同比↓7欧，其中产量影响↓3欧，费用提效↓4欧；</t>
    </r>
  </si>
  <si>
    <r>
      <rPr>
        <b/>
        <sz val="10"/>
        <color rgb="FF000000"/>
        <rFont val="微软雅黑"/>
        <charset val="134"/>
      </rPr>
      <t>洗碗机：4</t>
    </r>
    <r>
      <rPr>
        <sz val="10"/>
        <color rgb="FF000000"/>
        <rFont val="微软雅黑"/>
        <charset val="134"/>
      </rPr>
      <t>月单台22欧，同比↓10欧，产量影响↑7欧，效率影响↓17欧；</t>
    </r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</si>
  <si>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</si>
  <si>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</si>
  <si>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</si>
  <si>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</si>
  <si>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</si>
  <si>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</si>
  <si>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</si>
  <si>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</si>
  <si>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</si>
  <si>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</si>
  <si>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</si>
  <si>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</si>
  <si>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DW</t>
  </si>
  <si>
    <t>OCAK ACTUAL</t>
  </si>
  <si>
    <t>ŞUBAT ACTUAL</t>
  </si>
  <si>
    <t xml:space="preserve">MART ACTUAL </t>
  </si>
  <si>
    <t>NİSAN</t>
  </si>
  <si>
    <t>MAYIS</t>
  </si>
  <si>
    <t>HAZİRAN</t>
  </si>
  <si>
    <t>TEMMUZ</t>
  </si>
  <si>
    <t>AĞUSTOS</t>
  </si>
  <si>
    <t>EYLÜL</t>
  </si>
  <si>
    <t>EKİM</t>
  </si>
  <si>
    <t>KASIM</t>
  </si>
  <si>
    <t>ARALIK</t>
  </si>
  <si>
    <t>TOPLAM</t>
  </si>
  <si>
    <t>3+9 FCST</t>
  </si>
  <si>
    <t>579.847,64</t>
  </si>
  <si>
    <t>534.448,70</t>
  </si>
  <si>
    <t>578.791,39</t>
  </si>
  <si>
    <t>567.956,39</t>
  </si>
  <si>
    <t>506.888,51</t>
  </si>
  <si>
    <t>558.027,78</t>
  </si>
  <si>
    <t>588.055,76</t>
  </si>
  <si>
    <t>588.338,42</t>
  </si>
  <si>
    <t>574.373,59</t>
  </si>
  <si>
    <t>590.074,83</t>
  </si>
  <si>
    <t>579.971,80</t>
  </si>
  <si>
    <t>601.639,42</t>
  </si>
  <si>
    <t>6.848.414,23</t>
  </si>
  <si>
    <t>LIFETIME CHANGE PROJECT</t>
  </si>
  <si>
    <t>0,00</t>
  </si>
  <si>
    <t>FINAL TOTAL</t>
  </si>
  <si>
    <t>37.616,36</t>
  </si>
  <si>
    <t>371.839,28</t>
  </si>
  <si>
    <t>425.442,57</t>
  </si>
  <si>
    <t>453.007,30</t>
  </si>
  <si>
    <t>453.295,74</t>
  </si>
  <si>
    <t>442.242,63</t>
  </si>
  <si>
    <t>455.500,56</t>
  </si>
  <si>
    <t>447.864,77</t>
  </si>
  <si>
    <t>467.352,08</t>
  </si>
  <si>
    <t>5.247.249,02</t>
  </si>
  <si>
    <t>预算产量</t>
  </si>
  <si>
    <t>单台影响</t>
  </si>
  <si>
    <t>CK</t>
  </si>
  <si>
    <r>
      <rPr>
        <sz val="11"/>
        <color rgb="FF000000"/>
        <rFont val="等线"/>
        <charset val="134"/>
        <scheme val="minor"/>
      </rPr>
      <t>N</t>
    </r>
    <r>
      <rPr>
        <sz val="11"/>
        <color rgb="FF000000"/>
        <rFont val="等线"/>
        <charset val="134"/>
        <scheme val="minor"/>
      </rPr>
      <t>İ</t>
    </r>
    <r>
      <rPr>
        <sz val="11"/>
        <color rgb="FF000000"/>
        <rFont val="等线"/>
        <charset val="134"/>
        <scheme val="minor"/>
      </rPr>
      <t>SAN</t>
    </r>
  </si>
  <si>
    <r>
      <rPr>
        <sz val="11"/>
        <color rgb="FF000000"/>
        <rFont val="等线"/>
        <charset val="134"/>
        <scheme val="minor"/>
      </rPr>
      <t>HAZ</t>
    </r>
    <r>
      <rPr>
        <sz val="11"/>
        <color rgb="FF000000"/>
        <rFont val="等线"/>
        <charset val="134"/>
        <scheme val="minor"/>
      </rPr>
      <t>İ</t>
    </r>
    <r>
      <rPr>
        <sz val="11"/>
        <color rgb="FF000000"/>
        <rFont val="等线"/>
        <charset val="134"/>
        <scheme val="minor"/>
      </rPr>
      <t>RAN</t>
    </r>
  </si>
  <si>
    <r>
      <rPr>
        <sz val="11"/>
        <color rgb="FF000000"/>
        <rFont val="等线"/>
        <charset val="134"/>
        <scheme val="minor"/>
      </rPr>
      <t>A</t>
    </r>
    <r>
      <rPr>
        <sz val="11"/>
        <color rgb="FF000000"/>
        <rFont val="等线"/>
        <charset val="134"/>
        <scheme val="minor"/>
      </rPr>
      <t>Ğ</t>
    </r>
    <r>
      <rPr>
        <sz val="11"/>
        <color rgb="FF000000"/>
        <rFont val="等线"/>
        <charset val="134"/>
        <scheme val="minor"/>
      </rPr>
      <t>USTOS</t>
    </r>
  </si>
  <si>
    <r>
      <rPr>
        <sz val="11"/>
        <color rgb="FF000000"/>
        <rFont val="等线"/>
        <charset val="134"/>
        <scheme val="minor"/>
      </rPr>
      <t>EK</t>
    </r>
    <r>
      <rPr>
        <sz val="11"/>
        <color rgb="FF000000"/>
        <rFont val="等线"/>
        <charset val="134"/>
        <scheme val="minor"/>
      </rPr>
      <t>İ</t>
    </r>
    <r>
      <rPr>
        <sz val="11"/>
        <color rgb="FF000000"/>
        <rFont val="等线"/>
        <charset val="134"/>
        <scheme val="minor"/>
      </rPr>
      <t>M</t>
    </r>
  </si>
  <si>
    <t>815.409,15</t>
  </si>
  <si>
    <t>612.409,10</t>
  </si>
  <si>
    <t>797.262,58</t>
  </si>
  <si>
    <t>750.116,36</t>
  </si>
  <si>
    <t>759.703,02</t>
  </si>
  <si>
    <t>757.404,71</t>
  </si>
  <si>
    <t>816.535,80</t>
  </si>
  <si>
    <t>826.594,05</t>
  </si>
  <si>
    <t>818.138,15</t>
  </si>
  <si>
    <t>830.869,57</t>
  </si>
  <si>
    <t>821.482,45</t>
  </si>
  <si>
    <t>830.614,79</t>
  </si>
  <si>
    <t>9.436.539,74</t>
  </si>
  <si>
    <t>474.152,25</t>
  </si>
  <si>
    <t>685.679,48</t>
  </si>
  <si>
    <t>744.112,65</t>
  </si>
  <si>
    <t>754.170,90</t>
  </si>
  <si>
    <t>746.412,84</t>
  </si>
  <si>
    <t>758.446,54</t>
  </si>
  <si>
    <t>749.757,11</t>
  </si>
  <si>
    <t>758.191,69</t>
  </si>
  <si>
    <t>8.583.284,13</t>
  </si>
  <si>
    <t>直接人工人数</t>
  </si>
  <si>
    <t>CK1+CK2</t>
  </si>
  <si>
    <t>January</t>
  </si>
  <si>
    <t>February</t>
  </si>
  <si>
    <t>March</t>
  </si>
  <si>
    <t>April</t>
  </si>
  <si>
    <t>May</t>
  </si>
  <si>
    <t>Jun</t>
  </si>
  <si>
    <t>July</t>
  </si>
  <si>
    <t>Augt</t>
  </si>
  <si>
    <t>Sept</t>
  </si>
  <si>
    <t>Oct</t>
  </si>
  <si>
    <t>Novem</t>
  </si>
  <si>
    <t>Dec</t>
  </si>
  <si>
    <t>人数合计</t>
  </si>
  <si>
    <t>年累人工成本</t>
  </si>
  <si>
    <t>人均工资</t>
  </si>
  <si>
    <t>24年</t>
  </si>
  <si>
    <t>25年</t>
  </si>
  <si>
    <t>26年</t>
  </si>
  <si>
    <t>间接人工人数</t>
  </si>
  <si>
    <t>白领人数</t>
  </si>
  <si>
    <t xml:space="preserve">Renta CK Cost Evolution </t>
  </si>
  <si>
    <t xml:space="preserve">Volume </t>
  </si>
  <si>
    <t xml:space="preserve">FX Rates </t>
  </si>
  <si>
    <t>HQE</t>
  </si>
  <si>
    <t>HQD</t>
  </si>
  <si>
    <t>HQD PERIMETER</t>
  </si>
  <si>
    <t xml:space="preserve">Jan K€ </t>
  </si>
  <si>
    <t xml:space="preserve">Feb K€ </t>
  </si>
  <si>
    <t xml:space="preserve">Mar K€ </t>
  </si>
  <si>
    <t xml:space="preserve">Apr K€ </t>
  </si>
  <si>
    <t xml:space="preserve">May K€ </t>
  </si>
  <si>
    <t xml:space="preserve">June K€ </t>
  </si>
  <si>
    <t xml:space="preserve">July K€ </t>
  </si>
  <si>
    <t xml:space="preserve">Aug K€ </t>
  </si>
  <si>
    <t xml:space="preserve">Sep K€ </t>
  </si>
  <si>
    <t xml:space="preserve">Oct K€ </t>
  </si>
  <si>
    <t xml:space="preserve">Nov K€ </t>
  </si>
  <si>
    <t xml:space="preserve">Dec K€ </t>
  </si>
  <si>
    <t xml:space="preserve"> YTD K€ </t>
  </si>
  <si>
    <t>YES</t>
  </si>
  <si>
    <t xml:space="preserve">    6666110101  Depreciation of buildings</t>
  </si>
  <si>
    <t>*   CS_Depreciation</t>
  </si>
  <si>
    <t>Depreciation</t>
  </si>
  <si>
    <t xml:space="preserve">    6666110106  Depreciation of R&amp;D facilities</t>
  </si>
  <si>
    <t xml:space="preserve">    6666110107  Depreciation of mold　</t>
  </si>
  <si>
    <t xml:space="preserve">    6666110110  Depreciation-Plant &amp; Machinery</t>
  </si>
  <si>
    <t xml:space="preserve">    6666110112  Depreciation of Furniture &amp; Fixture</t>
  </si>
  <si>
    <t xml:space="preserve">    6666110204  Amortization of license, trademarks and</t>
  </si>
  <si>
    <t xml:space="preserve">    6666110207  Amortization of Software</t>
  </si>
  <si>
    <t xml:space="preserve">    6666110506  Amortization-Leasehold Improvement</t>
  </si>
  <si>
    <t>6666110206</t>
  </si>
  <si>
    <t xml:space="preserve">    6666110206 Amortization of Patents</t>
  </si>
  <si>
    <t xml:space="preserve">FIX </t>
  </si>
  <si>
    <t xml:space="preserve">    5001010205  Unemployment Insurance -blue collar-Dire</t>
  </si>
  <si>
    <t>*   CS_Direct Labour</t>
  </si>
  <si>
    <t>Direct Labor</t>
  </si>
  <si>
    <t>TOTAL MFG COST w/o SHARES</t>
  </si>
  <si>
    <t xml:space="preserve">    6666010380  Incentive</t>
  </si>
  <si>
    <t xml:space="preserve">    6666010019  Payroll Taxes - Blue Collar Direct</t>
  </si>
  <si>
    <t xml:space="preserve">    6666010183  Overtime-Blue Collar-Direct</t>
  </si>
  <si>
    <t xml:space="preserve">    6666010229  Staff Leaving Indemnity - Blue Collar Di</t>
  </si>
  <si>
    <t xml:space="preserve">    6666010188  Salary - Blue collar direct employees</t>
  </si>
  <si>
    <t xml:space="preserve">    5102040406  Other revenue-Service/Secondment agreeme</t>
  </si>
  <si>
    <t xml:space="preserve">    6666010115  Salary-Blue collar direct employees-Accr</t>
  </si>
  <si>
    <t xml:space="preserve">VAR </t>
  </si>
  <si>
    <t>NO</t>
  </si>
  <si>
    <t xml:space="preserve">    8701530201  Scrap-Raw Material - Managerial</t>
  </si>
  <si>
    <t>*   CS_SCRAP_VARIABLE</t>
  </si>
  <si>
    <t>Scrap</t>
  </si>
  <si>
    <t>TOTAL OTHERS</t>
  </si>
  <si>
    <t xml:space="preserve">    6666050309  SFG scrap</t>
  </si>
  <si>
    <t xml:space="preserve">    6666050308  Raw material scrap</t>
  </si>
  <si>
    <t xml:space="preserve">    6666050306  Finished goods scrap</t>
  </si>
  <si>
    <t xml:space="preserve">    5102010151  Other Rev.-Interco-Epidemic problem comp</t>
  </si>
  <si>
    <t>*   CS_Fix Cost</t>
  </si>
  <si>
    <t>Fixed Cost</t>
  </si>
  <si>
    <t xml:space="preserve">    5001010200  Cost of Manufacture - Raw Material</t>
  </si>
  <si>
    <t xml:space="preserve">    5001010201  Cost of Manufacture - Raw Material-Freig</t>
  </si>
  <si>
    <t xml:space="preserve">    5207000011  Gain of tangible asset disposal</t>
  </si>
  <si>
    <t xml:space="preserve">    5207000012  Loss of tangible asset sold</t>
  </si>
  <si>
    <t xml:space="preserve">    5207000022  Loss of intangible asset disposal</t>
  </si>
  <si>
    <t xml:space="preserve">    5301060000  Other Income-Subsidy income</t>
  </si>
  <si>
    <t xml:space="preserve">    5301999999  Non-operation revenue-Other</t>
  </si>
  <si>
    <t xml:space="preserve">    5405030000  Other cost-others</t>
  </si>
  <si>
    <t xml:space="preserve">    5601050000  Non-Operating Expense - Penalty</t>
  </si>
  <si>
    <t xml:space="preserve">    5601050100  Non-operation Expense-Others</t>
  </si>
  <si>
    <t xml:space="preserve">    5102040893  Other revenue-Charge out-Test Expense</t>
  </si>
  <si>
    <t xml:space="preserve">   5801000041  Previous year Sundry cost</t>
  </si>
  <si>
    <t xml:space="preserve">    6666010322  fuel allowance</t>
  </si>
  <si>
    <t xml:space="preserve">    6666020101  Entertainment</t>
  </si>
  <si>
    <t xml:space="preserve">    6666020201  Domestic business travel</t>
  </si>
  <si>
    <t xml:space="preserve">    6666020202  Overseas business travel</t>
  </si>
  <si>
    <t xml:space="preserve">    6666020204  Travel expense pay to agency</t>
  </si>
  <si>
    <t xml:space="preserve">    6666020205  Business travel-other</t>
  </si>
  <si>
    <t xml:space="preserve">    6666020301  Staff communic</t>
  </si>
  <si>
    <t xml:space="preserve">    6666020302  Communication Expenses</t>
  </si>
  <si>
    <t>6666020403</t>
  </si>
  <si>
    <t xml:space="preserve">    6666020403  Company car expense</t>
  </si>
  <si>
    <t xml:space="preserve">    6666020405  Company car expense - maintenance fees</t>
  </si>
  <si>
    <t xml:space="preserve">    6666020495  Non-deductible expense-travel.</t>
  </si>
  <si>
    <t xml:space="preserve">    6666020504  Newspaper and Periodicals expenditure</t>
  </si>
  <si>
    <t xml:space="preserve">    6666020508  Postage</t>
  </si>
  <si>
    <t xml:space="preserve">    6666020602  Training costs Outside the group</t>
  </si>
  <si>
    <t xml:space="preserve">    6666020701  Enterprise Property Insurance</t>
  </si>
  <si>
    <t xml:space="preserve">    6666020802  Equipment rental cost</t>
  </si>
  <si>
    <t xml:space="preserve">    6666020803  Car rental cost</t>
  </si>
  <si>
    <t xml:space="preserve">    6666021100  Consulting fees</t>
  </si>
  <si>
    <t xml:space="preserve">    6666021104  Consulting expense-Technical</t>
  </si>
  <si>
    <t xml:space="preserve">    6666021902  Cleaning fees</t>
  </si>
  <si>
    <t xml:space="preserve">    6666022100  Security</t>
  </si>
  <si>
    <t xml:space="preserve">    6666022300  Association dues</t>
  </si>
  <si>
    <t xml:space="preserve">    6666029700  Service fee recharge</t>
  </si>
  <si>
    <t xml:space="preserve">    6666029900  Sundry Expenses</t>
  </si>
  <si>
    <t xml:space="preserve">    6666029996  Non-deductible expense-travel.</t>
  </si>
  <si>
    <t xml:space="preserve">    6666029997  restructure cost</t>
  </si>
  <si>
    <t xml:space="preserve">    6666030702  R&amp;D prototype purchased</t>
  </si>
  <si>
    <t xml:space="preserve">    6666031200  Instrument fee</t>
  </si>
  <si>
    <t xml:space="preserve">    6666050107  Special distribution costs</t>
  </si>
  <si>
    <t xml:space="preserve">    6666070100  Software purchase, development and imple</t>
  </si>
  <si>
    <t xml:space="preserve">    6666070300  Software maintenance fees</t>
  </si>
  <si>
    <t xml:space="preserve">    6666070400  IT maint. &amp; repairs hardware</t>
  </si>
  <si>
    <t xml:space="preserve">    5401050201  COGS-Special a</t>
  </si>
  <si>
    <t xml:space="preserve">    5401020212  Local Transpor</t>
  </si>
  <si>
    <t xml:space="preserve">    6666110203  Low value consumables</t>
  </si>
  <si>
    <t>*   CS_Variable Cost</t>
  </si>
  <si>
    <t>Other Variable (Production Consumable, Inventory ADJ)</t>
  </si>
  <si>
    <t xml:space="preserve">    5102040000  Other Revenue - Other</t>
  </si>
  <si>
    <t xml:space="preserve">    6666050307  Inventory count different-raw material</t>
  </si>
  <si>
    <t xml:space="preserve">    6666050312  Inventory count different- Semifinished</t>
  </si>
  <si>
    <t xml:space="preserve">    6666100203  Provision for inventory devaluation - RM</t>
  </si>
  <si>
    <t>*   CS_Obsolescence</t>
  </si>
  <si>
    <t>Obsolete</t>
  </si>
  <si>
    <t xml:space="preserve">    5301070000  Non-operation revenue-sales of scrapped</t>
  </si>
  <si>
    <t>*   CS_Reselling</t>
  </si>
  <si>
    <t>Scrap Reselling</t>
  </si>
  <si>
    <t xml:space="preserve">    6666021602  Electricity</t>
  </si>
  <si>
    <t>*   CS_Fix Utilities</t>
  </si>
  <si>
    <t>Fixed utilities</t>
  </si>
  <si>
    <t xml:space="preserve">    6666021600  Energy and power cost</t>
  </si>
  <si>
    <t>*   CS_Variable Utilities</t>
  </si>
  <si>
    <t>Variable Utilities</t>
  </si>
  <si>
    <t xml:space="preserve">    6666021603  Water</t>
  </si>
  <si>
    <t xml:space="preserve">    6666021604  Oil &amp; Gas</t>
  </si>
  <si>
    <t xml:space="preserve">    5001010206  Unemployment Insurance -blue collar-Indi</t>
  </si>
  <si>
    <t>*   CS_Indirect Labour</t>
  </si>
  <si>
    <t>Indirect Labour</t>
  </si>
  <si>
    <t xml:space="preserve">    6666010184  Salary&amp;Additional Incentive-Blue Collar-</t>
  </si>
  <si>
    <t xml:space="preserve">    6666010186  Overtime-Blue Collar-Indirect</t>
  </si>
  <si>
    <t xml:space="preserve">    6666010189  Salary - Blue collar indirect employees</t>
  </si>
  <si>
    <t xml:space="preserve">    6666010012  Payroll Taxes- Blue Collar Indirect</t>
  </si>
  <si>
    <t xml:space="preserve">    6666010226  Staff Leaving Indemnity - Blue Collar In</t>
  </si>
  <si>
    <t xml:space="preserve">    6666010102  Salary-Blue collar indirect employees- A</t>
  </si>
  <si>
    <t>FIX</t>
  </si>
  <si>
    <t xml:space="preserve">    6666010196  Payroll Taxes-White Collar Employee</t>
  </si>
  <si>
    <t>*   CS_Fixed Labour</t>
  </si>
  <si>
    <t>Fixed Labour</t>
  </si>
  <si>
    <t xml:space="preserve">    6666010101  Salary - White collar employees</t>
  </si>
  <si>
    <t xml:space="preserve">    6666010199  Salary-White collar employees -Accrued</t>
  </si>
  <si>
    <t xml:space="preserve">    6666010185  Salary&amp;Additional Incentive-White Collar</t>
  </si>
  <si>
    <t xml:space="preserve">    6666010207  Unemployment insurance companies to pay</t>
  </si>
  <si>
    <t xml:space="preserve">    6666010227  Staff Leaving Indemnity - White collar E</t>
  </si>
  <si>
    <t xml:space="preserve">    6666010302  Medical expenses</t>
  </si>
  <si>
    <t>*   CS_Semifix</t>
  </si>
  <si>
    <t>Semifixed</t>
  </si>
  <si>
    <t xml:space="preserve">    6666010314  Work uniforms</t>
  </si>
  <si>
    <t xml:space="preserve">    6666020401  local transportation - bus and taxi</t>
  </si>
  <si>
    <t xml:space="preserve">    6666020502  Working meals</t>
  </si>
  <si>
    <t xml:space="preserve">    6666020503  Office supplies</t>
  </si>
  <si>
    <t xml:space="preserve">    6666021502  Repair &amp; Maintain - Building&amp;office</t>
  </si>
  <si>
    <t xml:space="preserve">    6666021503  Repair &amp; Maintain - Tooling &amp; Equipments</t>
  </si>
  <si>
    <t xml:space="preserve">    6666021506  Repairs &amp; Maintenance - Plant &amp; Machiner</t>
  </si>
  <si>
    <t xml:space="preserve">    6666091600  Garbage disposal charge</t>
  </si>
  <si>
    <t>Manufacturing cost without Shares &amp; Out of Perimeter</t>
  </si>
  <si>
    <t>CS_Depreci</t>
  </si>
  <si>
    <t xml:space="preserve">    5102040406  Other revenue-Servic</t>
  </si>
  <si>
    <t xml:space="preserve">CS_Direct </t>
  </si>
  <si>
    <t xml:space="preserve">    5601080000  Non-operating expens</t>
  </si>
  <si>
    <t xml:space="preserve">    6666021200  Audit fee</t>
  </si>
  <si>
    <t xml:space="preserve">    6666020301  Staff communication expense</t>
  </si>
  <si>
    <t xml:space="preserve">    6666020601  Training costs within the Group</t>
  </si>
  <si>
    <t xml:space="preserve">    6666020801  Housing rental cost</t>
  </si>
  <si>
    <t xml:space="preserve">    6666021102  Consulting expense-tax</t>
  </si>
  <si>
    <t xml:space="preserve">    6666021103  Consulting expense-finance</t>
  </si>
  <si>
    <t xml:space="preserve">    6666021300  Legal fees</t>
  </si>
  <si>
    <t xml:space="preserve">    6666031100  Technical Documentation</t>
  </si>
  <si>
    <t xml:space="preserve">    6666079999  IT Expense-Internal Charge Out</t>
  </si>
  <si>
    <t xml:space="preserve">    6666090100  Stamp Duty</t>
  </si>
  <si>
    <t xml:space="preserve">    6666093800  Other Taxes-CIT Deductible</t>
  </si>
  <si>
    <t xml:space="preserve">    6666021400  Recruitment expense</t>
  </si>
  <si>
    <t>CS_Fix Cos</t>
  </si>
  <si>
    <t>CS_Variabl</t>
  </si>
  <si>
    <t xml:space="preserve">    6666010102  Salary-Blue collar i</t>
  </si>
  <si>
    <t>CS_Indirec</t>
  </si>
  <si>
    <t xml:space="preserve">    6666010227  Staff Leaving Indemn</t>
  </si>
  <si>
    <t>CS_Fixed L</t>
  </si>
  <si>
    <t xml:space="preserve">    6666021505  Repairs &amp; Maintenance - Vehicles</t>
  </si>
  <si>
    <t>CS_Semifix</t>
  </si>
  <si>
    <t xml:space="preserve">G&amp;A _ Out of Perimeter </t>
  </si>
  <si>
    <t xml:space="preserve">Total Manufacturing Cost </t>
  </si>
  <si>
    <t>Cost in EUR</t>
  </si>
  <si>
    <t xml:space="preserve">ACT Cost K€ </t>
  </si>
  <si>
    <t>Direct Labour</t>
  </si>
  <si>
    <t>Direct Expences</t>
  </si>
  <si>
    <t>Fixed Expences</t>
  </si>
  <si>
    <t>Shares</t>
  </si>
  <si>
    <t>TOTAL</t>
  </si>
  <si>
    <t xml:space="preserve">G&amp;A &amp; Out of Perimeter </t>
  </si>
  <si>
    <t xml:space="preserve">Total Cost </t>
  </si>
  <si>
    <t>COST CENTER TOTAL IN €</t>
  </si>
  <si>
    <t>FUNCTIONAL CURRENCY IMPACT</t>
  </si>
  <si>
    <t xml:space="preserve">    6666110206Intangible asset- Patent</t>
  </si>
  <si>
    <t>MFG PERIMETER (INCLUDING FC)</t>
  </si>
  <si>
    <t>OUT OF MFG PERIMETER</t>
  </si>
  <si>
    <t>REPORT DECLARED</t>
  </si>
  <si>
    <t>DIFF</t>
  </si>
  <si>
    <t xml:space="preserve">Renta DW Cost Evolution </t>
  </si>
  <si>
    <t>6666020801 - HOUSING RENTAL COST</t>
  </si>
  <si>
    <t xml:space="preserve">    6666021604  Oil &amp; Gas man Adj in Reporting </t>
  </si>
  <si>
    <t xml:space="preserve">    6666010315  Work uniforms_Social Aids</t>
  </si>
  <si>
    <t>6666030300 Design and development fees</t>
  </si>
  <si>
    <t>Volume</t>
  </si>
  <si>
    <t>ACT COST EUR</t>
  </si>
  <si>
    <t>Cost Elements</t>
  </si>
  <si>
    <t>June</t>
  </si>
  <si>
    <t>August</t>
  </si>
  <si>
    <t>September</t>
  </si>
  <si>
    <t>October</t>
  </si>
  <si>
    <t>November</t>
  </si>
  <si>
    <t>December</t>
  </si>
  <si>
    <t xml:space="preserve">    5801000041  Previous year Sundry cost</t>
  </si>
  <si>
    <t xml:space="preserve">    6666030300  Design and development fees</t>
  </si>
  <si>
    <t xml:space="preserve">    6666050320  Reworking costs</t>
  </si>
  <si>
    <t xml:space="preserve">    6666029996    Non-deductible expense-travel.</t>
  </si>
  <si>
    <t xml:space="preserve">    6666020805  Warehouse rental</t>
  </si>
  <si>
    <t xml:space="preserve">    6666020901  Equipment spare parts</t>
  </si>
  <si>
    <t xml:space="preserve">    6666020903  Other materials</t>
  </si>
  <si>
    <t>Act. Costs</t>
  </si>
  <si>
    <t xml:space="preserve">    6666020701  Enterprise Pro</t>
  </si>
  <si>
    <t xml:space="preserve">    6666029700  Service fee recharge（伊斯坦布尔G&amp;A和IT费用 ）</t>
  </si>
  <si>
    <t xml:space="preserve">    6666029900  Sundry Expense</t>
  </si>
  <si>
    <t xml:space="preserve">    5102040000 Other Revenue - Other</t>
  </si>
  <si>
    <t xml:space="preserve">    5102040406 Other revenue-Service/Secondment agreeme</t>
  </si>
  <si>
    <t xml:space="preserve">    5102040894 Other revenue-Internal Charge out -Fixed</t>
  </si>
  <si>
    <t xml:space="preserve">    5301060000 Other Income-Subsidy income</t>
  </si>
  <si>
    <t xml:space="preserve">    5601050100 Non-operation Expense-Others</t>
  </si>
  <si>
    <t xml:space="preserve">    5601080000 Non-operating expense-VAT non-deductible</t>
  </si>
  <si>
    <t xml:space="preserve">    5801000041 Previous year Sundry cost</t>
  </si>
  <si>
    <t xml:space="preserve">    6666010012 Payroll Taxes- Blue Collar Indirect</t>
  </si>
  <si>
    <t xml:space="preserve">    6666010101 Salary - White collar employees</t>
  </si>
  <si>
    <t xml:space="preserve">    6666010102 Salary-Blue collar indirect employees- A</t>
  </si>
  <si>
    <t xml:space="preserve">    6666010196 Payroll Taxes-White Collar Employee</t>
  </si>
  <si>
    <t xml:space="preserve">    6666010199 Salary-White collar employees -Accrued</t>
  </si>
  <si>
    <t xml:space="preserve">    6666010207 Unemployment insurance companies to pay</t>
  </si>
  <si>
    <t xml:space="preserve">    6666010227 Staff Leaving Indemnity - White collar E</t>
  </si>
  <si>
    <t xml:space="preserve">    6666010314 Work uniforms</t>
  </si>
  <si>
    <t xml:space="preserve">    6666010322 fuel allowance</t>
  </si>
  <si>
    <t xml:space="preserve">    6666020201 Domestic business travel</t>
  </si>
  <si>
    <t xml:space="preserve">    6666020301 Staff communication expense 电话费</t>
  </si>
  <si>
    <t xml:space="preserve">    6666020495 Non-deductible expense-travel.</t>
  </si>
  <si>
    <t xml:space="preserve">    6666020502 Working meals</t>
  </si>
  <si>
    <t xml:space="preserve">    6666020508 Postage</t>
  </si>
  <si>
    <t xml:space="preserve">    6666020803 Car rental cost</t>
  </si>
  <si>
    <t xml:space="preserve">    6666021102 Consulting expense-tax</t>
  </si>
  <si>
    <t xml:space="preserve">    6666021300 Legal fees</t>
  </si>
  <si>
    <t xml:space="preserve">    6666021600 Energy and power cost</t>
  </si>
  <si>
    <t xml:space="preserve">    6666029996 Non-deductible expense-travel.</t>
  </si>
  <si>
    <t xml:space="preserve">    6666093800 Other Taxes-CIT Deductible</t>
  </si>
  <si>
    <t xml:space="preserve">    6666110110 Depreciation-Plant &amp; Machinery</t>
  </si>
  <si>
    <t xml:space="preserve">    6666110112 Depreciation of Furniture &amp; Fixture</t>
  </si>
  <si>
    <t xml:space="preserve">    6666110207 Amortization of Software</t>
  </si>
  <si>
    <t xml:space="preserve">    6666110506 Amortization-Leasehold Improvement</t>
  </si>
  <si>
    <t xml:space="preserve">    5601050000 Non-Operating Expense - Penalty</t>
  </si>
  <si>
    <t xml:space="preserve">    5601050099 Non-deductible expense-travel.</t>
  </si>
  <si>
    <t xml:space="preserve">    6666020503 Office supplies</t>
  </si>
  <si>
    <t xml:space="preserve">    6666021100 Consulting fees</t>
  </si>
  <si>
    <t xml:space="preserve">    6666021502 Repair &amp; Maintain - Building&amp;office</t>
  </si>
  <si>
    <t xml:space="preserve">    6666021902 Cleaning fees</t>
  </si>
  <si>
    <t xml:space="preserve">    6666022100 Security</t>
  </si>
  <si>
    <t xml:space="preserve">    6666050107 Special distribution costs</t>
  </si>
  <si>
    <t xml:space="preserve">    6666091600 Garbage disposal charge</t>
  </si>
  <si>
    <t>Overhead</t>
  </si>
  <si>
    <t>Variable</t>
  </si>
  <si>
    <t>Fix</t>
  </si>
  <si>
    <t xml:space="preserve">Total </t>
  </si>
  <si>
    <t>*** Over/Underabsorption</t>
  </si>
  <si>
    <t>Cost/Unit Actual</t>
  </si>
  <si>
    <t>Cost/Unit Actual (EUR)</t>
  </si>
  <si>
    <t>欧元</t>
  </si>
  <si>
    <t>欧元兑里拉到月实际汇率换算</t>
  </si>
  <si>
    <t>January 37.18</t>
  </si>
  <si>
    <t>February 38.1</t>
  </si>
  <si>
    <t>人数</t>
  </si>
  <si>
    <t>6666110101</t>
  </si>
  <si>
    <t>折旧40年，直线折旧，合并后有部分卖掉，时间不确定，没卖之前继续折旧</t>
  </si>
  <si>
    <t>6666110106</t>
  </si>
  <si>
    <t>6666110107</t>
  </si>
  <si>
    <t>模具5年，搬到新工厂，少部分卖掉，计划转到待销售不计提折旧</t>
  </si>
  <si>
    <t>6666110110</t>
  </si>
  <si>
    <t>10年搬到新工厂，少部分卖掉，计划转到待销售不计提折旧</t>
  </si>
  <si>
    <t>6666110112</t>
  </si>
  <si>
    <t>5年搬到新工厂，少部分卖掉，计划转到待销售不计提折旧</t>
  </si>
  <si>
    <t>6666110207</t>
  </si>
  <si>
    <t>3年搬到新工厂，少部分卖掉，计划转到待销售不计提折旧</t>
  </si>
  <si>
    <t>6666110506</t>
  </si>
  <si>
    <t>15年</t>
  </si>
  <si>
    <t>6666110204</t>
  </si>
  <si>
    <t>15年，按是否使用折旧</t>
  </si>
  <si>
    <t>5001010205</t>
  </si>
  <si>
    <t>一线人工社会保险</t>
  </si>
  <si>
    <t>6666010380</t>
  </si>
  <si>
    <t>政府给企业激励</t>
  </si>
  <si>
    <t>6666010019</t>
  </si>
  <si>
    <t>个税，</t>
  </si>
  <si>
    <t>6666010183</t>
  </si>
  <si>
    <t>加班费，工作日加班1.5倍，周末加班2倍，按小时核算加班费，工作日10.83欧/小时，周末16.24欧/小时，汇率42</t>
  </si>
  <si>
    <t>6666010229</t>
  </si>
  <si>
    <t>离职补偿，n倍补偿</t>
  </si>
  <si>
    <t>6666010188</t>
  </si>
  <si>
    <t>直接CK1 155人，CK2 138人</t>
  </si>
  <si>
    <t>6666010115</t>
  </si>
  <si>
    <t>8701530201</t>
  </si>
  <si>
    <t>6666050309</t>
  </si>
  <si>
    <t>半成品废料</t>
  </si>
  <si>
    <t>6666050308</t>
  </si>
  <si>
    <t>原材料废料</t>
  </si>
  <si>
    <t>6666050306</t>
  </si>
  <si>
    <t>5102010151</t>
  </si>
  <si>
    <t>收益</t>
  </si>
  <si>
    <t>5301999999</t>
  </si>
  <si>
    <t>6666020504</t>
  </si>
  <si>
    <t>5001010200</t>
  </si>
  <si>
    <t>5001010201</t>
  </si>
  <si>
    <t>5301060000</t>
  </si>
  <si>
    <t>5405030000</t>
  </si>
  <si>
    <t>5601050100</t>
  </si>
  <si>
    <t>5601050000</t>
  </si>
  <si>
    <t>5801000041</t>
  </si>
  <si>
    <t>6666010322</t>
  </si>
  <si>
    <t>白领租车汽油费</t>
  </si>
  <si>
    <t>6666020101</t>
  </si>
  <si>
    <t>6666020201</t>
  </si>
  <si>
    <t>6666020202</t>
  </si>
  <si>
    <t>6666020205</t>
  </si>
  <si>
    <t>6666020204</t>
  </si>
  <si>
    <t>6666020302</t>
  </si>
  <si>
    <t>6666020508</t>
  </si>
  <si>
    <t>6666020602</t>
  </si>
  <si>
    <t>6666020802</t>
  </si>
  <si>
    <t>机器租赁，叉车/运送物料车</t>
  </si>
  <si>
    <t>6666020803</t>
  </si>
  <si>
    <t>管理层租车费用，厨电7辆车，每个经理一辆车</t>
  </si>
  <si>
    <t>6666021100</t>
  </si>
  <si>
    <r>
      <rPr>
        <sz val="11"/>
        <color theme="1"/>
        <rFont val="等线"/>
        <charset val="134"/>
        <scheme val="minor"/>
      </rPr>
      <t xml:space="preserve">法律/安全咨询费-固定金额，医护人员驻扎在工厂，法律规定工厂超50人需要  </t>
    </r>
    <r>
      <rPr>
        <sz val="11"/>
        <color rgb="FFFF0000"/>
        <rFont val="等线"/>
        <charset val="134"/>
        <scheme val="minor"/>
      </rPr>
      <t>明细？</t>
    </r>
  </si>
  <si>
    <t>6666021902</t>
  </si>
  <si>
    <t>清洁人员工资和清洁物料，厨电16人（8人CK1，8人CK2），工厂合并只有8人</t>
  </si>
  <si>
    <t>6666022100</t>
  </si>
  <si>
    <t>安保人工成本，9个老工厂，8个新工厂，合并后老工厂无</t>
  </si>
  <si>
    <t>6666029900</t>
  </si>
  <si>
    <t>6666029997</t>
  </si>
  <si>
    <t>员工离职诉讼费</t>
  </si>
  <si>
    <t>6666020495</t>
  </si>
  <si>
    <t>6666030300</t>
  </si>
  <si>
    <t>6666031200</t>
  </si>
  <si>
    <t>6666050107</t>
  </si>
  <si>
    <t>6666050320</t>
  </si>
  <si>
    <t>6666070400</t>
  </si>
  <si>
    <t>硬件维护和维修费，读卡器/打印机维修</t>
  </si>
  <si>
    <t>6666070100</t>
  </si>
  <si>
    <t>6666093800</t>
  </si>
  <si>
    <t>6666020301</t>
  </si>
  <si>
    <t>6666029996</t>
  </si>
  <si>
    <t>6666110203</t>
  </si>
  <si>
    <t>生产用低值易耗品</t>
  </si>
  <si>
    <t>6666050307</t>
  </si>
  <si>
    <t>6666050312</t>
  </si>
  <si>
    <t>6666100203</t>
  </si>
  <si>
    <r>
      <rPr>
        <b/>
        <sz val="11"/>
        <color theme="1"/>
        <rFont val="等线"/>
        <charset val="134"/>
        <scheme val="minor"/>
      </rPr>
      <t>原材料+半成品减值准备，</t>
    </r>
    <r>
      <rPr>
        <b/>
        <sz val="11"/>
        <color rgb="FFFF0000"/>
        <rFont val="等线"/>
        <charset val="134"/>
        <scheme val="minor"/>
      </rPr>
      <t>超2年计提100%*原材料成本，18-24个月75%，12-18月 25%，半成品 原材料+人工</t>
    </r>
    <r>
      <rPr>
        <b/>
        <sz val="11"/>
        <color theme="1"/>
        <rFont val="等线"/>
        <charset val="134"/>
        <scheme val="minor"/>
      </rPr>
      <t>，本月预提，下月冲销再预提</t>
    </r>
  </si>
  <si>
    <t>5301070000</t>
  </si>
  <si>
    <t>废品收入，卖废料</t>
  </si>
  <si>
    <t>6666021602</t>
  </si>
  <si>
    <t>办公室电费，25年对比24年底，电费单价增幅22%，（汽油增幅9%）</t>
  </si>
  <si>
    <t>6666021600</t>
  </si>
  <si>
    <t>工厂生产用电</t>
  </si>
  <si>
    <t>6666021603</t>
  </si>
  <si>
    <t>6666021604</t>
  </si>
  <si>
    <t>采暖/需要加热用的汽油</t>
  </si>
  <si>
    <t>5001010206</t>
  </si>
  <si>
    <t>蓝领失业保险</t>
  </si>
  <si>
    <t>6666010184</t>
  </si>
  <si>
    <t>6666010186</t>
  </si>
  <si>
    <t>6666010189</t>
  </si>
  <si>
    <t>6666010012</t>
  </si>
  <si>
    <t>6666010226</t>
  </si>
  <si>
    <t>6666010102</t>
  </si>
  <si>
    <t>间接CK1 78人，CK2 102人</t>
  </si>
  <si>
    <t>6666010196</t>
  </si>
  <si>
    <t>6666010101</t>
  </si>
  <si>
    <t>白领CK1 20人（17人直达厨电，11人按0.25产业分摊，6月开始按1/3分摊），CK2 36人（33人直达厨电，11人按0.25分摊）/IMTEC 共23人</t>
  </si>
  <si>
    <t>6666010199</t>
  </si>
  <si>
    <t>6666010185</t>
  </si>
  <si>
    <t>6666010207</t>
  </si>
  <si>
    <t>6666010227</t>
  </si>
  <si>
    <t>1月新老工厂11个白领按0.5分，2月按0.33分（工厂负责人要求），3月按0.5分，6月合并完后按0.33分</t>
  </si>
  <si>
    <t>6666010302</t>
  </si>
  <si>
    <t>员工医疗保险</t>
  </si>
  <si>
    <t>6666010314</t>
  </si>
  <si>
    <t>工作服，冬装和夏装各一次所有人，工会要求额外补贴</t>
  </si>
  <si>
    <t>6666020401</t>
  </si>
  <si>
    <t>员工班车，按坐车次数算费用，</t>
  </si>
  <si>
    <t>6666020502</t>
  </si>
  <si>
    <t>工作餐，就餐次数，136里拉一顿</t>
  </si>
  <si>
    <t>6666020503</t>
  </si>
  <si>
    <t>6666020805</t>
  </si>
  <si>
    <t>6666020901</t>
  </si>
  <si>
    <t>6666020903</t>
  </si>
  <si>
    <t>6666021502</t>
  </si>
  <si>
    <t>6666021503</t>
  </si>
  <si>
    <t>6666021505</t>
  </si>
  <si>
    <t>6666021506</t>
  </si>
  <si>
    <t>6666091600</t>
  </si>
  <si>
    <t>6666020701</t>
  </si>
  <si>
    <t xml:space="preserve">    6666020701  Enterprise Pro  工厂保险</t>
  </si>
  <si>
    <t>年度结算，工厂保险</t>
  </si>
  <si>
    <t>6666022300</t>
  </si>
  <si>
    <t>工会会费，0.6%*蓝领工资</t>
  </si>
  <si>
    <t>6666029700</t>
  </si>
  <si>
    <t xml:space="preserve">    6666029700  Service fee recharge  </t>
  </si>
  <si>
    <t>不同的人签在土耳其/伊斯坦布尔，每月根据伊斯坦布尔人工作时间分配费用，人员产生的费用结算开发票，每月按预算预提，年底结算</t>
  </si>
  <si>
    <t>员工诉讼费</t>
  </si>
  <si>
    <t/>
  </si>
  <si>
    <t>5207000011</t>
  </si>
  <si>
    <t>5102040000</t>
  </si>
  <si>
    <t>5102040894</t>
  </si>
  <si>
    <t>咨询费</t>
  </si>
  <si>
    <t>5601080000</t>
  </si>
  <si>
    <t>税务咨询，增值税</t>
  </si>
  <si>
    <t xml:space="preserve">    6666010185 Salary&amp;Additional Incentive-White Collar</t>
  </si>
  <si>
    <t xml:space="preserve">    6666020301 Staff communication expense</t>
  </si>
  <si>
    <t>6666021102</t>
  </si>
  <si>
    <t>税务咨询</t>
  </si>
  <si>
    <t>6666021300</t>
  </si>
  <si>
    <t>单次法律咨询</t>
  </si>
  <si>
    <t>6666079999</t>
  </si>
  <si>
    <t xml:space="preserve">    6666079999 IT Expense-Internal Charge Out</t>
  </si>
  <si>
    <t>5102040406</t>
  </si>
  <si>
    <t>G&amp;A-5301070000原材料处置收益在</t>
  </si>
  <si>
    <t>Functional Currency Impact24年9月土耳其换记账本位币，用资产购买时的汇率换算成欧元价值</t>
  </si>
  <si>
    <t>目标比</t>
  </si>
  <si>
    <t>ACT COST TRY</t>
  </si>
  <si>
    <t xml:space="preserve">Jan </t>
  </si>
  <si>
    <t xml:space="preserve">FEB </t>
  </si>
  <si>
    <t>MARCH</t>
  </si>
  <si>
    <t>APRIL</t>
  </si>
  <si>
    <t xml:space="preserve">    6666029700  Service fee recharge（含G&amp;A和IT）</t>
  </si>
  <si>
    <t>6666040215</t>
  </si>
  <si>
    <t xml:space="preserve">    6666040215  Product sample fee</t>
  </si>
  <si>
    <t>5207000012</t>
  </si>
  <si>
    <t xml:space="preserve">    6666022300  Association du</t>
  </si>
  <si>
    <t xml:space="preserve"> 5207000011</t>
  </si>
  <si>
    <t xml:space="preserve">    5207000011  Gain of tangible asset disposa</t>
  </si>
  <si>
    <t xml:space="preserve"> 5207000012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</si>
</sst>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.00_-;\-* #,##0.00_-;_-* &quot;-&quot;??_-;_-@_-"/>
    <numFmt numFmtId="177" formatCode="_-* #,##0.00\ _€_-;\-* #,##0.00\ _€_-;_-* &quot;-&quot;??\ _€_-;_-@_-"/>
    <numFmt numFmtId="178" formatCode="_-&quot;₺&quot;* #,##0.00_-;\-&quot;₺&quot;* #,##0.00_-;_-&quot;₺&quot;* &quot;-&quot;??_-;_-@_-"/>
    <numFmt numFmtId="179" formatCode="_-* #,##0.00\ &quot;€&quot;_-;\-* #,##0.00\ &quot;€&quot;_-;_-* &quot;-&quot;??\ &quot;€&quot;_-;_-@_-"/>
    <numFmt numFmtId="180" formatCode="_-* #,##0\ _B_F_-;\-* #,##0\ _B_F_-;_-* &quot;-&quot;\ _B_F_-;_-@_-"/>
    <numFmt numFmtId="181" formatCode="_(&quot;$&quot;* #,##0.00_);_(&quot;$&quot;* \(#,##0.00\);_(&quot;$&quot;* &quot;-&quot;??_);_(@_)"/>
    <numFmt numFmtId="182" formatCode="_-* #,##0.00\ &quot;₺&quot;_-;\-* #,##0.00\ &quot;₺&quot;_-;_-* &quot;-&quot;??\ &quot;₺&quot;_-;_-@_-"/>
    <numFmt numFmtId="183" formatCode="_-* #,##0_-;\-* #,##0_-;_-* &quot;-&quot;??_-;_-@_-"/>
    <numFmt numFmtId="184" formatCode="_-* #,##0.0_-;\-* #,##0.0_-;_-* &quot;-&quot;??_-;_-@_-"/>
    <numFmt numFmtId="185" formatCode="0.0%"/>
    <numFmt numFmtId="186" formatCode="_(* #,##0_);_(* \(#,##0\);_(* &quot;-&quot;??_);_(@_)"/>
    <numFmt numFmtId="187" formatCode="#,##0.00_ "/>
    <numFmt numFmtId="188" formatCode="#,##0_-;#,##0\-;&quot; &quot;"/>
    <numFmt numFmtId="189" formatCode="_(* #,##0.00_);_(* \(#,##0.00\);_(* &quot;-&quot;??_);_(@_)"/>
    <numFmt numFmtId="190" formatCode="0.0"/>
    <numFmt numFmtId="191" formatCode="0_ "/>
    <numFmt numFmtId="192" formatCode="0_);[Red]\(0\)"/>
    <numFmt numFmtId="193" formatCode="_ * #,##0_ ;_ * \-#,##0_ ;_ * &quot;-&quot;??_ ;_ @_ "/>
    <numFmt numFmtId="194" formatCode="0.0_ "/>
    <numFmt numFmtId="195" formatCode="0.00_ "/>
  </numFmts>
  <fonts count="84">
    <font>
      <sz val="11"/>
      <color theme="1"/>
      <name val="等线"/>
      <charset val="134"/>
      <scheme val="minor"/>
    </font>
    <font>
      <sz val="11"/>
      <color theme="1"/>
      <name val="等线"/>
      <charset val="162"/>
    </font>
    <font>
      <sz val="9"/>
      <color theme="1"/>
      <name val="微软雅黑"/>
      <charset val="134"/>
    </font>
    <font>
      <b/>
      <sz val="11"/>
      <color theme="1"/>
      <name val="等线"/>
      <charset val="134"/>
      <scheme val="minor"/>
    </font>
    <font>
      <b/>
      <sz val="11"/>
      <color theme="8" tint="-0.249977111117893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1"/>
      <name val="Arial"/>
      <charset val="134"/>
    </font>
    <font>
      <b/>
      <sz val="10"/>
      <name val="Arial"/>
      <charset val="134"/>
    </font>
    <font>
      <b/>
      <sz val="8"/>
      <color theme="1"/>
      <name val="微软雅黑"/>
      <charset val="134"/>
    </font>
    <font>
      <sz val="8"/>
      <color theme="1"/>
      <name val="微软雅黑"/>
      <charset val="134"/>
    </font>
    <font>
      <b/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sz val="11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theme="1"/>
      <name val="等线"/>
      <charset val="134"/>
      <scheme val="minor"/>
    </font>
    <font>
      <b/>
      <u/>
      <sz val="11"/>
      <color theme="1"/>
      <name val="等线"/>
      <charset val="134"/>
      <scheme val="minor"/>
    </font>
    <font>
      <b/>
      <sz val="10"/>
      <name val="Segoe UI"/>
      <charset val="134"/>
    </font>
    <font>
      <sz val="8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1"/>
      <color theme="0"/>
      <name val="Arial"/>
      <charset val="134"/>
    </font>
    <font>
      <b/>
      <sz val="11"/>
      <name val="Calibri"/>
      <charset val="134"/>
    </font>
    <font>
      <b/>
      <sz val="11"/>
      <color theme="0"/>
      <name val="Calibri"/>
      <charset val="134"/>
    </font>
    <font>
      <sz val="11"/>
      <color theme="0"/>
      <name val="等线"/>
      <charset val="134"/>
      <scheme val="minor"/>
    </font>
    <font>
      <sz val="11"/>
      <name val="等线"/>
      <charset val="134"/>
      <scheme val="minor"/>
    </font>
    <font>
      <sz val="11"/>
      <name val="Calibri"/>
      <charset val="134"/>
    </font>
    <font>
      <b/>
      <sz val="14"/>
      <color theme="1"/>
      <name val="等线"/>
      <charset val="134"/>
      <scheme val="minor"/>
    </font>
    <font>
      <b/>
      <sz val="10"/>
      <color theme="0"/>
      <name val="Calibri"/>
      <charset val="134"/>
    </font>
    <font>
      <b/>
      <sz val="9"/>
      <color theme="1"/>
      <name val="微软雅黑"/>
      <charset val="134"/>
    </font>
    <font>
      <b/>
      <sz val="9"/>
      <color theme="0"/>
      <name val="微软雅黑"/>
      <charset val="134"/>
    </font>
    <font>
      <sz val="11"/>
      <color theme="1"/>
      <name val="Aptos Narrow"/>
      <charset val="134"/>
    </font>
    <font>
      <b/>
      <sz val="10"/>
      <color rgb="FFFFFFFF"/>
      <name val="Arial"/>
      <charset val="134"/>
    </font>
    <font>
      <sz val="11"/>
      <color rgb="FF000000"/>
      <name val="Aptos Narrow"/>
      <charset val="134"/>
    </font>
    <font>
      <sz val="10"/>
      <color theme="1"/>
      <name val="Arial"/>
      <charset val="134"/>
    </font>
    <font>
      <i/>
      <sz val="10"/>
      <color rgb="FF000000"/>
      <name val="Arial"/>
      <charset val="134"/>
    </font>
    <font>
      <sz val="10"/>
      <color theme="1"/>
      <name val="Times New Roman"/>
      <charset val="134"/>
    </font>
    <font>
      <sz val="11"/>
      <color rgb="FF000000"/>
      <name val="等线"/>
      <charset val="134"/>
      <scheme val="minor"/>
    </font>
    <font>
      <b/>
      <sz val="9"/>
      <name val="微软雅黑"/>
      <charset val="134"/>
    </font>
    <font>
      <sz val="9"/>
      <name val="微软雅黑"/>
      <charset val="134"/>
    </font>
    <font>
      <b/>
      <sz val="10"/>
      <color rgb="FF000000"/>
      <name val="微软雅黑"/>
      <charset val="134"/>
    </font>
    <font>
      <b/>
      <sz val="9"/>
      <color rgb="FFFF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Arial"/>
      <charset val="134"/>
    </font>
    <font>
      <sz val="11"/>
      <color theme="1"/>
      <name val="等线"/>
      <charset val="162"/>
      <scheme val="minor"/>
    </font>
    <font>
      <sz val="11"/>
      <color theme="1"/>
      <name val="Calibri"/>
      <charset val="162"/>
    </font>
    <font>
      <sz val="10"/>
      <name val="Arial"/>
      <charset val="162"/>
    </font>
    <font>
      <sz val="10"/>
      <color rgb="FF000000"/>
      <name val="等线"/>
      <charset val="134"/>
      <scheme val="minor"/>
    </font>
    <font>
      <sz val="10"/>
      <color rgb="FF000000"/>
      <name val="Arial"/>
      <charset val="134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8"/>
      <color theme="3"/>
      <name val="等线 Light"/>
      <charset val="134"/>
      <scheme val="maj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i/>
      <sz val="11"/>
      <color rgb="FF7F7F7F"/>
      <name val="等线"/>
      <charset val="134"/>
      <scheme val="minor"/>
    </font>
    <font>
      <sz val="11"/>
      <color rgb="FFFA7D00"/>
      <name val="等线"/>
      <charset val="134"/>
      <scheme val="minor"/>
    </font>
    <font>
      <sz val="11"/>
      <color rgb="FF9C5700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sz val="11"/>
      <color rgb="FF3F3F76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0"/>
      <color rgb="FF000000"/>
      <name val="微软雅黑"/>
      <charset val="134"/>
    </font>
    <font>
      <b/>
      <sz val="6"/>
      <color theme="0"/>
      <name val="微软雅黑"/>
      <charset val="134"/>
    </font>
    <font>
      <b/>
      <sz val="11"/>
      <color rgb="FFFF0000"/>
      <name val="等线"/>
      <charset val="134"/>
      <scheme val="minor"/>
    </font>
  </fonts>
  <fills count="7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theme="5" tint="0.39997558519241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499984740745262"/>
        <bgColor rgb="FF000000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-0.499984740745262"/>
        <bgColor rgb="FF9FC5E8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BE5014"/>
        <bgColor indexed="64"/>
      </patternFill>
    </fill>
    <fill>
      <patternFill patternType="solid">
        <fgColor rgb="FFC1F0C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</borders>
  <cellStyleXfs count="1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41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1" fillId="36" borderId="28" applyNumberFormat="0" applyFon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8" fillId="0" borderId="29" applyNumberFormat="0" applyFill="0" applyAlignment="0" applyProtection="0">
      <alignment vertical="center"/>
    </xf>
    <xf numFmtId="0" fontId="49" fillId="0" borderId="30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37" borderId="31" applyNumberFormat="0" applyAlignment="0" applyProtection="0">
      <alignment vertical="center"/>
    </xf>
    <xf numFmtId="0" fontId="51" fillId="38" borderId="32" applyNumberFormat="0" applyAlignment="0" applyProtection="0">
      <alignment vertical="center"/>
    </xf>
    <xf numFmtId="0" fontId="52" fillId="38" borderId="31" applyNumberFormat="0" applyAlignment="0" applyProtection="0">
      <alignment vertical="center"/>
    </xf>
    <xf numFmtId="0" fontId="53" fillId="39" borderId="33" applyNumberFormat="0" applyAlignment="0" applyProtection="0">
      <alignment vertical="center"/>
    </xf>
    <xf numFmtId="0" fontId="54" fillId="0" borderId="34" applyNumberFormat="0" applyFill="0" applyAlignment="0" applyProtection="0">
      <alignment vertical="center"/>
    </xf>
    <xf numFmtId="0" fontId="55" fillId="0" borderId="35" applyNumberFormat="0" applyFill="0" applyAlignment="0" applyProtection="0">
      <alignment vertical="center"/>
    </xf>
    <xf numFmtId="0" fontId="56" fillId="40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8" fillId="42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60" fillId="44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7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59" fillId="59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0" fillId="61" borderId="0" applyNumberFormat="0" applyBorder="0" applyAlignment="0" applyProtection="0">
      <alignment vertical="center"/>
    </xf>
    <xf numFmtId="0" fontId="59" fillId="62" borderId="0" applyNumberFormat="0" applyBorder="0" applyAlignment="0" applyProtection="0">
      <alignment vertical="center"/>
    </xf>
    <xf numFmtId="0" fontId="59" fillId="63" borderId="0" applyNumberFormat="0" applyBorder="0" applyAlignment="0" applyProtection="0">
      <alignment vertical="center"/>
    </xf>
    <xf numFmtId="0" fontId="60" fillId="64" borderId="0" applyNumberFormat="0" applyBorder="0" applyAlignment="0" applyProtection="0">
      <alignment vertical="center"/>
    </xf>
    <xf numFmtId="0" fontId="60" fillId="65" borderId="0" applyNumberFormat="0" applyBorder="0" applyAlignment="0" applyProtection="0">
      <alignment vertical="center"/>
    </xf>
    <xf numFmtId="0" fontId="59" fillId="66" borderId="0" applyNumberFormat="0" applyBorder="0" applyAlignment="0" applyProtection="0">
      <alignment vertical="center"/>
    </xf>
    <xf numFmtId="0" fontId="0" fillId="44" borderId="0" applyNumberFormat="0" applyBorder="0" applyAlignment="0" applyProtection="0"/>
    <xf numFmtId="0" fontId="0" fillId="48" borderId="0" applyNumberFormat="0" applyBorder="0" applyAlignment="0" applyProtection="0"/>
    <xf numFmtId="0" fontId="0" fillId="52" borderId="0" applyNumberFormat="0" applyBorder="0" applyAlignment="0" applyProtection="0"/>
    <xf numFmtId="0" fontId="0" fillId="56" borderId="0" applyNumberFormat="0" applyBorder="0" applyAlignment="0" applyProtection="0"/>
    <xf numFmtId="0" fontId="0" fillId="60" borderId="0" applyNumberFormat="0" applyBorder="0" applyAlignment="0" applyProtection="0"/>
    <xf numFmtId="0" fontId="0" fillId="64" borderId="0" applyNumberFormat="0" applyBorder="0" applyAlignment="0" applyProtection="0"/>
    <xf numFmtId="0" fontId="0" fillId="45" borderId="0" applyNumberFormat="0" applyBorder="0" applyAlignment="0" applyProtection="0"/>
    <xf numFmtId="0" fontId="0" fillId="49" borderId="0" applyNumberFormat="0" applyBorder="0" applyAlignment="0" applyProtection="0"/>
    <xf numFmtId="0" fontId="0" fillId="53" borderId="0" applyNumberFormat="0" applyBorder="0" applyAlignment="0" applyProtection="0"/>
    <xf numFmtId="0" fontId="0" fillId="57" borderId="0" applyNumberFormat="0" applyBorder="0" applyAlignment="0" applyProtection="0"/>
    <xf numFmtId="0" fontId="0" fillId="61" borderId="0" applyNumberFormat="0" applyBorder="0" applyAlignment="0" applyProtection="0"/>
    <xf numFmtId="0" fontId="0" fillId="65" borderId="0" applyNumberFormat="0" applyBorder="0" applyAlignment="0" applyProtection="0"/>
    <xf numFmtId="0" fontId="0" fillId="46" borderId="0" applyNumberFormat="0" applyBorder="0" applyAlignment="0" applyProtection="0"/>
    <xf numFmtId="0" fontId="0" fillId="50" borderId="0" applyNumberFormat="0" applyBorder="0" applyAlignment="0" applyProtection="0"/>
    <xf numFmtId="0" fontId="0" fillId="54" borderId="0" applyNumberFormat="0" applyBorder="0" applyAlignment="0" applyProtection="0"/>
    <xf numFmtId="0" fontId="0" fillId="58" borderId="0" applyNumberFormat="0" applyBorder="0" applyAlignment="0" applyProtection="0"/>
    <xf numFmtId="0" fontId="0" fillId="62" borderId="0" applyNumberFormat="0" applyBorder="0" applyAlignment="0" applyProtection="0"/>
    <xf numFmtId="0" fontId="0" fillId="66" borderId="0" applyNumberFormat="0" applyBorder="0" applyAlignment="0" applyProtection="0"/>
    <xf numFmtId="176" fontId="61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62" fillId="0" borderId="0" applyFont="0" applyFill="0" applyBorder="0" applyAlignment="0" applyProtection="0"/>
    <xf numFmtId="43" fontId="61" fillId="0" borderId="0" applyFont="0" applyFill="0" applyBorder="0" applyAlignment="0" applyProtection="0"/>
    <xf numFmtId="176" fontId="0" fillId="0" borderId="0" applyFont="0" applyFill="0" applyBorder="0" applyAlignment="0" applyProtection="0"/>
    <xf numFmtId="43" fontId="61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0" fillId="0" borderId="0" applyFont="0" applyFill="0" applyBorder="0" applyAlignment="0" applyProtection="0"/>
    <xf numFmtId="43" fontId="62" fillId="0" borderId="0" applyFont="0" applyFill="0" applyBorder="0" applyAlignment="0" applyProtection="0"/>
    <xf numFmtId="176" fontId="62" fillId="0" borderId="0" applyFont="0" applyFill="0" applyBorder="0" applyAlignment="0" applyProtection="0"/>
    <xf numFmtId="43" fontId="6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62" fillId="0" borderId="0" applyFont="0" applyFill="0" applyBorder="0" applyAlignment="0" applyProtection="0"/>
    <xf numFmtId="176" fontId="62" fillId="0" borderId="0" applyFont="0" applyFill="0" applyBorder="0" applyAlignment="0" applyProtection="0"/>
    <xf numFmtId="178" fontId="63" fillId="0" borderId="0" applyFont="0" applyFill="0" applyBorder="0" applyAlignment="0" applyProtection="0"/>
    <xf numFmtId="179" fontId="0" fillId="0" borderId="0" applyFont="0" applyFill="0" applyBorder="0" applyAlignment="0" applyProtection="0"/>
    <xf numFmtId="180" fontId="64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64" fillId="0" borderId="0"/>
    <xf numFmtId="0" fontId="61" fillId="0" borderId="0"/>
    <xf numFmtId="0" fontId="62" fillId="0" borderId="0"/>
    <xf numFmtId="0" fontId="62" fillId="0" borderId="0"/>
    <xf numFmtId="0" fontId="65" fillId="0" borderId="0"/>
    <xf numFmtId="0" fontId="0" fillId="0" borderId="0">
      <alignment vertical="center"/>
    </xf>
    <xf numFmtId="0" fontId="62" fillId="0" borderId="0"/>
    <xf numFmtId="0" fontId="0" fillId="0" borderId="0"/>
    <xf numFmtId="0" fontId="63" fillId="0" borderId="0"/>
    <xf numFmtId="0" fontId="0" fillId="0" borderId="0"/>
    <xf numFmtId="0" fontId="61" fillId="0" borderId="0"/>
    <xf numFmtId="0" fontId="65" fillId="0" borderId="0"/>
    <xf numFmtId="0" fontId="61" fillId="0" borderId="0"/>
    <xf numFmtId="0" fontId="61" fillId="0" borderId="0"/>
    <xf numFmtId="0" fontId="62" fillId="0" borderId="0"/>
    <xf numFmtId="0" fontId="63" fillId="0" borderId="0"/>
    <xf numFmtId="0" fontId="66" fillId="0" borderId="0"/>
    <xf numFmtId="0" fontId="62" fillId="0" borderId="0"/>
    <xf numFmtId="0" fontId="62" fillId="0" borderId="0"/>
    <xf numFmtId="181" fontId="65" fillId="0" borderId="0" applyFont="0" applyFill="0" applyBorder="0" applyAlignment="0" applyProtection="0"/>
    <xf numFmtId="182" fontId="0" fillId="0" borderId="0" applyFont="0" applyFill="0" applyBorder="0" applyAlignment="0" applyProtection="0"/>
    <xf numFmtId="182" fontId="62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67" fillId="0" borderId="36" applyNumberFormat="0" applyFill="0" applyAlignment="0" applyProtection="0"/>
    <xf numFmtId="0" fontId="68" fillId="0" borderId="37" applyNumberFormat="0" applyFill="0" applyAlignment="0" applyProtection="0"/>
    <xf numFmtId="0" fontId="69" fillId="0" borderId="38" applyNumberFormat="0" applyFill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67" borderId="0" applyNumberFormat="0" applyBorder="0" applyAlignment="0" applyProtection="0"/>
    <xf numFmtId="0" fontId="62" fillId="0" borderId="0"/>
    <xf numFmtId="0" fontId="14" fillId="0" borderId="0">
      <alignment vertical="center"/>
    </xf>
    <xf numFmtId="0" fontId="0" fillId="0" borderId="0"/>
    <xf numFmtId="0" fontId="14" fillId="0" borderId="0">
      <alignment vertical="center"/>
    </xf>
    <xf numFmtId="0" fontId="0" fillId="0" borderId="0"/>
    <xf numFmtId="0" fontId="14" fillId="0" borderId="0"/>
    <xf numFmtId="0" fontId="72" fillId="68" borderId="0" applyNumberFormat="0" applyBorder="0" applyAlignment="0" applyProtection="0"/>
    <xf numFmtId="0" fontId="10" fillId="0" borderId="35" applyNumberFormat="0" applyFill="0" applyAlignment="0" applyProtection="0"/>
    <xf numFmtId="0" fontId="73" fillId="69" borderId="31" applyNumberFormat="0" applyAlignment="0" applyProtection="0"/>
    <xf numFmtId="0" fontId="13" fillId="70" borderId="33" applyNumberFormat="0" applyAlignment="0" applyProtection="0"/>
    <xf numFmtId="0" fontId="7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5" fillId="0" borderId="34" applyNumberFormat="0" applyFill="0" applyAlignment="0" applyProtection="0"/>
    <xf numFmtId="176" fontId="62" fillId="0" borderId="0" applyFont="0" applyFill="0" applyBorder="0" applyAlignment="0" applyProtection="0"/>
    <xf numFmtId="43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76" fillId="71" borderId="0" applyNumberFormat="0" applyBorder="0" applyAlignment="0" applyProtection="0"/>
    <xf numFmtId="0" fontId="77" fillId="69" borderId="32" applyNumberFormat="0" applyAlignment="0" applyProtection="0"/>
    <xf numFmtId="0" fontId="78" fillId="72" borderId="31" applyNumberFormat="0" applyAlignment="0" applyProtection="0"/>
    <xf numFmtId="0" fontId="23" fillId="32" borderId="0" applyNumberFormat="0" applyBorder="0" applyAlignment="0" applyProtection="0"/>
    <xf numFmtId="0" fontId="23" fillId="73" borderId="0" applyNumberFormat="0" applyBorder="0" applyAlignment="0" applyProtection="0"/>
    <xf numFmtId="0" fontId="23" fillId="74" borderId="0" applyNumberFormat="0" applyBorder="0" applyAlignment="0" applyProtection="0"/>
    <xf numFmtId="0" fontId="23" fillId="75" borderId="0" applyNumberFormat="0" applyBorder="0" applyAlignment="0" applyProtection="0"/>
    <xf numFmtId="0" fontId="23" fillId="76" borderId="0" applyNumberFormat="0" applyBorder="0" applyAlignment="0" applyProtection="0"/>
    <xf numFmtId="0" fontId="23" fillId="77" borderId="0" applyNumberFormat="0" applyBorder="0" applyAlignment="0" applyProtection="0"/>
    <xf numFmtId="0" fontId="0" fillId="78" borderId="28" applyNumberFormat="0" applyFont="0" applyAlignment="0" applyProtection="0"/>
  </cellStyleXfs>
  <cellXfs count="370">
    <xf numFmtId="0" fontId="0" fillId="0" borderId="0" xfId="0">
      <alignment vertical="center"/>
    </xf>
    <xf numFmtId="0" fontId="0" fillId="2" borderId="0" xfId="0" applyFill="1" applyAlignment="1"/>
    <xf numFmtId="0" fontId="0" fillId="0" borderId="0" xfId="0" applyAlignment="1"/>
    <xf numFmtId="183" fontId="0" fillId="0" borderId="0" xfId="1" applyNumberFormat="1" applyFont="1" applyBorder="1" applyAlignment="1"/>
    <xf numFmtId="183" fontId="0" fillId="0" borderId="0" xfId="1" applyNumberFormat="1" applyFont="1" applyAlignment="1"/>
    <xf numFmtId="183" fontId="0" fillId="3" borderId="1" xfId="1" applyNumberFormat="1" applyFont="1" applyFill="1" applyBorder="1" applyAlignment="1"/>
    <xf numFmtId="183" fontId="0" fillId="3" borderId="0" xfId="1" applyNumberFormat="1" applyFont="1" applyFill="1" applyBorder="1" applyAlignment="1"/>
    <xf numFmtId="183" fontId="0" fillId="0" borderId="1" xfId="1" applyNumberFormat="1" applyFont="1" applyBorder="1" applyAlignment="1"/>
    <xf numFmtId="4" fontId="0" fillId="4" borderId="1" xfId="0" applyNumberFormat="1" applyFill="1" applyBorder="1" applyAlignment="1"/>
    <xf numFmtId="183" fontId="0" fillId="4" borderId="0" xfId="1" applyNumberFormat="1" applyFont="1" applyFill="1" applyBorder="1" applyAlignment="1"/>
    <xf numFmtId="183" fontId="0" fillId="4" borderId="1" xfId="1" applyNumberFormat="1" applyFont="1" applyFill="1" applyBorder="1" applyAlignment="1"/>
    <xf numFmtId="183" fontId="0" fillId="2" borderId="0" xfId="1" applyNumberFormat="1" applyFont="1" applyFill="1" applyBorder="1" applyAlignment="1"/>
    <xf numFmtId="183" fontId="0" fillId="2" borderId="1" xfId="1" applyNumberFormat="1" applyFont="1" applyFill="1" applyBorder="1" applyAlignment="1"/>
    <xf numFmtId="183" fontId="0" fillId="5" borderId="0" xfId="1" applyNumberFormat="1" applyFont="1" applyFill="1" applyBorder="1" applyAlignment="1"/>
    <xf numFmtId="183" fontId="0" fillId="5" borderId="1" xfId="1" applyNumberFormat="1" applyFont="1" applyFill="1" applyBorder="1" applyAlignment="1"/>
    <xf numFmtId="0" fontId="0" fillId="2" borderId="1" xfId="0" applyFill="1" applyBorder="1" applyAlignment="1">
      <alignment horizontal="left"/>
    </xf>
    <xf numFmtId="183" fontId="0" fillId="0" borderId="0" xfId="0" applyNumberFormat="1" applyAlignment="1"/>
    <xf numFmtId="183" fontId="1" fillId="6" borderId="0" xfId="1" applyNumberFormat="1" applyFont="1" applyFill="1" applyBorder="1" applyAlignment="1"/>
    <xf numFmtId="183" fontId="0" fillId="0" borderId="0" xfId="1" applyNumberFormat="1" applyFont="1" applyFill="1" applyBorder="1" applyAlignment="1"/>
    <xf numFmtId="4" fontId="0" fillId="0" borderId="1" xfId="0" applyNumberFormat="1" applyBorder="1" applyAlignment="1"/>
    <xf numFmtId="183" fontId="0" fillId="0" borderId="1" xfId="1" applyNumberFormat="1" applyFont="1" applyFill="1" applyBorder="1" applyAlignment="1"/>
    <xf numFmtId="0" fontId="0" fillId="0" borderId="0" xfId="0" applyAlignment="1">
      <alignment horizontal="center" vertical="center"/>
    </xf>
    <xf numFmtId="183" fontId="0" fillId="5" borderId="0" xfId="1" applyNumberFormat="1" applyFont="1" applyFill="1" applyAlignment="1"/>
    <xf numFmtId="0" fontId="0" fillId="2" borderId="0" xfId="0" applyFill="1">
      <alignment vertical="center"/>
    </xf>
    <xf numFmtId="183" fontId="0" fillId="2" borderId="0" xfId="1" applyNumberFormat="1" applyFont="1" applyFill="1" applyAlignment="1"/>
    <xf numFmtId="0" fontId="2" fillId="0" borderId="0" xfId="0" applyFont="1">
      <alignment vertical="center"/>
    </xf>
    <xf numFmtId="184" fontId="0" fillId="0" borderId="0" xfId="1" applyNumberFormat="1" applyFont="1" applyBorder="1" applyAlignment="1"/>
    <xf numFmtId="184" fontId="0" fillId="0" borderId="0" xfId="1" applyNumberFormat="1" applyFont="1" applyAlignment="1"/>
    <xf numFmtId="183" fontId="0" fillId="7" borderId="1" xfId="1" applyNumberFormat="1" applyFont="1" applyFill="1" applyBorder="1" applyAlignment="1"/>
    <xf numFmtId="183" fontId="0" fillId="7" borderId="0" xfId="1" applyNumberFormat="1" applyFont="1" applyFill="1" applyBorder="1" applyAlignment="1"/>
    <xf numFmtId="43" fontId="0" fillId="0" borderId="0" xfId="1" applyFont="1" applyAlignment="1"/>
    <xf numFmtId="185" fontId="0" fillId="0" borderId="0" xfId="3" applyNumberFormat="1" applyFont="1" applyAlignment="1"/>
    <xf numFmtId="43" fontId="0" fillId="0" borderId="0" xfId="0" applyNumberFormat="1" applyAlignment="1"/>
    <xf numFmtId="0" fontId="0" fillId="0" borderId="1" xfId="0" applyBorder="1" applyAlignment="1">
      <alignment horizontal="left"/>
    </xf>
    <xf numFmtId="186" fontId="0" fillId="0" borderId="1" xfId="1" applyNumberFormat="1" applyFont="1" applyBorder="1" applyAlignment="1"/>
    <xf numFmtId="49" fontId="0" fillId="0" borderId="0" xfId="0" applyNumberFormat="1" applyAlignment="1"/>
    <xf numFmtId="49" fontId="0" fillId="4" borderId="1" xfId="0" applyNumberFormat="1" applyFill="1" applyBorder="1" applyAlignment="1">
      <alignment horizontal="left"/>
    </xf>
    <xf numFmtId="0" fontId="3" fillId="0" borderId="0" xfId="0" applyFont="1" applyAlignment="1"/>
    <xf numFmtId="0" fontId="4" fillId="0" borderId="0" xfId="0" applyFont="1" applyAlignment="1"/>
    <xf numFmtId="49" fontId="0" fillId="0" borderId="1" xfId="0" applyNumberFormat="1" applyBorder="1" applyAlignment="1">
      <alignment horizontal="left"/>
    </xf>
    <xf numFmtId="0" fontId="5" fillId="0" borderId="1" xfId="0" applyFont="1" applyBorder="1" applyAlignment="1">
      <alignment horizontal="left"/>
    </xf>
    <xf numFmtId="49" fontId="6" fillId="8" borderId="2" xfId="0" applyNumberFormat="1" applyFont="1" applyFill="1" applyBorder="1" applyAlignment="1">
      <alignment horizontal="left"/>
    </xf>
    <xf numFmtId="49" fontId="6" fillId="8" borderId="2" xfId="0" applyNumberFormat="1" applyFont="1" applyFill="1" applyBorder="1" applyAlignment="1">
      <alignment horizontal="center"/>
    </xf>
    <xf numFmtId="49" fontId="0" fillId="2" borderId="1" xfId="0" applyNumberFormat="1" applyFill="1" applyBorder="1" applyAlignment="1">
      <alignment horizontal="left"/>
    </xf>
    <xf numFmtId="186" fontId="0" fillId="2" borderId="1" xfId="1" applyNumberFormat="1" applyFont="1" applyFill="1" applyBorder="1" applyAlignment="1"/>
    <xf numFmtId="187" fontId="0" fillId="0" borderId="0" xfId="0" applyNumberFormat="1" applyAlignment="1"/>
    <xf numFmtId="49" fontId="0" fillId="4" borderId="3" xfId="0" applyNumberFormat="1" applyFill="1" applyBorder="1" applyAlignment="1">
      <alignment horizontal="left"/>
    </xf>
    <xf numFmtId="188" fontId="0" fillId="4" borderId="1" xfId="0" applyNumberFormat="1" applyFill="1" applyBorder="1" applyAlignment="1"/>
    <xf numFmtId="49" fontId="7" fillId="9" borderId="2" xfId="0" applyNumberFormat="1" applyFont="1" applyFill="1" applyBorder="1" applyAlignment="1">
      <alignment horizontal="left"/>
    </xf>
    <xf numFmtId="49" fontId="0" fillId="10" borderId="0" xfId="0" applyNumberFormat="1" applyFill="1" applyAlignment="1">
      <alignment horizontal="left"/>
    </xf>
    <xf numFmtId="43" fontId="0" fillId="10" borderId="0" xfId="1" applyFont="1" applyFill="1" applyBorder="1" applyAlignment="1">
      <alignment horizontal="left"/>
    </xf>
    <xf numFmtId="0" fontId="8" fillId="11" borderId="4" xfId="0" applyFont="1" applyFill="1" applyBorder="1" applyAlignment="1">
      <alignment horizontal="center" vertical="center" wrapText="1" readingOrder="1"/>
    </xf>
    <xf numFmtId="9" fontId="9" fillId="12" borderId="4" xfId="0" applyNumberFormat="1" applyFont="1" applyFill="1" applyBorder="1" applyAlignment="1">
      <alignment horizontal="center" vertical="center" wrapText="1" readingOrder="1"/>
    </xf>
    <xf numFmtId="0" fontId="9" fillId="0" borderId="4" xfId="0" applyFont="1" applyBorder="1" applyAlignment="1">
      <alignment horizontal="center" vertical="center" wrapText="1" readingOrder="1"/>
    </xf>
    <xf numFmtId="0" fontId="9" fillId="12" borderId="4" xfId="0" applyFont="1" applyFill="1" applyBorder="1" applyAlignment="1">
      <alignment horizontal="center" vertical="center" wrapText="1" readingOrder="1"/>
    </xf>
    <xf numFmtId="0" fontId="8" fillId="12" borderId="4" xfId="0" applyFont="1" applyFill="1" applyBorder="1" applyAlignment="1">
      <alignment horizontal="center" vertical="center" wrapText="1" readingOrder="1"/>
    </xf>
    <xf numFmtId="183" fontId="0" fillId="0" borderId="1" xfId="1" applyNumberFormat="1" applyFont="1" applyBorder="1" applyAlignment="1">
      <alignment horizontal="left"/>
    </xf>
    <xf numFmtId="183" fontId="0" fillId="4" borderId="1" xfId="1" applyNumberFormat="1" applyFont="1" applyFill="1" applyBorder="1" applyAlignment="1">
      <alignment horizontal="left"/>
    </xf>
    <xf numFmtId="183" fontId="0" fillId="0" borderId="0" xfId="1" applyNumberFormat="1" applyFont="1" applyFill="1" applyAlignment="1"/>
    <xf numFmtId="49" fontId="0" fillId="0" borderId="0" xfId="0" applyNumberFormat="1" applyAlignment="1">
      <alignment horizontal="left"/>
    </xf>
    <xf numFmtId="183" fontId="0" fillId="0" borderId="0" xfId="1" applyNumberFormat="1" applyFont="1" applyFill="1" applyBorder="1" applyAlignment="1">
      <alignment horizontal="left"/>
    </xf>
    <xf numFmtId="0" fontId="10" fillId="13" borderId="0" xfId="129" applyFont="1" applyFill="1">
      <alignment vertical="center"/>
    </xf>
    <xf numFmtId="0" fontId="11" fillId="13" borderId="0" xfId="129" applyFont="1" applyFill="1">
      <alignment vertical="center"/>
    </xf>
    <xf numFmtId="0" fontId="12" fillId="13" borderId="0" xfId="129" applyFont="1" applyFill="1">
      <alignment vertical="center"/>
    </xf>
    <xf numFmtId="0" fontId="13" fillId="13" borderId="0" xfId="129" applyFont="1" applyFill="1">
      <alignment vertical="center"/>
    </xf>
    <xf numFmtId="0" fontId="0" fillId="13" borderId="0" xfId="88" applyFill="1"/>
    <xf numFmtId="0" fontId="0" fillId="13" borderId="0" xfId="88" applyFill="1" applyAlignment="1">
      <alignment horizontal="center"/>
    </xf>
    <xf numFmtId="4" fontId="14" fillId="13" borderId="0" xfId="129" applyNumberFormat="1" applyFill="1">
      <alignment vertical="center"/>
    </xf>
    <xf numFmtId="0" fontId="14" fillId="0" borderId="0" xfId="129" applyAlignment="1">
      <alignment horizontal="center" vertical="center"/>
    </xf>
    <xf numFmtId="0" fontId="14" fillId="13" borderId="0" xfId="129" applyFill="1" applyAlignment="1">
      <alignment horizontal="center" vertical="center"/>
    </xf>
    <xf numFmtId="0" fontId="14" fillId="0" borderId="0" xfId="129">
      <alignment vertical="center"/>
    </xf>
    <xf numFmtId="0" fontId="14" fillId="13" borderId="0" xfId="127" applyFill="1">
      <alignment vertical="center"/>
    </xf>
    <xf numFmtId="0" fontId="14" fillId="13" borderId="0" xfId="129" applyFill="1">
      <alignment vertical="center"/>
    </xf>
    <xf numFmtId="0" fontId="10" fillId="13" borderId="0" xfId="129" applyFont="1" applyFill="1" applyAlignment="1">
      <alignment horizontal="center" vertical="center"/>
    </xf>
    <xf numFmtId="0" fontId="15" fillId="0" borderId="0" xfId="129" applyFont="1">
      <alignment vertical="center"/>
    </xf>
    <xf numFmtId="0" fontId="10" fillId="0" borderId="0" xfId="129" applyFont="1">
      <alignment vertical="center"/>
    </xf>
    <xf numFmtId="0" fontId="10" fillId="0" borderId="0" xfId="88" applyFont="1"/>
    <xf numFmtId="3" fontId="16" fillId="14" borderId="0" xfId="129" applyNumberFormat="1" applyFont="1" applyFill="1" applyAlignment="1">
      <alignment horizontal="center" vertical="center"/>
    </xf>
    <xf numFmtId="4" fontId="10" fillId="0" borderId="0" xfId="129" applyNumberFormat="1" applyFont="1" applyAlignment="1">
      <alignment horizontal="center" vertical="center"/>
    </xf>
    <xf numFmtId="0" fontId="0" fillId="0" borderId="0" xfId="129" applyFont="1">
      <alignment vertical="center"/>
    </xf>
    <xf numFmtId="0" fontId="13" fillId="15" borderId="2" xfId="129" applyFont="1" applyFill="1" applyBorder="1" applyAlignment="1">
      <alignment horizontal="center" vertical="center" wrapText="1"/>
    </xf>
    <xf numFmtId="0" fontId="13" fillId="15" borderId="2" xfId="129" applyFont="1" applyFill="1" applyBorder="1" applyAlignment="1">
      <alignment horizontal="center" vertical="center"/>
    </xf>
    <xf numFmtId="0" fontId="14" fillId="0" borderId="0" xfId="129" applyAlignment="1">
      <alignment horizontal="left" vertical="center"/>
    </xf>
    <xf numFmtId="183" fontId="0" fillId="0" borderId="5" xfId="141" applyNumberFormat="1" applyFont="1" applyBorder="1" applyAlignment="1">
      <alignment horizontal="center" vertical="center"/>
    </xf>
    <xf numFmtId="0" fontId="11" fillId="13" borderId="6" xfId="129" applyFont="1" applyFill="1" applyBorder="1">
      <alignment vertical="center"/>
    </xf>
    <xf numFmtId="0" fontId="11" fillId="13" borderId="7" xfId="129" applyFont="1" applyFill="1" applyBorder="1">
      <alignment vertical="center"/>
    </xf>
    <xf numFmtId="0" fontId="11" fillId="13" borderId="8" xfId="129" applyFont="1" applyFill="1" applyBorder="1">
      <alignment vertical="center"/>
    </xf>
    <xf numFmtId="183" fontId="11" fillId="0" borderId="2" xfId="141" applyNumberFormat="1" applyFont="1" applyBorder="1" applyAlignment="1">
      <alignment horizontal="center" vertical="center"/>
    </xf>
    <xf numFmtId="183" fontId="11" fillId="0" borderId="7" xfId="141" applyNumberFormat="1" applyFont="1" applyBorder="1" applyAlignment="1">
      <alignment horizontal="center" vertical="center"/>
    </xf>
    <xf numFmtId="0" fontId="0" fillId="13" borderId="0" xfId="129" applyFont="1" applyFill="1" applyAlignment="1">
      <alignment horizontal="center" vertical="center"/>
    </xf>
    <xf numFmtId="0" fontId="10" fillId="13" borderId="0" xfId="127" applyFont="1" applyFill="1">
      <alignment vertical="center"/>
    </xf>
    <xf numFmtId="183" fontId="0" fillId="0" borderId="1" xfId="141" applyNumberFormat="1" applyFont="1" applyBorder="1" applyAlignment="1">
      <alignment horizontal="center" vertical="center"/>
    </xf>
    <xf numFmtId="3" fontId="11" fillId="13" borderId="0" xfId="127" applyNumberFormat="1" applyFont="1" applyFill="1">
      <alignment vertical="center"/>
    </xf>
    <xf numFmtId="3" fontId="11" fillId="2" borderId="0" xfId="127" applyNumberFormat="1" applyFont="1" applyFill="1">
      <alignment vertical="center"/>
    </xf>
    <xf numFmtId="0" fontId="17" fillId="0" borderId="2" xfId="129" applyFont="1" applyBorder="1" applyAlignment="1">
      <alignment horizontal="left" vertical="center"/>
    </xf>
    <xf numFmtId="0" fontId="17" fillId="13" borderId="2" xfId="129" applyFont="1" applyFill="1" applyBorder="1" applyAlignment="1">
      <alignment horizontal="left" vertical="center"/>
    </xf>
    <xf numFmtId="0" fontId="13" fillId="13" borderId="0" xfId="129" applyFont="1" applyFill="1" applyAlignment="1">
      <alignment horizontal="center" vertical="center"/>
    </xf>
    <xf numFmtId="0" fontId="13" fillId="15" borderId="0" xfId="129" applyFont="1" applyFill="1" applyAlignment="1">
      <alignment horizontal="left" vertical="center"/>
    </xf>
    <xf numFmtId="183" fontId="13" fillId="15" borderId="9" xfId="141" applyNumberFormat="1" applyFont="1" applyFill="1" applyBorder="1" applyAlignment="1">
      <alignment horizontal="center" vertical="center"/>
    </xf>
    <xf numFmtId="183" fontId="0" fillId="0" borderId="0" xfId="141" applyNumberFormat="1" applyFont="1" applyAlignment="1">
      <alignment horizontal="center" vertical="center"/>
    </xf>
    <xf numFmtId="0" fontId="14" fillId="0" borderId="10" xfId="129" applyBorder="1" applyAlignment="1">
      <alignment horizontal="left" vertical="center"/>
    </xf>
    <xf numFmtId="183" fontId="0" fillId="0" borderId="11" xfId="141" applyNumberFormat="1" applyFont="1" applyBorder="1" applyAlignment="1">
      <alignment horizontal="center" vertical="center"/>
    </xf>
    <xf numFmtId="3" fontId="18" fillId="2" borderId="0" xfId="127" applyNumberFormat="1" applyFont="1" applyFill="1">
      <alignment vertical="center"/>
    </xf>
    <xf numFmtId="176" fontId="11" fillId="0" borderId="2" xfId="141" applyFont="1" applyBorder="1" applyAlignment="1">
      <alignment horizontal="center" vertical="center"/>
    </xf>
    <xf numFmtId="183" fontId="13" fillId="15" borderId="3" xfId="141" applyNumberFormat="1" applyFont="1" applyFill="1" applyBorder="1" applyAlignment="1">
      <alignment horizontal="center" vertical="center"/>
    </xf>
    <xf numFmtId="183" fontId="0" fillId="0" borderId="12" xfId="141" applyNumberFormat="1" applyFont="1" applyBorder="1" applyAlignment="1">
      <alignment horizontal="center" vertical="center"/>
    </xf>
    <xf numFmtId="0" fontId="14" fillId="0" borderId="5" xfId="129" applyBorder="1">
      <alignment vertical="center"/>
    </xf>
    <xf numFmtId="183" fontId="0" fillId="13" borderId="5" xfId="141" applyNumberFormat="1" applyFont="1" applyFill="1" applyBorder="1" applyAlignment="1">
      <alignment horizontal="center" vertical="center"/>
    </xf>
    <xf numFmtId="183" fontId="0" fillId="13" borderId="1" xfId="141" applyNumberFormat="1" applyFont="1" applyFill="1" applyBorder="1" applyAlignment="1">
      <alignment horizontal="center" vertical="center"/>
    </xf>
    <xf numFmtId="0" fontId="13" fillId="13" borderId="0" xfId="127" applyFont="1" applyFill="1">
      <alignment vertical="center"/>
    </xf>
    <xf numFmtId="0" fontId="13" fillId="15" borderId="9" xfId="129" applyFont="1" applyFill="1" applyBorder="1">
      <alignment vertical="center"/>
    </xf>
    <xf numFmtId="0" fontId="13" fillId="15" borderId="13" xfId="129" applyFont="1" applyFill="1" applyBorder="1">
      <alignment vertical="center"/>
    </xf>
    <xf numFmtId="183" fontId="13" fillId="15" borderId="13" xfId="141" applyNumberFormat="1" applyFont="1" applyFill="1" applyBorder="1" applyAlignment="1">
      <alignment horizontal="center" vertical="center"/>
    </xf>
    <xf numFmtId="183" fontId="13" fillId="15" borderId="0" xfId="141" applyNumberFormat="1" applyFont="1" applyFill="1" applyAlignment="1">
      <alignment horizontal="center" vertical="center"/>
    </xf>
    <xf numFmtId="0" fontId="13" fillId="15" borderId="0" xfId="129" applyFont="1" applyFill="1">
      <alignment vertical="center"/>
    </xf>
    <xf numFmtId="4" fontId="14" fillId="0" borderId="0" xfId="129" applyNumberFormat="1">
      <alignment vertical="center"/>
    </xf>
    <xf numFmtId="0" fontId="19" fillId="13" borderId="0" xfId="88" applyFont="1" applyFill="1" applyAlignment="1">
      <alignment horizontal="center"/>
    </xf>
    <xf numFmtId="176" fontId="19" fillId="13" borderId="0" xfId="141" applyFont="1" applyFill="1" applyAlignment="1">
      <alignment horizontal="center"/>
    </xf>
    <xf numFmtId="0" fontId="13" fillId="15" borderId="11" xfId="88" applyFont="1" applyFill="1" applyBorder="1"/>
    <xf numFmtId="183" fontId="20" fillId="16" borderId="10" xfId="141" applyNumberFormat="1" applyFont="1" applyFill="1" applyBorder="1" applyAlignment="1">
      <alignment horizontal="center"/>
    </xf>
    <xf numFmtId="4" fontId="19" fillId="13" borderId="0" xfId="88" applyNumberFormat="1" applyFont="1" applyFill="1" applyAlignment="1">
      <alignment horizontal="center"/>
    </xf>
    <xf numFmtId="0" fontId="21" fillId="17" borderId="5" xfId="131" applyFont="1" applyFill="1" applyBorder="1"/>
    <xf numFmtId="183" fontId="0" fillId="18" borderId="0" xfId="141" applyNumberFormat="1" applyFill="1" applyAlignment="1">
      <alignment horizontal="center"/>
    </xf>
    <xf numFmtId="0" fontId="21" fillId="19" borderId="5" xfId="131" applyFont="1" applyFill="1" applyBorder="1"/>
    <xf numFmtId="183" fontId="0" fillId="20" borderId="0" xfId="141" applyNumberFormat="1" applyFill="1" applyAlignment="1">
      <alignment horizontal="center"/>
    </xf>
    <xf numFmtId="0" fontId="21" fillId="21" borderId="5" xfId="131" applyFont="1" applyFill="1" applyBorder="1"/>
    <xf numFmtId="183" fontId="0" fillId="22" borderId="0" xfId="141" applyNumberFormat="1" applyFill="1" applyAlignment="1">
      <alignment horizontal="center"/>
    </xf>
    <xf numFmtId="0" fontId="22" fillId="15" borderId="9" xfId="131" applyFont="1" applyFill="1" applyBorder="1" applyAlignment="1">
      <alignment horizontal="left"/>
    </xf>
    <xf numFmtId="183" fontId="23" fillId="15" borderId="13" xfId="141" applyNumberFormat="1" applyFont="1" applyFill="1" applyBorder="1" applyAlignment="1">
      <alignment horizontal="center"/>
    </xf>
    <xf numFmtId="0" fontId="24" fillId="0" borderId="11" xfId="131" applyFont="1" applyBorder="1"/>
    <xf numFmtId="183" fontId="24" fillId="0" borderId="10" xfId="141" applyNumberFormat="1" applyFont="1" applyBorder="1"/>
    <xf numFmtId="0" fontId="25" fillId="17" borderId="5" xfId="131" applyFont="1" applyFill="1" applyBorder="1"/>
    <xf numFmtId="183" fontId="25" fillId="17" borderId="0" xfId="141" applyNumberFormat="1" applyFont="1" applyFill="1" applyAlignment="1">
      <alignment horizontal="center"/>
    </xf>
    <xf numFmtId="0" fontId="25" fillId="19" borderId="5" xfId="131" applyFont="1" applyFill="1" applyBorder="1"/>
    <xf numFmtId="183" fontId="25" fillId="19" borderId="0" xfId="141" applyNumberFormat="1" applyFont="1" applyFill="1" applyAlignment="1">
      <alignment horizontal="center"/>
    </xf>
    <xf numFmtId="0" fontId="24" fillId="21" borderId="5" xfId="131" applyFont="1" applyFill="1" applyBorder="1"/>
    <xf numFmtId="183" fontId="24" fillId="21" borderId="0" xfId="141" applyNumberFormat="1" applyFont="1" applyFill="1" applyAlignment="1">
      <alignment horizontal="center"/>
    </xf>
    <xf numFmtId="0" fontId="24" fillId="0" borderId="5" xfId="131" applyFont="1" applyBorder="1"/>
    <xf numFmtId="183" fontId="24" fillId="0" borderId="0" xfId="141" applyNumberFormat="1" applyFont="1" applyAlignment="1">
      <alignment horizontal="center"/>
    </xf>
    <xf numFmtId="0" fontId="21" fillId="23" borderId="9" xfId="131" applyFont="1" applyFill="1" applyBorder="1"/>
    <xf numFmtId="183" fontId="21" fillId="23" borderId="13" xfId="141" applyNumberFormat="1" applyFont="1" applyFill="1" applyBorder="1" applyAlignment="1">
      <alignment horizontal="center"/>
    </xf>
    <xf numFmtId="4" fontId="14" fillId="13" borderId="0" xfId="129" applyNumberFormat="1" applyFill="1" applyAlignment="1">
      <alignment horizontal="center" vertical="center"/>
    </xf>
    <xf numFmtId="0" fontId="26" fillId="24" borderId="0" xfId="129" applyFont="1" applyFill="1" applyAlignment="1">
      <alignment horizontal="center" vertical="center"/>
    </xf>
    <xf numFmtId="0" fontId="0" fillId="0" borderId="0" xfId="129" applyFont="1" applyAlignment="1">
      <alignment horizontal="left" vertical="center"/>
    </xf>
    <xf numFmtId="183" fontId="11" fillId="13" borderId="2" xfId="141" applyNumberFormat="1" applyFont="1" applyFill="1" applyBorder="1" applyAlignment="1">
      <alignment horizontal="center" vertical="center"/>
    </xf>
    <xf numFmtId="0" fontId="0" fillId="0" borderId="0" xfId="129" applyFont="1" applyAlignment="1">
      <alignment horizontal="right" vertical="center"/>
    </xf>
    <xf numFmtId="183" fontId="0" fillId="0" borderId="3" xfId="141" applyNumberFormat="1" applyFont="1" applyBorder="1" applyAlignment="1">
      <alignment horizontal="center" vertical="center"/>
    </xf>
    <xf numFmtId="183" fontId="0" fillId="0" borderId="2" xfId="141" applyNumberFormat="1" applyFont="1" applyBorder="1" applyAlignment="1">
      <alignment horizontal="center" vertical="center"/>
    </xf>
    <xf numFmtId="4" fontId="0" fillId="0" borderId="0" xfId="129" applyNumberFormat="1" applyFont="1">
      <alignment vertical="center"/>
    </xf>
    <xf numFmtId="176" fontId="0" fillId="0" borderId="0" xfId="141" applyFont="1" applyAlignment="1">
      <alignment horizontal="center" vertical="center"/>
    </xf>
    <xf numFmtId="4" fontId="14" fillId="0" borderId="0" xfId="129" applyNumberFormat="1" applyAlignment="1">
      <alignment horizontal="center" vertical="center"/>
    </xf>
    <xf numFmtId="4" fontId="0" fillId="0" borderId="0" xfId="141" applyNumberFormat="1" applyFont="1" applyAlignment="1">
      <alignment horizontal="center" vertical="center"/>
    </xf>
    <xf numFmtId="189" fontId="14" fillId="0" borderId="0" xfId="129" applyNumberFormat="1" applyAlignment="1">
      <alignment horizontal="center" vertical="center"/>
    </xf>
    <xf numFmtId="183" fontId="13" fillId="15" borderId="14" xfId="141" applyNumberFormat="1" applyFont="1" applyFill="1" applyBorder="1" applyAlignment="1">
      <alignment horizontal="center" vertical="center"/>
    </xf>
    <xf numFmtId="4" fontId="14" fillId="13" borderId="0" xfId="127" applyNumberFormat="1" applyFill="1">
      <alignment vertical="center"/>
    </xf>
    <xf numFmtId="0" fontId="11" fillId="13" borderId="0" xfId="127" applyFont="1" applyFill="1">
      <alignment vertical="center"/>
    </xf>
    <xf numFmtId="0" fontId="12" fillId="13" borderId="0" xfId="127" applyFont="1" applyFill="1">
      <alignment vertical="center"/>
    </xf>
    <xf numFmtId="0" fontId="14" fillId="2" borderId="0" xfId="127" applyFill="1">
      <alignment vertical="center"/>
    </xf>
    <xf numFmtId="0" fontId="14" fillId="0" borderId="0" xfId="127" applyAlignment="1">
      <alignment horizontal="center" vertical="center"/>
    </xf>
    <xf numFmtId="0" fontId="14" fillId="13" borderId="0" xfId="127" applyFill="1" applyAlignment="1">
      <alignment horizontal="center" vertical="center"/>
    </xf>
    <xf numFmtId="0" fontId="14" fillId="0" borderId="0" xfId="127">
      <alignment vertical="center"/>
    </xf>
    <xf numFmtId="0" fontId="10" fillId="13" borderId="0" xfId="127" applyFont="1" applyFill="1" applyAlignment="1">
      <alignment horizontal="center" vertical="center"/>
    </xf>
    <xf numFmtId="0" fontId="15" fillId="0" borderId="0" xfId="127" applyFont="1">
      <alignment vertical="center"/>
    </xf>
    <xf numFmtId="0" fontId="10" fillId="0" borderId="0" xfId="127" applyFont="1">
      <alignment vertical="center"/>
    </xf>
    <xf numFmtId="3" fontId="16" fillId="14" borderId="0" xfId="127" applyNumberFormat="1" applyFont="1" applyFill="1" applyAlignment="1">
      <alignment horizontal="center" vertical="center"/>
    </xf>
    <xf numFmtId="4" fontId="10" fillId="0" borderId="0" xfId="127" applyNumberFormat="1" applyFont="1" applyAlignment="1">
      <alignment horizontal="center" vertical="center"/>
    </xf>
    <xf numFmtId="0" fontId="0" fillId="0" borderId="0" xfId="127" applyFont="1">
      <alignment vertical="center"/>
    </xf>
    <xf numFmtId="0" fontId="13" fillId="15" borderId="2" xfId="127" applyFont="1" applyFill="1" applyBorder="1" applyAlignment="1">
      <alignment horizontal="center" vertical="center" wrapText="1"/>
    </xf>
    <xf numFmtId="0" fontId="13" fillId="15" borderId="2" xfId="127" applyFont="1" applyFill="1" applyBorder="1" applyAlignment="1">
      <alignment horizontal="center" vertical="center"/>
    </xf>
    <xf numFmtId="0" fontId="14" fillId="0" borderId="0" xfId="127" applyAlignment="1">
      <alignment horizontal="left" vertical="center"/>
    </xf>
    <xf numFmtId="0" fontId="11" fillId="13" borderId="6" xfId="127" applyFont="1" applyFill="1" applyBorder="1">
      <alignment vertical="center"/>
    </xf>
    <xf numFmtId="0" fontId="11" fillId="13" borderId="7" xfId="127" applyFont="1" applyFill="1" applyBorder="1">
      <alignment vertical="center"/>
    </xf>
    <xf numFmtId="0" fontId="11" fillId="13" borderId="8" xfId="127" applyFont="1" applyFill="1" applyBorder="1">
      <alignment vertical="center"/>
    </xf>
    <xf numFmtId="0" fontId="0" fillId="13" borderId="0" xfId="127" applyFont="1" applyFill="1" applyAlignment="1">
      <alignment horizontal="center" vertical="center"/>
    </xf>
    <xf numFmtId="0" fontId="14" fillId="2" borderId="0" xfId="127" applyFill="1" applyAlignment="1">
      <alignment horizontal="center" vertical="center"/>
    </xf>
    <xf numFmtId="0" fontId="14" fillId="2" borderId="0" xfId="127" applyFill="1" applyAlignment="1">
      <alignment horizontal="left" vertical="center"/>
    </xf>
    <xf numFmtId="183" fontId="0" fillId="2" borderId="5" xfId="141" applyNumberFormat="1" applyFont="1" applyFill="1" applyBorder="1" applyAlignment="1">
      <alignment horizontal="center" vertical="center"/>
    </xf>
    <xf numFmtId="186" fontId="27" fillId="25" borderId="1" xfId="106" applyNumberFormat="1" applyFont="1" applyFill="1" applyBorder="1" applyAlignment="1">
      <alignment horizontal="left"/>
    </xf>
    <xf numFmtId="183" fontId="0" fillId="2" borderId="1" xfId="141" applyNumberFormat="1" applyFont="1" applyFill="1" applyBorder="1" applyAlignment="1">
      <alignment horizontal="center" vertical="center"/>
    </xf>
    <xf numFmtId="0" fontId="13" fillId="13" borderId="0" xfId="127" applyFont="1" applyFill="1" applyAlignment="1">
      <alignment horizontal="center" vertical="center"/>
    </xf>
    <xf numFmtId="0" fontId="13" fillId="15" borderId="0" xfId="127" applyFont="1" applyFill="1" applyAlignment="1">
      <alignment horizontal="left" vertical="center"/>
    </xf>
    <xf numFmtId="0" fontId="14" fillId="0" borderId="10" xfId="127" applyBorder="1" applyAlignment="1">
      <alignment horizontal="left" vertical="center"/>
    </xf>
    <xf numFmtId="0" fontId="14" fillId="0" borderId="5" xfId="127" applyBorder="1">
      <alignment vertical="center"/>
    </xf>
    <xf numFmtId="0" fontId="13" fillId="15" borderId="9" xfId="127" applyFont="1" applyFill="1" applyBorder="1">
      <alignment vertical="center"/>
    </xf>
    <xf numFmtId="0" fontId="13" fillId="15" borderId="13" xfId="127" applyFont="1" applyFill="1" applyBorder="1">
      <alignment vertical="center"/>
    </xf>
    <xf numFmtId="0" fontId="13" fillId="15" borderId="0" xfId="127" applyFont="1" applyFill="1">
      <alignment vertical="center"/>
    </xf>
    <xf numFmtId="4" fontId="14" fillId="0" borderId="0" xfId="127" applyNumberFormat="1">
      <alignment vertical="center"/>
    </xf>
    <xf numFmtId="4" fontId="14" fillId="13" borderId="0" xfId="127" applyNumberFormat="1" applyFill="1" applyAlignment="1">
      <alignment horizontal="center" vertical="center"/>
    </xf>
    <xf numFmtId="0" fontId="26" fillId="24" borderId="0" xfId="127" applyFont="1" applyFill="1" applyAlignment="1">
      <alignment horizontal="center" vertical="center"/>
    </xf>
    <xf numFmtId="0" fontId="0" fillId="0" borderId="0" xfId="127" applyFont="1" applyAlignment="1">
      <alignment horizontal="left" vertical="center"/>
    </xf>
    <xf numFmtId="0" fontId="0" fillId="0" borderId="0" xfId="127" applyFont="1" applyAlignment="1">
      <alignment horizontal="right" vertical="center"/>
    </xf>
    <xf numFmtId="4" fontId="0" fillId="0" borderId="0" xfId="127" applyNumberFormat="1" applyFont="1">
      <alignment vertical="center"/>
    </xf>
    <xf numFmtId="4" fontId="14" fillId="0" borderId="0" xfId="127" applyNumberFormat="1" applyAlignment="1">
      <alignment horizontal="center" vertical="center"/>
    </xf>
    <xf numFmtId="189" fontId="14" fillId="0" borderId="0" xfId="127" applyNumberFormat="1" applyAlignment="1">
      <alignment horizontal="center" vertical="center"/>
    </xf>
    <xf numFmtId="9" fontId="0" fillId="0" borderId="0" xfId="3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28" fillId="0" borderId="0" xfId="0" applyFont="1">
      <alignment vertical="center"/>
    </xf>
    <xf numFmtId="0" fontId="29" fillId="2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" fontId="2" fillId="0" borderId="0" xfId="1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/>
    </xf>
    <xf numFmtId="1" fontId="0" fillId="0" borderId="0" xfId="0" applyNumberFormat="1">
      <alignment vertical="center"/>
    </xf>
    <xf numFmtId="0" fontId="30" fillId="0" borderId="15" xfId="128" applyFont="1" applyBorder="1"/>
    <xf numFmtId="0" fontId="29" fillId="27" borderId="0" xfId="0" applyFont="1" applyFill="1" applyAlignment="1">
      <alignment horizontal="center" vertical="center"/>
    </xf>
    <xf numFmtId="1" fontId="29" fillId="26" borderId="0" xfId="0" applyNumberFormat="1" applyFont="1" applyFill="1" applyAlignment="1">
      <alignment horizontal="center" vertical="center"/>
    </xf>
    <xf numFmtId="1" fontId="29" fillId="27" borderId="0" xfId="0" applyNumberFormat="1" applyFont="1" applyFill="1" applyAlignment="1">
      <alignment horizontal="center" vertical="center"/>
    </xf>
    <xf numFmtId="190" fontId="0" fillId="0" borderId="0" xfId="0" applyNumberFormat="1" applyAlignment="1">
      <alignment horizontal="center" vertical="center"/>
    </xf>
    <xf numFmtId="0" fontId="31" fillId="28" borderId="16" xfId="0" applyFont="1" applyFill="1" applyBorder="1" applyAlignment="1">
      <alignment horizontal="center" vertical="center"/>
    </xf>
    <xf numFmtId="0" fontId="32" fillId="0" borderId="17" xfId="0" applyFont="1" applyBorder="1">
      <alignment vertical="center"/>
    </xf>
    <xf numFmtId="0" fontId="32" fillId="0" borderId="18" xfId="0" applyFont="1" applyBorder="1">
      <alignment vertical="center"/>
    </xf>
    <xf numFmtId="0" fontId="33" fillId="0" borderId="18" xfId="0" applyFont="1" applyBorder="1" applyAlignment="1">
      <alignment horizontal="right" vertical="center"/>
    </xf>
    <xf numFmtId="191" fontId="32" fillId="0" borderId="18" xfId="0" applyNumberFormat="1" applyFont="1" applyBorder="1" applyAlignment="1">
      <alignment horizontal="right" vertical="center"/>
    </xf>
    <xf numFmtId="191" fontId="32" fillId="0" borderId="16" xfId="0" applyNumberFormat="1" applyFont="1" applyBorder="1" applyAlignment="1">
      <alignment horizontal="right" vertical="center"/>
    </xf>
    <xf numFmtId="191" fontId="34" fillId="29" borderId="17" xfId="0" applyNumberFormat="1" applyFont="1" applyFill="1" applyBorder="1" applyAlignment="1">
      <alignment horizontal="right" vertical="center"/>
    </xf>
    <xf numFmtId="191" fontId="34" fillId="29" borderId="18" xfId="0" applyNumberFormat="1" applyFont="1" applyFill="1" applyBorder="1" applyAlignment="1">
      <alignment horizontal="right" vertical="center"/>
    </xf>
    <xf numFmtId="0" fontId="32" fillId="0" borderId="17" xfId="0" applyFont="1" applyFill="1" applyBorder="1">
      <alignment vertical="center"/>
    </xf>
    <xf numFmtId="0" fontId="32" fillId="0" borderId="18" xfId="0" applyFont="1" applyFill="1" applyBorder="1" applyAlignment="1">
      <alignment horizontal="right" vertical="center"/>
    </xf>
    <xf numFmtId="0" fontId="32" fillId="0" borderId="16" xfId="0" applyFont="1" applyFill="1" applyBorder="1" applyAlignment="1">
      <alignment horizontal="right" vertical="center"/>
    </xf>
    <xf numFmtId="0" fontId="34" fillId="0" borderId="17" xfId="0" applyFont="1" applyFill="1" applyBorder="1" applyAlignment="1">
      <alignment horizontal="right" vertical="center"/>
    </xf>
    <xf numFmtId="0" fontId="34" fillId="0" borderId="18" xfId="0" applyFont="1" applyFill="1" applyBorder="1" applyAlignment="1">
      <alignment horizontal="right" vertical="center"/>
    </xf>
    <xf numFmtId="191" fontId="34" fillId="0" borderId="17" xfId="0" applyNumberFormat="1" applyFont="1" applyFill="1" applyBorder="1" applyAlignment="1">
      <alignment horizontal="right" vertical="center"/>
    </xf>
    <xf numFmtId="191" fontId="34" fillId="0" borderId="18" xfId="0" applyNumberFormat="1" applyFont="1" applyFill="1" applyBorder="1" applyAlignment="1">
      <alignment horizontal="right" vertical="center"/>
    </xf>
    <xf numFmtId="0" fontId="35" fillId="0" borderId="0" xfId="0" applyFont="1" applyAlignment="1">
      <alignment vertical="top"/>
    </xf>
    <xf numFmtId="0" fontId="36" fillId="0" borderId="17" xfId="0" applyFont="1" applyBorder="1">
      <alignment vertical="center"/>
    </xf>
    <xf numFmtId="0" fontId="36" fillId="0" borderId="18" xfId="0" applyFont="1" applyBorder="1">
      <alignment vertical="center"/>
    </xf>
    <xf numFmtId="191" fontId="32" fillId="0" borderId="18" xfId="0" applyNumberFormat="1" applyFont="1" applyFill="1" applyBorder="1" applyAlignment="1">
      <alignment horizontal="right" vertical="center"/>
    </xf>
    <xf numFmtId="191" fontId="32" fillId="0" borderId="16" xfId="0" applyNumberFormat="1" applyFont="1" applyFill="1" applyBorder="1" applyAlignment="1">
      <alignment horizontal="right" vertical="center"/>
    </xf>
    <xf numFmtId="0" fontId="32" fillId="0" borderId="18" xfId="0" applyFont="1" applyBorder="1" applyAlignment="1">
      <alignment horizontal="right" vertical="center"/>
    </xf>
    <xf numFmtId="0" fontId="32" fillId="0" borderId="16" xfId="0" applyFont="1" applyBorder="1" applyAlignment="1">
      <alignment horizontal="right" vertical="center"/>
    </xf>
    <xf numFmtId="0" fontId="32" fillId="0" borderId="19" xfId="0" applyFont="1" applyBorder="1">
      <alignment vertical="center"/>
    </xf>
    <xf numFmtId="0" fontId="36" fillId="0" borderId="19" xfId="0" applyFont="1" applyBorder="1">
      <alignment vertical="center"/>
    </xf>
    <xf numFmtId="191" fontId="0" fillId="0" borderId="0" xfId="0" applyNumberFormat="1">
      <alignment vertical="center"/>
    </xf>
    <xf numFmtId="43" fontId="0" fillId="0" borderId="0" xfId="1" applyFont="1">
      <alignment vertical="center"/>
    </xf>
    <xf numFmtId="191" fontId="0" fillId="0" borderId="0" xfId="1" applyNumberFormat="1" applyFont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183" fontId="29" fillId="30" borderId="20" xfId="139" applyNumberFormat="1" applyFont="1" applyFill="1" applyBorder="1" applyAlignment="1">
      <alignment horizontal="center" vertical="center"/>
    </xf>
    <xf numFmtId="183" fontId="29" fillId="30" borderId="21" xfId="139" applyNumberFormat="1" applyFont="1" applyFill="1" applyBorder="1" applyAlignment="1">
      <alignment horizontal="center" vertical="center"/>
    </xf>
    <xf numFmtId="0" fontId="0" fillId="0" borderId="22" xfId="0" applyBorder="1">
      <alignment vertical="center"/>
    </xf>
    <xf numFmtId="183" fontId="29" fillId="30" borderId="23" xfId="139" applyNumberFormat="1" applyFont="1" applyFill="1" applyBorder="1" applyAlignment="1">
      <alignment horizontal="center" vertical="center"/>
    </xf>
    <xf numFmtId="183" fontId="29" fillId="30" borderId="24" xfId="139" applyNumberFormat="1" applyFont="1" applyFill="1" applyBorder="1" applyAlignment="1">
      <alignment horizontal="center" vertical="center"/>
    </xf>
    <xf numFmtId="49" fontId="28" fillId="0" borderId="0" xfId="1" applyNumberFormat="1" applyFont="1" applyFill="1" applyBorder="1" applyAlignment="1">
      <alignment horizontal="center"/>
    </xf>
    <xf numFmtId="191" fontId="28" fillId="0" borderId="22" xfId="139" applyNumberFormat="1" applyFont="1" applyFill="1" applyBorder="1" applyAlignment="1">
      <alignment horizontal="center" vertical="center"/>
    </xf>
    <xf numFmtId="191" fontId="28" fillId="0" borderId="0" xfId="139" applyNumberFormat="1" applyFont="1" applyFill="1" applyBorder="1" applyAlignment="1">
      <alignment horizontal="center" vertical="center"/>
    </xf>
    <xf numFmtId="191" fontId="37" fillId="0" borderId="0" xfId="0" applyNumberFormat="1" applyFont="1" applyBorder="1" applyAlignment="1">
      <alignment horizontal="center" vertical="center"/>
    </xf>
    <xf numFmtId="0" fontId="38" fillId="0" borderId="22" xfId="0" applyFont="1" applyBorder="1">
      <alignment vertical="center"/>
    </xf>
    <xf numFmtId="49" fontId="37" fillId="0" borderId="0" xfId="1" applyNumberFormat="1" applyFont="1" applyFill="1" applyBorder="1" applyAlignment="1">
      <alignment horizontal="center"/>
    </xf>
    <xf numFmtId="49" fontId="37" fillId="0" borderId="22" xfId="1" applyNumberFormat="1" applyFont="1" applyFill="1" applyBorder="1" applyAlignment="1">
      <alignment horizontal="center"/>
    </xf>
    <xf numFmtId="191" fontId="28" fillId="0" borderId="22" xfId="0" applyNumberFormat="1" applyFont="1" applyBorder="1" applyAlignment="1">
      <alignment horizontal="center" vertical="center"/>
    </xf>
    <xf numFmtId="191" fontId="28" fillId="0" borderId="0" xfId="0" applyNumberFormat="1" applyFont="1" applyBorder="1" applyAlignment="1">
      <alignment horizontal="center" vertical="center"/>
    </xf>
    <xf numFmtId="9" fontId="37" fillId="0" borderId="22" xfId="3" applyFont="1" applyBorder="1" applyAlignment="1">
      <alignment horizontal="center" vertical="center"/>
    </xf>
    <xf numFmtId="49" fontId="37" fillId="0" borderId="0" xfId="3" applyNumberFormat="1" applyFont="1" applyBorder="1" applyAlignment="1">
      <alignment horizontal="center" vertical="center"/>
    </xf>
    <xf numFmtId="9" fontId="37" fillId="0" borderId="0" xfId="3" applyFont="1" applyBorder="1" applyAlignment="1">
      <alignment horizontal="center" vertical="center"/>
    </xf>
    <xf numFmtId="0" fontId="2" fillId="0" borderId="22" xfId="0" applyFont="1" applyBorder="1">
      <alignment vertical="center"/>
    </xf>
    <xf numFmtId="191" fontId="2" fillId="0" borderId="22" xfId="0" applyNumberFormat="1" applyFont="1" applyBorder="1" applyAlignment="1">
      <alignment horizontal="center" vertical="center"/>
    </xf>
    <xf numFmtId="191" fontId="2" fillId="0" borderId="0" xfId="0" applyNumberFormat="1" applyFont="1" applyBorder="1" applyAlignment="1">
      <alignment horizontal="center" vertical="center"/>
    </xf>
    <xf numFmtId="0" fontId="2" fillId="0" borderId="25" xfId="0" applyFont="1" applyBorder="1">
      <alignment vertical="center"/>
    </xf>
    <xf numFmtId="0" fontId="2" fillId="0" borderId="16" xfId="0" applyFont="1" applyBorder="1">
      <alignment vertical="center"/>
    </xf>
    <xf numFmtId="191" fontId="2" fillId="0" borderId="25" xfId="0" applyNumberFormat="1" applyFont="1" applyBorder="1" applyAlignment="1">
      <alignment horizontal="center" vertical="center"/>
    </xf>
    <xf numFmtId="191" fontId="2" fillId="0" borderId="16" xfId="0" applyNumberFormat="1" applyFont="1" applyBorder="1" applyAlignment="1">
      <alignment horizontal="center" vertical="center"/>
    </xf>
    <xf numFmtId="0" fontId="39" fillId="0" borderId="0" xfId="0" applyFont="1" applyAlignment="1">
      <alignment horizontal="left" vertical="center" readingOrder="1"/>
    </xf>
    <xf numFmtId="191" fontId="28" fillId="2" borderId="22" xfId="139" applyNumberFormat="1" applyFont="1" applyFill="1" applyBorder="1" applyAlignment="1">
      <alignment horizontal="center" vertical="center"/>
    </xf>
    <xf numFmtId="191" fontId="2" fillId="2" borderId="22" xfId="0" applyNumberFormat="1" applyFont="1" applyFill="1" applyBorder="1" applyAlignment="1">
      <alignment horizontal="center" vertical="center"/>
    </xf>
    <xf numFmtId="191" fontId="2" fillId="2" borderId="25" xfId="0" applyNumberFormat="1" applyFont="1" applyFill="1" applyBorder="1" applyAlignment="1">
      <alignment horizontal="center" vertical="center"/>
    </xf>
    <xf numFmtId="183" fontId="29" fillId="30" borderId="26" xfId="139" applyNumberFormat="1" applyFont="1" applyFill="1" applyBorder="1" applyAlignment="1">
      <alignment horizontal="center" vertical="center"/>
    </xf>
    <xf numFmtId="0" fontId="29" fillId="31" borderId="23" xfId="126" applyFont="1" applyFill="1" applyBorder="1" applyAlignment="1">
      <alignment horizontal="center" vertical="center"/>
    </xf>
    <xf numFmtId="0" fontId="29" fillId="31" borderId="24" xfId="126" applyFont="1" applyFill="1" applyBorder="1" applyAlignment="1">
      <alignment horizontal="center" vertical="center" wrapText="1"/>
    </xf>
    <xf numFmtId="0" fontId="29" fillId="31" borderId="19" xfId="126" applyFont="1" applyFill="1" applyBorder="1" applyAlignment="1">
      <alignment horizontal="center" vertical="center"/>
    </xf>
    <xf numFmtId="191" fontId="28" fillId="0" borderId="22" xfId="126" applyNumberFormat="1" applyFont="1" applyBorder="1" applyAlignment="1">
      <alignment horizontal="center" vertical="center"/>
    </xf>
    <xf numFmtId="191" fontId="28" fillId="0" borderId="0" xfId="126" applyNumberFormat="1" applyFont="1" applyBorder="1" applyAlignment="1">
      <alignment horizontal="center" vertical="center" wrapText="1"/>
    </xf>
    <xf numFmtId="191" fontId="28" fillId="0" borderId="27" xfId="126" applyNumberFormat="1" applyFont="1" applyBorder="1" applyAlignment="1">
      <alignment horizontal="center" vertical="center"/>
    </xf>
    <xf numFmtId="9" fontId="0" fillId="0" borderId="22" xfId="3" applyFont="1" applyFill="1" applyBorder="1" applyAlignment="1">
      <alignment horizontal="center" vertical="center"/>
    </xf>
    <xf numFmtId="191" fontId="0" fillId="0" borderId="0" xfId="0" applyNumberFormat="1" applyBorder="1">
      <alignment vertical="center"/>
    </xf>
    <xf numFmtId="191" fontId="0" fillId="0" borderId="27" xfId="0" applyNumberFormat="1" applyBorder="1">
      <alignment vertical="center"/>
    </xf>
    <xf numFmtId="191" fontId="2" fillId="0" borderId="27" xfId="0" applyNumberFormat="1" applyFont="1" applyBorder="1" applyAlignment="1">
      <alignment horizontal="center" vertical="center"/>
    </xf>
    <xf numFmtId="191" fontId="0" fillId="0" borderId="22" xfId="0" applyNumberFormat="1" applyBorder="1" applyAlignment="1">
      <alignment horizontal="center" vertical="center"/>
    </xf>
    <xf numFmtId="191" fontId="2" fillId="0" borderId="18" xfId="0" applyNumberFormat="1" applyFont="1" applyBorder="1" applyAlignment="1">
      <alignment horizontal="center" vertical="center"/>
    </xf>
    <xf numFmtId="9" fontId="28" fillId="0" borderId="0" xfId="3" applyFont="1" applyAlignment="1">
      <alignment horizontal="center" vertical="center"/>
    </xf>
    <xf numFmtId="183" fontId="29" fillId="30" borderId="19" xfId="139" applyNumberFormat="1" applyFont="1" applyFill="1" applyBorder="1" applyAlignment="1">
      <alignment horizontal="center" vertical="center"/>
    </xf>
    <xf numFmtId="0" fontId="38" fillId="0" borderId="0" xfId="0" applyFont="1">
      <alignment vertical="center"/>
    </xf>
    <xf numFmtId="185" fontId="2" fillId="0" borderId="0" xfId="3" applyNumberFormat="1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28" fillId="2" borderId="0" xfId="0" applyFont="1" applyFill="1" applyAlignment="1"/>
    <xf numFmtId="49" fontId="29" fillId="32" borderId="1" xfId="1" applyNumberFormat="1" applyFont="1" applyFill="1" applyBorder="1" applyAlignment="1">
      <alignment horizontal="center"/>
    </xf>
    <xf numFmtId="1" fontId="38" fillId="0" borderId="0" xfId="1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91" fontId="2" fillId="0" borderId="0" xfId="0" applyNumberFormat="1" applyFont="1" applyAlignment="1">
      <alignment horizontal="center" vertical="center"/>
    </xf>
    <xf numFmtId="0" fontId="28" fillId="33" borderId="0" xfId="0" applyFont="1" applyFill="1" applyAlignment="1">
      <alignment horizontal="center" vertical="center"/>
    </xf>
    <xf numFmtId="0" fontId="28" fillId="33" borderId="0" xfId="0" applyFont="1" applyFill="1">
      <alignment vertical="center"/>
    </xf>
    <xf numFmtId="191" fontId="28" fillId="33" borderId="0" xfId="0" applyNumberFormat="1" applyFont="1" applyFill="1" applyAlignment="1">
      <alignment horizontal="center" vertical="center"/>
    </xf>
    <xf numFmtId="190" fontId="28" fillId="33" borderId="0" xfId="0" applyNumberFormat="1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190" fontId="28" fillId="0" borderId="0" xfId="0" applyNumberFormat="1" applyFont="1" applyAlignment="1">
      <alignment horizontal="center" vertical="center"/>
    </xf>
    <xf numFmtId="190" fontId="2" fillId="0" borderId="0" xfId="0" applyNumberFormat="1" applyFont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49" fontId="29" fillId="32" borderId="0" xfId="0" applyNumberFormat="1" applyFont="1" applyFill="1" applyAlignment="1">
      <alignment horizontal="center" vertical="center"/>
    </xf>
    <xf numFmtId="1" fontId="38" fillId="0" borderId="0" xfId="1" applyNumberFormat="1" applyFont="1" applyFill="1" applyBorder="1" applyAlignment="1"/>
    <xf numFmtId="191" fontId="38" fillId="0" borderId="0" xfId="0" applyNumberFormat="1" applyFont="1" applyAlignment="1">
      <alignment horizontal="center" vertical="center"/>
    </xf>
    <xf numFmtId="191" fontId="2" fillId="2" borderId="0" xfId="0" applyNumberFormat="1" applyFont="1" applyFill="1" applyAlignment="1">
      <alignment horizontal="center" vertical="center"/>
    </xf>
    <xf numFmtId="9" fontId="28" fillId="33" borderId="0" xfId="3" applyFont="1" applyFill="1" applyAlignment="1">
      <alignment horizontal="center" vertical="center"/>
    </xf>
    <xf numFmtId="183" fontId="29" fillId="32" borderId="0" xfId="1" applyNumberFormat="1" applyFont="1" applyFill="1" applyBorder="1" applyAlignment="1">
      <alignment horizontal="center"/>
    </xf>
    <xf numFmtId="1" fontId="28" fillId="33" borderId="0" xfId="0" applyNumberFormat="1" applyFont="1" applyFill="1" applyAlignment="1">
      <alignment horizontal="center" vertical="center"/>
    </xf>
    <xf numFmtId="0" fontId="29" fillId="32" borderId="0" xfId="0" applyFont="1" applyFill="1" applyAlignment="1">
      <alignment horizontal="center" vertical="center"/>
    </xf>
    <xf numFmtId="0" fontId="38" fillId="0" borderId="0" xfId="1" applyNumberFormat="1" applyFont="1" applyFill="1" applyBorder="1" applyAlignment="1">
      <alignment horizontal="center"/>
    </xf>
    <xf numFmtId="49" fontId="37" fillId="0" borderId="0" xfId="0" applyNumberFormat="1" applyFont="1" applyAlignment="1">
      <alignment horizontal="center" vertical="center"/>
    </xf>
    <xf numFmtId="192" fontId="37" fillId="0" borderId="0" xfId="0" applyNumberFormat="1" applyFont="1" applyAlignment="1">
      <alignment horizontal="center" vertical="center"/>
    </xf>
    <xf numFmtId="191" fontId="37" fillId="0" borderId="0" xfId="0" applyNumberFormat="1" applyFont="1" applyAlignment="1">
      <alignment horizontal="center" vertical="center"/>
    </xf>
    <xf numFmtId="191" fontId="28" fillId="0" borderId="0" xfId="0" applyNumberFormat="1" applyFont="1" applyAlignment="1">
      <alignment horizontal="center" vertical="center"/>
    </xf>
    <xf numFmtId="191" fontId="2" fillId="34" borderId="0" xfId="0" applyNumberFormat="1" applyFont="1" applyFill="1" applyAlignment="1">
      <alignment horizontal="center" vertical="center"/>
    </xf>
    <xf numFmtId="1" fontId="2" fillId="0" borderId="0" xfId="3" applyNumberFormat="1" applyFont="1" applyAlignment="1">
      <alignment horizontal="center" vertical="center"/>
    </xf>
    <xf numFmtId="190" fontId="2" fillId="0" borderId="0" xfId="3" applyNumberFormat="1" applyFont="1" applyAlignment="1">
      <alignment horizontal="center" vertical="center"/>
    </xf>
    <xf numFmtId="9" fontId="2" fillId="0" borderId="0" xfId="3" applyFont="1" applyAlignment="1">
      <alignment horizontal="center" vertical="center"/>
    </xf>
    <xf numFmtId="185" fontId="2" fillId="0" borderId="0" xfId="3" applyNumberFormat="1" applyFont="1" applyAlignment="1">
      <alignment horizontal="left" vertical="center"/>
    </xf>
    <xf numFmtId="190" fontId="2" fillId="0" borderId="0" xfId="3" applyNumberFormat="1" applyFont="1" applyFill="1" applyAlignment="1">
      <alignment horizontal="center" vertical="center"/>
    </xf>
    <xf numFmtId="9" fontId="2" fillId="0" borderId="0" xfId="3" applyFont="1" applyFill="1" applyAlignment="1">
      <alignment horizontal="center" vertical="center"/>
    </xf>
    <xf numFmtId="185" fontId="2" fillId="0" borderId="0" xfId="3" applyNumberFormat="1" applyFont="1" applyFill="1" applyAlignment="1">
      <alignment horizontal="center" vertical="center"/>
    </xf>
    <xf numFmtId="185" fontId="2" fillId="0" borderId="0" xfId="3" applyNumberFormat="1" applyFont="1" applyFill="1">
      <alignment vertical="center"/>
    </xf>
    <xf numFmtId="0" fontId="2" fillId="33" borderId="0" xfId="0" applyFont="1" applyFill="1">
      <alignment vertical="center"/>
    </xf>
    <xf numFmtId="0" fontId="2" fillId="33" borderId="0" xfId="0" applyFont="1" applyFill="1" applyAlignment="1">
      <alignment horizontal="center" vertical="center"/>
    </xf>
    <xf numFmtId="190" fontId="2" fillId="33" borderId="0" xfId="3" applyNumberFormat="1" applyFont="1" applyFill="1" applyAlignment="1">
      <alignment horizontal="center" vertical="center"/>
    </xf>
    <xf numFmtId="185" fontId="2" fillId="33" borderId="0" xfId="3" applyNumberFormat="1" applyFont="1" applyFill="1" applyAlignment="1">
      <alignment horizontal="center" vertical="center"/>
    </xf>
    <xf numFmtId="0" fontId="38" fillId="0" borderId="0" xfId="0" applyFont="1" applyAlignment="1">
      <alignment horizontal="center" vertical="center"/>
    </xf>
    <xf numFmtId="190" fontId="2" fillId="2" borderId="0" xfId="3" applyNumberFormat="1" applyFont="1" applyFill="1" applyAlignment="1">
      <alignment horizontal="center" vertical="center"/>
    </xf>
    <xf numFmtId="193" fontId="2" fillId="0" borderId="0" xfId="1" applyNumberFormat="1" applyFont="1" applyAlignment="1">
      <alignment horizontal="center" vertical="center"/>
    </xf>
    <xf numFmtId="9" fontId="2" fillId="0" borderId="0" xfId="3" applyFont="1" applyAlignment="1">
      <alignment horizontal="left" vertical="center"/>
    </xf>
    <xf numFmtId="9" fontId="2" fillId="0" borderId="0" xfId="3" applyFont="1">
      <alignment vertical="center"/>
    </xf>
    <xf numFmtId="194" fontId="28" fillId="33" borderId="0" xfId="0" applyNumberFormat="1" applyFont="1" applyFill="1" applyAlignment="1">
      <alignment horizontal="center" vertical="center"/>
    </xf>
    <xf numFmtId="190" fontId="28" fillId="33" borderId="0" xfId="3" applyNumberFormat="1" applyFont="1" applyFill="1" applyAlignment="1">
      <alignment horizontal="center" vertical="center"/>
    </xf>
    <xf numFmtId="185" fontId="28" fillId="33" borderId="0" xfId="3" applyNumberFormat="1" applyFont="1" applyFill="1" applyAlignment="1">
      <alignment horizontal="center" vertical="center"/>
    </xf>
    <xf numFmtId="1" fontId="2" fillId="0" borderId="0" xfId="0" applyNumberFormat="1" applyFont="1">
      <alignment vertical="center"/>
    </xf>
    <xf numFmtId="185" fontId="2" fillId="0" borderId="0" xfId="3" applyNumberFormat="1" applyFont="1">
      <alignment vertical="center"/>
    </xf>
    <xf numFmtId="191" fontId="2" fillId="0" borderId="0" xfId="0" applyNumberFormat="1" applyFont="1">
      <alignment vertical="center"/>
    </xf>
    <xf numFmtId="49" fontId="2" fillId="0" borderId="0" xfId="0" applyNumberFormat="1" applyFont="1">
      <alignment vertical="center"/>
    </xf>
    <xf numFmtId="43" fontId="2" fillId="0" borderId="0" xfId="0" applyNumberFormat="1" applyFont="1">
      <alignment vertical="center"/>
    </xf>
    <xf numFmtId="0" fontId="2" fillId="35" borderId="0" xfId="0" applyFont="1" applyFill="1" applyAlignment="1">
      <alignment horizontal="center" vertical="center"/>
    </xf>
    <xf numFmtId="0" fontId="2" fillId="35" borderId="0" xfId="0" applyFont="1" applyFill="1">
      <alignment vertical="center"/>
    </xf>
    <xf numFmtId="190" fontId="2" fillId="35" borderId="0" xfId="0" applyNumberFormat="1" applyFont="1" applyFill="1" applyAlignment="1">
      <alignment horizontal="center" vertical="center"/>
    </xf>
    <xf numFmtId="1" fontId="2" fillId="35" borderId="0" xfId="0" applyNumberFormat="1" applyFont="1" applyFill="1" applyAlignment="1">
      <alignment horizontal="center" vertical="center"/>
    </xf>
    <xf numFmtId="2" fontId="28" fillId="34" borderId="0" xfId="0" applyNumberFormat="1" applyFont="1" applyFill="1" applyAlignment="1">
      <alignment horizontal="center" vertical="center"/>
    </xf>
    <xf numFmtId="1" fontId="2" fillId="33" borderId="0" xfId="0" applyNumberFormat="1" applyFont="1" applyFill="1" applyAlignment="1">
      <alignment horizontal="center" vertical="center"/>
    </xf>
    <xf numFmtId="191" fontId="28" fillId="35" borderId="0" xfId="0" applyNumberFormat="1" applyFont="1" applyFill="1" applyAlignment="1">
      <alignment horizontal="center" vertical="center"/>
    </xf>
    <xf numFmtId="190" fontId="28" fillId="35" borderId="0" xfId="0" applyNumberFormat="1" applyFont="1" applyFill="1" applyAlignment="1">
      <alignment horizontal="center" vertical="center"/>
    </xf>
    <xf numFmtId="1" fontId="28" fillId="35" borderId="0" xfId="0" applyNumberFormat="1" applyFont="1" applyFill="1" applyAlignment="1">
      <alignment horizontal="center" vertical="center"/>
    </xf>
    <xf numFmtId="190" fontId="40" fillId="0" borderId="0" xfId="0" applyNumberFormat="1" applyFont="1" applyAlignment="1">
      <alignment horizontal="center" vertical="center"/>
    </xf>
    <xf numFmtId="49" fontId="38" fillId="0" borderId="0" xfId="0" applyNumberFormat="1" applyFont="1" applyAlignment="1">
      <alignment horizontal="center" vertical="center"/>
    </xf>
    <xf numFmtId="195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85" fontId="2" fillId="0" borderId="0" xfId="0" applyNumberFormat="1" applyFont="1">
      <alignment vertical="center"/>
    </xf>
    <xf numFmtId="191" fontId="38" fillId="0" borderId="0" xfId="0" applyNumberFormat="1" applyFont="1">
      <alignment vertical="center"/>
    </xf>
    <xf numFmtId="1" fontId="37" fillId="0" borderId="0" xfId="0" applyNumberFormat="1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1" fontId="2" fillId="0" borderId="0" xfId="0" applyNumberFormat="1" applyFont="1" applyFill="1" applyAlignment="1">
      <alignment horizontal="center" vertical="center"/>
    </xf>
    <xf numFmtId="1" fontId="2" fillId="5" borderId="0" xfId="0" applyNumberFormat="1" applyFont="1" applyFill="1" applyAlignment="1">
      <alignment horizontal="center" vertical="center"/>
    </xf>
    <xf numFmtId="193" fontId="2" fillId="0" borderId="0" xfId="0" applyNumberFormat="1" applyFont="1" applyAlignment="1">
      <alignment horizontal="center" vertical="center"/>
    </xf>
    <xf numFmtId="191" fontId="28" fillId="33" borderId="0" xfId="127" applyNumberFormat="1" applyFont="1" applyFill="1" applyAlignment="1">
      <alignment horizontal="center" vertical="center"/>
    </xf>
    <xf numFmtId="190" fontId="28" fillId="33" borderId="0" xfId="127" applyNumberFormat="1" applyFont="1" applyFill="1" applyAlignment="1">
      <alignment horizontal="center" vertical="center"/>
    </xf>
    <xf numFmtId="190" fontId="2" fillId="33" borderId="0" xfId="0" applyNumberFormat="1" applyFont="1" applyFill="1" applyAlignment="1">
      <alignment horizontal="center" vertical="center"/>
    </xf>
    <xf numFmtId="1" fontId="38" fillId="0" borderId="0" xfId="0" applyNumberFormat="1" applyFont="1" applyAlignment="1">
      <alignment horizontal="center" vertical="center"/>
    </xf>
    <xf numFmtId="9" fontId="2" fillId="33" borderId="0" xfId="3" applyFont="1" applyFill="1" applyAlignment="1">
      <alignment horizontal="center" vertical="center"/>
    </xf>
    <xf numFmtId="190" fontId="40" fillId="33" borderId="0" xfId="0" applyNumberFormat="1" applyFont="1" applyFill="1" applyAlignment="1">
      <alignment horizontal="center" vertical="center"/>
    </xf>
    <xf numFmtId="0" fontId="2" fillId="35" borderId="0" xfId="0" applyFont="1" applyFill="1" applyAlignment="1">
      <alignment horizontal="left" vertical="center" indent="2"/>
    </xf>
    <xf numFmtId="2" fontId="28" fillId="0" borderId="0" xfId="0" applyNumberFormat="1" applyFont="1" applyAlignment="1">
      <alignment horizontal="center" vertical="center"/>
    </xf>
    <xf numFmtId="193" fontId="28" fillId="0" borderId="0" xfId="1" applyNumberFormat="1" applyFont="1" applyAlignment="1">
      <alignment horizontal="center" vertical="center"/>
    </xf>
    <xf numFmtId="1" fontId="40" fillId="0" borderId="0" xfId="0" applyNumberFormat="1" applyFont="1" applyAlignment="1">
      <alignment horizontal="center" vertical="center"/>
    </xf>
    <xf numFmtId="190" fontId="2" fillId="35" borderId="0" xfId="3" applyNumberFormat="1" applyFont="1" applyFill="1" applyAlignment="1">
      <alignment horizontal="center" vertical="center"/>
    </xf>
    <xf numFmtId="9" fontId="2" fillId="35" borderId="0" xfId="3" applyFont="1" applyFill="1" applyAlignment="1">
      <alignment horizontal="center" vertical="center"/>
    </xf>
    <xf numFmtId="1" fontId="38" fillId="2" borderId="0" xfId="1" applyNumberFormat="1" applyFont="1" applyFill="1" applyBorder="1" applyAlignment="1">
      <alignment horizontal="center"/>
    </xf>
    <xf numFmtId="1" fontId="28" fillId="2" borderId="0" xfId="0" applyNumberFormat="1" applyFont="1" applyFill="1" applyAlignment="1">
      <alignment horizontal="center" vertical="center"/>
    </xf>
  </cellXfs>
  <cellStyles count="1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着色 1 2" xfId="49"/>
    <cellStyle name="20% - 着色 2 2" xfId="50"/>
    <cellStyle name="20% - 着色 3 2" xfId="51"/>
    <cellStyle name="20% - 着色 4 2" xfId="52"/>
    <cellStyle name="20% - 着色 5 2" xfId="53"/>
    <cellStyle name="20% - 着色 6 2" xfId="54"/>
    <cellStyle name="40% - 着色 1 2" xfId="55"/>
    <cellStyle name="40% - 着色 2 2" xfId="56"/>
    <cellStyle name="40% - 着色 3 2" xfId="57"/>
    <cellStyle name="40% - 着色 4 2" xfId="58"/>
    <cellStyle name="40% - 着色 5 2" xfId="59"/>
    <cellStyle name="40% - 着色 6 2" xfId="60"/>
    <cellStyle name="60% - 着色 1 2" xfId="61"/>
    <cellStyle name="60% - 着色 2 2" xfId="62"/>
    <cellStyle name="60% - 着色 3 2" xfId="63"/>
    <cellStyle name="60% - 着色 4 2" xfId="64"/>
    <cellStyle name="60% - 着色 5 2" xfId="65"/>
    <cellStyle name="60% - 着色 6 2" xfId="66"/>
    <cellStyle name="Comma 10" xfId="67"/>
    <cellStyle name="Comma 2" xfId="68"/>
    <cellStyle name="Comma 2 2" xfId="69"/>
    <cellStyle name="Comma 2 2 2" xfId="70"/>
    <cellStyle name="Comma 2 2 2 2" xfId="71"/>
    <cellStyle name="Comma 2 2 2 3" xfId="72"/>
    <cellStyle name="Comma 2 3" xfId="73"/>
    <cellStyle name="Comma 2 3 2" xfId="74"/>
    <cellStyle name="Comma 2 4" xfId="75"/>
    <cellStyle name="Comma 2 4 2" xfId="76"/>
    <cellStyle name="Comma 3" xfId="77"/>
    <cellStyle name="Comma 3 2" xfId="78"/>
    <cellStyle name="Comma 3 3" xfId="79"/>
    <cellStyle name="Comma 4" xfId="80"/>
    <cellStyle name="Comma 5" xfId="81"/>
    <cellStyle name="Comma 5 2" xfId="82"/>
    <cellStyle name="Comma 6" xfId="83"/>
    <cellStyle name="Comma 7" xfId="84"/>
    <cellStyle name="Currency 2" xfId="85"/>
    <cellStyle name="Currency 2 2" xfId="86"/>
    <cellStyle name="Normal 103 2" xfId="87"/>
    <cellStyle name="Normal 12" xfId="88"/>
    <cellStyle name="Normal 2" xfId="89"/>
    <cellStyle name="Normal 2 10" xfId="90"/>
    <cellStyle name="Normal 2 2" xfId="91"/>
    <cellStyle name="Normal 2 2 2" xfId="92"/>
    <cellStyle name="Normal 2 2 3" xfId="93"/>
    <cellStyle name="Normal 2 2 4" xfId="94"/>
    <cellStyle name="Normal 2 3" xfId="95"/>
    <cellStyle name="Normal 2 4" xfId="96"/>
    <cellStyle name="Normal 2 5" xfId="97"/>
    <cellStyle name="Normal 3" xfId="98"/>
    <cellStyle name="Normal 3 2" xfId="99"/>
    <cellStyle name="Normal 3 3" xfId="100"/>
    <cellStyle name="Normal 3 4" xfId="101"/>
    <cellStyle name="Normal 4" xfId="102"/>
    <cellStyle name="Normal 4 2" xfId="103"/>
    <cellStyle name="Normal 5" xfId="104"/>
    <cellStyle name="Normal 5 2" xfId="105"/>
    <cellStyle name="Normal 7" xfId="106"/>
    <cellStyle name="Normal 8" xfId="107"/>
    <cellStyle name="Normal 8 3 2" xfId="108"/>
    <cellStyle name="ParaBirimi 2" xfId="109"/>
    <cellStyle name="ParaBirimi 2 4 3" xfId="110"/>
    <cellStyle name="ParaBirimi 2 5 2" xfId="111"/>
    <cellStyle name="Per cent 2" xfId="112"/>
    <cellStyle name="Percent 2" xfId="113"/>
    <cellStyle name="Percent 2 3" xfId="114"/>
    <cellStyle name="Virgül 2" xfId="115"/>
    <cellStyle name="Yüzde 2" xfId="116"/>
    <cellStyle name="Yüzde 2 2" xfId="117"/>
    <cellStyle name="Yüzde 2 2 2" xfId="118"/>
    <cellStyle name="百分比 2" xfId="119"/>
    <cellStyle name="标题 1 2" xfId="120"/>
    <cellStyle name="标题 2 2" xfId="121"/>
    <cellStyle name="标题 3 2" xfId="122"/>
    <cellStyle name="标题 4 2" xfId="123"/>
    <cellStyle name="标题 5" xfId="124"/>
    <cellStyle name="差 2" xfId="125"/>
    <cellStyle name="常规 2" xfId="126"/>
    <cellStyle name="常规 2 2 2" xfId="127"/>
    <cellStyle name="常规 3" xfId="128"/>
    <cellStyle name="常规 4" xfId="129"/>
    <cellStyle name="常规 5" xfId="130"/>
    <cellStyle name="常规 7" xfId="131"/>
    <cellStyle name="好 2" xfId="132"/>
    <cellStyle name="汇总 2" xfId="133"/>
    <cellStyle name="计算 2" xfId="134"/>
    <cellStyle name="检查单元格 2" xfId="135"/>
    <cellStyle name="解释性文本 2" xfId="136"/>
    <cellStyle name="警告文本 2" xfId="137"/>
    <cellStyle name="链接单元格 2" xfId="138"/>
    <cellStyle name="千位分隔 2" xfId="139"/>
    <cellStyle name="千位分隔 3" xfId="140"/>
    <cellStyle name="千位分隔 4" xfId="141"/>
    <cellStyle name="千位分隔 5" xfId="142"/>
    <cellStyle name="适中 2" xfId="143"/>
    <cellStyle name="输出 2" xfId="144"/>
    <cellStyle name="输入 2" xfId="145"/>
    <cellStyle name="着色 1 2" xfId="146"/>
    <cellStyle name="着色 2 2" xfId="147"/>
    <cellStyle name="着色 3 2" xfId="148"/>
    <cellStyle name="着色 4 2" xfId="149"/>
    <cellStyle name="着色 5 2" xfId="150"/>
    <cellStyle name="着色 6 2" xfId="151"/>
    <cellStyle name="注释 2" xfId="1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externalLink" Target="externalLinks/externalLink2.xml"/><Relationship Id="rId16" Type="http://schemas.openxmlformats.org/officeDocument/2006/relationships/externalLink" Target="externalLinks/externalLink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>
                <a:latin typeface="微软雅黑" panose="020B0503020204020204" pitchFamily="34" charset="-122"/>
                <a:ea typeface="微软雅黑" panose="020B0503020204020204" pitchFamily="34" charset="-122"/>
              </a:rPr>
              <a:t>厨电单台制造</a:t>
            </a:r>
            <a:endParaRPr lang="en-US" altLang="zh-CN">
              <a:latin typeface="微软雅黑" panose="020B0503020204020204" pitchFamily="34" charset="-122"/>
              <a:ea typeface="微软雅黑" panose="020B0503020204020204" pitchFamily="34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趋势图!$B$2</c:f>
              <c:strCache>
                <c:ptCount val="1"/>
                <c:pt idx="0">
                  <c:v>同期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0305555555555556"/>
                  <c:y val="0.041666666666666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0277777777777778"/>
                  <c:y val="0.046296296296296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111111111111111"/>
                  <c:y val="-0.041666666666666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194444444444444"/>
                  <c:y val="0.046296296296296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277777777777778"/>
                  <c:y val="-0.05092592592592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0.0138888888888889"/>
                  <c:y val="-0.046296296296296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0.0111111111111111"/>
                  <c:y val="-0.027777777777777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趋势图!$C$1:$N$1</c:f>
              <c:strCache>
                <c:ptCount val="12"/>
                <c:pt idx="0" c:formatCode="0_ ">
                  <c:v>1月</c:v>
                </c:pt>
                <c:pt idx="1" c:formatCode="0_ ">
                  <c:v>2月</c:v>
                </c:pt>
                <c:pt idx="2" c:formatCode="0_ ">
                  <c:v>3月</c:v>
                </c:pt>
                <c:pt idx="3" c:formatCode="0_ ">
                  <c:v>4月</c:v>
                </c:pt>
                <c:pt idx="4" c:formatCode="0_ ">
                  <c:v>5月</c:v>
                </c:pt>
                <c:pt idx="5" c:formatCode="0_ ">
                  <c:v>6月</c:v>
                </c:pt>
                <c:pt idx="6" c:formatCode="0_ ">
                  <c:v>7月</c:v>
                </c:pt>
                <c:pt idx="7" c:formatCode="0_ ">
                  <c:v>8月</c:v>
                </c:pt>
                <c:pt idx="8" c:formatCode="0_ ">
                  <c:v>9月</c:v>
                </c:pt>
                <c:pt idx="9" c:formatCode="0_ ">
                  <c:v>10月</c:v>
                </c:pt>
                <c:pt idx="10" c:formatCode="0_ ">
                  <c:v>11月</c:v>
                </c:pt>
                <c:pt idx="11" c:formatCode="0_ ">
                  <c:v>12月</c:v>
                </c:pt>
              </c:strCache>
            </c:strRef>
          </c:cat>
          <c:val>
            <c:numRef>
              <c:f>趋势图!$C$2:$N$2</c:f>
              <c:numCache>
                <c:formatCode>0_ </c:formatCode>
                <c:ptCount val="12"/>
                <c:pt idx="0">
                  <c:v>34.9554951575672</c:v>
                </c:pt>
                <c:pt idx="1">
                  <c:v>32.7910305097132</c:v>
                </c:pt>
                <c:pt idx="2">
                  <c:v>32.1556536473229</c:v>
                </c:pt>
                <c:pt idx="3">
                  <c:v>25.9070811758388</c:v>
                </c:pt>
                <c:pt idx="4">
                  <c:v>30.1653256992277</c:v>
                </c:pt>
                <c:pt idx="5">
                  <c:v>36.5277907100623</c:v>
                </c:pt>
                <c:pt idx="6">
                  <c:v>30.4450404246841</c:v>
                </c:pt>
                <c:pt idx="7">
                  <c:v>36.6214204584098</c:v>
                </c:pt>
                <c:pt idx="8">
                  <c:v>13.6287438618898</c:v>
                </c:pt>
                <c:pt idx="9">
                  <c:v>20.771014770731</c:v>
                </c:pt>
                <c:pt idx="10">
                  <c:v>23.4580335946249</c:v>
                </c:pt>
                <c:pt idx="11">
                  <c:v>21.0503589485666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趋势图!$B$3</c:f>
              <c:strCache>
                <c:ptCount val="1"/>
                <c:pt idx="0">
                  <c:v>实际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0361111111111111"/>
                  <c:y val="0.023148148148148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333333333333333"/>
                  <c:y val="0.032407407407407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趋势图!$C$1:$N$1</c:f>
              <c:strCache>
                <c:ptCount val="12"/>
                <c:pt idx="0" c:formatCode="0_ ">
                  <c:v>1月</c:v>
                </c:pt>
                <c:pt idx="1" c:formatCode="0_ ">
                  <c:v>2月</c:v>
                </c:pt>
                <c:pt idx="2" c:formatCode="0_ ">
                  <c:v>3月</c:v>
                </c:pt>
                <c:pt idx="3" c:formatCode="0_ ">
                  <c:v>4月</c:v>
                </c:pt>
                <c:pt idx="4" c:formatCode="0_ ">
                  <c:v>5月</c:v>
                </c:pt>
                <c:pt idx="5" c:formatCode="0_ ">
                  <c:v>6月</c:v>
                </c:pt>
                <c:pt idx="6" c:formatCode="0_ ">
                  <c:v>7月</c:v>
                </c:pt>
                <c:pt idx="7" c:formatCode="0_ ">
                  <c:v>8月</c:v>
                </c:pt>
                <c:pt idx="8" c:formatCode="0_ ">
                  <c:v>9月</c:v>
                </c:pt>
                <c:pt idx="9" c:formatCode="0_ ">
                  <c:v>10月</c:v>
                </c:pt>
                <c:pt idx="10" c:formatCode="0_ ">
                  <c:v>11月</c:v>
                </c:pt>
                <c:pt idx="11" c:formatCode="0_ ">
                  <c:v>12月</c:v>
                </c:pt>
              </c:strCache>
            </c:strRef>
          </c:cat>
          <c:val>
            <c:numRef>
              <c:f>趋势图!$C$3:$N$3</c:f>
              <c:numCache>
                <c:formatCode>0_ </c:formatCode>
                <c:ptCount val="12"/>
                <c:pt idx="0">
                  <c:v>25.5481477497413</c:v>
                </c:pt>
                <c:pt idx="1">
                  <c:v>22.1245799386607</c:v>
                </c:pt>
                <c:pt idx="2">
                  <c:v>24.1452398115035</c:v>
                </c:pt>
                <c:pt idx="3">
                  <c:v>18.9364019181267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1"/>
        <c:axId val="1894242095"/>
        <c:axId val="1764558655"/>
      </c:lineChart>
      <c:catAx>
        <c:axId val="1894242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64558655"/>
        <c:crosses val="autoZero"/>
        <c:auto val="1"/>
        <c:lblAlgn val="ctr"/>
        <c:lblOffset val="100"/>
        <c:noMultiLvlLbl val="0"/>
      </c:catAx>
      <c:valAx>
        <c:axId val="1764558655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94242095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0.67974978127734"/>
          <c:y val="0.0468744531933508"/>
          <c:w val="0.320250216018206"/>
          <c:h val="0.08142397158135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7c39aaa-baf7-4c55-910d-2bc3093a624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>
                <a:latin typeface="微软雅黑" panose="020B0503020204020204" pitchFamily="34" charset="-122"/>
                <a:ea typeface="微软雅黑" panose="020B0503020204020204" pitchFamily="34" charset="-122"/>
              </a:rPr>
              <a:t>洗碗机单台制造</a:t>
            </a:r>
            <a:endParaRPr lang="en-US" altLang="zh-CN">
              <a:latin typeface="微软雅黑" panose="020B0503020204020204" pitchFamily="34" charset="-122"/>
              <a:ea typeface="微软雅黑" panose="020B0503020204020204" pitchFamily="34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317919075144509"/>
          <c:y val="0.203486682808717"/>
          <c:w val="0.936416184971098"/>
          <c:h val="0.557901279289241"/>
        </c:manualLayout>
      </c:layout>
      <c:lineChart>
        <c:grouping val="standard"/>
        <c:varyColors val="0"/>
        <c:ser>
          <c:idx val="0"/>
          <c:order val="0"/>
          <c:tx>
            <c:strRef>
              <c:f>趋势图!$B$5</c:f>
              <c:strCache>
                <c:ptCount val="1"/>
                <c:pt idx="0">
                  <c:v>同期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0260115606936416"/>
                  <c:y val="0.033898305084745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0867052023121387"/>
                  <c:y val="0.014527845036319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115606936416185"/>
                  <c:y val="0.029055690072639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115606936416185"/>
                  <c:y val="-0.038740920096852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0.023121387283237"/>
                  <c:y val="-0.053268765133171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-0.046242774566474"/>
                  <c:y val="0.033898305084745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趋势图!$C$1:$N$1</c:f>
              <c:strCache>
                <c:ptCount val="12"/>
                <c:pt idx="0" c:formatCode="0_ ">
                  <c:v>1月</c:v>
                </c:pt>
                <c:pt idx="1" c:formatCode="0_ ">
                  <c:v>2月</c:v>
                </c:pt>
                <c:pt idx="2" c:formatCode="0_ ">
                  <c:v>3月</c:v>
                </c:pt>
                <c:pt idx="3" c:formatCode="0_ ">
                  <c:v>4月</c:v>
                </c:pt>
                <c:pt idx="4" c:formatCode="0_ ">
                  <c:v>5月</c:v>
                </c:pt>
                <c:pt idx="5" c:formatCode="0_ ">
                  <c:v>6月</c:v>
                </c:pt>
                <c:pt idx="6" c:formatCode="0_ ">
                  <c:v>7月</c:v>
                </c:pt>
                <c:pt idx="7" c:formatCode="0_ ">
                  <c:v>8月</c:v>
                </c:pt>
                <c:pt idx="8" c:formatCode="0_ ">
                  <c:v>9月</c:v>
                </c:pt>
                <c:pt idx="9" c:formatCode="0_ ">
                  <c:v>10月</c:v>
                </c:pt>
                <c:pt idx="10" c:formatCode="0_ ">
                  <c:v>11月</c:v>
                </c:pt>
                <c:pt idx="11" c:formatCode="0_ ">
                  <c:v>12月</c:v>
                </c:pt>
              </c:strCache>
            </c:strRef>
          </c:cat>
          <c:val>
            <c:numRef>
              <c:f>趋势图!$C$5:$N$5</c:f>
              <c:numCache>
                <c:formatCode>0_ </c:formatCode>
                <c:ptCount val="12"/>
                <c:pt idx="0">
                  <c:v>35.0460413781429</c:v>
                </c:pt>
                <c:pt idx="1">
                  <c:v>35.4578978148285</c:v>
                </c:pt>
                <c:pt idx="2">
                  <c:v>39.4479541187388</c:v>
                </c:pt>
                <c:pt idx="3">
                  <c:v>32.2427072801491</c:v>
                </c:pt>
                <c:pt idx="4">
                  <c:v>34.7643938872157</c:v>
                </c:pt>
                <c:pt idx="5">
                  <c:v>58.5861653856526</c:v>
                </c:pt>
                <c:pt idx="6">
                  <c:v>39.1191987003369</c:v>
                </c:pt>
                <c:pt idx="7">
                  <c:v>47.9577673875191</c:v>
                </c:pt>
                <c:pt idx="8">
                  <c:v>56.5252341870666</c:v>
                </c:pt>
                <c:pt idx="9">
                  <c:v>55.0566479722254</c:v>
                </c:pt>
                <c:pt idx="10">
                  <c:v>51.6842838488685</c:v>
                </c:pt>
                <c:pt idx="11">
                  <c:v>35.6900871878935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趋势图!$B$6</c:f>
              <c:strCache>
                <c:ptCount val="1"/>
                <c:pt idx="0">
                  <c:v>实际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046242774566474"/>
                  <c:y val="-0.033898305084745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289017341040462"/>
                  <c:y val="-0.043583535108958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altLang="zh-CN"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趋势图!$C$1:$N$1</c:f>
              <c:strCache>
                <c:ptCount val="12"/>
                <c:pt idx="0" c:formatCode="0_ ">
                  <c:v>1月</c:v>
                </c:pt>
                <c:pt idx="1" c:formatCode="0_ ">
                  <c:v>2月</c:v>
                </c:pt>
                <c:pt idx="2" c:formatCode="0_ ">
                  <c:v>3月</c:v>
                </c:pt>
                <c:pt idx="3" c:formatCode="0_ ">
                  <c:v>4月</c:v>
                </c:pt>
                <c:pt idx="4" c:formatCode="0_ ">
                  <c:v>5月</c:v>
                </c:pt>
                <c:pt idx="5" c:formatCode="0_ ">
                  <c:v>6月</c:v>
                </c:pt>
                <c:pt idx="6" c:formatCode="0_ ">
                  <c:v>7月</c:v>
                </c:pt>
                <c:pt idx="7" c:formatCode="0_ ">
                  <c:v>8月</c:v>
                </c:pt>
                <c:pt idx="8" c:formatCode="0_ ">
                  <c:v>9月</c:v>
                </c:pt>
                <c:pt idx="9" c:formatCode="0_ ">
                  <c:v>10月</c:v>
                </c:pt>
                <c:pt idx="10" c:formatCode="0_ ">
                  <c:v>11月</c:v>
                </c:pt>
                <c:pt idx="11" c:formatCode="0_ ">
                  <c:v>12月</c:v>
                </c:pt>
              </c:strCache>
            </c:strRef>
          </c:cat>
          <c:val>
            <c:numRef>
              <c:f>趋势图!$C$6:$N$6</c:f>
              <c:numCache>
                <c:formatCode>0_ </c:formatCode>
                <c:ptCount val="12"/>
                <c:pt idx="0">
                  <c:v>37.5517870642144</c:v>
                </c:pt>
                <c:pt idx="1">
                  <c:v>41.114903622661</c:v>
                </c:pt>
                <c:pt idx="2">
                  <c:v>74.4665303017129</c:v>
                </c:pt>
                <c:pt idx="3">
                  <c:v>22.051091954023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1"/>
        <c:axId val="1894242095"/>
        <c:axId val="1764558655"/>
      </c:lineChart>
      <c:catAx>
        <c:axId val="1894242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64558655"/>
        <c:crosses val="autoZero"/>
        <c:auto val="1"/>
        <c:lblAlgn val="ctr"/>
        <c:lblOffset val="100"/>
        <c:noMultiLvlLbl val="0"/>
      </c:catAx>
      <c:valAx>
        <c:axId val="1764558655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94242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7974978127734"/>
          <c:y val="0.0468744531933508"/>
          <c:w val="0.307166885389326"/>
          <c:h val="0.07812554680664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3ee9432-1768-49ec-8486-22954c35af8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20</xdr:col>
      <xdr:colOff>495300</xdr:colOff>
      <xdr:row>104</xdr:row>
      <xdr:rowOff>163583</xdr:rowOff>
    </xdr:from>
    <xdr:to>
      <xdr:col>26</xdr:col>
      <xdr:colOff>275506</xdr:colOff>
      <xdr:row>118</xdr:row>
      <xdr:rowOff>83672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291310" y="17596485"/>
          <a:ext cx="6923405" cy="22745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298825</xdr:colOff>
      <xdr:row>24</xdr:row>
      <xdr:rowOff>214087</xdr:rowOff>
    </xdr:from>
    <xdr:to>
      <xdr:col>22</xdr:col>
      <xdr:colOff>616868</xdr:colOff>
      <xdr:row>67</xdr:row>
      <xdr:rowOff>134386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8450" y="4235450"/>
          <a:ext cx="14411325" cy="3822700"/>
        </a:xfrm>
        <a:prstGeom prst="rect">
          <a:avLst/>
        </a:prstGeom>
      </xdr:spPr>
    </xdr:pic>
    <xdr:clientData/>
  </xdr:twoCellAnchor>
  <xdr:twoCellAnchor editAs="oneCell">
    <xdr:from>
      <xdr:col>0</xdr:col>
      <xdr:colOff>389964</xdr:colOff>
      <xdr:row>68</xdr:row>
      <xdr:rowOff>19050</xdr:rowOff>
    </xdr:from>
    <xdr:to>
      <xdr:col>7</xdr:col>
      <xdr:colOff>414662</xdr:colOff>
      <xdr:row>74</xdr:row>
      <xdr:rowOff>123679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89890" y="8118475"/>
          <a:ext cx="5082540" cy="11557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10</xdr:row>
      <xdr:rowOff>22225</xdr:rowOff>
    </xdr:from>
    <xdr:to>
      <xdr:col>6</xdr:col>
      <xdr:colOff>647700</xdr:colOff>
      <xdr:row>24</xdr:row>
      <xdr:rowOff>165100</xdr:rowOff>
    </xdr:to>
    <xdr:graphicFrame>
      <xdr:nvGraphicFramePr>
        <xdr:cNvPr id="3" name="图表 2"/>
        <xdr:cNvGraphicFramePr/>
      </xdr:nvGraphicFramePr>
      <xdr:xfrm>
        <a:off x="617220" y="1774825"/>
        <a:ext cx="3709035" cy="25965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12700</xdr:colOff>
      <xdr:row>10</xdr:row>
      <xdr:rowOff>12700</xdr:rowOff>
    </xdr:from>
    <xdr:to>
      <xdr:col>13</xdr:col>
      <xdr:colOff>647700</xdr:colOff>
      <xdr:row>25</xdr:row>
      <xdr:rowOff>19050</xdr:rowOff>
    </xdr:to>
    <xdr:graphicFrame>
      <xdr:nvGraphicFramePr>
        <xdr:cNvPr id="4" name="图表 3"/>
        <xdr:cNvGraphicFramePr/>
      </xdr:nvGraphicFramePr>
      <xdr:xfrm>
        <a:off x="4933315" y="1765300"/>
        <a:ext cx="3553460" cy="2635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30</xdr:row>
      <xdr:rowOff>0</xdr:rowOff>
    </xdr:from>
    <xdr:to>
      <xdr:col>20</xdr:col>
      <xdr:colOff>151925</xdr:colOff>
      <xdr:row>45</xdr:row>
      <xdr:rowOff>15912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326255" y="5257800"/>
          <a:ext cx="7992745" cy="26447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96019</xdr:colOff>
      <xdr:row>60</xdr:row>
      <xdr:rowOff>132000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7995265" cy="1064704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16</xdr:col>
      <xdr:colOff>255982</xdr:colOff>
      <xdr:row>93</xdr:row>
      <xdr:rowOff>59531</xdr:rowOff>
    </xdr:from>
    <xdr:to>
      <xdr:col>17</xdr:col>
      <xdr:colOff>501675</xdr:colOff>
      <xdr:row>100</xdr:row>
      <xdr:rowOff>14437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94240" y="16358235"/>
          <a:ext cx="2743200" cy="1181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DB\00000Work\Candy&#30446;&#26631;&#31649;&#25511;\&#12304;&#26368;&#26032;&#12305;Candy&#20840;&#27969;&#31243;&#25346;&#21333;&#32771;&#26680;-082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20111596\Desktop\GFC\candy\&#25968;&#25454;&#25910;&#38598;-&#26376;&#24230;&#25552;&#20379;\&#22303;&#32819;&#20854;&#24037;&#21378;&#25104;&#26412;&#21644;&#21046;&#36896;\&#21046;&#36896;&#36153;&#29992;&#21457;&#29983;\2025\1&#26376;\1-2025%20ACTUAL%20COST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andy全流程并联组织单梳理-交互1"/>
      <sheetName val="Sheet1"/>
    </sheetNames>
    <sheetDataSet>
      <sheetData sheetId="0"/>
      <sheetData sheetId="1">
        <row r="57">
          <cell r="L57">
            <v>0.119936590004478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合计"/>
      <sheetName val="人工"/>
      <sheetName val="CK 1"/>
      <sheetName val="CK2"/>
      <sheetName val="24年-CK1"/>
      <sheetName val="24年-CK2"/>
    </sheetNames>
    <sheetDataSet>
      <sheetData sheetId="0"/>
      <sheetData sheetId="1"/>
      <sheetData sheetId="2"/>
      <sheetData sheetId="3"/>
      <sheetData sheetId="4"/>
      <sheetData sheetId="5">
        <row r="1">
          <cell r="O1">
            <v>260521</v>
          </cell>
        </row>
        <row r="115">
          <cell r="O115">
            <v>428574985.5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24"/>
  <sheetViews>
    <sheetView workbookViewId="0">
      <pane xSplit="3" ySplit="3" topLeftCell="D67" activePane="bottomRight" state="frozen"/>
      <selection/>
      <selection pane="topRight"/>
      <selection pane="bottomLeft"/>
      <selection pane="bottomRight" activeCell="H86" sqref="H86"/>
    </sheetView>
  </sheetViews>
  <sheetFormatPr defaultColWidth="9.08333333333333" defaultRowHeight="13.2"/>
  <cols>
    <col min="1" max="1" width="9.08333333333333" style="25"/>
    <col min="2" max="2" width="8.75" style="25" customWidth="1"/>
    <col min="3" max="3" width="18.75" style="25" customWidth="1"/>
    <col min="4" max="4" width="7.83333333333333" style="198" customWidth="1"/>
    <col min="5" max="6" width="7.41666666666667" style="198" customWidth="1"/>
    <col min="7" max="8" width="8.41666666666667" style="198" customWidth="1"/>
    <col min="9" max="12" width="7.41666666666667" style="198" customWidth="1"/>
    <col min="13" max="15" width="8.41666666666667" style="198" customWidth="1"/>
    <col min="16" max="16" width="9.75" style="198" customWidth="1"/>
    <col min="17" max="17" width="16.3333333333333" style="198" customWidth="1"/>
    <col min="18" max="19" width="9.08333333333333" style="198"/>
    <col min="20" max="20" width="11.8333333333333" style="198" customWidth="1"/>
    <col min="21" max="16384" width="9.08333333333333" style="25"/>
  </cols>
  <sheetData>
    <row r="1" hidden="1" spans="4:13">
      <c r="D1" s="313"/>
      <c r="E1" s="313"/>
      <c r="F1" s="313"/>
      <c r="G1" s="313"/>
      <c r="H1" s="313"/>
      <c r="I1" s="313"/>
      <c r="J1" s="313"/>
      <c r="K1" s="313"/>
      <c r="L1" s="313"/>
      <c r="M1" s="313"/>
    </row>
    <row r="2" hidden="1" spans="3:16">
      <c r="C2" s="283" t="s">
        <v>0</v>
      </c>
      <c r="D2" s="283"/>
      <c r="E2" s="283"/>
      <c r="F2" s="283"/>
      <c r="G2" s="283"/>
      <c r="H2" s="283"/>
      <c r="I2" s="283"/>
      <c r="J2" s="283"/>
      <c r="K2" s="283"/>
      <c r="L2" s="283"/>
      <c r="M2" s="283"/>
      <c r="N2" s="283"/>
      <c r="O2" s="283"/>
      <c r="P2" s="283"/>
    </row>
    <row r="3" hidden="1" spans="2:20">
      <c r="B3" s="284" t="s">
        <v>1</v>
      </c>
      <c r="C3" s="285" t="s">
        <v>2</v>
      </c>
      <c r="D3" s="285" t="s">
        <v>3</v>
      </c>
      <c r="E3" s="285" t="s">
        <v>4</v>
      </c>
      <c r="F3" s="285" t="s">
        <v>5</v>
      </c>
      <c r="G3" s="285" t="s">
        <v>6</v>
      </c>
      <c r="H3" s="285" t="s">
        <v>7</v>
      </c>
      <c r="I3" s="285" t="s">
        <v>8</v>
      </c>
      <c r="J3" s="285" t="s">
        <v>9</v>
      </c>
      <c r="K3" s="285" t="s">
        <v>10</v>
      </c>
      <c r="L3" s="285" t="s">
        <v>11</v>
      </c>
      <c r="M3" s="285" t="s">
        <v>12</v>
      </c>
      <c r="N3" s="285" t="s">
        <v>13</v>
      </c>
      <c r="O3" s="285" t="s">
        <v>14</v>
      </c>
      <c r="P3" s="302" t="s">
        <v>15</v>
      </c>
      <c r="Q3" s="205" t="s">
        <v>16</v>
      </c>
      <c r="R3" s="205" t="s">
        <v>17</v>
      </c>
      <c r="S3" s="205" t="s">
        <v>18</v>
      </c>
      <c r="T3" s="205" t="s">
        <v>19</v>
      </c>
    </row>
    <row r="4" hidden="1" spans="2:16">
      <c r="B4" s="283" t="s">
        <v>20</v>
      </c>
      <c r="C4" s="283"/>
      <c r="D4" s="368"/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8"/>
      <c r="P4" s="296" t="e">
        <f>AVERAGE(D4:O4)</f>
        <v>#DIV/0!</v>
      </c>
    </row>
    <row r="5" hidden="1" spans="2:16">
      <c r="B5" s="283" t="s">
        <v>21</v>
      </c>
      <c r="C5" s="283"/>
      <c r="D5" s="305">
        <f>厨电!D5+洗碗机!D5</f>
        <v>103382</v>
      </c>
      <c r="E5" s="305">
        <f>厨电!E5+洗碗机!E5</f>
        <v>129964</v>
      </c>
      <c r="F5" s="305">
        <f>厨电!F5+洗碗机!F5</f>
        <v>133663</v>
      </c>
      <c r="G5" s="305">
        <f>厨电!G5+洗碗机!G5</f>
        <v>137661</v>
      </c>
      <c r="H5" s="305">
        <f>厨电!H5+洗碗机!H5</f>
        <v>194723</v>
      </c>
      <c r="I5" s="305">
        <f>厨电!I5+洗碗机!I5</f>
        <v>152205</v>
      </c>
      <c r="J5" s="305">
        <f>厨电!J5+洗碗机!J5</f>
        <v>162832</v>
      </c>
      <c r="K5" s="305">
        <f>厨电!K5+洗碗机!K5</f>
        <v>83927</v>
      </c>
      <c r="L5" s="305">
        <f>厨电!L5+洗碗机!L5</f>
        <v>150011</v>
      </c>
      <c r="M5" s="305">
        <f>厨电!M5+洗碗机!M5</f>
        <v>157292</v>
      </c>
      <c r="N5" s="305">
        <f>厨电!N5+洗碗机!N5</f>
        <v>149088</v>
      </c>
      <c r="O5" s="305">
        <f>厨电!O5+洗碗机!O5</f>
        <v>98970</v>
      </c>
      <c r="P5" s="296">
        <f>SUM(D5:O5)</f>
        <v>1653718</v>
      </c>
    </row>
    <row r="6" hidden="1" spans="2:20">
      <c r="B6" s="198" t="s">
        <v>22</v>
      </c>
      <c r="C6" s="25" t="s">
        <v>23</v>
      </c>
      <c r="D6" s="201">
        <f>厨电!D6+洗碗机!D6</f>
        <v>779.268123996178</v>
      </c>
      <c r="E6" s="201">
        <f>厨电!E6+洗碗机!E6</f>
        <v>1069.34515822614</v>
      </c>
      <c r="F6" s="201">
        <f>厨电!F6+洗碗机!F6</f>
        <v>1075.75805079385</v>
      </c>
      <c r="G6" s="201">
        <f>厨电!G6+洗碗机!G6</f>
        <v>1083.37093903357</v>
      </c>
      <c r="H6" s="201">
        <f>厨电!H6+洗碗机!H6</f>
        <v>1146.82737589501</v>
      </c>
      <c r="I6" s="201">
        <f>厨电!I6+洗碗机!I6</f>
        <v>1276.04614396869</v>
      </c>
      <c r="J6" s="201">
        <f>厨电!J6+洗碗机!J6</f>
        <v>1185.70257201781</v>
      </c>
      <c r="K6" s="201">
        <f>厨电!K6+洗碗机!K6</f>
        <v>1171.61766833145</v>
      </c>
      <c r="L6" s="201">
        <f>厨电!L6+洗碗机!L6</f>
        <v>977.920042031629</v>
      </c>
      <c r="M6" s="201">
        <f>厨电!M6+洗碗机!M6</f>
        <v>1207.82643755873</v>
      </c>
      <c r="N6" s="201">
        <f>厨电!N6+洗碗机!N6</f>
        <v>1231.24306984271</v>
      </c>
      <c r="O6" s="201">
        <f>厨电!O6+洗碗机!O6</f>
        <v>1241.61483211246</v>
      </c>
      <c r="P6" s="296">
        <f>SUM(D6:O6)</f>
        <v>13446.5404138082</v>
      </c>
      <c r="Q6" s="312">
        <f>P6/$P$5*1000</f>
        <v>8.13109636214169</v>
      </c>
      <c r="R6" s="313">
        <f>P6/$P$22</f>
        <v>0.233674251621624</v>
      </c>
      <c r="S6" s="282" t="e">
        <f>Q6/$P$4</f>
        <v>#DIV/0!</v>
      </c>
      <c r="T6" s="282"/>
    </row>
    <row r="7" hidden="1" spans="2:20">
      <c r="B7" s="198"/>
      <c r="C7" s="25" t="s">
        <v>24</v>
      </c>
      <c r="D7" s="201">
        <f>厨电!D7+洗碗机!D7</f>
        <v>120.914095567939</v>
      </c>
      <c r="E7" s="201">
        <f>厨电!E7+洗碗机!E7</f>
        <v>154.98040099883</v>
      </c>
      <c r="F7" s="201">
        <f>厨电!F7+洗碗机!F7</f>
        <v>196.546902804768</v>
      </c>
      <c r="G7" s="201">
        <f>厨电!G7+洗碗机!G7</f>
        <v>91.5494330943699</v>
      </c>
      <c r="H7" s="201">
        <f>厨电!H7+洗碗机!H7</f>
        <v>153.186115315781</v>
      </c>
      <c r="I7" s="201">
        <f>厨电!I7+洗碗机!I7</f>
        <v>147.427578256697</v>
      </c>
      <c r="J7" s="201">
        <f>厨电!J7+洗碗机!J7</f>
        <v>284.032631188093</v>
      </c>
      <c r="K7" s="201">
        <f>厨电!K7+洗碗机!K7</f>
        <v>-4.29881675018459</v>
      </c>
      <c r="L7" s="201">
        <f>厨电!L7+洗碗机!L7</f>
        <v>183.440018213119</v>
      </c>
      <c r="M7" s="201">
        <f>厨电!M7+洗碗机!M7</f>
        <v>130.737446463471</v>
      </c>
      <c r="N7" s="201">
        <f>厨电!N7+洗碗机!N7</f>
        <v>135.400056858086</v>
      </c>
      <c r="O7" s="201">
        <f>厨电!O7+洗碗机!O7</f>
        <v>134.393103816522</v>
      </c>
      <c r="P7" s="296">
        <f t="shared" ref="P7:P22" si="0">SUM(D7:O7)</f>
        <v>1728.30896582749</v>
      </c>
      <c r="Q7" s="312">
        <f t="shared" ref="Q7:Q21" si="1">P7/$P$5*1000</f>
        <v>1.04510500933502</v>
      </c>
      <c r="R7" s="313">
        <f t="shared" ref="R7:R18" si="2">P7/$P$22</f>
        <v>0.030034588208723</v>
      </c>
      <c r="S7" s="282" t="e">
        <f t="shared" ref="S7:S21" si="3">Q7/$P$4</f>
        <v>#DIV/0!</v>
      </c>
      <c r="T7" s="282"/>
    </row>
    <row r="8" hidden="1" spans="2:20">
      <c r="B8" s="198"/>
      <c r="C8" s="25" t="s">
        <v>25</v>
      </c>
      <c r="D8" s="201">
        <f>厨电!D8+洗碗机!D8</f>
        <v>28.412404430698</v>
      </c>
      <c r="E8" s="201">
        <f>厨电!E8+洗碗机!E8</f>
        <v>28.3799217782374</v>
      </c>
      <c r="F8" s="201">
        <f>厨电!F8+洗碗机!F8</f>
        <v>14.4737225136832</v>
      </c>
      <c r="G8" s="201">
        <f>厨电!G8+洗碗机!G8</f>
        <v>28.2819468705142</v>
      </c>
      <c r="H8" s="201">
        <f>厨电!H8+洗碗机!H8</f>
        <v>28.2709562398703</v>
      </c>
      <c r="I8" s="201">
        <f>厨电!I8+洗碗机!I8</f>
        <v>28.2576025117847</v>
      </c>
      <c r="J8" s="201">
        <f>厨电!J8+洗碗机!J8</f>
        <v>397.956550075499</v>
      </c>
      <c r="K8" s="201">
        <f>厨电!K8+洗碗机!K8</f>
        <v>397.027739776616</v>
      </c>
      <c r="L8" s="201">
        <f>厨电!L8+洗碗机!L8</f>
        <v>437.128593614947</v>
      </c>
      <c r="M8" s="201">
        <f>厨电!M8+洗碗机!M8</f>
        <v>491.331292995007</v>
      </c>
      <c r="N8" s="201">
        <f>厨电!N8+洗碗机!N8</f>
        <v>497.630834948224</v>
      </c>
      <c r="O8" s="201">
        <f>厨电!O8+洗碗机!O8</f>
        <v>436.538594264586</v>
      </c>
      <c r="P8" s="296">
        <f t="shared" si="0"/>
        <v>2813.69016001967</v>
      </c>
      <c r="Q8" s="312">
        <f t="shared" si="1"/>
        <v>1.70143286825182</v>
      </c>
      <c r="R8" s="313">
        <f t="shared" si="2"/>
        <v>0.0488963645818184</v>
      </c>
      <c r="S8" s="282" t="e">
        <f t="shared" si="3"/>
        <v>#DIV/0!</v>
      </c>
      <c r="T8" s="282"/>
    </row>
    <row r="9" hidden="1" spans="2:20">
      <c r="B9" s="198"/>
      <c r="C9" s="25" t="s">
        <v>26</v>
      </c>
      <c r="D9" s="201">
        <f>厨电!D9+洗碗机!D9</f>
        <v>28.2535994132445</v>
      </c>
      <c r="E9" s="201">
        <f>厨电!E9+洗碗机!E9</f>
        <v>1.73949315431576</v>
      </c>
      <c r="F9" s="201">
        <f>厨电!F9+洗碗机!F9</f>
        <v>29.049509731621</v>
      </c>
      <c r="G9" s="201">
        <f>厨电!G9+洗碗机!G9</f>
        <v>20.7637865772695</v>
      </c>
      <c r="H9" s="201">
        <f>厨电!H9+洗碗机!H9</f>
        <v>6.52759613448791</v>
      </c>
      <c r="I9" s="201">
        <f>厨电!I9+洗碗机!I9</f>
        <v>4.65513481772406</v>
      </c>
      <c r="J9" s="201">
        <f>厨电!J9+洗碗机!J9</f>
        <v>5.05739175363009</v>
      </c>
      <c r="K9" s="201">
        <f>厨电!K9+洗碗机!K9</f>
        <v>8.62569618875678</v>
      </c>
      <c r="L9" s="201">
        <f>厨电!L9+洗碗机!L9</f>
        <v>-1.40093096650235</v>
      </c>
      <c r="M9" s="201">
        <f>厨电!M9+洗碗机!M9</f>
        <v>17.423408273713</v>
      </c>
      <c r="N9" s="201">
        <f>厨电!N9+洗碗机!N9</f>
        <v>12.4958085226506</v>
      </c>
      <c r="O9" s="201">
        <f>厨电!O9+洗碗机!O9</f>
        <v>19.6701548133984</v>
      </c>
      <c r="P9" s="296">
        <f t="shared" si="0"/>
        <v>152.860648414309</v>
      </c>
      <c r="Q9" s="312">
        <f t="shared" si="1"/>
        <v>0.0924345314100162</v>
      </c>
      <c r="R9" s="313">
        <f t="shared" si="2"/>
        <v>0.00265641544377686</v>
      </c>
      <c r="S9" s="282" t="e">
        <f t="shared" si="3"/>
        <v>#DIV/0!</v>
      </c>
      <c r="T9" s="282"/>
    </row>
    <row r="10" hidden="1" spans="2:20">
      <c r="B10" s="198"/>
      <c r="C10" s="25" t="s">
        <v>27</v>
      </c>
      <c r="D10" s="201">
        <f>厨电!D10+洗碗机!D10</f>
        <v>365.561348637447</v>
      </c>
      <c r="E10" s="201">
        <f>厨电!E10+洗碗机!E10</f>
        <v>577.61783829376</v>
      </c>
      <c r="F10" s="201">
        <f>厨电!F10+洗碗机!F10</f>
        <v>689.728488118913</v>
      </c>
      <c r="G10" s="201">
        <f>厨电!G10+洗碗机!G10</f>
        <v>633.99289639351</v>
      </c>
      <c r="H10" s="201">
        <f>厨电!H10+洗碗机!H10</f>
        <v>656.31252815135</v>
      </c>
      <c r="I10" s="201">
        <f>厨电!I10+洗碗机!I10</f>
        <v>671.499855714557</v>
      </c>
      <c r="J10" s="201">
        <f>厨电!J10+洗碗机!J10</f>
        <v>627.033873724704</v>
      </c>
      <c r="K10" s="201">
        <f>厨电!K10+洗碗机!K10</f>
        <v>578.510891412537</v>
      </c>
      <c r="L10" s="201">
        <f>厨电!L10+洗碗机!L10</f>
        <v>680.557981467306</v>
      </c>
      <c r="M10" s="201">
        <f>厨电!M10+洗碗机!M10</f>
        <v>691.903853615871</v>
      </c>
      <c r="N10" s="201">
        <f>厨电!N10+洗碗机!N10</f>
        <v>623.432740755762</v>
      </c>
      <c r="O10" s="201">
        <f>厨电!O10+洗碗机!O10</f>
        <v>700.268562098268</v>
      </c>
      <c r="P10" s="296">
        <f t="shared" si="0"/>
        <v>7496.42085838398</v>
      </c>
      <c r="Q10" s="312">
        <f t="shared" si="1"/>
        <v>4.53307084907099</v>
      </c>
      <c r="R10" s="313">
        <f t="shared" si="2"/>
        <v>0.130272953489566</v>
      </c>
      <c r="S10" s="282" t="e">
        <f t="shared" si="3"/>
        <v>#DIV/0!</v>
      </c>
      <c r="T10" s="282"/>
    </row>
    <row r="11" hidden="1" spans="2:20">
      <c r="B11" s="198"/>
      <c r="C11" s="25" t="s">
        <v>28</v>
      </c>
      <c r="D11" s="201">
        <f>厨电!D11+洗碗机!D11</f>
        <v>229.506798107844</v>
      </c>
      <c r="E11" s="201">
        <f>厨电!E11+洗碗机!E11</f>
        <v>162.7892855594</v>
      </c>
      <c r="F11" s="201">
        <f>厨电!F11+洗碗机!F11</f>
        <v>260.269612050936</v>
      </c>
      <c r="G11" s="201">
        <f>厨电!G11+洗碗机!G11</f>
        <v>240.190252805613</v>
      </c>
      <c r="H11" s="201">
        <f>厨电!H11+洗碗机!H11</f>
        <v>271.333602795231</v>
      </c>
      <c r="I11" s="201">
        <f>厨电!I11+洗碗机!I11</f>
        <v>288.593028761392</v>
      </c>
      <c r="J11" s="201">
        <f>厨电!J11+洗碗机!J11</f>
        <v>342.817455822561</v>
      </c>
      <c r="K11" s="201">
        <f>厨电!K11+洗碗机!K11</f>
        <v>328.959844858529</v>
      </c>
      <c r="L11" s="201">
        <f>厨电!L11+洗碗机!L11</f>
        <v>293.055279129626</v>
      </c>
      <c r="M11" s="201">
        <f>厨电!M11+洗碗机!M11</f>
        <v>194.463086287097</v>
      </c>
      <c r="N11" s="201">
        <f>厨电!N11+洗碗机!N11</f>
        <v>311.452472177172</v>
      </c>
      <c r="O11" s="201">
        <f>厨电!O11+洗碗机!O11</f>
        <v>258.172593454869</v>
      </c>
      <c r="P11" s="296">
        <f t="shared" si="0"/>
        <v>3181.60331181027</v>
      </c>
      <c r="Q11" s="312">
        <f t="shared" si="1"/>
        <v>1.92390922261853</v>
      </c>
      <c r="R11" s="313">
        <f t="shared" si="2"/>
        <v>0.05528996678437</v>
      </c>
      <c r="S11" s="282" t="e">
        <f t="shared" si="3"/>
        <v>#DIV/0!</v>
      </c>
      <c r="T11" s="282"/>
    </row>
    <row r="12" hidden="1" spans="2:20">
      <c r="B12" s="198"/>
      <c r="C12" s="25" t="s">
        <v>29</v>
      </c>
      <c r="D12" s="201">
        <f>厨电!D12+洗碗机!D12</f>
        <v>254.915216317437</v>
      </c>
      <c r="E12" s="201">
        <f>厨电!E12+洗碗机!E12</f>
        <v>299.626162339457</v>
      </c>
      <c r="F12" s="201">
        <f>厨电!F12+洗碗机!F12</f>
        <v>409.176613208036</v>
      </c>
      <c r="G12" s="201">
        <f>厨电!G12+洗碗机!G12</f>
        <v>376.824608724099</v>
      </c>
      <c r="H12" s="201">
        <f>厨电!H12+洗碗机!H12</f>
        <v>362.676743363568</v>
      </c>
      <c r="I12" s="201">
        <f>厨电!I12+洗碗机!I12</f>
        <v>425.160190567115</v>
      </c>
      <c r="J12" s="201">
        <f>厨电!J12+洗碗机!J12</f>
        <v>380.339887634459</v>
      </c>
      <c r="K12" s="201">
        <f>厨电!K12+洗碗机!K12</f>
        <v>252.239667561183</v>
      </c>
      <c r="L12" s="201">
        <f>厨电!L12+洗碗机!L12</f>
        <v>277.781266360374</v>
      </c>
      <c r="M12" s="201">
        <f>厨电!M12+洗碗机!M12</f>
        <v>485.313478694182</v>
      </c>
      <c r="N12" s="201">
        <f>厨电!N12+洗碗机!N12</f>
        <v>292.930921952197</v>
      </c>
      <c r="O12" s="201">
        <f>厨电!O12+洗碗机!O12</f>
        <v>253.736606566864</v>
      </c>
      <c r="P12" s="296">
        <f t="shared" si="0"/>
        <v>4070.72136328897</v>
      </c>
      <c r="Q12" s="312">
        <f t="shared" si="1"/>
        <v>2.4615571477658</v>
      </c>
      <c r="R12" s="313">
        <f t="shared" si="2"/>
        <v>0.070741078288799</v>
      </c>
      <c r="S12" s="282" t="e">
        <f t="shared" si="3"/>
        <v>#DIV/0!</v>
      </c>
      <c r="T12" s="282"/>
    </row>
    <row r="13" hidden="1" spans="2:20">
      <c r="B13" s="198" t="s">
        <v>30</v>
      </c>
      <c r="C13" s="25" t="s">
        <v>31</v>
      </c>
      <c r="D13" s="201">
        <f>厨电!D13+洗碗机!D13</f>
        <v>597.468182175526</v>
      </c>
      <c r="E13" s="201">
        <f>厨电!E13+洗碗机!E13</f>
        <v>739.376113724098</v>
      </c>
      <c r="F13" s="201">
        <f>厨电!F13+洗碗机!F13</f>
        <v>583.519769954126</v>
      </c>
      <c r="G13" s="201">
        <f>厨电!G13+洗碗机!G13</f>
        <v>994.384888910562</v>
      </c>
      <c r="H13" s="201">
        <f>厨电!H13+洗碗机!H13</f>
        <v>1014.68942251922</v>
      </c>
      <c r="I13" s="201">
        <f>厨电!I13+洗碗机!I13</f>
        <v>1059.60948759369</v>
      </c>
      <c r="J13" s="201">
        <f>厨电!J13+洗碗机!J13</f>
        <v>955.265733332631</v>
      </c>
      <c r="K13" s="201">
        <f>厨电!K13+洗碗机!K13</f>
        <v>883.510690393539</v>
      </c>
      <c r="L13" s="201">
        <f>厨电!L13+洗碗机!L13</f>
        <v>1035.25684232731</v>
      </c>
      <c r="M13" s="201">
        <f>厨电!M13+洗碗机!M13</f>
        <v>1050.33928885354</v>
      </c>
      <c r="N13" s="201">
        <f>厨电!N13+洗碗机!N13</f>
        <v>988.716613137247</v>
      </c>
      <c r="O13" s="201">
        <f>厨电!O13+洗碗机!O13</f>
        <v>819.059499976284</v>
      </c>
      <c r="P13" s="296">
        <f t="shared" si="0"/>
        <v>10721.1965328978</v>
      </c>
      <c r="Q13" s="312">
        <f t="shared" si="1"/>
        <v>6.48308631392884</v>
      </c>
      <c r="R13" s="313">
        <f t="shared" si="2"/>
        <v>0.186313170467296</v>
      </c>
      <c r="S13" s="282" t="e">
        <f t="shared" si="3"/>
        <v>#DIV/0!</v>
      </c>
      <c r="T13" s="282"/>
    </row>
    <row r="14" hidden="1" spans="2:20">
      <c r="B14" s="198"/>
      <c r="C14" s="25" t="s">
        <v>32</v>
      </c>
      <c r="D14" s="201">
        <f>厨电!D14+洗碗机!D14</f>
        <v>26.3245158426963</v>
      </c>
      <c r="E14" s="201">
        <f>厨电!E14+洗碗机!E14</f>
        <v>62.3226069390763</v>
      </c>
      <c r="F14" s="201">
        <f>厨电!F14+洗碗机!F14</f>
        <v>46.8776617380902</v>
      </c>
      <c r="G14" s="201">
        <f>厨电!G14+洗碗机!G14</f>
        <v>73.1924168309046</v>
      </c>
      <c r="H14" s="201">
        <f>厨电!H14+洗碗机!H14</f>
        <v>111.711277488614</v>
      </c>
      <c r="I14" s="201">
        <f>厨电!I14+洗碗机!I14</f>
        <v>78.031683824802</v>
      </c>
      <c r="J14" s="201">
        <f>厨电!J14+洗碗机!J14</f>
        <v>83.1668792598922</v>
      </c>
      <c r="K14" s="201">
        <f>厨电!K14+洗碗机!K14</f>
        <v>47.6452650836947</v>
      </c>
      <c r="L14" s="201">
        <f>厨电!L14+洗碗机!L14</f>
        <v>55.2081709298857</v>
      </c>
      <c r="M14" s="201">
        <f>厨电!M14+洗碗机!M14</f>
        <v>66.2982479262157</v>
      </c>
      <c r="N14" s="201">
        <f>厨电!N14+洗碗机!N14</f>
        <v>53.0147191556208</v>
      </c>
      <c r="O14" s="201">
        <f>厨电!O14+洗碗机!O14</f>
        <v>81.8621847293848</v>
      </c>
      <c r="P14" s="296">
        <f t="shared" si="0"/>
        <v>785.655629748878</v>
      </c>
      <c r="Q14" s="312">
        <f t="shared" si="1"/>
        <v>0.475084403597758</v>
      </c>
      <c r="R14" s="313">
        <f t="shared" si="2"/>
        <v>0.0136531394443554</v>
      </c>
      <c r="S14" s="282" t="e">
        <f t="shared" si="3"/>
        <v>#DIV/0!</v>
      </c>
      <c r="T14" s="282"/>
    </row>
    <row r="15" hidden="1" spans="2:20">
      <c r="B15" s="198"/>
      <c r="C15" s="25" t="s">
        <v>33</v>
      </c>
      <c r="D15" s="201">
        <f>厨电!D15+洗碗机!D15</f>
        <v>-2.29356238476793</v>
      </c>
      <c r="E15" s="201">
        <f>厨电!E15+洗碗机!E15</f>
        <v>2.62063021908676</v>
      </c>
      <c r="F15" s="201">
        <f>厨电!F15+洗碗机!F15</f>
        <v>26.9637481057383</v>
      </c>
      <c r="G15" s="201">
        <f>厨电!G15+洗碗机!G15</f>
        <v>61.2163132482978</v>
      </c>
      <c r="H15" s="201">
        <f>厨电!H15+洗碗机!H15</f>
        <v>63.8854720133328</v>
      </c>
      <c r="I15" s="201">
        <f>厨电!I15+洗碗机!I15</f>
        <v>44.476742064892</v>
      </c>
      <c r="J15" s="201">
        <f>厨电!J15+洗碗机!J15</f>
        <v>-3.01174908243912</v>
      </c>
      <c r="K15" s="201">
        <f>厨电!K15+洗碗机!K15</f>
        <v>74.1104382929648</v>
      </c>
      <c r="L15" s="201">
        <f>厨电!L15+洗碗机!L15</f>
        <v>-0.860115244346687</v>
      </c>
      <c r="M15" s="201">
        <f>厨电!M15+洗碗机!M15</f>
        <v>65.8313519002376</v>
      </c>
      <c r="N15" s="201">
        <f>厨电!N15+洗碗机!N15</f>
        <v>71.7265625761029</v>
      </c>
      <c r="O15" s="201">
        <f>厨电!O15+洗碗机!O15</f>
        <v>75.801337251464</v>
      </c>
      <c r="P15" s="296">
        <f t="shared" si="0"/>
        <v>480.467168960563</v>
      </c>
      <c r="Q15" s="312">
        <f t="shared" si="1"/>
        <v>0.290537545676206</v>
      </c>
      <c r="R15" s="313">
        <f t="shared" si="2"/>
        <v>0.00834956819230077</v>
      </c>
      <c r="S15" s="282" t="e">
        <f t="shared" si="3"/>
        <v>#DIV/0!</v>
      </c>
      <c r="T15" s="282"/>
    </row>
    <row r="16" hidden="1" spans="2:20">
      <c r="B16" s="198"/>
      <c r="C16" s="25" t="s">
        <v>34</v>
      </c>
      <c r="D16" s="201">
        <f>厨电!D16+洗碗机!D16</f>
        <v>-78.4435954593606</v>
      </c>
      <c r="E16" s="201">
        <f>厨电!E16+洗碗机!E16</f>
        <v>-106.852403564946</v>
      </c>
      <c r="F16" s="201">
        <f>厨电!F16+洗碗机!F16</f>
        <v>-125.446406539307</v>
      </c>
      <c r="G16" s="201">
        <f>厨电!G16+洗碗机!G16</f>
        <v>-131.929058138365</v>
      </c>
      <c r="H16" s="201">
        <f>厨电!H16+洗碗机!H16</f>
        <v>-180.500897425</v>
      </c>
      <c r="I16" s="201">
        <f>厨电!I16+洗碗机!I16</f>
        <v>-137.850011863107</v>
      </c>
      <c r="J16" s="201">
        <f>厨电!J16+洗碗机!J16</f>
        <v>-159.747394687118</v>
      </c>
      <c r="K16" s="201">
        <f>厨电!K16+洗碗机!K16</f>
        <v>-107.52557649781</v>
      </c>
      <c r="L16" s="201">
        <f>厨电!L16+洗碗机!L16</f>
        <v>-138.530582443115</v>
      </c>
      <c r="M16" s="201">
        <f>厨电!M16+洗碗机!M16</f>
        <v>-155.254826379376</v>
      </c>
      <c r="N16" s="201">
        <f>厨电!N16+洗碗机!N16</f>
        <v>-155.36717357566</v>
      </c>
      <c r="O16" s="201">
        <f>厨电!O16+洗碗机!O16</f>
        <v>-103.50766179623</v>
      </c>
      <c r="P16" s="296">
        <f t="shared" si="0"/>
        <v>-1580.95558836939</v>
      </c>
      <c r="Q16" s="312">
        <f t="shared" si="1"/>
        <v>-0.956000713767035</v>
      </c>
      <c r="R16" s="313">
        <f t="shared" si="2"/>
        <v>-0.0274738782311528</v>
      </c>
      <c r="S16" s="282" t="e">
        <f t="shared" si="3"/>
        <v>#DIV/0!</v>
      </c>
      <c r="T16" s="282"/>
    </row>
    <row r="17" hidden="1" spans="2:20">
      <c r="B17" s="198"/>
      <c r="C17" s="25" t="s">
        <v>35</v>
      </c>
      <c r="D17" s="201">
        <f>厨电!D17+洗碗机!D17</f>
        <v>144.178013856977</v>
      </c>
      <c r="E17" s="201">
        <f>厨电!E17+洗碗机!E17</f>
        <v>30.2405087745869</v>
      </c>
      <c r="F17" s="201">
        <f>厨电!F17+洗碗机!F17</f>
        <v>105.790435899199</v>
      </c>
      <c r="G17" s="201">
        <f>厨电!G17+洗碗机!G17</f>
        <v>133.972825510441</v>
      </c>
      <c r="H17" s="201">
        <f>厨电!H17+洗碗机!H17</f>
        <v>131.147692215756</v>
      </c>
      <c r="I17" s="201">
        <f>厨电!I17+洗碗机!I17</f>
        <v>97.4758122702788</v>
      </c>
      <c r="J17" s="201">
        <f>厨电!J17+洗碗机!J17</f>
        <v>95.205029043018</v>
      </c>
      <c r="K17" s="201">
        <f>厨电!K17+洗碗机!K17</f>
        <v>99.8043891784707</v>
      </c>
      <c r="L17" s="201">
        <f>厨电!L17+洗碗机!L17</f>
        <v>101.036104929614</v>
      </c>
      <c r="M17" s="201">
        <f>厨电!M17+洗碗机!M17</f>
        <v>110.444724906464</v>
      </c>
      <c r="N17" s="201">
        <f>厨电!N17+洗碗机!N17</f>
        <v>120.223785636088</v>
      </c>
      <c r="O17" s="201">
        <f>厨电!O17+洗碗机!O17</f>
        <v>94.7856115266547</v>
      </c>
      <c r="P17" s="296">
        <f t="shared" si="0"/>
        <v>1264.30493374755</v>
      </c>
      <c r="Q17" s="312">
        <f t="shared" si="1"/>
        <v>0.764522689931143</v>
      </c>
      <c r="R17" s="313">
        <f t="shared" si="2"/>
        <v>0.0219711167425342</v>
      </c>
      <c r="S17" s="282" t="e">
        <f t="shared" si="3"/>
        <v>#DIV/0!</v>
      </c>
      <c r="T17" s="282"/>
    </row>
    <row r="18" hidden="1" spans="2:20">
      <c r="B18" s="198" t="s">
        <v>36</v>
      </c>
      <c r="C18" s="25" t="s">
        <v>37</v>
      </c>
      <c r="D18" s="201">
        <f>厨电!D18+洗碗机!D18</f>
        <v>549.359032932976</v>
      </c>
      <c r="E18" s="201">
        <f>厨电!E18+洗碗机!E18</f>
        <v>491.271916725822</v>
      </c>
      <c r="F18" s="201">
        <f>厨电!F18+洗碗机!F18</f>
        <v>567.260185082666</v>
      </c>
      <c r="G18" s="201">
        <f>厨电!G18+洗碗机!G18</f>
        <v>592.288701879269</v>
      </c>
      <c r="H18" s="201">
        <f>厨电!H18+洗碗机!H18</f>
        <v>531.885125487371</v>
      </c>
      <c r="I18" s="201">
        <f>厨电!I18+洗碗机!I18</f>
        <v>520.117039633883</v>
      </c>
      <c r="J18" s="201">
        <f>厨电!J18+洗碗机!J18</f>
        <v>606.263974352468</v>
      </c>
      <c r="K18" s="201">
        <f>厨电!K18+洗碗机!K18</f>
        <v>802.301094476217</v>
      </c>
      <c r="L18" s="201">
        <f>厨电!L18+洗碗机!L18</f>
        <v>531.192778460446</v>
      </c>
      <c r="M18" s="201">
        <f>厨电!M18+洗碗机!M18</f>
        <v>574.550530419241</v>
      </c>
      <c r="N18" s="201">
        <f>厨电!N18+洗碗机!N18</f>
        <v>645.602434655854</v>
      </c>
      <c r="O18" s="201">
        <f>厨电!O18+洗碗机!O18</f>
        <v>380.241116252455</v>
      </c>
      <c r="P18" s="296">
        <f t="shared" si="0"/>
        <v>6792.33393035867</v>
      </c>
      <c r="Q18" s="315">
        <f t="shared" si="1"/>
        <v>4.10731087788769</v>
      </c>
      <c r="R18" s="316">
        <f t="shared" si="2"/>
        <v>0.118037316595638</v>
      </c>
      <c r="S18" s="317" t="e">
        <f t="shared" si="3"/>
        <v>#DIV/0!</v>
      </c>
      <c r="T18" s="317"/>
    </row>
    <row r="19" hidden="1" spans="2:20">
      <c r="B19" s="198"/>
      <c r="C19" s="25" t="s">
        <v>38</v>
      </c>
      <c r="D19" s="201">
        <f>厨电!D19+洗碗机!D19</f>
        <v>314.525390547831</v>
      </c>
      <c r="E19" s="201">
        <f>厨电!E19+洗碗机!E19</f>
        <v>440.273589378264</v>
      </c>
      <c r="F19" s="201">
        <f>厨电!F19+洗碗机!F19</f>
        <v>494.492093804496</v>
      </c>
      <c r="G19" s="201">
        <f>厨电!G19+洗碗机!G19</f>
        <v>452.185630411659</v>
      </c>
      <c r="H19" s="201">
        <f>厨电!H19+洗碗机!H19</f>
        <v>469.340094905133</v>
      </c>
      <c r="I19" s="201">
        <f>厨电!I19+洗碗机!I19</f>
        <v>451.831396512967</v>
      </c>
      <c r="J19" s="201">
        <f>厨电!J19+洗碗机!J19</f>
        <v>523.086392316211</v>
      </c>
      <c r="K19" s="201">
        <f>厨电!K19+洗碗机!K19</f>
        <v>509.300002029214</v>
      </c>
      <c r="L19" s="201">
        <f>厨电!L19+洗碗机!L19</f>
        <v>485.366177167758</v>
      </c>
      <c r="M19" s="201">
        <f>厨电!M19+洗碗机!M19</f>
        <v>519.90948092836</v>
      </c>
      <c r="N19" s="201">
        <f>厨电!N19+洗碗机!N19</f>
        <v>534.319692901385</v>
      </c>
      <c r="O19" s="201">
        <f>厨电!O19+洗碗机!O19</f>
        <v>360.257114950793</v>
      </c>
      <c r="P19" s="296">
        <f t="shared" si="0"/>
        <v>5554.88705585407</v>
      </c>
      <c r="Q19" s="315">
        <f t="shared" si="1"/>
        <v>3.35902920319793</v>
      </c>
      <c r="R19" s="317"/>
      <c r="S19" s="317" t="e">
        <f t="shared" si="3"/>
        <v>#DIV/0!</v>
      </c>
      <c r="T19" s="317"/>
    </row>
    <row r="20" hidden="1" spans="2:20">
      <c r="B20" s="198"/>
      <c r="C20" s="25" t="s">
        <v>39</v>
      </c>
      <c r="D20" s="201">
        <f>厨电!D20+洗碗机!D20</f>
        <v>3.35450154647814</v>
      </c>
      <c r="E20" s="201">
        <f>厨电!E20+洗碗机!E20</f>
        <v>9.56929135111727</v>
      </c>
      <c r="F20" s="201">
        <f>厨电!F20+洗碗机!F20</f>
        <v>2.00801924224017</v>
      </c>
      <c r="G20" s="201">
        <f>厨电!G20+洗碗机!G20</f>
        <v>13.6152642285599</v>
      </c>
      <c r="H20" s="201">
        <f>厨电!H20+洗碗机!H20</f>
        <v>13.1231181811906</v>
      </c>
      <c r="I20" s="201">
        <f>厨电!I20+洗碗机!I20</f>
        <v>13.368660773772</v>
      </c>
      <c r="J20" s="201">
        <f>厨电!J20+洗碗机!J20</f>
        <v>12.6468082191554</v>
      </c>
      <c r="K20" s="201">
        <f>厨电!K20+洗碗机!K20</f>
        <v>11.8885944622133</v>
      </c>
      <c r="L20" s="201">
        <f>厨电!L20+洗碗机!L20</f>
        <v>11.5695404319317</v>
      </c>
      <c r="M20" s="201">
        <f>厨电!M20+洗碗机!M20</f>
        <v>11.1691758844028</v>
      </c>
      <c r="N20" s="201">
        <f>厨电!N20+洗碗机!N20</f>
        <v>11.4784129909666</v>
      </c>
      <c r="O20" s="201">
        <f>厨电!O20+洗碗机!O20</f>
        <v>11.9688598008979</v>
      </c>
      <c r="P20" s="296">
        <f t="shared" si="0"/>
        <v>125.760247112926</v>
      </c>
      <c r="Q20" s="315">
        <f t="shared" si="1"/>
        <v>0.0760469724057704</v>
      </c>
      <c r="R20" s="317"/>
      <c r="S20" s="317" t="e">
        <f t="shared" si="3"/>
        <v>#DIV/0!</v>
      </c>
      <c r="T20" s="317"/>
    </row>
    <row r="21" hidden="1" spans="2:20">
      <c r="B21" s="198"/>
      <c r="C21" s="25" t="s">
        <v>40</v>
      </c>
      <c r="D21" s="201">
        <f>厨电!D21+洗碗机!D21</f>
        <v>231.479140838667</v>
      </c>
      <c r="E21" s="201">
        <f>厨电!E21+洗碗机!E21</f>
        <v>41.4290359964406</v>
      </c>
      <c r="F21" s="201">
        <f>厨电!F21+洗碗机!F21</f>
        <v>70.7600720359304</v>
      </c>
      <c r="G21" s="201">
        <f>厨电!G21+洗碗机!G21</f>
        <v>126.48780723905</v>
      </c>
      <c r="H21" s="201">
        <f>厨电!H21+洗碗机!H21</f>
        <v>49.4219124010473</v>
      </c>
      <c r="I21" s="201">
        <f>厨电!I21+洗碗机!I21</f>
        <v>54.9169823471442</v>
      </c>
      <c r="J21" s="201">
        <f>厨电!J21+洗碗机!J21</f>
        <v>70.5307738171013</v>
      </c>
      <c r="K21" s="201">
        <f>厨电!K21+洗碗机!K21</f>
        <v>281.11249798479</v>
      </c>
      <c r="L21" s="201">
        <f>厨电!L21+洗碗机!L21</f>
        <v>34.2570608607566</v>
      </c>
      <c r="M21" s="201">
        <f>厨电!M21+洗碗机!M21</f>
        <v>43.4718736064783</v>
      </c>
      <c r="N21" s="201">
        <f>厨电!N21+洗碗机!N21</f>
        <v>99.8043287635028</v>
      </c>
      <c r="O21" s="201">
        <f>厨电!O21+洗碗机!O21</f>
        <v>8.01514150076361</v>
      </c>
      <c r="P21" s="296">
        <f t="shared" si="0"/>
        <v>1111.68662739167</v>
      </c>
      <c r="Q21" s="315">
        <f t="shared" si="1"/>
        <v>0.672234702283988</v>
      </c>
      <c r="R21" s="317"/>
      <c r="S21" s="317" t="e">
        <f t="shared" si="3"/>
        <v>#DIV/0!</v>
      </c>
      <c r="T21" s="317"/>
    </row>
    <row r="22" ht="12" hidden="1" customHeight="1" spans="2:20">
      <c r="B22" s="289" t="s">
        <v>15</v>
      </c>
      <c r="C22" s="290"/>
      <c r="D22" s="303">
        <f>厨电!D22+洗碗机!D22</f>
        <v>3572.30560343484</v>
      </c>
      <c r="E22" s="303">
        <f>厨电!E22+洗碗机!E22</f>
        <v>4042.33906316787</v>
      </c>
      <c r="F22" s="303">
        <f>厨电!F22+洗碗机!F22</f>
        <v>4408.84972346232</v>
      </c>
      <c r="G22" s="303">
        <f>厨电!G22+洗碗机!G22</f>
        <v>4726.98138174006</v>
      </c>
      <c r="H22" s="303">
        <f>厨电!H22+洗碗机!H22</f>
        <v>4826.8344401946</v>
      </c>
      <c r="I22" s="303">
        <f>厨电!I22+洗碗机!I22</f>
        <v>5032.3817181224</v>
      </c>
      <c r="J22" s="303">
        <f>厨电!J22+洗碗机!J22</f>
        <v>5328.96426443521</v>
      </c>
      <c r="K22" s="303">
        <f>厨电!K22+洗碗机!K22</f>
        <v>5061.41042230596</v>
      </c>
      <c r="L22" s="303">
        <f>厨电!L22+洗碗机!L22</f>
        <v>4960.66687881029</v>
      </c>
      <c r="M22" s="303">
        <f>厨电!M22+洗碗机!M22</f>
        <v>5460.0897515144</v>
      </c>
      <c r="N22" s="303">
        <f>厨电!N22+洗碗机!N22</f>
        <v>5357.38427664205</v>
      </c>
      <c r="O22" s="303">
        <f>厨电!O22+洗碗机!O22</f>
        <v>4765.74659389405</v>
      </c>
      <c r="P22" s="303">
        <f t="shared" si="0"/>
        <v>57543.954117724</v>
      </c>
      <c r="Q22" s="320"/>
      <c r="R22" s="320"/>
      <c r="S22" s="320"/>
      <c r="T22" s="320"/>
    </row>
    <row r="23" hidden="1" spans="2:20">
      <c r="B23" s="289" t="s">
        <v>16</v>
      </c>
      <c r="C23" s="290"/>
      <c r="D23" s="292">
        <f>D22/D5*1000</f>
        <v>34.5544253683894</v>
      </c>
      <c r="E23" s="292">
        <f t="shared" ref="E23:P23" si="4">E22/E5*1000</f>
        <v>31.103529155519</v>
      </c>
      <c r="F23" s="292">
        <f t="shared" si="4"/>
        <v>32.9848179635525</v>
      </c>
      <c r="G23" s="292">
        <f t="shared" si="4"/>
        <v>34.3378399237261</v>
      </c>
      <c r="H23" s="292">
        <f t="shared" si="4"/>
        <v>24.7882090980244</v>
      </c>
      <c r="I23" s="292">
        <f t="shared" si="4"/>
        <v>33.0631826689163</v>
      </c>
      <c r="J23" s="292">
        <f t="shared" si="4"/>
        <v>32.7267629485311</v>
      </c>
      <c r="K23" s="292">
        <f t="shared" si="4"/>
        <v>60.3072958917387</v>
      </c>
      <c r="L23" s="292">
        <f t="shared" si="4"/>
        <v>33.0686874883195</v>
      </c>
      <c r="M23" s="292">
        <f t="shared" si="4"/>
        <v>34.7130798229687</v>
      </c>
      <c r="N23" s="292">
        <f t="shared" si="4"/>
        <v>35.9343761848173</v>
      </c>
      <c r="O23" s="292">
        <f t="shared" si="4"/>
        <v>48.1534464372441</v>
      </c>
      <c r="P23" s="292">
        <f t="shared" si="4"/>
        <v>34.7967151096644</v>
      </c>
      <c r="Q23" s="358">
        <f>P23</f>
        <v>34.7967151096644</v>
      </c>
      <c r="R23" s="320"/>
      <c r="S23" s="322" t="e">
        <f>Q23/$P$4</f>
        <v>#DIV/0!</v>
      </c>
      <c r="T23" s="322"/>
    </row>
    <row r="24" hidden="1" spans="2:16">
      <c r="B24" s="293"/>
      <c r="C24" s="196"/>
      <c r="D24" s="294"/>
      <c r="E24" s="294"/>
      <c r="F24" s="294"/>
      <c r="G24" s="294"/>
      <c r="H24" s="294"/>
      <c r="I24" s="294"/>
      <c r="J24" s="294"/>
      <c r="K24" s="294"/>
      <c r="L24" s="294"/>
      <c r="M24" s="294"/>
      <c r="N24" s="294"/>
      <c r="O24" s="294"/>
      <c r="P24" s="294"/>
    </row>
    <row r="25" hidden="1" spans="2:20">
      <c r="B25" s="25" t="s">
        <v>41</v>
      </c>
      <c r="D25" s="201">
        <f>('24年CK1'!D158+'24年CK2'!D150)/1000</f>
        <v>341.802000263158</v>
      </c>
      <c r="E25" s="201">
        <f>('24年CK1'!E158+'24年CK2'!E150)/1000</f>
        <v>327.685971315789</v>
      </c>
      <c r="F25" s="201">
        <f>('24年CK1'!F158+'24年CK2'!F150)/1000</f>
        <v>365.93252</v>
      </c>
      <c r="G25" s="201">
        <f>('24年CK1'!G158+'24年CK2'!G150)/1000</f>
        <v>383.456434210526</v>
      </c>
      <c r="H25" s="201">
        <f>('24年CK1'!H158+'24年CK2'!H150)/1000</f>
        <v>419.768332105263</v>
      </c>
      <c r="I25" s="201">
        <f>('24年CK1'!I158+'24年CK2'!I150)/1000</f>
        <v>551.741421578947</v>
      </c>
      <c r="J25" s="201">
        <f>('24年CK1'!J158+'24年CK2'!J150)/1000</f>
        <v>906.903773157895</v>
      </c>
      <c r="K25" s="201">
        <f>('24年CK1'!K158+'24年CK2'!K150)/1000</f>
        <v>986.055754736842</v>
      </c>
      <c r="L25" s="201">
        <f>('24年CK1'!L158+'24年CK2'!L150)/1000</f>
        <v>867.199325789474</v>
      </c>
      <c r="M25" s="201">
        <f>('24年CK1'!M158+'24年CK2'!M150)/1000</f>
        <v>937.227046842105</v>
      </c>
      <c r="N25" s="201">
        <f>('24年CK1'!N158+'24年CK2'!N150)/1000</f>
        <v>986.531098421053</v>
      </c>
      <c r="O25" s="201">
        <f>('24年CK1'!O158+'24年CK2'!O150)/1000</f>
        <v>910.23683</v>
      </c>
      <c r="P25" s="344">
        <f>SUM(D25:O25)</f>
        <v>7984.54050842105</v>
      </c>
      <c r="Q25" s="295"/>
      <c r="R25" s="295"/>
      <c r="S25" s="295"/>
      <c r="T25" s="295"/>
    </row>
    <row r="26" hidden="1" spans="2:20">
      <c r="B26" s="289" t="s">
        <v>42</v>
      </c>
      <c r="C26" s="289"/>
      <c r="D26" s="201">
        <f>厨电!D26+洗碗机!D26</f>
        <v>1094.49073708333</v>
      </c>
      <c r="E26" s="201">
        <f>厨电!E26+洗碗机!E26</f>
        <v>1094.49073708334</v>
      </c>
      <c r="F26" s="201">
        <f>厨电!F26+洗碗机!F26</f>
        <v>1094.49073708333</v>
      </c>
      <c r="G26" s="201">
        <f>厨电!G26+洗碗机!G26</f>
        <v>1094.49073708333</v>
      </c>
      <c r="H26" s="201">
        <f>厨电!H26+洗碗机!H26</f>
        <v>1094.49073708333</v>
      </c>
      <c r="I26" s="201">
        <f>厨电!I26+洗碗机!I26</f>
        <v>1094.49073708333</v>
      </c>
      <c r="J26" s="201">
        <f>厨电!J26+洗碗机!J26</f>
        <v>1094.49073708334</v>
      </c>
      <c r="K26" s="201">
        <f>厨电!K26+洗碗机!K26</f>
        <v>1094.49073708333</v>
      </c>
      <c r="L26" s="201">
        <f>厨电!L26+洗碗机!L26</f>
        <v>1094.49073708333</v>
      </c>
      <c r="M26" s="201">
        <f>厨电!M26+洗碗机!M26</f>
        <v>1094.49073708333</v>
      </c>
      <c r="N26" s="201">
        <f>厨电!N26+洗碗机!N26</f>
        <v>1094.49073708333</v>
      </c>
      <c r="O26" s="201">
        <f>厨电!O26+洗碗机!O26</f>
        <v>856.04029492846</v>
      </c>
      <c r="P26" s="296">
        <f t="shared" ref="P26" si="5">SUM(D26:O26)</f>
        <v>12895.4384028451</v>
      </c>
      <c r="Q26" s="315">
        <f t="shared" ref="Q26" si="6">P26/$P$5*1000</f>
        <v>7.79784606737371</v>
      </c>
      <c r="R26" s="295"/>
      <c r="S26" s="295"/>
      <c r="T26" s="295"/>
    </row>
    <row r="27" hidden="1" spans="16:20">
      <c r="P27" s="313"/>
      <c r="Q27" s="315">
        <f>Q23+Q26</f>
        <v>42.5945611770381</v>
      </c>
      <c r="R27" s="198" t="s">
        <v>43</v>
      </c>
      <c r="S27" s="317" t="e">
        <f>Q23/P4</f>
        <v>#DIV/0!</v>
      </c>
      <c r="T27" s="317"/>
    </row>
    <row r="28" ht="14" customHeight="1" spans="3:16">
      <c r="C28" s="296" t="s">
        <v>44</v>
      </c>
      <c r="D28" s="296"/>
      <c r="E28" s="296"/>
      <c r="F28" s="296"/>
      <c r="G28" s="296"/>
      <c r="H28" s="296"/>
      <c r="I28" s="296"/>
      <c r="J28" s="296"/>
      <c r="K28" s="296"/>
      <c r="L28" s="296"/>
      <c r="M28" s="296"/>
      <c r="N28" s="296"/>
      <c r="O28" s="296"/>
      <c r="P28" s="296"/>
    </row>
    <row r="29" spans="1:20">
      <c r="A29" s="25" t="s">
        <v>45</v>
      </c>
      <c r="C29" s="285" t="s">
        <v>2</v>
      </c>
      <c r="D29" s="297" t="s">
        <v>46</v>
      </c>
      <c r="E29" s="297" t="s">
        <v>47</v>
      </c>
      <c r="F29" s="297" t="s">
        <v>48</v>
      </c>
      <c r="G29" s="297" t="s">
        <v>49</v>
      </c>
      <c r="H29" s="297" t="s">
        <v>50</v>
      </c>
      <c r="I29" s="297" t="s">
        <v>51</v>
      </c>
      <c r="J29" s="297" t="s">
        <v>52</v>
      </c>
      <c r="K29" s="297" t="s">
        <v>53</v>
      </c>
      <c r="L29" s="297" t="s">
        <v>54</v>
      </c>
      <c r="M29" s="297" t="s">
        <v>55</v>
      </c>
      <c r="N29" s="297" t="s">
        <v>56</v>
      </c>
      <c r="O29" s="297" t="s">
        <v>57</v>
      </c>
      <c r="P29" s="304" t="s">
        <v>15</v>
      </c>
      <c r="Q29" s="205" t="s">
        <v>16</v>
      </c>
      <c r="R29" s="205" t="s">
        <v>17</v>
      </c>
      <c r="S29" s="205" t="s">
        <v>18</v>
      </c>
      <c r="T29" s="205" t="s">
        <v>19</v>
      </c>
    </row>
    <row r="30" spans="1:17">
      <c r="A30" s="25">
        <v>125</v>
      </c>
      <c r="B30" s="283" t="s">
        <v>58</v>
      </c>
      <c r="C30" s="283"/>
      <c r="D30" s="368">
        <v>162.488408870041</v>
      </c>
      <c r="E30" s="368">
        <v>160.903768692065</v>
      </c>
      <c r="F30" s="368">
        <v>156.899270521369</v>
      </c>
      <c r="G30" s="368">
        <v>161.785090041082</v>
      </c>
      <c r="H30" s="368">
        <v>154.821891029011</v>
      </c>
      <c r="I30" s="368">
        <v>155.333067141307</v>
      </c>
      <c r="J30" s="368">
        <v>147.705311375311</v>
      </c>
      <c r="K30" s="368">
        <v>157.186221643715</v>
      </c>
      <c r="L30" s="368">
        <v>144.085901141505</v>
      </c>
      <c r="M30" s="368">
        <v>146.91136673917</v>
      </c>
      <c r="N30" s="368">
        <v>147.834294908123</v>
      </c>
      <c r="O30" s="368">
        <v>157.098583877839</v>
      </c>
      <c r="P30" s="201">
        <f>AVERAGE(D30:O30)</f>
        <v>154.421097998378</v>
      </c>
      <c r="Q30" s="201">
        <f>AVERAGE(D30:O30)</f>
        <v>154.421097998378</v>
      </c>
    </row>
    <row r="31" s="281" customFormat="1" spans="1:20">
      <c r="A31" s="350">
        <f>SUM(D31:F31)</f>
        <v>395415</v>
      </c>
      <c r="C31" s="248" t="s">
        <v>21</v>
      </c>
      <c r="D31" s="305">
        <f>厨电!D31+洗碗机!D31</f>
        <v>128283</v>
      </c>
      <c r="E31" s="305">
        <f>厨电!E31+洗碗机!E31</f>
        <v>128138</v>
      </c>
      <c r="F31" s="305">
        <f>厨电!F31+洗碗机!F31</f>
        <v>138994</v>
      </c>
      <c r="G31" s="305">
        <f>厨电!G31+洗碗机!G31</f>
        <v>148050</v>
      </c>
      <c r="H31" s="305">
        <f>厨电!H31+洗碗机!H31</f>
        <v>147057</v>
      </c>
      <c r="I31" s="305">
        <f>厨电!I31+洗碗机!I31</f>
        <v>104756</v>
      </c>
      <c r="J31" s="305">
        <f>厨电!J31+洗碗机!J31</f>
        <v>119656</v>
      </c>
      <c r="K31" s="305">
        <f>厨电!K31+洗碗机!K31</f>
        <v>90789</v>
      </c>
      <c r="L31" s="305">
        <f>厨电!L31+洗碗机!L31</f>
        <v>119094</v>
      </c>
      <c r="M31" s="305">
        <f>厨电!M31+洗碗机!M31</f>
        <v>137783</v>
      </c>
      <c r="N31" s="305">
        <f>厨电!N31+洗碗机!N31</f>
        <v>145649</v>
      </c>
      <c r="O31" s="305">
        <f>厨电!O31+洗碗机!O31</f>
        <v>117647</v>
      </c>
      <c r="P31" s="352">
        <f t="shared" ref="P31:P47" si="7">SUM(D31:O31)</f>
        <v>1525896</v>
      </c>
      <c r="Q31" s="309"/>
      <c r="R31" s="323"/>
      <c r="S31" s="323"/>
      <c r="T31" s="323"/>
    </row>
    <row r="32" spans="1:20">
      <c r="A32" s="350">
        <f t="shared" ref="A32:A48" si="8">SUM(D32:F32)</f>
        <v>3895.92283577778</v>
      </c>
      <c r="B32" s="198" t="s">
        <v>22</v>
      </c>
      <c r="C32" s="25" t="s">
        <v>59</v>
      </c>
      <c r="D32" s="201">
        <f>厨电!D32+洗碗机!D32</f>
        <v>1317.17529577778</v>
      </c>
      <c r="E32" s="201">
        <f>厨电!E32+洗碗机!E32</f>
        <v>1253.7334</v>
      </c>
      <c r="F32" s="201">
        <f>厨电!F32+洗碗机!F32</f>
        <v>1325.01414</v>
      </c>
      <c r="G32" s="201">
        <f>厨电!G32+洗碗机!G32</f>
        <v>1316.65409</v>
      </c>
      <c r="H32" s="201">
        <f>厨电!H32+洗碗机!H32</f>
        <v>1411.23594931903</v>
      </c>
      <c r="I32" s="201">
        <f>厨电!I32+洗碗机!I32</f>
        <v>1388.02143</v>
      </c>
      <c r="J32" s="201">
        <f>厨电!J32+洗碗机!J32</f>
        <v>1418.16284</v>
      </c>
      <c r="K32" s="201">
        <f>厨电!K32+洗碗机!K32</f>
        <v>1160.6474477507</v>
      </c>
      <c r="L32" s="201">
        <f>厨电!L32+洗碗机!L32</f>
        <v>1357.65861</v>
      </c>
      <c r="M32" s="201">
        <f>厨电!M32+洗碗机!M32</f>
        <v>960.20733</v>
      </c>
      <c r="N32" s="201">
        <f>厨电!N32+洗碗机!N32</f>
        <v>1347.8374836739</v>
      </c>
      <c r="O32" s="201">
        <f>厨电!O32+洗碗机!O32</f>
        <v>1377.91192</v>
      </c>
      <c r="P32" s="296">
        <f t="shared" si="7"/>
        <v>15634.2599365214</v>
      </c>
      <c r="Q32" s="312">
        <f>P32/$P$31*1000</f>
        <v>10.2459538110863</v>
      </c>
      <c r="R32" s="313">
        <f>P32/$P$48</f>
        <v>0.32108504258512</v>
      </c>
      <c r="S32" s="282">
        <f t="shared" ref="S32:S50" si="9">Q32/$P$30</f>
        <v>0.0663507379748974</v>
      </c>
      <c r="T32" s="282"/>
    </row>
    <row r="33" spans="1:20">
      <c r="A33" s="350">
        <f t="shared" si="8"/>
        <v>555.07614</v>
      </c>
      <c r="B33" s="198"/>
      <c r="C33" s="25" t="s">
        <v>24</v>
      </c>
      <c r="D33" s="201">
        <f>厨电!D33+洗碗机!D33</f>
        <v>143.31599</v>
      </c>
      <c r="E33" s="201">
        <f>厨电!E33+洗碗机!E33</f>
        <v>164.6474</v>
      </c>
      <c r="F33" s="201">
        <f>厨电!F33+洗碗机!F33</f>
        <v>247.11275</v>
      </c>
      <c r="G33" s="201">
        <f>厨电!G33+洗碗机!G33</f>
        <v>52.76386</v>
      </c>
      <c r="H33" s="201">
        <f>厨电!H33+洗碗机!H33</f>
        <v>121.69989</v>
      </c>
      <c r="I33" s="201">
        <f>厨电!I33+洗碗机!I33</f>
        <v>118.21183</v>
      </c>
      <c r="J33" s="201">
        <f>厨电!J33+洗碗机!J33</f>
        <v>113.72722</v>
      </c>
      <c r="K33" s="201">
        <f>厨电!K33+洗碗机!K33</f>
        <v>124.99486</v>
      </c>
      <c r="L33" s="201">
        <f>厨电!L33+洗碗机!L33</f>
        <v>130.4346</v>
      </c>
      <c r="M33" s="201">
        <f>厨电!M33+洗碗机!M33</f>
        <v>123.08471</v>
      </c>
      <c r="N33" s="201">
        <f>厨电!N33+洗碗机!N33</f>
        <v>165.99145</v>
      </c>
      <c r="O33" s="201">
        <f>厨电!O33+洗碗机!O33</f>
        <v>61.4076199999997</v>
      </c>
      <c r="P33" s="296">
        <f t="shared" si="7"/>
        <v>1567.39218</v>
      </c>
      <c r="Q33" s="312">
        <f t="shared" ref="Q33:Q44" si="10">P33/$P$31*1000</f>
        <v>1.0271946318753</v>
      </c>
      <c r="R33" s="313">
        <f t="shared" ref="R33:R44" si="11">P33/$P$48</f>
        <v>0.0321899589047551</v>
      </c>
      <c r="S33" s="282">
        <f t="shared" si="9"/>
        <v>0.00665190602314</v>
      </c>
      <c r="T33" s="282"/>
    </row>
    <row r="34" spans="1:20">
      <c r="A34" s="350">
        <f t="shared" si="8"/>
        <v>99.23558</v>
      </c>
      <c r="B34" s="198"/>
      <c r="C34" s="25" t="s">
        <v>25</v>
      </c>
      <c r="D34" s="201">
        <f>厨电!D34+洗碗机!D34</f>
        <v>37.35936</v>
      </c>
      <c r="E34" s="201">
        <f>厨电!E34+洗碗机!E34</f>
        <v>30.93811</v>
      </c>
      <c r="F34" s="201">
        <f>厨电!F34+洗碗机!F34</f>
        <v>30.93811</v>
      </c>
      <c r="G34" s="201">
        <f>厨电!G34+洗碗机!G34</f>
        <v>30.93811</v>
      </c>
      <c r="H34" s="201">
        <f>厨电!H34+洗碗机!H34</f>
        <v>30.93811</v>
      </c>
      <c r="I34" s="201">
        <f>厨电!I34+洗碗机!I34</f>
        <v>290.7142</v>
      </c>
      <c r="J34" s="201">
        <f>厨电!J34+洗碗机!J34</f>
        <v>8.85478000000003</v>
      </c>
      <c r="K34" s="201">
        <f>厨电!K34+洗碗机!K34</f>
        <v>8.855</v>
      </c>
      <c r="L34" s="201">
        <f>厨电!L34+洗碗机!L34</f>
        <v>-1281.68539</v>
      </c>
      <c r="M34" s="201">
        <f>厨电!M34+洗碗机!M34</f>
        <v>35.02325</v>
      </c>
      <c r="N34" s="201">
        <f>厨电!N34+洗碗机!N34</f>
        <v>32.76354</v>
      </c>
      <c r="O34" s="201">
        <f>厨电!O34+洗碗机!O34</f>
        <v>-283.32317</v>
      </c>
      <c r="P34" s="296">
        <f t="shared" si="7"/>
        <v>-1027.68599</v>
      </c>
      <c r="Q34" s="312">
        <f t="shared" si="10"/>
        <v>-0.673496745518699</v>
      </c>
      <c r="R34" s="313">
        <f t="shared" si="11"/>
        <v>-0.0211058662963934</v>
      </c>
      <c r="S34" s="282">
        <f t="shared" si="9"/>
        <v>-0.00436142958603864</v>
      </c>
      <c r="T34" s="282"/>
    </row>
    <row r="35" spans="1:20">
      <c r="A35" s="350">
        <f t="shared" si="8"/>
        <v>159.29147</v>
      </c>
      <c r="B35" s="198"/>
      <c r="C35" s="25" t="s">
        <v>26</v>
      </c>
      <c r="D35" s="201">
        <f>厨电!D35+洗碗机!D35</f>
        <v>54.19819</v>
      </c>
      <c r="E35" s="201">
        <f>厨电!E35+洗碗机!E35</f>
        <v>46.66486</v>
      </c>
      <c r="F35" s="201">
        <f>厨电!F35+洗碗机!F35</f>
        <v>58.42842</v>
      </c>
      <c r="G35" s="201">
        <f>厨电!G35+洗碗机!G35</f>
        <v>10.60299947</v>
      </c>
      <c r="H35" s="201">
        <f>厨电!H35+洗碗机!H35</f>
        <v>34.21968</v>
      </c>
      <c r="I35" s="201">
        <f>厨电!I35+洗碗机!I35</f>
        <v>19.02607</v>
      </c>
      <c r="J35" s="201">
        <f>厨电!J35+洗碗机!J35</f>
        <v>24.56847</v>
      </c>
      <c r="K35" s="201">
        <f>厨电!K35+洗碗机!K35</f>
        <v>36.77566</v>
      </c>
      <c r="L35" s="201">
        <f>厨电!L35+洗碗机!L35</f>
        <v>34.50356</v>
      </c>
      <c r="M35" s="201">
        <f>厨电!M35+洗碗机!M35</f>
        <v>37.71935</v>
      </c>
      <c r="N35" s="201">
        <f>厨电!N35+洗碗机!N35</f>
        <v>34.78572</v>
      </c>
      <c r="O35" s="201">
        <f>厨电!O35+洗碗机!O35</f>
        <v>39.69396</v>
      </c>
      <c r="P35" s="296">
        <f t="shared" si="7"/>
        <v>431.18693947</v>
      </c>
      <c r="Q35" s="312">
        <f t="shared" si="10"/>
        <v>0.282579507037177</v>
      </c>
      <c r="R35" s="313">
        <f t="shared" si="11"/>
        <v>0.00885540328637243</v>
      </c>
      <c r="S35" s="282">
        <f t="shared" si="9"/>
        <v>0.00182992810373712</v>
      </c>
      <c r="T35" s="282"/>
    </row>
    <row r="36" spans="1:20">
      <c r="A36" s="350">
        <f t="shared" si="8"/>
        <v>1850.91435</v>
      </c>
      <c r="B36" s="198"/>
      <c r="C36" s="25" t="s">
        <v>27</v>
      </c>
      <c r="D36" s="201">
        <f>厨电!D36+洗碗机!D36</f>
        <v>593.9138</v>
      </c>
      <c r="E36" s="201">
        <f>厨电!E36+洗碗机!E36</f>
        <v>519.57438</v>
      </c>
      <c r="F36" s="201">
        <f>厨电!F36+洗碗机!F36</f>
        <v>737.42617</v>
      </c>
      <c r="G36" s="201">
        <f>厨电!G36+洗碗机!G36</f>
        <v>613.43502</v>
      </c>
      <c r="H36" s="201">
        <f>厨电!H36+洗碗机!H36</f>
        <v>693.47583</v>
      </c>
      <c r="I36" s="201">
        <f>厨电!I36+洗碗机!I36</f>
        <v>598.46574</v>
      </c>
      <c r="J36" s="201">
        <f>厨电!J36+洗碗机!J36</f>
        <v>487.85191</v>
      </c>
      <c r="K36" s="201">
        <f>厨电!K36+洗碗机!K36</f>
        <v>473.02536</v>
      </c>
      <c r="L36" s="201">
        <f>厨电!L36+洗碗机!L36</f>
        <v>505.39858</v>
      </c>
      <c r="M36" s="201">
        <f>厨电!M36+洗碗机!M36</f>
        <v>624.37488</v>
      </c>
      <c r="N36" s="201">
        <f>厨电!N36+洗碗机!N36</f>
        <v>586.9213</v>
      </c>
      <c r="O36" s="201">
        <f>厨电!O36+洗碗机!O36</f>
        <v>692.89474</v>
      </c>
      <c r="P36" s="296">
        <f t="shared" si="7"/>
        <v>7126.75771</v>
      </c>
      <c r="Q36" s="312">
        <f t="shared" si="10"/>
        <v>4.67053961082538</v>
      </c>
      <c r="R36" s="313">
        <f t="shared" si="11"/>
        <v>0.146364158719388</v>
      </c>
      <c r="S36" s="282">
        <f t="shared" si="9"/>
        <v>0.030245475983304</v>
      </c>
      <c r="T36" s="282"/>
    </row>
    <row r="37" spans="1:20">
      <c r="A37" s="350">
        <f t="shared" si="8"/>
        <v>1015.43055</v>
      </c>
      <c r="B37" s="198"/>
      <c r="C37" s="25" t="s">
        <v>28</v>
      </c>
      <c r="D37" s="201">
        <f>厨电!D37+洗碗机!D37</f>
        <v>410.48672</v>
      </c>
      <c r="E37" s="201">
        <f>厨电!E37+洗碗机!E37</f>
        <v>316.5566</v>
      </c>
      <c r="F37" s="201">
        <f>厨电!F37+洗碗机!F37</f>
        <v>288.38723</v>
      </c>
      <c r="G37" s="201">
        <f>厨电!G37+洗碗机!G37</f>
        <v>205.71739</v>
      </c>
      <c r="H37" s="201">
        <f>厨电!H37+洗碗机!H37</f>
        <v>280.41396</v>
      </c>
      <c r="I37" s="201">
        <f>厨电!I37+洗碗机!I37</f>
        <v>258.39155</v>
      </c>
      <c r="J37" s="201">
        <f>厨电!J37+洗碗机!J37</f>
        <v>231.49671</v>
      </c>
      <c r="K37" s="201">
        <f>厨电!K37+洗碗机!K37</f>
        <v>227.51409</v>
      </c>
      <c r="L37" s="201">
        <f>厨电!L37+洗碗机!L37</f>
        <v>203.0712</v>
      </c>
      <c r="M37" s="201">
        <f>厨电!M37+洗碗机!M37</f>
        <v>183.79662</v>
      </c>
      <c r="N37" s="201">
        <f>厨电!N37+洗碗机!N37</f>
        <v>191.73654</v>
      </c>
      <c r="O37" s="201">
        <f>厨电!O37+洗碗机!O37</f>
        <v>187.23786</v>
      </c>
      <c r="P37" s="296">
        <f t="shared" si="7"/>
        <v>2984.80647</v>
      </c>
      <c r="Q37" s="312">
        <f t="shared" si="10"/>
        <v>1.95610085484201</v>
      </c>
      <c r="R37" s="313">
        <f t="shared" si="11"/>
        <v>0.0612997811485491</v>
      </c>
      <c r="S37" s="282">
        <f t="shared" si="9"/>
        <v>0.0126673160610641</v>
      </c>
      <c r="T37" s="282"/>
    </row>
    <row r="38" spans="1:20">
      <c r="A38" s="350">
        <f t="shared" si="8"/>
        <v>1002.41313</v>
      </c>
      <c r="B38" s="198"/>
      <c r="C38" s="25" t="s">
        <v>29</v>
      </c>
      <c r="D38" s="201">
        <f>厨电!D38+洗碗机!D38</f>
        <v>326.27796</v>
      </c>
      <c r="E38" s="201">
        <f>厨电!E38+洗碗机!E38</f>
        <v>374.3963</v>
      </c>
      <c r="F38" s="201">
        <f>厨电!F38+洗碗机!F38</f>
        <v>301.73887</v>
      </c>
      <c r="G38" s="201">
        <f>厨电!G38+洗碗机!G38</f>
        <v>273.98815</v>
      </c>
      <c r="H38" s="201">
        <f>厨电!H38+洗碗机!H38</f>
        <v>305.50347</v>
      </c>
      <c r="I38" s="201">
        <f>厨电!I38+洗碗机!I38</f>
        <v>248.03449</v>
      </c>
      <c r="J38" s="201">
        <f>厨电!J38+洗碗机!J38</f>
        <v>253.39644</v>
      </c>
      <c r="K38" s="201">
        <f>厨电!K38+洗碗机!K38</f>
        <v>218.02976</v>
      </c>
      <c r="L38" s="201">
        <f>厨电!L38+洗碗机!L38</f>
        <v>295.77947</v>
      </c>
      <c r="M38" s="201">
        <f>厨电!M38+洗碗机!M38</f>
        <v>254.31859</v>
      </c>
      <c r="N38" s="201">
        <f>厨电!N38+洗碗机!N38</f>
        <v>303.45855</v>
      </c>
      <c r="O38" s="201">
        <f>厨电!O38+洗碗机!O38</f>
        <v>309.08275</v>
      </c>
      <c r="P38" s="296">
        <f t="shared" si="7"/>
        <v>3464.0048</v>
      </c>
      <c r="Q38" s="312">
        <f t="shared" si="10"/>
        <v>2.27014475429518</v>
      </c>
      <c r="R38" s="313">
        <f t="shared" si="11"/>
        <v>0.0711412074021414</v>
      </c>
      <c r="S38" s="282">
        <f t="shared" si="9"/>
        <v>0.014701001247375</v>
      </c>
      <c r="T38" s="282"/>
    </row>
    <row r="39" spans="1:20">
      <c r="A39" s="350">
        <f t="shared" si="8"/>
        <v>3034.84515</v>
      </c>
      <c r="B39" s="198" t="s">
        <v>30</v>
      </c>
      <c r="C39" s="25" t="s">
        <v>31</v>
      </c>
      <c r="D39" s="201">
        <f>厨电!D39+洗碗机!D39</f>
        <v>1016.11741</v>
      </c>
      <c r="E39" s="201">
        <f>厨电!E39+洗碗机!E39</f>
        <v>812.4108</v>
      </c>
      <c r="F39" s="201">
        <f>厨电!F39+洗碗机!F39</f>
        <v>1206.31694</v>
      </c>
      <c r="G39" s="201">
        <f>厨电!G39+洗碗机!G39</f>
        <v>1042.14618</v>
      </c>
      <c r="H39" s="201">
        <f>厨电!H39+洗碗机!H39</f>
        <v>1208.06801</v>
      </c>
      <c r="I39" s="201">
        <f>厨电!I39+洗碗机!I39</f>
        <v>978.48413</v>
      </c>
      <c r="J39" s="201">
        <f>厨电!J39+洗碗机!J39</f>
        <v>969.54525</v>
      </c>
      <c r="K39" s="201">
        <f>厨电!K39+洗碗机!K39</f>
        <v>784.28839</v>
      </c>
      <c r="L39" s="201">
        <f>厨电!L39+洗碗机!L39</f>
        <v>919.672</v>
      </c>
      <c r="M39" s="201">
        <f>厨电!M39+洗碗机!M39</f>
        <v>884.5304</v>
      </c>
      <c r="N39" s="201">
        <f>厨电!N39+洗碗机!N39</f>
        <v>1119.61035</v>
      </c>
      <c r="O39" s="201">
        <f>厨电!O39+洗碗机!O39</f>
        <v>983.23408</v>
      </c>
      <c r="P39" s="296">
        <f t="shared" si="7"/>
        <v>11924.42394</v>
      </c>
      <c r="Q39" s="312">
        <f t="shared" si="10"/>
        <v>7.81470292863996</v>
      </c>
      <c r="R39" s="313">
        <f t="shared" si="11"/>
        <v>0.244895133132206</v>
      </c>
      <c r="S39" s="282">
        <f t="shared" si="9"/>
        <v>0.0506064458155972</v>
      </c>
      <c r="T39" s="282"/>
    </row>
    <row r="40" spans="1:20">
      <c r="A40" s="350">
        <f t="shared" si="8"/>
        <v>164.12315</v>
      </c>
      <c r="B40" s="198"/>
      <c r="C40" s="25" t="s">
        <v>32</v>
      </c>
      <c r="D40" s="201">
        <f>厨电!D40+洗碗机!D40</f>
        <v>53.20349</v>
      </c>
      <c r="E40" s="201">
        <f>厨电!E40+洗碗机!E40</f>
        <v>54.68028</v>
      </c>
      <c r="F40" s="201">
        <f>厨电!F40+洗碗机!F40</f>
        <v>56.23938</v>
      </c>
      <c r="G40" s="201">
        <f>厨电!G40+洗碗机!G40</f>
        <v>60.85428</v>
      </c>
      <c r="H40" s="201">
        <f>厨电!H40+洗碗机!H40</f>
        <v>66.56418</v>
      </c>
      <c r="I40" s="201">
        <f>厨电!I40+洗碗机!I40</f>
        <v>60.09286</v>
      </c>
      <c r="J40" s="201">
        <f>厨电!J40+洗碗机!J40</f>
        <v>52.11769</v>
      </c>
      <c r="K40" s="201">
        <f>厨电!K40+洗碗机!K40</f>
        <v>50.89797</v>
      </c>
      <c r="L40" s="201">
        <f>厨电!L40+洗碗机!L40</f>
        <v>61.72314</v>
      </c>
      <c r="M40" s="201">
        <f>厨电!M40+洗碗机!M40</f>
        <v>58.50825</v>
      </c>
      <c r="N40" s="201">
        <f>厨电!N40+洗碗机!N40</f>
        <v>61.01218</v>
      </c>
      <c r="O40" s="201">
        <f>厨电!O40+洗碗机!O40</f>
        <v>97.6763000000003</v>
      </c>
      <c r="P40" s="296">
        <f t="shared" si="7"/>
        <v>733.57</v>
      </c>
      <c r="Q40" s="312">
        <f t="shared" si="10"/>
        <v>0.480747049602332</v>
      </c>
      <c r="R40" s="313">
        <f t="shared" si="11"/>
        <v>0.0150655263277894</v>
      </c>
      <c r="S40" s="282">
        <f t="shared" si="9"/>
        <v>0.00311322128798347</v>
      </c>
      <c r="T40" s="282"/>
    </row>
    <row r="41" spans="1:20">
      <c r="A41" s="350">
        <f t="shared" si="8"/>
        <v>63.87373</v>
      </c>
      <c r="B41" s="198"/>
      <c r="C41" s="25" t="s">
        <v>33</v>
      </c>
      <c r="D41" s="201">
        <f>厨电!D41+洗碗机!D41</f>
        <v>6.03099</v>
      </c>
      <c r="E41" s="201">
        <f>厨电!E41+洗碗机!E41</f>
        <v>26.94665</v>
      </c>
      <c r="F41" s="201">
        <f>厨电!F41+洗碗机!F41</f>
        <v>30.89609</v>
      </c>
      <c r="G41" s="201">
        <f>厨电!G41+洗碗机!G41</f>
        <v>-15.84372</v>
      </c>
      <c r="H41" s="201">
        <f>厨电!H41+洗碗机!H41</f>
        <v>-4.43767</v>
      </c>
      <c r="I41" s="201">
        <f>厨电!I41+洗碗机!I41</f>
        <v>25.46166</v>
      </c>
      <c r="J41" s="201">
        <f>厨电!J41+洗碗机!J41</f>
        <v>-88.20429</v>
      </c>
      <c r="K41" s="201">
        <f>厨电!K41+洗碗机!K41</f>
        <v>88.1946799999981</v>
      </c>
      <c r="L41" s="201">
        <f>厨电!L41+洗碗机!L41</f>
        <v>24.95379</v>
      </c>
      <c r="M41" s="201">
        <f>厨电!M41+洗碗机!M41</f>
        <v>27.88705</v>
      </c>
      <c r="N41" s="201">
        <f>厨电!N41+洗碗机!N41</f>
        <v>10.61124</v>
      </c>
      <c r="O41" s="201">
        <f>厨电!O41+洗碗机!O41</f>
        <v>-53.65688</v>
      </c>
      <c r="P41" s="296">
        <f t="shared" si="7"/>
        <v>78.8395899999982</v>
      </c>
      <c r="Q41" s="312">
        <f t="shared" si="10"/>
        <v>0.0516677348914986</v>
      </c>
      <c r="R41" s="313">
        <f t="shared" si="11"/>
        <v>0.00161915007268167</v>
      </c>
      <c r="S41" s="282">
        <f t="shared" si="9"/>
        <v>0.000334589868620422</v>
      </c>
      <c r="T41" s="282"/>
    </row>
    <row r="42" spans="1:20">
      <c r="A42" s="350">
        <f t="shared" si="8"/>
        <v>-332.20269</v>
      </c>
      <c r="B42" s="198"/>
      <c r="C42" s="25" t="s">
        <v>34</v>
      </c>
      <c r="D42" s="201">
        <f>厨电!D42+洗碗机!D42</f>
        <v>-94.64742</v>
      </c>
      <c r="E42" s="201">
        <f>厨电!E42+洗碗机!E42</f>
        <v>-91.95947</v>
      </c>
      <c r="F42" s="201">
        <f>厨电!F42+洗碗机!F42</f>
        <v>-145.5958</v>
      </c>
      <c r="G42" s="201">
        <f>厨电!G42+洗碗机!G42</f>
        <v>-159.63492</v>
      </c>
      <c r="H42" s="201">
        <f>厨电!H42+洗碗机!H42</f>
        <v>-153.25855</v>
      </c>
      <c r="I42" s="201">
        <f>厨电!I42+洗碗机!I42</f>
        <v>-151.92839</v>
      </c>
      <c r="J42" s="201">
        <f>厨电!J42+洗碗机!J42</f>
        <v>-128.04073</v>
      </c>
      <c r="K42" s="201">
        <f>厨电!K42+洗碗机!K42</f>
        <v>-98.08811</v>
      </c>
      <c r="L42" s="201">
        <f>厨电!L42+洗碗机!L42</f>
        <v>-119.95909</v>
      </c>
      <c r="M42" s="201">
        <f>厨电!M42+洗碗机!M42</f>
        <v>-117.84397</v>
      </c>
      <c r="N42" s="201">
        <f>厨电!N42+洗碗机!N42</f>
        <v>-132.90405</v>
      </c>
      <c r="O42" s="201">
        <f>厨电!O42+洗碗机!O42</f>
        <v>-123.5865</v>
      </c>
      <c r="P42" s="296">
        <f t="shared" si="7"/>
        <v>-1517.447</v>
      </c>
      <c r="Q42" s="312">
        <f t="shared" si="10"/>
        <v>-0.99446292538941</v>
      </c>
      <c r="R42" s="313">
        <f t="shared" si="11"/>
        <v>-0.0311642211779722</v>
      </c>
      <c r="S42" s="282">
        <f t="shared" si="9"/>
        <v>-0.00643994206931396</v>
      </c>
      <c r="T42" s="282"/>
    </row>
    <row r="43" spans="1:20">
      <c r="A43" s="350">
        <f t="shared" si="8"/>
        <v>191.08258</v>
      </c>
      <c r="B43" s="198"/>
      <c r="C43" s="25" t="s">
        <v>35</v>
      </c>
      <c r="D43" s="201">
        <f>厨电!D43+洗碗机!D43</f>
        <v>52.37062</v>
      </c>
      <c r="E43" s="201">
        <f>厨电!E43+洗碗机!E43</f>
        <v>64.60598</v>
      </c>
      <c r="F43" s="201">
        <f>厨电!F43+洗碗机!F43</f>
        <v>74.10598</v>
      </c>
      <c r="G43" s="201">
        <f>厨电!G43+洗碗机!G43</f>
        <v>100.69488</v>
      </c>
      <c r="H43" s="201">
        <f>厨电!H43+洗碗机!H43</f>
        <v>102.89451</v>
      </c>
      <c r="I43" s="201">
        <f>厨电!I43+洗碗机!I43</f>
        <v>67.17979</v>
      </c>
      <c r="J43" s="201">
        <f>厨电!J43+洗碗机!J43</f>
        <v>74.21017</v>
      </c>
      <c r="K43" s="201">
        <f>厨电!K43+洗碗机!K43</f>
        <v>54.709</v>
      </c>
      <c r="L43" s="201">
        <f>厨电!L43+洗碗机!L43</f>
        <v>63.57834</v>
      </c>
      <c r="M43" s="201">
        <f>厨电!M43+洗碗机!M43</f>
        <v>72.66022</v>
      </c>
      <c r="N43" s="201">
        <f>厨电!N43+洗碗机!N43</f>
        <v>82.05975</v>
      </c>
      <c r="O43" s="201">
        <f>厨电!O43+洗碗机!O43</f>
        <v>52.58832</v>
      </c>
      <c r="P43" s="296">
        <f t="shared" si="7"/>
        <v>861.65756</v>
      </c>
      <c r="Q43" s="312">
        <f t="shared" si="10"/>
        <v>0.564689572552782</v>
      </c>
      <c r="R43" s="313">
        <f t="shared" si="11"/>
        <v>0.0176960953361217</v>
      </c>
      <c r="S43" s="282">
        <f t="shared" si="9"/>
        <v>0.00365681619851397</v>
      </c>
      <c r="T43" s="282"/>
    </row>
    <row r="44" spans="1:20">
      <c r="A44" s="350">
        <f t="shared" si="8"/>
        <v>1920.47495011</v>
      </c>
      <c r="B44" s="198" t="s">
        <v>36</v>
      </c>
      <c r="C44" s="25" t="s">
        <v>37</v>
      </c>
      <c r="D44" s="201">
        <f>厨电!D44+洗碗机!D44</f>
        <v>572.7913</v>
      </c>
      <c r="E44" s="201">
        <f>厨电!E44+洗碗机!E44</f>
        <v>751.34568011</v>
      </c>
      <c r="F44" s="201">
        <f>厨电!F44+洗碗机!F44</f>
        <v>596.33797</v>
      </c>
      <c r="G44" s="201">
        <f>厨电!G44+洗碗机!G44</f>
        <v>615.97256</v>
      </c>
      <c r="H44" s="201">
        <f>厨电!H44+洗碗机!H44</f>
        <v>585.69329</v>
      </c>
      <c r="I44" s="201">
        <f>厨电!I44+洗碗机!I44</f>
        <v>580.68951</v>
      </c>
      <c r="J44" s="201">
        <f>厨电!J44+洗碗机!J44</f>
        <v>588.31954</v>
      </c>
      <c r="K44" s="201">
        <f>厨电!K44+洗碗机!K44</f>
        <v>557.4804</v>
      </c>
      <c r="L44" s="201">
        <f>厨电!L44+洗碗机!L44</f>
        <v>640.5708</v>
      </c>
      <c r="M44" s="201">
        <f>厨电!M44+洗碗机!M44</f>
        <v>616.28678</v>
      </c>
      <c r="N44" s="201">
        <f>厨电!N44+洗碗机!N44</f>
        <v>573.12502</v>
      </c>
      <c r="O44" s="201">
        <f>厨电!O44+洗碗机!O44</f>
        <v>-248.41934</v>
      </c>
      <c r="P44" s="296">
        <f t="shared" si="7"/>
        <v>6430.19351011</v>
      </c>
      <c r="Q44" s="315">
        <f t="shared" si="10"/>
        <v>4.21404441070034</v>
      </c>
      <c r="R44" s="316">
        <f t="shared" si="11"/>
        <v>0.132058630559241</v>
      </c>
      <c r="S44" s="317">
        <f t="shared" si="9"/>
        <v>0.0272893047991706</v>
      </c>
      <c r="T44" s="317"/>
    </row>
    <row r="45" spans="1:20">
      <c r="A45" s="350">
        <f t="shared" si="8"/>
        <v>1059.20855</v>
      </c>
      <c r="B45" s="198"/>
      <c r="C45" s="25" t="s">
        <v>60</v>
      </c>
      <c r="D45" s="201">
        <f>厨电!D45+洗碗机!D45</f>
        <v>352.87916</v>
      </c>
      <c r="E45" s="201">
        <f>厨电!E45+洗碗机!E45</f>
        <v>353.5153</v>
      </c>
      <c r="F45" s="201">
        <f>厨电!F45+洗碗机!F45</f>
        <v>352.81409</v>
      </c>
      <c r="G45" s="201">
        <f>厨电!G45+洗碗机!G45</f>
        <v>352.85747</v>
      </c>
      <c r="H45" s="201">
        <f>厨电!H45+洗碗机!H45</f>
        <v>388.03079</v>
      </c>
      <c r="I45" s="201">
        <f>厨电!I45+洗碗机!I45</f>
        <v>352.85747</v>
      </c>
      <c r="J45" s="201">
        <f>厨电!J45+洗碗机!J45</f>
        <v>377.75583</v>
      </c>
      <c r="K45" s="201">
        <f>厨电!K45+洗碗机!K45</f>
        <v>352.84283</v>
      </c>
      <c r="L45" s="201">
        <f>厨电!L45+洗碗机!L45</f>
        <v>388.03079</v>
      </c>
      <c r="M45" s="201">
        <f>厨电!M45+洗碗机!M45</f>
        <v>388.03079</v>
      </c>
      <c r="N45" s="201">
        <f>厨电!N45+洗碗机!N45</f>
        <v>352.85747</v>
      </c>
      <c r="O45" s="201">
        <f>厨电!O45+洗碗机!O45</f>
        <v>-419.6708</v>
      </c>
      <c r="P45" s="296">
        <f t="shared" si="7"/>
        <v>3592.80119</v>
      </c>
      <c r="Q45" s="315">
        <f t="shared" ref="Q45:Q47" si="12">P45/$P$31*1000</f>
        <v>2.35455181087047</v>
      </c>
      <c r="R45" s="316"/>
      <c r="S45" s="317">
        <f t="shared" si="9"/>
        <v>0.0152476043843128</v>
      </c>
      <c r="T45" s="317"/>
    </row>
    <row r="46" spans="1:20">
      <c r="A46" s="350">
        <f t="shared" si="8"/>
        <v>41.32335</v>
      </c>
      <c r="B46" s="198"/>
      <c r="C46" s="25" t="s">
        <v>61</v>
      </c>
      <c r="D46" s="201">
        <f>厨电!D46+洗碗机!D46</f>
        <v>13.52589</v>
      </c>
      <c r="E46" s="201">
        <f>厨电!E46+洗碗机!E46</f>
        <v>13.69713</v>
      </c>
      <c r="F46" s="201">
        <f>厨电!F46+洗碗机!F46</f>
        <v>14.10033</v>
      </c>
      <c r="G46" s="201">
        <f>厨电!G46+洗碗机!G46</f>
        <v>13.7227</v>
      </c>
      <c r="H46" s="201">
        <f>厨电!H46+洗碗机!H46</f>
        <v>13.6007</v>
      </c>
      <c r="I46" s="201">
        <f>厨电!I46+洗碗机!I46</f>
        <v>11.14706</v>
      </c>
      <c r="J46" s="201">
        <f>厨电!J46+洗碗机!J46</f>
        <v>14.57156</v>
      </c>
      <c r="K46" s="201">
        <f>厨电!K46+洗碗机!K46</f>
        <v>11.25921</v>
      </c>
      <c r="L46" s="201">
        <f>厨电!L46+洗碗机!L46</f>
        <v>11.01224</v>
      </c>
      <c r="M46" s="201">
        <f>厨电!M46+洗碗机!M46</f>
        <v>12.71001</v>
      </c>
      <c r="N46" s="201">
        <f>厨电!N46+洗碗机!N46</f>
        <v>9.82382</v>
      </c>
      <c r="O46" s="201">
        <f>厨电!O46+洗碗机!O46</f>
        <v>12.09843</v>
      </c>
      <c r="P46" s="296">
        <f t="shared" si="7"/>
        <v>151.26908</v>
      </c>
      <c r="Q46" s="315">
        <f t="shared" si="12"/>
        <v>0.0991345937075659</v>
      </c>
      <c r="R46" s="316"/>
      <c r="S46" s="317">
        <f t="shared" si="9"/>
        <v>0.000641975707934722</v>
      </c>
      <c r="T46" s="317"/>
    </row>
    <row r="47" spans="1:20">
      <c r="A47" s="350">
        <f t="shared" si="8"/>
        <v>819.94305011</v>
      </c>
      <c r="B47" s="198"/>
      <c r="C47" s="25" t="s">
        <v>62</v>
      </c>
      <c r="D47" s="201">
        <f>厨电!D47+洗碗机!D47</f>
        <v>206.38625</v>
      </c>
      <c r="E47" s="201">
        <f>厨电!E47+洗碗机!E47</f>
        <v>384.13325011</v>
      </c>
      <c r="F47" s="201">
        <f>厨电!F47+洗碗机!F47</f>
        <v>229.42355</v>
      </c>
      <c r="G47" s="201">
        <f>厨电!G47+洗碗机!G47</f>
        <v>249.39239</v>
      </c>
      <c r="H47" s="201">
        <f>厨电!H47+洗碗机!H47</f>
        <v>184.0618</v>
      </c>
      <c r="I47" s="201">
        <f>厨电!I47+洗碗机!I47</f>
        <v>216.68498</v>
      </c>
      <c r="J47" s="201">
        <f>厨电!J47+洗碗机!J47</f>
        <v>195.99215</v>
      </c>
      <c r="K47" s="201">
        <f>厨电!K47+洗碗机!K47</f>
        <v>193.58594</v>
      </c>
      <c r="L47" s="201">
        <f>厨电!L47+洗碗机!L47</f>
        <v>241.52777</v>
      </c>
      <c r="M47" s="201">
        <f>厨电!M47+洗碗机!M47</f>
        <v>215.54598</v>
      </c>
      <c r="N47" s="201">
        <f>厨电!N47+洗碗机!N47</f>
        <v>210.44373</v>
      </c>
      <c r="O47" s="201">
        <f>厨电!O47+洗碗机!O47</f>
        <v>159.15303</v>
      </c>
      <c r="P47" s="296">
        <f t="shared" si="7"/>
        <v>2686.33082011</v>
      </c>
      <c r="Q47" s="315">
        <f t="shared" si="12"/>
        <v>1.76049404422713</v>
      </c>
      <c r="R47" s="316"/>
      <c r="S47" s="317">
        <f t="shared" si="9"/>
        <v>0.0114006056623533</v>
      </c>
      <c r="T47" s="317"/>
    </row>
    <row r="48" spans="1:20">
      <c r="A48" s="350">
        <f t="shared" si="8"/>
        <v>13620.4809258878</v>
      </c>
      <c r="B48" s="289" t="s">
        <v>15</v>
      </c>
      <c r="C48" s="289"/>
      <c r="D48" s="303">
        <f>厨电!D48+洗碗机!D48</f>
        <v>4488.59370577778</v>
      </c>
      <c r="E48" s="303">
        <f>厨电!E48+洗碗机!E48</f>
        <v>4324.54097011</v>
      </c>
      <c r="F48" s="303">
        <f>厨电!F48+洗碗机!F48</f>
        <v>4807.34625</v>
      </c>
      <c r="G48" s="303">
        <f>厨电!G48+洗碗机!G48</f>
        <v>4148.28887947</v>
      </c>
      <c r="H48" s="303">
        <f>厨电!H48+洗碗机!H48</f>
        <v>4683.01065931903</v>
      </c>
      <c r="I48" s="303">
        <f>厨电!I48+洗碗机!I48</f>
        <v>4480.84487</v>
      </c>
      <c r="J48" s="303">
        <f>厨电!J48+洗碗机!J48</f>
        <v>4006.006</v>
      </c>
      <c r="K48" s="303">
        <f>厨电!K48+洗碗机!K48</f>
        <v>3687.3245077507</v>
      </c>
      <c r="L48" s="303">
        <f>厨电!L48+洗碗机!L48</f>
        <v>2835.69961</v>
      </c>
      <c r="M48" s="303">
        <f>厨电!M48+洗碗机!M48</f>
        <v>3760.55346</v>
      </c>
      <c r="N48" s="303">
        <f>厨电!N48+洗碗机!N48</f>
        <v>4377.0090736739</v>
      </c>
      <c r="O48" s="303">
        <f>厨电!O48+洗碗机!O48</f>
        <v>3092.74166</v>
      </c>
      <c r="P48" s="303">
        <f>SUM(P32:P44)</f>
        <v>48691.9596461014</v>
      </c>
      <c r="Q48" s="360">
        <f>P49/P30</f>
        <v>0.206645371708051</v>
      </c>
      <c r="R48" s="360"/>
      <c r="S48" s="360">
        <f t="shared" si="9"/>
        <v>0.00133819390217146</v>
      </c>
      <c r="T48" s="360"/>
    </row>
    <row r="49" spans="1:20">
      <c r="A49" s="292">
        <f>A48/A31*1000</f>
        <v>34.4460400487786</v>
      </c>
      <c r="B49" s="289" t="s">
        <v>16</v>
      </c>
      <c r="C49" s="289"/>
      <c r="D49" s="292">
        <f>D48/D31*1000</f>
        <v>34.9897781138403</v>
      </c>
      <c r="E49" s="292">
        <f>E48/E31*1000</f>
        <v>33.7490905906913</v>
      </c>
      <c r="F49" s="292">
        <f t="shared" ref="F49:K49" si="13">F48/F31*1000</f>
        <v>34.5867177719902</v>
      </c>
      <c r="G49" s="292">
        <f t="shared" si="13"/>
        <v>28.0195128636947</v>
      </c>
      <c r="H49" s="292">
        <f t="shared" si="13"/>
        <v>31.8448673597247</v>
      </c>
      <c r="I49" s="292">
        <f t="shared" si="13"/>
        <v>42.7741119363091</v>
      </c>
      <c r="J49" s="292">
        <f t="shared" si="13"/>
        <v>33.4793574914756</v>
      </c>
      <c r="K49" s="292">
        <f t="shared" si="13"/>
        <v>40.6142209711606</v>
      </c>
      <c r="L49" s="292">
        <f>L48*1000/L31</f>
        <v>23.8106001141955</v>
      </c>
      <c r="M49" s="292">
        <v>20.771014770731</v>
      </c>
      <c r="N49" s="357">
        <f t="shared" ref="N49:P49" si="14">N48/N31*1000</f>
        <v>30.0517619322749</v>
      </c>
      <c r="O49" s="357">
        <f t="shared" si="14"/>
        <v>26.2883172541586</v>
      </c>
      <c r="P49" s="292">
        <f t="shared" si="14"/>
        <v>31.9104051954402</v>
      </c>
      <c r="Q49" s="361">
        <f>P49</f>
        <v>31.9104051954402</v>
      </c>
      <c r="R49" s="320"/>
      <c r="S49" s="322">
        <f t="shared" si="9"/>
        <v>0.206645371708051</v>
      </c>
      <c r="T49" s="322"/>
    </row>
    <row r="50" spans="1:20">
      <c r="A50" s="350">
        <f>SUM(D50:F50)</f>
        <v>2091.57833555556</v>
      </c>
      <c r="B50" s="289" t="s">
        <v>42</v>
      </c>
      <c r="C50" s="289"/>
      <c r="D50" s="201">
        <f>厨电!D50+洗碗机!D50</f>
        <v>743.707425777778</v>
      </c>
      <c r="E50" s="201">
        <f>厨电!E50+洗碗机!E50</f>
        <v>661.068358222222</v>
      </c>
      <c r="F50" s="201">
        <f>厨电!F50+洗碗机!F50</f>
        <v>686.802551555556</v>
      </c>
      <c r="G50" s="201">
        <f>厨电!G50+洗碗机!G50</f>
        <v>719.671</v>
      </c>
      <c r="H50" s="201">
        <f>厨电!H50+洗碗机!H50</f>
        <v>745.105409319035</v>
      </c>
      <c r="I50" s="201">
        <f>厨电!I50+洗碗机!I50</f>
        <v>750.777774651282</v>
      </c>
      <c r="J50" s="201">
        <f>厨电!J50+洗碗机!J50</f>
        <v>788.4</v>
      </c>
      <c r="K50" s="201">
        <f>厨电!K50+洗碗机!K50</f>
        <v>804.055372249301</v>
      </c>
      <c r="L50" s="201">
        <f>厨电!L50+洗碗机!L50</f>
        <v>770.11573</v>
      </c>
      <c r="M50" s="201">
        <f>厨电!M50+洗碗机!M50</f>
        <v>625.081969713105</v>
      </c>
      <c r="N50" s="201">
        <f>厨电!N50+洗碗机!N50</f>
        <v>756.955216424112</v>
      </c>
      <c r="O50" s="201">
        <f>厨电!O50+洗碗机!O50</f>
        <v>786.188069778465</v>
      </c>
      <c r="P50" s="303">
        <f>SUM(D50:O50)</f>
        <v>8837.92887769086</v>
      </c>
      <c r="Q50" s="321">
        <f>P50/$P$31*1000</f>
        <v>5.79196018450199</v>
      </c>
      <c r="R50" s="358">
        <f>P49-Q50-Q44</f>
        <v>21.9044006002379</v>
      </c>
      <c r="S50" s="322">
        <f t="shared" si="9"/>
        <v>0.0375075702710184</v>
      </c>
      <c r="T50" s="322"/>
    </row>
    <row r="51" ht="14" customHeight="1" spans="3:20">
      <c r="C51" s="296" t="s">
        <v>63</v>
      </c>
      <c r="D51" s="296"/>
      <c r="E51" s="296"/>
      <c r="F51" s="296"/>
      <c r="G51" s="296"/>
      <c r="H51" s="296"/>
      <c r="I51" s="296"/>
      <c r="J51" s="296"/>
      <c r="K51" s="296"/>
      <c r="L51" s="296"/>
      <c r="M51" s="296"/>
      <c r="N51" s="296"/>
      <c r="O51" s="296"/>
      <c r="P51" s="296"/>
      <c r="Q51" s="282">
        <f>P49/P30</f>
        <v>0.206645371708051</v>
      </c>
      <c r="R51" s="295"/>
      <c r="S51" s="317"/>
      <c r="T51" s="317"/>
    </row>
    <row r="52" spans="3:20">
      <c r="C52" s="285" t="s">
        <v>2</v>
      </c>
      <c r="D52" s="297" t="s">
        <v>46</v>
      </c>
      <c r="E52" s="297" t="s">
        <v>47</v>
      </c>
      <c r="F52" s="297" t="s">
        <v>48</v>
      </c>
      <c r="G52" s="297" t="s">
        <v>49</v>
      </c>
      <c r="H52" s="297" t="s">
        <v>50</v>
      </c>
      <c r="I52" s="297" t="s">
        <v>51</v>
      </c>
      <c r="J52" s="297" t="s">
        <v>52</v>
      </c>
      <c r="K52" s="297" t="s">
        <v>53</v>
      </c>
      <c r="L52" s="297" t="s">
        <v>54</v>
      </c>
      <c r="M52" s="297" t="s">
        <v>55</v>
      </c>
      <c r="N52" s="297" t="s">
        <v>56</v>
      </c>
      <c r="O52" s="297" t="s">
        <v>57</v>
      </c>
      <c r="P52" s="304" t="s">
        <v>15</v>
      </c>
      <c r="Q52" s="205" t="s">
        <v>16</v>
      </c>
      <c r="R52" s="205" t="s">
        <v>17</v>
      </c>
      <c r="S52" s="205" t="s">
        <v>18</v>
      </c>
      <c r="T52" s="205" t="s">
        <v>19</v>
      </c>
    </row>
    <row r="53" spans="2:16">
      <c r="B53" s="283" t="s">
        <v>20</v>
      </c>
      <c r="C53" s="283"/>
      <c r="D53" s="296">
        <f>(厨电!D53*厨电!D54+洗碗机!D53*洗碗机!D54)/(洗碗机!D54+厨电!D54)</f>
        <v>166.680317670242</v>
      </c>
      <c r="E53" s="296">
        <f>(厨电!E53*厨电!E54+洗碗机!E53*洗碗机!E54)/(洗碗机!E54+厨电!E54)</f>
        <v>161.724499104523</v>
      </c>
      <c r="F53" s="296">
        <f>(厨电!F53*厨电!F54+洗碗机!F53*洗碗机!F54)/(洗碗机!F54+厨电!F54)</f>
        <v>154.620555516882</v>
      </c>
      <c r="G53" s="296">
        <f>(厨电!G53*厨电!G54+洗碗机!G53*洗碗机!G54)/(洗碗机!G54+厨电!G54)</f>
        <v>154.007161493557</v>
      </c>
      <c r="H53" s="296">
        <f>(厨电!H53*厨电!H54+洗碗机!H53*洗碗机!H54)/(洗碗机!H54+厨电!H54)</f>
        <v>157.382055900008</v>
      </c>
      <c r="I53" s="296">
        <f>(厨电!I53*厨电!I54+洗碗机!I53*洗碗机!I54)/(洗碗机!I54+厨电!I54)</f>
        <v>137.626998574519</v>
      </c>
      <c r="J53" s="296">
        <f>(厨电!J53*厨电!J54+洗碗机!J53*洗碗机!J54)/(洗碗机!J54+厨电!J54)</f>
        <v>157.021361144067</v>
      </c>
      <c r="K53" s="296">
        <f>(厨电!K53*厨电!K54+洗碗机!K53*洗碗机!K54)/(洗碗机!K54+厨电!K54)</f>
        <v>161.040594633732</v>
      </c>
      <c r="L53" s="296">
        <f>(厨电!L53*厨电!L54+洗碗机!L53*洗碗机!L54)/(洗碗机!L54+厨电!L54)</f>
        <v>150.925204450271</v>
      </c>
      <c r="M53" s="296">
        <f>(厨电!M53*厨电!M54+洗碗机!M53*洗碗机!M54)/(洗碗机!M54+厨电!M54)</f>
        <v>157.16946226051</v>
      </c>
      <c r="N53" s="296">
        <f>(厨电!N53*厨电!N54+洗碗机!N53*洗碗机!N54)/(洗碗机!N54+厨电!N54)</f>
        <v>156.008139689156</v>
      </c>
      <c r="O53" s="296">
        <f>(厨电!O53*厨电!O54+洗碗机!O53*洗碗机!O54)/(洗碗机!O54+厨电!O54)</f>
        <v>156.271057411256</v>
      </c>
      <c r="P53" s="296">
        <f>(厨电!P53*厨电!P54+洗碗机!P53*洗碗机!P54)/(洗碗机!P54+厨电!P54)</f>
        <v>155.641902292049</v>
      </c>
    </row>
    <row r="54" s="281" customFormat="1" spans="3:20">
      <c r="C54" s="248" t="s">
        <v>21</v>
      </c>
      <c r="D54" s="305">
        <f>厨电!D54+洗碗机!D54</f>
        <v>122838</v>
      </c>
      <c r="E54" s="305">
        <f>厨电!E54+洗碗机!E54</f>
        <v>121465</v>
      </c>
      <c r="F54" s="305">
        <f>厨电!F54+洗碗机!F54</f>
        <v>144017</v>
      </c>
      <c r="G54" s="305">
        <f>厨电!G54+洗碗机!G54</f>
        <v>155712</v>
      </c>
      <c r="H54" s="305">
        <f>厨电!H54+洗碗机!H54</f>
        <v>142621</v>
      </c>
      <c r="I54" s="305">
        <f>厨电!I54+洗碗机!I54</f>
        <v>122589</v>
      </c>
      <c r="J54" s="305">
        <f>厨电!J54+洗碗机!J54</f>
        <v>156037</v>
      </c>
      <c r="K54" s="305">
        <f>厨电!K54+洗碗机!K54</f>
        <v>127638</v>
      </c>
      <c r="L54" s="305">
        <f>厨电!L54+洗碗机!L54</f>
        <v>180270</v>
      </c>
      <c r="M54" s="305">
        <f>厨电!M54+洗碗机!M54</f>
        <v>156243</v>
      </c>
      <c r="N54" s="305">
        <f>厨电!N54+洗碗机!N54</f>
        <v>140640</v>
      </c>
      <c r="O54" s="305">
        <f>厨电!O54+洗碗机!O54</f>
        <v>138393</v>
      </c>
      <c r="P54" s="296">
        <f>SUM(D54:O54)</f>
        <v>1708463</v>
      </c>
      <c r="Q54" s="323"/>
      <c r="R54" s="323"/>
      <c r="S54" s="323"/>
      <c r="T54" s="323"/>
    </row>
    <row r="55" spans="2:18">
      <c r="B55" s="198" t="s">
        <v>22</v>
      </c>
      <c r="C55" s="25" t="s">
        <v>59</v>
      </c>
      <c r="D55" s="201">
        <f>厨电!D55+洗碗机!D55</f>
        <v>637.68476</v>
      </c>
      <c r="E55" s="201">
        <f>厨电!E55+洗碗机!E55</f>
        <v>618.34576</v>
      </c>
      <c r="F55" s="201">
        <f>厨电!F55+洗碗机!F55</f>
        <v>636.39876</v>
      </c>
      <c r="G55" s="201">
        <f>厨电!G55+洗碗机!G55</f>
        <v>631.48676</v>
      </c>
      <c r="H55" s="201">
        <f>厨电!H55+洗碗机!H55</f>
        <v>637.42076</v>
      </c>
      <c r="I55" s="201">
        <f>厨电!I55+洗碗机!I55</f>
        <v>677.09376</v>
      </c>
      <c r="J55" s="201">
        <f>厨电!J55+洗碗机!J55</f>
        <v>696.56176</v>
      </c>
      <c r="K55" s="201">
        <f>厨电!K55+洗碗机!K55</f>
        <v>702.83076</v>
      </c>
      <c r="L55" s="201">
        <f>厨电!L55+洗碗机!L55</f>
        <v>697.13376</v>
      </c>
      <c r="M55" s="201">
        <f>厨电!M55+洗碗机!M55</f>
        <v>758.06576</v>
      </c>
      <c r="N55" s="201">
        <f>厨电!N55+洗碗机!N55</f>
        <v>752.23976</v>
      </c>
      <c r="O55" s="201">
        <f>厨电!O55+洗碗机!O55</f>
        <v>796.64376</v>
      </c>
      <c r="P55" s="296">
        <f>SUM(D55:O55)</f>
        <v>8241.90612</v>
      </c>
      <c r="Q55" s="312">
        <f>P55/$P$54*1000</f>
        <v>4.8241642458748</v>
      </c>
      <c r="R55" s="313">
        <f>P55/$P$71</f>
        <v>0.193995003674558</v>
      </c>
    </row>
    <row r="56" spans="2:18">
      <c r="B56" s="198"/>
      <c r="C56" s="25" t="s">
        <v>24</v>
      </c>
      <c r="D56" s="201">
        <f>厨电!D56+洗碗机!D56</f>
        <v>148.130468454695</v>
      </c>
      <c r="E56" s="201">
        <f>厨电!E56+洗碗机!E56</f>
        <v>148.130468454695</v>
      </c>
      <c r="F56" s="201">
        <f>厨电!F56+洗碗机!F56</f>
        <v>148.105766218735</v>
      </c>
      <c r="G56" s="201">
        <f>厨电!G56+洗碗机!G56</f>
        <v>148.105766218735</v>
      </c>
      <c r="H56" s="201">
        <f>厨电!H56+洗碗机!H56</f>
        <v>148.081063982775</v>
      </c>
      <c r="I56" s="201">
        <f>厨电!I56+洗碗机!I56</f>
        <v>119.657310001621</v>
      </c>
      <c r="J56" s="201">
        <f>厨电!J56+洗碗机!J56</f>
        <v>108.321855066681</v>
      </c>
      <c r="K56" s="201">
        <f>厨电!K56+洗碗机!K56</f>
        <v>108.321855066681</v>
      </c>
      <c r="L56" s="201">
        <f>厨电!L56+洗碗机!L56</f>
        <v>108.321855066681</v>
      </c>
      <c r="M56" s="201">
        <f>厨电!M56+洗碗机!M56</f>
        <v>108.321855066681</v>
      </c>
      <c r="N56" s="201">
        <f>厨电!N56+洗碗机!N56</f>
        <v>108.321855066681</v>
      </c>
      <c r="O56" s="201">
        <f>厨电!O56+洗碗机!O56</f>
        <v>108.321855066681</v>
      </c>
      <c r="P56" s="296">
        <f t="shared" ref="P56:P70" si="15">SUM(D56:O56)</f>
        <v>1510.14197373134</v>
      </c>
      <c r="Q56" s="312">
        <f t="shared" ref="Q56:Q67" si="16">P56/$P$54*1000</f>
        <v>0.883918454032276</v>
      </c>
      <c r="R56" s="313">
        <f t="shared" ref="R56:R67" si="17">P56/$P$71</f>
        <v>0.0355451752880578</v>
      </c>
    </row>
    <row r="57" spans="2:18">
      <c r="B57" s="198"/>
      <c r="C57" s="25" t="s">
        <v>25</v>
      </c>
      <c r="D57" s="201">
        <f>厨电!D57+洗碗机!D57</f>
        <v>37.6489385945274</v>
      </c>
      <c r="E57" s="201">
        <f>厨电!E57+洗碗机!E57</f>
        <v>37.6489385945274</v>
      </c>
      <c r="F57" s="201">
        <f>厨电!F57+洗碗机!F57</f>
        <v>37.6489385945274</v>
      </c>
      <c r="G57" s="201">
        <f>厨电!G57+洗碗机!G57</f>
        <v>37.6489385945274</v>
      </c>
      <c r="H57" s="201">
        <f>厨电!H57+洗碗机!H57</f>
        <v>37.6489385945274</v>
      </c>
      <c r="I57" s="201">
        <f>厨电!I57+洗碗机!I57</f>
        <v>17.6489385945274</v>
      </c>
      <c r="J57" s="201">
        <f>厨电!J57+洗碗机!J57</f>
        <v>17.6489385945274</v>
      </c>
      <c r="K57" s="201">
        <f>厨电!K57+洗碗机!K57</f>
        <v>17.6489385945274</v>
      </c>
      <c r="L57" s="201">
        <f>厨电!L57+洗碗机!L57</f>
        <v>17.6489385945274</v>
      </c>
      <c r="M57" s="201">
        <f>厨电!M57+洗碗机!M57</f>
        <v>17.6489385945274</v>
      </c>
      <c r="N57" s="201">
        <f>厨电!N57+洗碗机!N57</f>
        <v>17.6489385945274</v>
      </c>
      <c r="O57" s="201">
        <f>厨电!O57+洗碗机!O57</f>
        <v>17.6489385945274</v>
      </c>
      <c r="P57" s="296">
        <f t="shared" si="15"/>
        <v>311.787263134328</v>
      </c>
      <c r="Q57" s="312">
        <f t="shared" si="16"/>
        <v>0.182495765570766</v>
      </c>
      <c r="R57" s="313">
        <f t="shared" si="17"/>
        <v>0.00733873577019395</v>
      </c>
    </row>
    <row r="58" spans="2:18">
      <c r="B58" s="198"/>
      <c r="C58" s="25" t="s">
        <v>26</v>
      </c>
      <c r="D58" s="201">
        <f>厨电!D58+洗碗机!D58</f>
        <v>52.6955275550397</v>
      </c>
      <c r="E58" s="201">
        <f>厨电!E58+洗碗机!E58</f>
        <v>52.0174033154343</v>
      </c>
      <c r="F58" s="201">
        <f>厨电!F58+洗碗机!F58</f>
        <v>53.4629423258746</v>
      </c>
      <c r="G58" s="201">
        <f>厨电!G58+洗碗机!G58</f>
        <v>48.3073295692332</v>
      </c>
      <c r="H58" s="201">
        <f>厨电!H58+洗碗机!H58</f>
        <v>37.6179403621594</v>
      </c>
      <c r="I58" s="201">
        <f>厨电!I58+洗碗机!I58</f>
        <v>23.5763487271861</v>
      </c>
      <c r="J58" s="201">
        <f>厨电!J58+洗碗机!J58</f>
        <v>29.215643971372</v>
      </c>
      <c r="K58" s="201">
        <f>厨电!K58+洗碗机!K58</f>
        <v>29.2504508996174</v>
      </c>
      <c r="L58" s="201">
        <f>厨电!L58+洗碗机!L58</f>
        <v>33.8877762145124</v>
      </c>
      <c r="M58" s="201">
        <f>厨电!M58+洗碗机!M58</f>
        <v>38.1086367616689</v>
      </c>
      <c r="N58" s="201">
        <f>厨电!N58+洗碗机!N58</f>
        <v>43.6148047855399</v>
      </c>
      <c r="O58" s="201">
        <f>厨电!O58+洗碗机!O58</f>
        <v>45.0761786466903</v>
      </c>
      <c r="P58" s="296">
        <f t="shared" si="15"/>
        <v>486.830983134328</v>
      </c>
      <c r="Q58" s="312">
        <f t="shared" si="16"/>
        <v>0.284952605432092</v>
      </c>
      <c r="R58" s="313">
        <f t="shared" si="17"/>
        <v>0.0114588515067959</v>
      </c>
    </row>
    <row r="59" spans="2:18">
      <c r="B59" s="198"/>
      <c r="C59" s="25" t="s">
        <v>27</v>
      </c>
      <c r="D59" s="201">
        <f>厨电!D59+洗碗机!D59</f>
        <v>608.740790559295</v>
      </c>
      <c r="E59" s="201">
        <f>厨电!E59+洗碗机!E59</f>
        <v>460.183040117858</v>
      </c>
      <c r="F59" s="201">
        <f>厨电!F59+洗碗机!F59</f>
        <v>564.983534095152</v>
      </c>
      <c r="G59" s="201">
        <f>厨电!G59+洗碗机!G59</f>
        <v>514.220633587062</v>
      </c>
      <c r="H59" s="201">
        <f>厨电!H59+洗碗机!H59</f>
        <v>519.108111710866</v>
      </c>
      <c r="I59" s="201">
        <f>厨电!I59+洗碗机!I59</f>
        <v>491.634907403928</v>
      </c>
      <c r="J59" s="201">
        <f>厨电!J59+洗碗机!J59</f>
        <v>429.240751563888</v>
      </c>
      <c r="K59" s="201">
        <f>厨电!K59+洗碗机!K59</f>
        <v>478.813084632134</v>
      </c>
      <c r="L59" s="201">
        <f>厨电!L59+洗碗机!L59</f>
        <v>503.994550333255</v>
      </c>
      <c r="M59" s="201">
        <f>厨电!M59+洗碗机!M59</f>
        <v>479.409724527945</v>
      </c>
      <c r="N59" s="201">
        <f>厨电!N59+洗碗机!N59</f>
        <v>471.670269228203</v>
      </c>
      <c r="O59" s="201">
        <f>厨电!O59+洗碗机!O59</f>
        <v>558.653523855329</v>
      </c>
      <c r="P59" s="296">
        <f t="shared" si="15"/>
        <v>6080.65292161491</v>
      </c>
      <c r="Q59" s="312">
        <f t="shared" si="16"/>
        <v>3.55913644112569</v>
      </c>
      <c r="R59" s="313">
        <f t="shared" si="17"/>
        <v>0.143124208004495</v>
      </c>
    </row>
    <row r="60" spans="2:18">
      <c r="B60" s="198"/>
      <c r="C60" s="25" t="s">
        <v>28</v>
      </c>
      <c r="D60" s="201">
        <f>厨电!D60+洗碗机!D60</f>
        <v>269.485600035493</v>
      </c>
      <c r="E60" s="201">
        <f>厨电!E60+洗碗机!E60</f>
        <v>266.20653130216</v>
      </c>
      <c r="F60" s="201">
        <f>厨电!F60+洗碗机!F60</f>
        <v>274.078752417119</v>
      </c>
      <c r="G60" s="201">
        <f>厨电!G60+洗碗机!G60</f>
        <v>283.307479365859</v>
      </c>
      <c r="H60" s="201">
        <f>厨电!H60+洗碗机!H60</f>
        <v>278.55197056807</v>
      </c>
      <c r="I60" s="201">
        <f>厨电!I60+洗碗机!I60</f>
        <v>256.145616197881</v>
      </c>
      <c r="J60" s="201">
        <f>厨电!J60+洗碗机!J60</f>
        <v>237.263513830626</v>
      </c>
      <c r="K60" s="201">
        <f>厨电!K60+洗碗机!K60</f>
        <v>237.263513830626</v>
      </c>
      <c r="L60" s="201">
        <f>厨电!L60+洗碗机!L60</f>
        <v>245.416519986246</v>
      </c>
      <c r="M60" s="201">
        <f>厨电!M60+洗碗机!M60</f>
        <v>238.87771914801</v>
      </c>
      <c r="N60" s="201">
        <f>厨电!N60+洗碗机!N60</f>
        <v>238.87771914801</v>
      </c>
      <c r="O60" s="201">
        <f>厨电!O60+洗碗机!O60</f>
        <v>238.88771914801</v>
      </c>
      <c r="P60" s="296">
        <f t="shared" si="15"/>
        <v>3064.36265497811</v>
      </c>
      <c r="Q60" s="312">
        <f t="shared" si="16"/>
        <v>1.79363712001847</v>
      </c>
      <c r="R60" s="313">
        <f t="shared" si="17"/>
        <v>0.0721278592424269</v>
      </c>
    </row>
    <row r="61" spans="2:18">
      <c r="B61" s="198"/>
      <c r="C61" s="25" t="s">
        <v>29</v>
      </c>
      <c r="D61" s="201">
        <f>厨电!D61+洗碗机!D61</f>
        <v>393.965391678335</v>
      </c>
      <c r="E61" s="201">
        <f>厨电!E61+洗碗机!E61</f>
        <v>397.318156428846</v>
      </c>
      <c r="F61" s="201">
        <f>厨电!F61+洗碗机!F61</f>
        <v>399.724795946836</v>
      </c>
      <c r="G61" s="201">
        <f>厨电!G61+洗碗机!G61</f>
        <v>392.76967918877</v>
      </c>
      <c r="H61" s="201">
        <f>厨电!H61+洗碗机!H61</f>
        <v>392.159260429184</v>
      </c>
      <c r="I61" s="201">
        <f>厨电!I61+洗碗机!I61</f>
        <v>324.274809191663</v>
      </c>
      <c r="J61" s="201">
        <f>厨电!J61+洗碗机!J61</f>
        <v>324.076086738587</v>
      </c>
      <c r="K61" s="201">
        <f>厨电!K61+洗碗机!K61</f>
        <v>279.916892103783</v>
      </c>
      <c r="L61" s="201">
        <f>厨电!L61+洗碗机!L61</f>
        <v>322.112622730673</v>
      </c>
      <c r="M61" s="201">
        <f>厨电!M61+洗碗机!M61</f>
        <v>315.573052758687</v>
      </c>
      <c r="N61" s="201">
        <f>厨电!N61+洗碗机!N61</f>
        <v>327.9370652912</v>
      </c>
      <c r="O61" s="201">
        <f>厨电!O61+洗碗机!O61</f>
        <v>330.410196319406</v>
      </c>
      <c r="P61" s="296">
        <f t="shared" si="15"/>
        <v>4200.23800880597</v>
      </c>
      <c r="Q61" s="312">
        <f t="shared" si="16"/>
        <v>2.45848930225938</v>
      </c>
      <c r="R61" s="313">
        <f t="shared" si="17"/>
        <v>0.0988636822706654</v>
      </c>
    </row>
    <row r="62" spans="2:18">
      <c r="B62" s="198" t="s">
        <v>30</v>
      </c>
      <c r="C62" s="25" t="s">
        <v>31</v>
      </c>
      <c r="D62" s="201">
        <f>厨电!D62+洗碗机!D62</f>
        <v>827.83460495063</v>
      </c>
      <c r="E62" s="201">
        <f>厨电!E62+洗碗机!E62</f>
        <v>840.893736909555</v>
      </c>
      <c r="F62" s="201">
        <f>厨电!F62+洗碗机!F62</f>
        <v>1002.20435986149</v>
      </c>
      <c r="G62" s="201">
        <f>厨电!G62+洗碗机!G62</f>
        <v>939.990617051716</v>
      </c>
      <c r="H62" s="201">
        <f>厨电!H62+洗碗机!H62</f>
        <v>937.593280197292</v>
      </c>
      <c r="I62" s="201">
        <f>厨电!I62+洗碗机!I62</f>
        <v>723.782873828043</v>
      </c>
      <c r="J62" s="201">
        <f>厨电!J62+洗碗机!J62</f>
        <v>892.532029508845</v>
      </c>
      <c r="K62" s="201">
        <f>厨电!K62+洗碗机!K62</f>
        <v>863.529483915866</v>
      </c>
      <c r="L62" s="201">
        <f>厨电!L62+洗碗机!L62</f>
        <v>1006.53619819487</v>
      </c>
      <c r="M62" s="201">
        <f>厨电!M62+洗碗机!M62</f>
        <v>922.735268702271</v>
      </c>
      <c r="N62" s="201">
        <f>厨电!N62+洗碗机!N62</f>
        <v>857.699886367344</v>
      </c>
      <c r="O62" s="201">
        <f>厨电!O62+洗碗机!O62</f>
        <v>863.322723347894</v>
      </c>
      <c r="P62" s="296">
        <f t="shared" si="15"/>
        <v>10678.6550628358</v>
      </c>
      <c r="Q62" s="312">
        <f t="shared" si="16"/>
        <v>6.25044561271495</v>
      </c>
      <c r="R62" s="313">
        <f t="shared" si="17"/>
        <v>0.251350318481203</v>
      </c>
    </row>
    <row r="63" spans="2:18">
      <c r="B63" s="198"/>
      <c r="C63" s="25" t="s">
        <v>32</v>
      </c>
      <c r="D63" s="201">
        <f>厨电!D63+洗碗机!D63</f>
        <v>57.2529586833932</v>
      </c>
      <c r="E63" s="201">
        <f>厨电!E63+洗碗机!E63</f>
        <v>57.0028639631389</v>
      </c>
      <c r="F63" s="201">
        <f>厨电!F63+洗碗机!F63</f>
        <v>64.8792031767538</v>
      </c>
      <c r="G63" s="201">
        <f>厨电!G63+洗碗机!G63</f>
        <v>70.6622740949153</v>
      </c>
      <c r="H63" s="201">
        <f>厨电!H63+洗碗机!H63</f>
        <v>69.4894549767355</v>
      </c>
      <c r="I63" s="201">
        <f>厨电!I63+洗碗机!I63</f>
        <v>53.3849917585821</v>
      </c>
      <c r="J63" s="201">
        <f>厨电!J63+洗碗机!J63</f>
        <v>71.1780823214678</v>
      </c>
      <c r="K63" s="201">
        <f>厨电!K63+洗碗机!K63</f>
        <v>59.2754042575655</v>
      </c>
      <c r="L63" s="201">
        <f>厨电!L63+洗碗机!L63</f>
        <v>80.0354220703612</v>
      </c>
      <c r="M63" s="201">
        <f>厨电!M63+洗碗机!M63</f>
        <v>74.8266363976527</v>
      </c>
      <c r="N63" s="201">
        <f>厨电!N63+洗碗机!N63</f>
        <v>66.2833168173071</v>
      </c>
      <c r="O63" s="201">
        <f>厨电!O63+洗碗机!O63</f>
        <v>65.5751047657088</v>
      </c>
      <c r="P63" s="296">
        <f t="shared" si="15"/>
        <v>789.845713283582</v>
      </c>
      <c r="Q63" s="312">
        <f t="shared" si="16"/>
        <v>0.462313619483467</v>
      </c>
      <c r="R63" s="313">
        <f t="shared" si="17"/>
        <v>0.0185911025701883</v>
      </c>
    </row>
    <row r="64" spans="2:18">
      <c r="B64" s="198"/>
      <c r="C64" s="25" t="s">
        <v>33</v>
      </c>
      <c r="D64" s="201">
        <f>厨电!D64+洗碗机!D64</f>
        <v>53.0241998722674</v>
      </c>
      <c r="E64" s="201">
        <f>厨电!E64+洗碗机!E64</f>
        <v>36.1168841982443</v>
      </c>
      <c r="F64" s="201">
        <f>厨电!F64+洗碗机!F64</f>
        <v>42.7143287506433</v>
      </c>
      <c r="G64" s="201">
        <f>厨电!G64+洗碗机!G64</f>
        <v>47.4223476584247</v>
      </c>
      <c r="H64" s="201">
        <f>厨电!H64+洗碗机!H64</f>
        <v>51.3185588204641</v>
      </c>
      <c r="I64" s="201">
        <f>厨电!I64+洗碗机!I64</f>
        <v>39.8952900336717</v>
      </c>
      <c r="J64" s="201">
        <f>厨电!J64+洗碗机!J64</f>
        <v>46.8420370552761</v>
      </c>
      <c r="K64" s="201">
        <f>厨电!K64+洗碗机!K64</f>
        <v>42.2891641283195</v>
      </c>
      <c r="L64" s="201">
        <f>厨电!L64+洗碗机!L64</f>
        <v>44.3807241148362</v>
      </c>
      <c r="M64" s="201">
        <f>厨电!M64+洗碗机!M64</f>
        <v>43.7509533548632</v>
      </c>
      <c r="N64" s="201">
        <f>厨电!N64+洗碗机!N64</f>
        <v>41.6658530527234</v>
      </c>
      <c r="O64" s="201">
        <f>厨电!O64+洗碗机!O64</f>
        <v>42.2786679154899</v>
      </c>
      <c r="P64" s="296">
        <f t="shared" si="15"/>
        <v>531.699008955224</v>
      </c>
      <c r="Q64" s="312">
        <f t="shared" si="16"/>
        <v>0.311214822302399</v>
      </c>
      <c r="R64" s="313">
        <f t="shared" si="17"/>
        <v>0.0125149388617432</v>
      </c>
    </row>
    <row r="65" spans="2:18">
      <c r="B65" s="198"/>
      <c r="C65" s="25" t="s">
        <v>34</v>
      </c>
      <c r="D65" s="201">
        <f>厨电!D65+洗碗机!D65</f>
        <v>-103.563997433645</v>
      </c>
      <c r="E65" s="201">
        <f>厨电!E65+洗碗机!E65</f>
        <v>-102.180366353758</v>
      </c>
      <c r="F65" s="201">
        <f>厨电!F65+洗碗机!F65</f>
        <v>-117.452922932303</v>
      </c>
      <c r="G65" s="201">
        <f>厨电!G65+洗碗机!G65</f>
        <v>-128.533146081596</v>
      </c>
      <c r="H65" s="201">
        <f>厨电!H65+洗碗机!H65</f>
        <v>-129.770340337795</v>
      </c>
      <c r="I65" s="201">
        <f>厨电!I65+洗碗机!I65</f>
        <v>-98.458457545117</v>
      </c>
      <c r="J65" s="201">
        <f>厨电!J65+洗碗机!J65</f>
        <v>-135.004031780552</v>
      </c>
      <c r="K65" s="201">
        <f>厨电!K65+洗碗机!K65</f>
        <v>-114.147183585382</v>
      </c>
      <c r="L65" s="201">
        <f>厨电!L65+洗碗机!L65</f>
        <v>-151.067729371597</v>
      </c>
      <c r="M65" s="201">
        <f>厨电!M65+洗碗机!M65</f>
        <v>-144.879624160192</v>
      </c>
      <c r="N65" s="201">
        <f>厨电!N65+洗碗机!N65</f>
        <v>-128.56756149816</v>
      </c>
      <c r="O65" s="201">
        <f>厨电!O65+洗碗机!O65</f>
        <v>-127.960952352738</v>
      </c>
      <c r="P65" s="296">
        <f t="shared" si="15"/>
        <v>-1481.58631343284</v>
      </c>
      <c r="Q65" s="312">
        <f t="shared" si="16"/>
        <v>-0.867204214216425</v>
      </c>
      <c r="R65" s="313">
        <f t="shared" si="17"/>
        <v>-0.0348730424896635</v>
      </c>
    </row>
    <row r="66" spans="2:18">
      <c r="B66" s="198"/>
      <c r="C66" s="25" t="s">
        <v>35</v>
      </c>
      <c r="D66" s="201">
        <f>厨电!D66+洗碗机!D66</f>
        <v>70.3895091156621</v>
      </c>
      <c r="E66" s="201">
        <f>厨电!E66+洗碗机!E66</f>
        <v>69.8815884900174</v>
      </c>
      <c r="F66" s="201">
        <f>厨电!F66+洗碗机!F66</f>
        <v>83.9568838679931</v>
      </c>
      <c r="G66" s="201">
        <f>厨电!G66+洗碗机!G66</f>
        <v>93.08829816428</v>
      </c>
      <c r="H66" s="201">
        <f>厨电!H66+洗碗机!H66</f>
        <v>99.3106131292037</v>
      </c>
      <c r="I66" s="201">
        <f>厨电!I66+洗碗机!I66</f>
        <v>79.4165285912056</v>
      </c>
      <c r="J66" s="201">
        <f>厨电!J66+洗碗机!J66</f>
        <v>107.195921419131</v>
      </c>
      <c r="K66" s="201">
        <f>厨电!K66+洗碗机!K66</f>
        <v>91.0252282043741</v>
      </c>
      <c r="L66" s="201">
        <f>厨电!L66+洗碗机!L66</f>
        <v>124.617769719461</v>
      </c>
      <c r="M66" s="201">
        <f>厨电!M66+洗碗机!M66</f>
        <v>126.980032389444</v>
      </c>
      <c r="N66" s="201">
        <f>厨电!N66+洗碗机!N66</f>
        <v>113.322290291319</v>
      </c>
      <c r="O66" s="201">
        <f>厨电!O66+洗碗机!O66</f>
        <v>114.915591692536</v>
      </c>
      <c r="P66" s="296">
        <f t="shared" si="15"/>
        <v>1174.10025507463</v>
      </c>
      <c r="Q66" s="312">
        <f t="shared" si="16"/>
        <v>0.687226035960174</v>
      </c>
      <c r="R66" s="313">
        <f t="shared" si="17"/>
        <v>0.0276355469209715</v>
      </c>
    </row>
    <row r="67" spans="2:18">
      <c r="B67" s="336" t="s">
        <v>36</v>
      </c>
      <c r="C67" s="337" t="s">
        <v>37</v>
      </c>
      <c r="D67" s="201">
        <f>厨电!D67+洗碗机!D67</f>
        <v>646.839419576514</v>
      </c>
      <c r="E67" s="201">
        <f>厨电!E67+洗碗机!E67</f>
        <v>646.035328049298</v>
      </c>
      <c r="F67" s="201">
        <f>厨电!F67+洗碗机!F67</f>
        <v>647.85780232548</v>
      </c>
      <c r="G67" s="201">
        <f>厨电!G67+洗碗机!G67</f>
        <v>647.006550575896</v>
      </c>
      <c r="H67" s="201">
        <f>厨电!H67+洗碗机!H67</f>
        <v>647.020125889949</v>
      </c>
      <c r="I67" s="201">
        <f>厨电!I67+洗碗机!I67</f>
        <v>523.505984877876</v>
      </c>
      <c r="J67" s="201">
        <f>厨电!J67+洗碗机!J67</f>
        <v>522.406091983903</v>
      </c>
      <c r="K67" s="201">
        <f>厨电!K67+洗碗机!K67</f>
        <v>522.790924591116</v>
      </c>
      <c r="L67" s="201">
        <f>厨电!L67+洗碗机!L67</f>
        <v>523.795087530806</v>
      </c>
      <c r="M67" s="201">
        <f>厨电!M67+洗碗机!M67</f>
        <v>522.945036988712</v>
      </c>
      <c r="N67" s="201">
        <f>厨电!N67+洗碗机!N67</f>
        <v>522.827298665636</v>
      </c>
      <c r="O67" s="201">
        <f>厨电!O67+洗碗机!O67</f>
        <v>523.483035064217</v>
      </c>
      <c r="P67" s="344">
        <f t="shared" si="15"/>
        <v>6896.5126861194</v>
      </c>
      <c r="Q67" s="312">
        <f t="shared" si="16"/>
        <v>4.03667664217452</v>
      </c>
      <c r="R67" s="313">
        <f t="shared" si="17"/>
        <v>0.162327619898365</v>
      </c>
    </row>
    <row r="68" spans="2:16">
      <c r="B68" s="336"/>
      <c r="C68" s="337" t="s">
        <v>38</v>
      </c>
      <c r="D68" s="201">
        <f>厨电!D68+洗碗机!D68</f>
        <v>0</v>
      </c>
      <c r="E68" s="201">
        <f>厨电!E68+洗碗机!E68</f>
        <v>0</v>
      </c>
      <c r="F68" s="201">
        <f>厨电!F68+洗碗机!F68</f>
        <v>0</v>
      </c>
      <c r="G68" s="201">
        <f>厨电!G68+洗碗机!G68</f>
        <v>0</v>
      </c>
      <c r="H68" s="201">
        <f>厨电!H68+洗碗机!H68</f>
        <v>0</v>
      </c>
      <c r="I68" s="201">
        <f>厨电!I68+洗碗机!I68</f>
        <v>0</v>
      </c>
      <c r="J68" s="201">
        <f>厨电!J68+洗碗机!J68</f>
        <v>0</v>
      </c>
      <c r="K68" s="201">
        <f>厨电!K68+洗碗机!K68</f>
        <v>0</v>
      </c>
      <c r="L68" s="201">
        <f>厨电!L68+洗碗机!L68</f>
        <v>0</v>
      </c>
      <c r="M68" s="201">
        <f>厨电!M68+洗碗机!M68</f>
        <v>0</v>
      </c>
      <c r="N68" s="201">
        <f>厨电!N68+洗碗机!N68</f>
        <v>0</v>
      </c>
      <c r="O68" s="201">
        <f>厨电!O68+洗碗机!O68</f>
        <v>0</v>
      </c>
      <c r="P68" s="344">
        <f t="shared" si="15"/>
        <v>0</v>
      </c>
    </row>
    <row r="69" spans="2:16">
      <c r="B69" s="336"/>
      <c r="C69" s="337" t="s">
        <v>39</v>
      </c>
      <c r="D69" s="201">
        <f>厨电!D69+洗碗机!D69</f>
        <v>0</v>
      </c>
      <c r="E69" s="201">
        <f>厨电!E69+洗碗机!E69</f>
        <v>0</v>
      </c>
      <c r="F69" s="201">
        <f>厨电!F69+洗碗机!F69</f>
        <v>0</v>
      </c>
      <c r="G69" s="201">
        <f>厨电!G69+洗碗机!G69</f>
        <v>0</v>
      </c>
      <c r="H69" s="201">
        <f>厨电!H69+洗碗机!H69</f>
        <v>0</v>
      </c>
      <c r="I69" s="201">
        <f>厨电!I69+洗碗机!I69</f>
        <v>0</v>
      </c>
      <c r="J69" s="201">
        <f>厨电!J69+洗碗机!J69</f>
        <v>0</v>
      </c>
      <c r="K69" s="201">
        <f>厨电!K69+洗碗机!K69</f>
        <v>0</v>
      </c>
      <c r="L69" s="201">
        <f>厨电!L69+洗碗机!L69</f>
        <v>0</v>
      </c>
      <c r="M69" s="201">
        <f>厨电!M69+洗碗机!M69</f>
        <v>0</v>
      </c>
      <c r="N69" s="201">
        <f>厨电!N69+洗碗机!N69</f>
        <v>0</v>
      </c>
      <c r="O69" s="201">
        <f>厨电!O69+洗碗机!O69</f>
        <v>0</v>
      </c>
      <c r="P69" s="344">
        <f t="shared" si="15"/>
        <v>0</v>
      </c>
    </row>
    <row r="70" spans="2:16">
      <c r="B70" s="336"/>
      <c r="C70" s="337" t="s">
        <v>40</v>
      </c>
      <c r="D70" s="201">
        <f>厨电!D70+洗碗机!D70</f>
        <v>0</v>
      </c>
      <c r="E70" s="201">
        <f>厨电!E70+洗碗机!E70</f>
        <v>0</v>
      </c>
      <c r="F70" s="201">
        <f>厨电!F70+洗碗机!F70</f>
        <v>0</v>
      </c>
      <c r="G70" s="201">
        <f>厨电!G70+洗碗机!G70</f>
        <v>0</v>
      </c>
      <c r="H70" s="201">
        <f>厨电!H70+洗碗机!H70</f>
        <v>0</v>
      </c>
      <c r="I70" s="201">
        <f>厨电!I70+洗碗机!I70</f>
        <v>0</v>
      </c>
      <c r="J70" s="201">
        <f>厨电!J70+洗碗机!J70</f>
        <v>0</v>
      </c>
      <c r="K70" s="201">
        <f>厨电!K70+洗碗机!K70</f>
        <v>0</v>
      </c>
      <c r="L70" s="201">
        <f>厨电!L70+洗碗机!L70</f>
        <v>0</v>
      </c>
      <c r="M70" s="201">
        <f>厨电!M70+洗碗机!M70</f>
        <v>0</v>
      </c>
      <c r="N70" s="201">
        <f>厨电!N70+洗碗机!N70</f>
        <v>0</v>
      </c>
      <c r="O70" s="201">
        <f>厨电!O70+洗碗机!O70</f>
        <v>0</v>
      </c>
      <c r="P70" s="344">
        <f t="shared" si="15"/>
        <v>0</v>
      </c>
    </row>
    <row r="71" spans="2:16">
      <c r="B71" s="293" t="s">
        <v>15</v>
      </c>
      <c r="C71" s="293"/>
      <c r="D71" s="303">
        <f>厨电!D71+洗碗机!D71</f>
        <v>3700.12817164221</v>
      </c>
      <c r="E71" s="303">
        <f>厨电!E71+洗碗机!E71</f>
        <v>3527.60033347001</v>
      </c>
      <c r="F71" s="303">
        <f>厨电!F71+洗碗机!F71</f>
        <v>3838.5631446483</v>
      </c>
      <c r="G71" s="303">
        <f>厨电!G71+洗碗机!G71</f>
        <v>3725.48352798782</v>
      </c>
      <c r="H71" s="303">
        <f>厨电!H71+洗碗机!H71</f>
        <v>3725.54973832343</v>
      </c>
      <c r="I71" s="303">
        <f>厨电!I71+洗碗机!I71</f>
        <v>3231.55890166107</v>
      </c>
      <c r="J71" s="303">
        <f>厨电!J71+洗碗机!J71</f>
        <v>3347.47868027375</v>
      </c>
      <c r="K71" s="303">
        <f>厨电!K71+洗碗机!K71</f>
        <v>3318.80851663923</v>
      </c>
      <c r="L71" s="303">
        <f>厨电!L71+洗碗机!L71</f>
        <v>3556.81349518464</v>
      </c>
      <c r="M71" s="303">
        <f>厨电!M71+洗碗机!M71</f>
        <v>3502.36399053027</v>
      </c>
      <c r="N71" s="303">
        <f>厨电!N71+洗碗机!N71</f>
        <v>3433.54149581033</v>
      </c>
      <c r="O71" s="303">
        <f>厨电!O71+洗碗机!O71</f>
        <v>3577.25634206375</v>
      </c>
      <c r="P71" s="296">
        <f>SUM(P55:P67)</f>
        <v>42485.1463382348</v>
      </c>
    </row>
    <row r="72" spans="2:16">
      <c r="B72" s="293" t="s">
        <v>16</v>
      </c>
      <c r="C72" s="293"/>
      <c r="D72" s="294">
        <f>D71/D54*1000</f>
        <v>30.1220157576825</v>
      </c>
      <c r="E72" s="294">
        <f t="shared" ref="E72:P72" si="18">E71/E54*1000</f>
        <v>29.0421136415429</v>
      </c>
      <c r="F72" s="294">
        <f t="shared" si="18"/>
        <v>26.6535419058049</v>
      </c>
      <c r="G72" s="294">
        <f t="shared" si="18"/>
        <v>23.9254747738634</v>
      </c>
      <c r="H72" s="294">
        <f t="shared" si="18"/>
        <v>26.1220278803502</v>
      </c>
      <c r="I72" s="294">
        <f t="shared" si="18"/>
        <v>26.3609206508012</v>
      </c>
      <c r="J72" s="294">
        <f t="shared" si="18"/>
        <v>21.4531084311654</v>
      </c>
      <c r="K72" s="294">
        <f t="shared" si="18"/>
        <v>26.0017276723172</v>
      </c>
      <c r="L72" s="294">
        <f t="shared" si="18"/>
        <v>19.7304792543664</v>
      </c>
      <c r="M72" s="294">
        <f t="shared" si="18"/>
        <v>22.4161337821872</v>
      </c>
      <c r="N72" s="294">
        <f t="shared" si="18"/>
        <v>24.4136909542828</v>
      </c>
      <c r="O72" s="294">
        <f t="shared" si="18"/>
        <v>25.8485352731984</v>
      </c>
      <c r="P72" s="294">
        <f t="shared" si="18"/>
        <v>24.8674664527326</v>
      </c>
    </row>
    <row r="73" spans="2:17">
      <c r="B73" s="293" t="s">
        <v>42</v>
      </c>
      <c r="C73" s="293"/>
      <c r="D73" s="201">
        <f>厨电!D73+洗碗机!D73</f>
        <v>906.008855777779</v>
      </c>
      <c r="E73" s="201">
        <f>厨电!E73+洗碗机!E73</f>
        <v>863.093788222224</v>
      </c>
      <c r="F73" s="201">
        <f>厨电!F73+洗碗机!F73</f>
        <v>904.683981555554</v>
      </c>
      <c r="G73" s="201">
        <f>厨电!G73+洗碗机!G73</f>
        <v>890.55243</v>
      </c>
      <c r="H73" s="201">
        <f>厨电!H73+洗碗机!H73</f>
        <v>913.986839319034</v>
      </c>
      <c r="I73" s="201">
        <f>厨电!I73+洗碗机!I73</f>
        <v>909.659204651282</v>
      </c>
      <c r="J73" s="201">
        <f>厨电!J73+洗碗机!J73</f>
        <v>924.881430000001</v>
      </c>
      <c r="K73" s="201">
        <f>厨电!K73+洗碗机!K73</f>
        <v>926.945802249296</v>
      </c>
      <c r="L73" s="201">
        <f>厨电!L73+洗碗机!L73</f>
        <v>919.597160000001</v>
      </c>
      <c r="M73" s="201">
        <f>厨电!M73+洗碗机!M73</f>
        <v>768.963399713104</v>
      </c>
      <c r="N73" s="201">
        <f>厨电!N73+洗碗机!N73</f>
        <v>904.881429999996</v>
      </c>
      <c r="O73" s="201">
        <f>厨电!O73+洗碗机!O73</f>
        <v>738.160839871458</v>
      </c>
      <c r="P73" s="201">
        <f>SUM(D73:O73)</f>
        <v>10571.4151613597</v>
      </c>
      <c r="Q73" s="312">
        <f>P73/$P$54*1000</f>
        <v>6.18767580062298</v>
      </c>
    </row>
    <row r="74" spans="4:16">
      <c r="D74" s="313">
        <f t="shared" ref="D74:P74" si="19">D72/D53</f>
        <v>0.180717292711641</v>
      </c>
      <c r="E74" s="313">
        <f t="shared" si="19"/>
        <v>0.179577700362967</v>
      </c>
      <c r="F74" s="313">
        <f t="shared" si="19"/>
        <v>0.172380326902233</v>
      </c>
      <c r="G74" s="313">
        <f t="shared" si="19"/>
        <v>0.15535300139185</v>
      </c>
      <c r="H74" s="313">
        <f t="shared" si="19"/>
        <v>0.165978438462811</v>
      </c>
      <c r="I74" s="313">
        <f t="shared" si="19"/>
        <v>0.191538876265821</v>
      </c>
      <c r="J74" s="313">
        <f t="shared" si="19"/>
        <v>0.136625413732607</v>
      </c>
      <c r="K74" s="313">
        <f t="shared" si="19"/>
        <v>0.161460703318037</v>
      </c>
      <c r="L74" s="313">
        <f t="shared" si="19"/>
        <v>0.130730180729141</v>
      </c>
      <c r="M74" s="313">
        <f t="shared" si="19"/>
        <v>0.142623977074072</v>
      </c>
      <c r="N74" s="313">
        <f t="shared" si="19"/>
        <v>0.156489853689216</v>
      </c>
      <c r="O74" s="313">
        <f t="shared" si="19"/>
        <v>0.165408334092047</v>
      </c>
      <c r="P74" s="313">
        <f t="shared" si="19"/>
        <v>0.159773596226489</v>
      </c>
    </row>
    <row r="76" ht="14" customHeight="1" spans="3:20">
      <c r="C76" s="296" t="s">
        <v>64</v>
      </c>
      <c r="D76" s="296"/>
      <c r="E76" s="296"/>
      <c r="F76" s="296"/>
      <c r="G76" s="296"/>
      <c r="H76" s="296"/>
      <c r="I76" s="296"/>
      <c r="J76" s="296"/>
      <c r="K76" s="296"/>
      <c r="L76" s="296"/>
      <c r="M76" s="296"/>
      <c r="N76" s="296"/>
      <c r="O76" s="296"/>
      <c r="P76" s="296"/>
      <c r="Q76" s="282">
        <f>P75/P57</f>
        <v>0</v>
      </c>
      <c r="R76" s="295"/>
      <c r="S76" s="317"/>
      <c r="T76" s="317"/>
    </row>
    <row r="77" spans="1:20">
      <c r="A77" s="25" t="s">
        <v>45</v>
      </c>
      <c r="C77" s="285" t="s">
        <v>2</v>
      </c>
      <c r="D77" s="297" t="s">
        <v>46</v>
      </c>
      <c r="E77" s="297" t="s">
        <v>47</v>
      </c>
      <c r="F77" s="297" t="s">
        <v>48</v>
      </c>
      <c r="G77" s="297" t="s">
        <v>49</v>
      </c>
      <c r="H77" s="297" t="s">
        <v>50</v>
      </c>
      <c r="I77" s="297" t="s">
        <v>51</v>
      </c>
      <c r="J77" s="297" t="s">
        <v>52</v>
      </c>
      <c r="K77" s="297" t="s">
        <v>53</v>
      </c>
      <c r="L77" s="297" t="s">
        <v>54</v>
      </c>
      <c r="M77" s="297" t="s">
        <v>55</v>
      </c>
      <c r="N77" s="297" t="s">
        <v>56</v>
      </c>
      <c r="O77" s="297" t="s">
        <v>57</v>
      </c>
      <c r="P77" s="304" t="s">
        <v>15</v>
      </c>
      <c r="Q77" s="205" t="s">
        <v>16</v>
      </c>
      <c r="R77" s="205" t="s">
        <v>17</v>
      </c>
      <c r="S77" s="205" t="s">
        <v>18</v>
      </c>
      <c r="T77" s="205" t="s">
        <v>19</v>
      </c>
    </row>
    <row r="78" spans="1:16">
      <c r="A78" s="25">
        <v>125</v>
      </c>
      <c r="B78" s="283" t="s">
        <v>20</v>
      </c>
      <c r="C78" s="283"/>
      <c r="D78" s="369">
        <v>154.6091798312</v>
      </c>
      <c r="E78" s="369">
        <v>146.743111940663</v>
      </c>
      <c r="F78" s="369">
        <v>145.28534753489</v>
      </c>
      <c r="G78" s="296">
        <v>146.743111940663</v>
      </c>
      <c r="H78" s="296"/>
      <c r="I78" s="296"/>
      <c r="J78" s="296"/>
      <c r="K78" s="296"/>
      <c r="L78" s="296"/>
      <c r="M78" s="296"/>
      <c r="N78" s="296"/>
      <c r="O78" s="296"/>
      <c r="P78" s="296"/>
    </row>
    <row r="79" s="281" customFormat="1" spans="1:20">
      <c r="A79" s="350">
        <f>SUM(D79:F79)</f>
        <v>424233</v>
      </c>
      <c r="C79" s="248" t="s">
        <v>21</v>
      </c>
      <c r="D79" s="305">
        <f>厨电!D79+洗碗机!D79</f>
        <v>144968</v>
      </c>
      <c r="E79" s="305">
        <f>厨电!E79+洗碗机!E79</f>
        <v>148887</v>
      </c>
      <c r="F79" s="305">
        <f>厨电!F79+洗碗机!F79</f>
        <v>130378</v>
      </c>
      <c r="G79" s="305">
        <f>厨电!G79+洗碗机!G79</f>
        <v>151260</v>
      </c>
      <c r="H79" s="305">
        <f>厨电!H79+洗碗机!H79</f>
        <v>0</v>
      </c>
      <c r="I79" s="305">
        <f>厨电!I79+洗碗机!I79</f>
        <v>0</v>
      </c>
      <c r="J79" s="305">
        <f>厨电!J79+洗碗机!J79</f>
        <v>0</v>
      </c>
      <c r="K79" s="305">
        <f>厨电!K79+洗碗机!K79</f>
        <v>0</v>
      </c>
      <c r="L79" s="305">
        <f>厨电!L79+洗碗机!L79</f>
        <v>0</v>
      </c>
      <c r="M79" s="305">
        <f>厨电!M79+洗碗机!M79</f>
        <v>0</v>
      </c>
      <c r="N79" s="305">
        <f>厨电!N79+洗碗机!N79</f>
        <v>0</v>
      </c>
      <c r="O79" s="305">
        <f>厨电!O79+洗碗机!O79</f>
        <v>0</v>
      </c>
      <c r="P79" s="296">
        <f>SUM(D79:O79)</f>
        <v>575493</v>
      </c>
      <c r="Q79" s="323"/>
      <c r="R79" s="323"/>
      <c r="S79" s="323"/>
      <c r="T79" s="323"/>
    </row>
    <row r="80" spans="1:20">
      <c r="A80" s="350">
        <f t="shared" ref="A80:A96" si="20">SUM(D80:F80)</f>
        <v>3883.94771</v>
      </c>
      <c r="B80" s="198" t="s">
        <v>22</v>
      </c>
      <c r="C80" s="25" t="s">
        <v>65</v>
      </c>
      <c r="D80" s="201">
        <f>厨电!D80+洗碗机!D80</f>
        <v>1382.58362</v>
      </c>
      <c r="E80" s="201">
        <f>厨电!E80+洗碗机!E80</f>
        <v>1137.55722</v>
      </c>
      <c r="F80" s="201">
        <f>厨电!F80+洗碗机!F80</f>
        <v>1363.80687</v>
      </c>
      <c r="G80" s="201">
        <f>厨电!G80+洗碗机!G80</f>
        <v>496.59125</v>
      </c>
      <c r="H80" s="201">
        <f>厨电!H80+洗碗机!H80</f>
        <v>0</v>
      </c>
      <c r="I80" s="201">
        <f>厨电!I80+洗碗机!I80</f>
        <v>0</v>
      </c>
      <c r="J80" s="201">
        <f>厨电!J80+洗碗机!J80</f>
        <v>0</v>
      </c>
      <c r="K80" s="201">
        <f>厨电!K80+洗碗机!K80</f>
        <v>0</v>
      </c>
      <c r="L80" s="201">
        <f>厨电!L80+洗碗机!L80</f>
        <v>0</v>
      </c>
      <c r="M80" s="201">
        <f>厨电!M80+洗碗机!M80</f>
        <v>0</v>
      </c>
      <c r="N80" s="201">
        <f>厨电!N80+洗碗机!N80</f>
        <v>0</v>
      </c>
      <c r="O80" s="201">
        <f>厨电!O80+洗碗机!O80</f>
        <v>0</v>
      </c>
      <c r="P80" s="296">
        <f>SUM(D80:O80)</f>
        <v>4380.53896</v>
      </c>
      <c r="Q80" s="312">
        <f>P80/$P$79*1000</f>
        <v>7.61180233295627</v>
      </c>
      <c r="R80" s="313">
        <f>P80/$P$71</f>
        <v>0.103107540812628</v>
      </c>
      <c r="T80" s="347">
        <f t="shared" ref="T80:T92" si="21">Q80-Q32</f>
        <v>-2.63415147813008</v>
      </c>
    </row>
    <row r="81" spans="1:20">
      <c r="A81" s="350">
        <f t="shared" si="20"/>
        <v>388.9619</v>
      </c>
      <c r="B81" s="198"/>
      <c r="C81" s="25" t="s">
        <v>24</v>
      </c>
      <c r="D81" s="201">
        <f>厨电!D81+洗碗机!D81</f>
        <v>131.60955</v>
      </c>
      <c r="E81" s="201">
        <f>厨电!E81+洗碗机!E81</f>
        <v>150.79809</v>
      </c>
      <c r="F81" s="201">
        <f>厨电!F81+洗碗机!F81</f>
        <v>106.55426</v>
      </c>
      <c r="G81" s="201">
        <f>厨电!G81+洗碗机!G81</f>
        <v>80.08298</v>
      </c>
      <c r="H81" s="201">
        <f>厨电!H81+洗碗机!H81</f>
        <v>0</v>
      </c>
      <c r="I81" s="201">
        <f>厨电!I81+洗碗机!I81</f>
        <v>0</v>
      </c>
      <c r="J81" s="201">
        <f>厨电!J81+洗碗机!J81</f>
        <v>0</v>
      </c>
      <c r="K81" s="201">
        <f>厨电!K81+洗碗机!K81</f>
        <v>0</v>
      </c>
      <c r="L81" s="201">
        <f>厨电!L81+洗碗机!L81</f>
        <v>0</v>
      </c>
      <c r="M81" s="201">
        <f>厨电!M81+洗碗机!M81</f>
        <v>0</v>
      </c>
      <c r="N81" s="201">
        <f>厨电!N81+洗碗机!N81</f>
        <v>0</v>
      </c>
      <c r="O81" s="201">
        <f>厨电!O81+洗碗机!O81</f>
        <v>0</v>
      </c>
      <c r="P81" s="296">
        <f t="shared" ref="P81:P90" si="22">SUM(D81:O81)</f>
        <v>469.04488</v>
      </c>
      <c r="Q81" s="312">
        <f>P81/$P$79*1000</f>
        <v>0.815031425230194</v>
      </c>
      <c r="R81" s="313">
        <f t="shared" ref="R81:R92" si="23">P81/$P$71</f>
        <v>0.0110402086476487</v>
      </c>
      <c r="T81" s="347">
        <f t="shared" si="21"/>
        <v>-0.212163206645111</v>
      </c>
    </row>
    <row r="82" spans="1:20">
      <c r="A82" s="350">
        <f t="shared" si="20"/>
        <v>204.19958</v>
      </c>
      <c r="B82" s="198"/>
      <c r="C82" s="25" t="s">
        <v>25</v>
      </c>
      <c r="D82" s="201">
        <f>厨电!D82+洗碗机!D82</f>
        <v>-13.56806</v>
      </c>
      <c r="E82" s="201">
        <f>厨电!E82+洗碗机!E82</f>
        <v>5.09381</v>
      </c>
      <c r="F82" s="201">
        <f>厨电!F82+洗碗机!F82</f>
        <v>212.67383</v>
      </c>
      <c r="G82" s="201">
        <f>厨电!G82+洗碗机!G82</f>
        <v>-164.6679</v>
      </c>
      <c r="H82" s="201">
        <f>厨电!H82+洗碗机!H82</f>
        <v>0</v>
      </c>
      <c r="I82" s="201">
        <f>厨电!I82+洗碗机!I82</f>
        <v>0</v>
      </c>
      <c r="J82" s="201">
        <f>厨电!J82+洗碗机!J82</f>
        <v>0</v>
      </c>
      <c r="K82" s="201">
        <f>厨电!K82+洗碗机!K82</f>
        <v>0</v>
      </c>
      <c r="L82" s="201">
        <f>厨电!L82+洗碗机!L82</f>
        <v>0</v>
      </c>
      <c r="M82" s="201">
        <f>厨电!M82+洗碗机!M82</f>
        <v>0</v>
      </c>
      <c r="N82" s="201">
        <f>厨电!N82+洗碗机!N82</f>
        <v>0</v>
      </c>
      <c r="O82" s="201">
        <f>厨电!O82+洗碗机!O82</f>
        <v>0</v>
      </c>
      <c r="P82" s="296">
        <f t="shared" si="22"/>
        <v>39.53168</v>
      </c>
      <c r="Q82" s="312">
        <f t="shared" ref="Q82:Q92" si="24">P82/$P$79*1000</f>
        <v>0.0686918520294773</v>
      </c>
      <c r="R82" s="313">
        <f t="shared" si="23"/>
        <v>0.000930482378129957</v>
      </c>
      <c r="T82" s="347">
        <f t="shared" si="21"/>
        <v>0.742188597548176</v>
      </c>
    </row>
    <row r="83" spans="1:20">
      <c r="A83" s="350">
        <f t="shared" si="20"/>
        <v>106.62743</v>
      </c>
      <c r="B83" s="198"/>
      <c r="C83" s="25" t="s">
        <v>26</v>
      </c>
      <c r="D83" s="201">
        <f>厨电!D83+洗碗机!D83</f>
        <v>38.88392</v>
      </c>
      <c r="E83" s="201">
        <f>厨电!E83+洗碗机!E83</f>
        <v>31.28362</v>
      </c>
      <c r="F83" s="201">
        <f>厨电!F83+洗碗机!F83</f>
        <v>36.45989</v>
      </c>
      <c r="G83" s="201">
        <f>厨电!G83+洗碗机!G83</f>
        <v>32.34728</v>
      </c>
      <c r="H83" s="201">
        <f>厨电!H83+洗碗机!H83</f>
        <v>0</v>
      </c>
      <c r="I83" s="201">
        <f>厨电!I83+洗碗机!I83</f>
        <v>0</v>
      </c>
      <c r="J83" s="201">
        <f>厨电!J83+洗碗机!J83</f>
        <v>0</v>
      </c>
      <c r="K83" s="201">
        <f>厨电!K83+洗碗机!K83</f>
        <v>0</v>
      </c>
      <c r="L83" s="201">
        <f>厨电!L83+洗碗机!L83</f>
        <v>0</v>
      </c>
      <c r="M83" s="201">
        <f>厨电!M83+洗碗机!M83</f>
        <v>0</v>
      </c>
      <c r="N83" s="201">
        <f>厨电!N83+洗碗机!N83</f>
        <v>0</v>
      </c>
      <c r="O83" s="201">
        <f>厨电!O83+洗碗机!O83</f>
        <v>0</v>
      </c>
      <c r="P83" s="296">
        <f t="shared" si="22"/>
        <v>138.97471</v>
      </c>
      <c r="Q83" s="312">
        <f t="shared" si="24"/>
        <v>0.241488098030732</v>
      </c>
      <c r="R83" s="313">
        <f t="shared" si="23"/>
        <v>0.00327113643186227</v>
      </c>
      <c r="T83" s="347">
        <f t="shared" si="21"/>
        <v>-0.0410914090064448</v>
      </c>
    </row>
    <row r="84" spans="1:20">
      <c r="A84" s="350">
        <f t="shared" si="20"/>
        <v>1636.50444</v>
      </c>
      <c r="B84" s="198"/>
      <c r="C84" s="25" t="s">
        <v>27</v>
      </c>
      <c r="D84" s="201">
        <f>厨电!D84+洗碗机!D84</f>
        <v>564.1426</v>
      </c>
      <c r="E84" s="201">
        <f>厨电!E84+洗碗机!E84</f>
        <v>519.94344</v>
      </c>
      <c r="F84" s="201">
        <f>厨电!F84+洗碗机!F84</f>
        <v>552.4184</v>
      </c>
      <c r="G84" s="201">
        <f>厨电!G84+洗碗机!G84</f>
        <v>550.414125730845</v>
      </c>
      <c r="H84" s="201">
        <f>厨电!H84+洗碗机!H84</f>
        <v>0</v>
      </c>
      <c r="I84" s="201">
        <f>厨电!I84+洗碗机!I84</f>
        <v>0</v>
      </c>
      <c r="J84" s="201">
        <f>厨电!J84+洗碗机!J84</f>
        <v>0</v>
      </c>
      <c r="K84" s="201">
        <f>厨电!K84+洗碗机!K84</f>
        <v>0</v>
      </c>
      <c r="L84" s="201">
        <f>厨电!L84+洗碗机!L84</f>
        <v>0</v>
      </c>
      <c r="M84" s="201">
        <f>厨电!M84+洗碗机!M84</f>
        <v>0</v>
      </c>
      <c r="N84" s="201">
        <f>厨电!N84+洗碗机!N84</f>
        <v>0</v>
      </c>
      <c r="O84" s="201">
        <f>厨电!O84+洗碗机!O84</f>
        <v>0</v>
      </c>
      <c r="P84" s="296">
        <f t="shared" si="22"/>
        <v>2186.91856573084</v>
      </c>
      <c r="Q84" s="312">
        <f t="shared" si="24"/>
        <v>3.8000784818075</v>
      </c>
      <c r="R84" s="313">
        <f t="shared" si="23"/>
        <v>0.051474897798874</v>
      </c>
      <c r="T84" s="347">
        <f t="shared" si="21"/>
        <v>-0.870461129017875</v>
      </c>
    </row>
    <row r="85" spans="1:20">
      <c r="A85" s="350">
        <f t="shared" si="20"/>
        <v>815.04894</v>
      </c>
      <c r="B85" s="198"/>
      <c r="C85" s="25" t="s">
        <v>28</v>
      </c>
      <c r="D85" s="201">
        <f>厨电!D85+洗碗机!D85</f>
        <v>285.5666</v>
      </c>
      <c r="E85" s="201">
        <f>厨电!E85+洗碗机!E85</f>
        <v>266.4755</v>
      </c>
      <c r="F85" s="201">
        <f>厨电!F85+洗碗机!F85</f>
        <v>263.00684</v>
      </c>
      <c r="G85" s="201">
        <f>厨电!G85+洗碗机!G85</f>
        <v>166.01058</v>
      </c>
      <c r="H85" s="201">
        <f>厨电!H85+洗碗机!H85</f>
        <v>0</v>
      </c>
      <c r="I85" s="201">
        <f>厨电!I85+洗碗机!I85</f>
        <v>0</v>
      </c>
      <c r="J85" s="201">
        <f>厨电!J85+洗碗机!J85</f>
        <v>0</v>
      </c>
      <c r="K85" s="201">
        <f>厨电!K85+洗碗机!K85</f>
        <v>0</v>
      </c>
      <c r="L85" s="201">
        <f>厨电!L85+洗碗机!L85</f>
        <v>0</v>
      </c>
      <c r="M85" s="201">
        <f>厨电!M85+洗碗机!M85</f>
        <v>0</v>
      </c>
      <c r="N85" s="201">
        <f>厨电!N85+洗碗机!N85</f>
        <v>0</v>
      </c>
      <c r="O85" s="201">
        <f>厨电!O85+洗碗机!O85</f>
        <v>0</v>
      </c>
      <c r="P85" s="296">
        <f t="shared" si="22"/>
        <v>981.05952</v>
      </c>
      <c r="Q85" s="312">
        <f t="shared" si="24"/>
        <v>1.70472884987307</v>
      </c>
      <c r="R85" s="313">
        <f t="shared" si="23"/>
        <v>0.0230918239562962</v>
      </c>
      <c r="T85" s="347">
        <f t="shared" si="21"/>
        <v>-0.251372004968943</v>
      </c>
    </row>
    <row r="86" spans="1:20">
      <c r="A86" s="350">
        <f t="shared" si="20"/>
        <v>1128.12811</v>
      </c>
      <c r="B86" s="198"/>
      <c r="C86" s="25" t="s">
        <v>29</v>
      </c>
      <c r="D86" s="201">
        <f>厨电!D86+洗碗机!D86</f>
        <v>325.35164</v>
      </c>
      <c r="E86" s="201">
        <f>厨电!E86+洗碗机!E86</f>
        <v>550.19837</v>
      </c>
      <c r="F86" s="201">
        <f>厨电!F86+洗碗机!F86</f>
        <v>252.5781</v>
      </c>
      <c r="G86" s="201">
        <f>厨电!G86+洗碗机!G86</f>
        <v>290.93984</v>
      </c>
      <c r="H86" s="201">
        <f>厨电!H86+洗碗机!H86</f>
        <v>0</v>
      </c>
      <c r="I86" s="201">
        <f>厨电!I86+洗碗机!I86</f>
        <v>0</v>
      </c>
      <c r="J86" s="201">
        <f>厨电!J86+洗碗机!J86</f>
        <v>0</v>
      </c>
      <c r="K86" s="201">
        <f>厨电!K86+洗碗机!K86</f>
        <v>0</v>
      </c>
      <c r="L86" s="201">
        <f>厨电!L86+洗碗机!L86</f>
        <v>0</v>
      </c>
      <c r="M86" s="201">
        <f>厨电!M86+洗碗机!M86</f>
        <v>0</v>
      </c>
      <c r="N86" s="201">
        <f>厨电!N86+洗碗机!N86</f>
        <v>0</v>
      </c>
      <c r="O86" s="201">
        <f>厨电!O86+洗碗机!O86</f>
        <v>0</v>
      </c>
      <c r="P86" s="296">
        <f t="shared" si="22"/>
        <v>1419.06795</v>
      </c>
      <c r="Q86" s="312">
        <f t="shared" si="24"/>
        <v>2.46583007960132</v>
      </c>
      <c r="R86" s="313">
        <f t="shared" si="23"/>
        <v>0.0334015078753042</v>
      </c>
      <c r="T86" s="347">
        <f t="shared" si="21"/>
        <v>0.195685325306135</v>
      </c>
    </row>
    <row r="87" spans="1:20">
      <c r="A87" s="350">
        <f t="shared" si="20"/>
        <v>3203.66019</v>
      </c>
      <c r="B87" s="198" t="s">
        <v>30</v>
      </c>
      <c r="C87" s="25" t="s">
        <v>31</v>
      </c>
      <c r="D87" s="201">
        <f>厨电!D87+洗碗机!D87</f>
        <v>1041.52631</v>
      </c>
      <c r="E87" s="201">
        <f>厨电!E87+洗碗机!E87</f>
        <v>1075.68121</v>
      </c>
      <c r="F87" s="201">
        <f>厨电!F87+洗碗机!F87</f>
        <v>1086.45267</v>
      </c>
      <c r="G87" s="201">
        <f>厨电!G87+洗碗机!G87</f>
        <v>1026.4090239728</v>
      </c>
      <c r="H87" s="201">
        <f>厨电!H87+洗碗机!H87</f>
        <v>0</v>
      </c>
      <c r="I87" s="201">
        <f>厨电!I87+洗碗机!I87</f>
        <v>0</v>
      </c>
      <c r="J87" s="201">
        <f>厨电!J87+洗碗机!J87</f>
        <v>0</v>
      </c>
      <c r="K87" s="201">
        <f>厨电!K87+洗碗机!K87</f>
        <v>0</v>
      </c>
      <c r="L87" s="201">
        <f>厨电!L87+洗碗机!L87</f>
        <v>0</v>
      </c>
      <c r="M87" s="201">
        <f>厨电!M87+洗碗机!M87</f>
        <v>0</v>
      </c>
      <c r="N87" s="201">
        <f>厨电!N87+洗碗机!N87</f>
        <v>0</v>
      </c>
      <c r="O87" s="201">
        <f>厨电!O87+洗碗机!O87</f>
        <v>0</v>
      </c>
      <c r="P87" s="296">
        <f t="shared" si="22"/>
        <v>4230.0692139728</v>
      </c>
      <c r="Q87" s="312">
        <f t="shared" si="24"/>
        <v>7.35033999366248</v>
      </c>
      <c r="R87" s="313">
        <f t="shared" si="23"/>
        <v>0.0995658383825766</v>
      </c>
      <c r="T87" s="347">
        <f t="shared" si="21"/>
        <v>-0.464362934977477</v>
      </c>
    </row>
    <row r="88" spans="1:20">
      <c r="A88" s="350">
        <f t="shared" si="20"/>
        <v>197.49683</v>
      </c>
      <c r="B88" s="198"/>
      <c r="C88" s="25" t="s">
        <v>66</v>
      </c>
      <c r="D88" s="201">
        <f>厨电!D88+洗碗机!D88</f>
        <v>65.73331</v>
      </c>
      <c r="E88" s="201">
        <f>厨电!E88+洗碗机!E88</f>
        <v>67.47993</v>
      </c>
      <c r="F88" s="201">
        <f>厨电!F88+洗碗机!F88</f>
        <v>64.28359</v>
      </c>
      <c r="G88" s="201">
        <f>厨电!G88+洗碗机!G88</f>
        <v>109.59202</v>
      </c>
      <c r="H88" s="201">
        <f>厨电!H88+洗碗机!H88</f>
        <v>0</v>
      </c>
      <c r="I88" s="201">
        <f>厨电!I88+洗碗机!I88</f>
        <v>0</v>
      </c>
      <c r="J88" s="201">
        <f>厨电!J88+洗碗机!J88</f>
        <v>0</v>
      </c>
      <c r="K88" s="201">
        <f>厨电!K88+洗碗机!K88</f>
        <v>0</v>
      </c>
      <c r="L88" s="201">
        <f>厨电!L88+洗碗机!L88</f>
        <v>0</v>
      </c>
      <c r="M88" s="201">
        <f>厨电!M88+洗碗机!M88</f>
        <v>0</v>
      </c>
      <c r="N88" s="201">
        <f>厨电!N88+洗碗机!N88</f>
        <v>0</v>
      </c>
      <c r="O88" s="201">
        <f>厨电!O88+洗碗机!O88</f>
        <v>0</v>
      </c>
      <c r="P88" s="296">
        <f t="shared" si="22"/>
        <v>307.08885</v>
      </c>
      <c r="Q88" s="312">
        <f t="shared" si="24"/>
        <v>0.533610052598381</v>
      </c>
      <c r="R88" s="313">
        <f t="shared" si="23"/>
        <v>0.00722814622209817</v>
      </c>
      <c r="T88" s="347">
        <f t="shared" si="21"/>
        <v>0.0528630029960486</v>
      </c>
    </row>
    <row r="89" spans="1:20">
      <c r="A89" s="350">
        <f t="shared" si="20"/>
        <v>69.00406</v>
      </c>
      <c r="B89" s="198"/>
      <c r="C89" s="25" t="s">
        <v>33</v>
      </c>
      <c r="D89" s="201">
        <f>厨电!D89+洗碗机!D89</f>
        <v>18.65267</v>
      </c>
      <c r="E89" s="201">
        <f>厨电!E89+洗碗机!E89</f>
        <v>37.63015</v>
      </c>
      <c r="F89" s="201">
        <f>厨电!F89+洗碗机!F89</f>
        <v>12.72124</v>
      </c>
      <c r="G89" s="201">
        <f>厨电!G89+洗碗机!G89</f>
        <v>115.70389</v>
      </c>
      <c r="H89" s="201">
        <f>厨电!H89+洗碗机!H89</f>
        <v>0</v>
      </c>
      <c r="I89" s="201">
        <f>厨电!I89+洗碗机!I89</f>
        <v>0</v>
      </c>
      <c r="J89" s="201">
        <f>厨电!J89+洗碗机!J89</f>
        <v>0</v>
      </c>
      <c r="K89" s="201">
        <f>厨电!K89+洗碗机!K89</f>
        <v>0</v>
      </c>
      <c r="L89" s="201">
        <f>厨电!L89+洗碗机!L89</f>
        <v>0</v>
      </c>
      <c r="M89" s="201">
        <f>厨电!M89+洗碗机!M89</f>
        <v>0</v>
      </c>
      <c r="N89" s="201">
        <f>厨电!N89+洗碗机!N89</f>
        <v>0</v>
      </c>
      <c r="O89" s="201">
        <f>厨电!O89+洗碗机!O89</f>
        <v>0</v>
      </c>
      <c r="P89" s="296">
        <f t="shared" si="22"/>
        <v>184.70795</v>
      </c>
      <c r="Q89" s="312">
        <f t="shared" si="24"/>
        <v>0.320956032479978</v>
      </c>
      <c r="R89" s="313">
        <f t="shared" si="23"/>
        <v>0.00434758888505394</v>
      </c>
      <c r="T89" s="347">
        <f t="shared" si="21"/>
        <v>0.269288297588479</v>
      </c>
    </row>
    <row r="90" spans="1:20">
      <c r="A90" s="350">
        <f t="shared" si="20"/>
        <v>-371.87022</v>
      </c>
      <c r="B90" s="198"/>
      <c r="C90" s="25" t="s">
        <v>67</v>
      </c>
      <c r="D90" s="201">
        <f>厨电!D90+洗碗机!D90</f>
        <v>-122.11046</v>
      </c>
      <c r="E90" s="201">
        <f>厨电!E90+洗碗机!E90</f>
        <v>-141.68703</v>
      </c>
      <c r="F90" s="201">
        <f>厨电!F90+洗碗机!F90</f>
        <v>-108.07273</v>
      </c>
      <c r="G90" s="201">
        <f>厨电!G90+洗碗机!G90</f>
        <v>-138.1531</v>
      </c>
      <c r="H90" s="201">
        <f>厨电!H90+洗碗机!H90</f>
        <v>0</v>
      </c>
      <c r="I90" s="201">
        <f>厨电!I90+洗碗机!I90</f>
        <v>0</v>
      </c>
      <c r="J90" s="201">
        <f>厨电!J90+洗碗机!J90</f>
        <v>0</v>
      </c>
      <c r="K90" s="201">
        <f>厨电!K90+洗碗机!K90</f>
        <v>0</v>
      </c>
      <c r="L90" s="201">
        <f>厨电!L90+洗碗机!L90</f>
        <v>0</v>
      </c>
      <c r="M90" s="201">
        <f>厨电!M90+洗碗机!M90</f>
        <v>0</v>
      </c>
      <c r="N90" s="201">
        <f>厨电!N90+洗碗机!N90</f>
        <v>0</v>
      </c>
      <c r="O90" s="201">
        <f>厨电!O90+洗碗机!O90</f>
        <v>0</v>
      </c>
      <c r="P90" s="296">
        <f t="shared" si="22"/>
        <v>-510.02332</v>
      </c>
      <c r="Q90" s="312">
        <f t="shared" si="24"/>
        <v>-0.886237226169562</v>
      </c>
      <c r="R90" s="313">
        <f t="shared" si="23"/>
        <v>-0.0120047443391057</v>
      </c>
      <c r="T90" s="347">
        <f t="shared" si="21"/>
        <v>0.108225699219848</v>
      </c>
    </row>
    <row r="91" spans="1:20">
      <c r="A91" s="350">
        <f t="shared" si="20"/>
        <v>173.84496</v>
      </c>
      <c r="B91" s="198"/>
      <c r="C91" s="25" t="s">
        <v>35</v>
      </c>
      <c r="D91" s="201">
        <f>厨电!D91+洗碗机!D91</f>
        <v>63.88775</v>
      </c>
      <c r="E91" s="201">
        <f>厨电!E91+洗碗机!E91</f>
        <v>62.01218</v>
      </c>
      <c r="F91" s="201">
        <f>厨电!F91+洗碗机!F91</f>
        <v>47.94503</v>
      </c>
      <c r="G91" s="201">
        <f>厨电!G91+洗碗机!G91</f>
        <v>62.44103</v>
      </c>
      <c r="H91" s="201">
        <f>厨电!H91+洗碗机!H91</f>
        <v>0</v>
      </c>
      <c r="I91" s="201">
        <f>厨电!I91+洗碗机!I91</f>
        <v>0</v>
      </c>
      <c r="J91" s="201">
        <f>厨电!J91+洗碗机!J91</f>
        <v>0</v>
      </c>
      <c r="K91" s="201">
        <f>厨电!K91+洗碗机!K91</f>
        <v>0</v>
      </c>
      <c r="L91" s="201">
        <f>厨电!L91+洗碗机!L91</f>
        <v>0</v>
      </c>
      <c r="M91" s="201">
        <f>厨电!M91+洗碗机!M91</f>
        <v>0</v>
      </c>
      <c r="N91" s="201">
        <f>厨电!N91+洗碗机!N91</f>
        <v>0</v>
      </c>
      <c r="O91" s="201">
        <f>厨电!O91+洗碗机!O91</f>
        <v>0</v>
      </c>
      <c r="P91" s="296">
        <f t="shared" ref="P91:P95" si="25">SUM(D91:O91)</f>
        <v>236.28599</v>
      </c>
      <c r="Q91" s="312">
        <f t="shared" si="24"/>
        <v>0.410580128689663</v>
      </c>
      <c r="R91" s="313">
        <f t="shared" si="23"/>
        <v>0.00556161412553151</v>
      </c>
      <c r="T91" s="347">
        <f t="shared" si="21"/>
        <v>-0.15410944386312</v>
      </c>
    </row>
    <row r="92" spans="1:20">
      <c r="A92" s="350">
        <f t="shared" si="20"/>
        <v>1244.98189</v>
      </c>
      <c r="B92" s="336" t="s">
        <v>36</v>
      </c>
      <c r="C92" s="337" t="s">
        <v>37</v>
      </c>
      <c r="D92" s="201">
        <f>厨电!D92+洗碗机!D92</f>
        <v>489.86078</v>
      </c>
      <c r="E92" s="201">
        <f>厨电!E92+洗碗机!E92</f>
        <v>340.4507</v>
      </c>
      <c r="F92" s="201">
        <f>厨电!F92+洗碗机!F92</f>
        <v>414.67041</v>
      </c>
      <c r="G92" s="201">
        <f>厨电!G92+洗碗机!G92</f>
        <v>363.96881</v>
      </c>
      <c r="H92" s="201">
        <f>厨电!H92+洗碗机!H92</f>
        <v>0</v>
      </c>
      <c r="I92" s="201">
        <f>厨电!I92+洗碗机!I92</f>
        <v>0</v>
      </c>
      <c r="J92" s="201">
        <f>厨电!J92+洗碗机!J92</f>
        <v>0</v>
      </c>
      <c r="K92" s="201">
        <f>厨电!K92+洗碗机!K92</f>
        <v>0</v>
      </c>
      <c r="L92" s="201">
        <f>厨电!L92+洗碗机!L92</f>
        <v>0</v>
      </c>
      <c r="M92" s="201">
        <f>厨电!M92+洗碗机!M92</f>
        <v>0</v>
      </c>
      <c r="N92" s="201">
        <f>厨电!N92+洗碗机!N92</f>
        <v>0</v>
      </c>
      <c r="O92" s="201">
        <f>厨电!O92+洗碗机!O92</f>
        <v>0</v>
      </c>
      <c r="P92" s="344">
        <f t="shared" si="25"/>
        <v>1608.9507</v>
      </c>
      <c r="Q92" s="312">
        <f t="shared" si="24"/>
        <v>2.79577805464185</v>
      </c>
      <c r="R92" s="313">
        <f t="shared" si="23"/>
        <v>0.0378708993301034</v>
      </c>
      <c r="T92" s="347">
        <f t="shared" si="21"/>
        <v>-1.41826635605849</v>
      </c>
    </row>
    <row r="93" spans="1:16">
      <c r="A93" s="350">
        <f t="shared" si="20"/>
        <v>552.71343</v>
      </c>
      <c r="B93" s="336"/>
      <c r="C93" s="362" t="s">
        <v>38</v>
      </c>
      <c r="D93" s="201">
        <f>厨电!D93+洗碗机!D93</f>
        <v>183.51553</v>
      </c>
      <c r="E93" s="201">
        <f>厨电!E93+洗碗机!E93</f>
        <v>184.59895</v>
      </c>
      <c r="F93" s="201">
        <f>厨电!F93+洗碗机!F93</f>
        <v>184.59895</v>
      </c>
      <c r="G93" s="201">
        <f>厨电!G93+洗碗机!G93</f>
        <v>184.59895</v>
      </c>
      <c r="H93" s="201">
        <f>厨电!H93+洗碗机!H93</f>
        <v>0</v>
      </c>
      <c r="I93" s="201">
        <f>厨电!I93+洗碗机!I93</f>
        <v>0</v>
      </c>
      <c r="J93" s="201">
        <f>厨电!J93+洗碗机!J93</f>
        <v>0</v>
      </c>
      <c r="K93" s="201">
        <f>厨电!K93+洗碗机!K93</f>
        <v>0</v>
      </c>
      <c r="L93" s="201">
        <f>厨电!L93+洗碗机!L93</f>
        <v>0</v>
      </c>
      <c r="M93" s="201">
        <f>厨电!M93+洗碗机!M93</f>
        <v>0</v>
      </c>
      <c r="N93" s="201">
        <f>厨电!N93+洗碗机!N93</f>
        <v>0</v>
      </c>
      <c r="O93" s="201">
        <f>厨电!O93+洗碗机!O93</f>
        <v>0</v>
      </c>
      <c r="P93" s="344">
        <f t="shared" si="25"/>
        <v>737.31238</v>
      </c>
    </row>
    <row r="94" spans="1:16">
      <c r="A94" s="350">
        <f t="shared" si="20"/>
        <v>21.23472</v>
      </c>
      <c r="B94" s="336"/>
      <c r="C94" s="362" t="s">
        <v>39</v>
      </c>
      <c r="D94" s="201">
        <f>厨电!D94+洗碗机!D94</f>
        <v>9.64076</v>
      </c>
      <c r="E94" s="201">
        <f>厨电!E94+洗碗机!E94</f>
        <v>4.74062</v>
      </c>
      <c r="F94" s="201">
        <f>厨电!F94+洗碗机!F94</f>
        <v>6.85334</v>
      </c>
      <c r="G94" s="201">
        <f>厨电!G94+洗碗机!G94</f>
        <v>21.44317</v>
      </c>
      <c r="H94" s="201">
        <f>厨电!H94+洗碗机!H94</f>
        <v>0</v>
      </c>
      <c r="I94" s="201">
        <f>厨电!I94+洗碗机!I94</f>
        <v>0</v>
      </c>
      <c r="J94" s="201">
        <f>厨电!J94+洗碗机!J94</f>
        <v>0</v>
      </c>
      <c r="K94" s="201">
        <f>厨电!K94+洗碗机!K94</f>
        <v>0</v>
      </c>
      <c r="L94" s="201">
        <f>厨电!L94+洗碗机!L94</f>
        <v>0</v>
      </c>
      <c r="M94" s="201">
        <f>厨电!M94+洗碗机!M94</f>
        <v>0</v>
      </c>
      <c r="N94" s="201">
        <f>厨电!N94+洗碗机!N94</f>
        <v>0</v>
      </c>
      <c r="O94" s="201">
        <f>厨电!O94+洗碗机!O94</f>
        <v>0</v>
      </c>
      <c r="P94" s="344">
        <f t="shared" si="25"/>
        <v>42.67789</v>
      </c>
    </row>
    <row r="95" spans="1:16">
      <c r="A95" s="350">
        <f t="shared" si="20"/>
        <v>645.77263</v>
      </c>
      <c r="B95" s="336"/>
      <c r="C95" s="362" t="s">
        <v>40</v>
      </c>
      <c r="D95" s="201">
        <f>厨电!D95+洗碗机!D95</f>
        <v>296.70449</v>
      </c>
      <c r="E95" s="201">
        <f>厨电!E95+洗碗机!E95</f>
        <v>125.85002</v>
      </c>
      <c r="F95" s="201">
        <f>厨电!F95+洗碗机!F95</f>
        <v>223.21812</v>
      </c>
      <c r="G95" s="201">
        <f>厨电!G95+洗碗机!G95</f>
        <v>157.92669</v>
      </c>
      <c r="H95" s="201">
        <f>厨电!H95+洗碗机!H95</f>
        <v>0</v>
      </c>
      <c r="I95" s="201">
        <f>厨电!I95+洗碗机!I95</f>
        <v>0</v>
      </c>
      <c r="J95" s="201">
        <f>厨电!J95+洗碗机!J95</f>
        <v>0</v>
      </c>
      <c r="K95" s="201">
        <f>厨电!K95+洗碗机!K95</f>
        <v>0</v>
      </c>
      <c r="L95" s="201">
        <f>厨电!L95+洗碗机!L95</f>
        <v>0</v>
      </c>
      <c r="M95" s="201">
        <f>厨电!M95+洗碗机!M95</f>
        <v>0</v>
      </c>
      <c r="N95" s="201">
        <f>厨电!N95+洗碗机!N95</f>
        <v>0</v>
      </c>
      <c r="O95" s="201">
        <f>厨电!O95+洗碗机!O95</f>
        <v>0</v>
      </c>
      <c r="P95" s="344">
        <f t="shared" si="25"/>
        <v>803.69932</v>
      </c>
    </row>
    <row r="96" spans="1:16">
      <c r="A96" s="350">
        <f t="shared" si="20"/>
        <v>12680.53582</v>
      </c>
      <c r="B96" s="293" t="s">
        <v>15</v>
      </c>
      <c r="C96" s="293"/>
      <c r="D96" s="303">
        <f>厨电!D96+洗碗机!D96</f>
        <v>4272.12023</v>
      </c>
      <c r="E96" s="303">
        <f>厨电!E96+洗碗机!E96</f>
        <v>4102.91719</v>
      </c>
      <c r="F96" s="303">
        <f>厨电!F96+洗碗机!F96</f>
        <v>4305.4984</v>
      </c>
      <c r="G96" s="303">
        <f>厨电!G96+洗碗机!G96</f>
        <v>2991.67982970365</v>
      </c>
      <c r="H96" s="303">
        <f>厨电!H96+洗碗机!H96</f>
        <v>0</v>
      </c>
      <c r="I96" s="303">
        <f>厨电!I96+洗碗机!I96</f>
        <v>0</v>
      </c>
      <c r="J96" s="303">
        <f>厨电!J96+洗碗机!J96</f>
        <v>0</v>
      </c>
      <c r="K96" s="303">
        <f>厨电!K96+洗碗机!K96</f>
        <v>0</v>
      </c>
      <c r="L96" s="303">
        <f>厨电!L96+洗碗机!L96</f>
        <v>0</v>
      </c>
      <c r="M96" s="303">
        <f>厨电!M96+洗碗机!M96</f>
        <v>0</v>
      </c>
      <c r="N96" s="303">
        <f>厨电!N96+洗碗机!N96</f>
        <v>0</v>
      </c>
      <c r="O96" s="303">
        <f>厨电!O96+洗碗机!O96</f>
        <v>0</v>
      </c>
      <c r="P96" s="296">
        <f>SUM(P80:P92)</f>
        <v>15672.2156497037</v>
      </c>
    </row>
    <row r="97" spans="1:16">
      <c r="A97" s="292">
        <f>A96/A79*1000</f>
        <v>29.8904984289294</v>
      </c>
      <c r="B97" s="293" t="s">
        <v>16</v>
      </c>
      <c r="C97" s="293"/>
      <c r="D97" s="294">
        <f>D96/D79*1000</f>
        <v>29.469401730037</v>
      </c>
      <c r="E97" s="294">
        <f t="shared" ref="E97:P97" si="26">E96/E79*1000</f>
        <v>27.5572561069805</v>
      </c>
      <c r="F97" s="363">
        <f t="shared" si="26"/>
        <v>33.0231971651659</v>
      </c>
      <c r="G97" s="294">
        <f t="shared" si="26"/>
        <v>19.7783936910197</v>
      </c>
      <c r="H97" s="294" t="e">
        <f t="shared" si="26"/>
        <v>#DIV/0!</v>
      </c>
      <c r="I97" s="294" t="e">
        <f t="shared" si="26"/>
        <v>#DIV/0!</v>
      </c>
      <c r="J97" s="294" t="e">
        <f t="shared" si="26"/>
        <v>#DIV/0!</v>
      </c>
      <c r="K97" s="294" t="e">
        <f t="shared" si="26"/>
        <v>#DIV/0!</v>
      </c>
      <c r="L97" s="294" t="e">
        <f t="shared" si="26"/>
        <v>#DIV/0!</v>
      </c>
      <c r="M97" s="294" t="e">
        <f t="shared" si="26"/>
        <v>#DIV/0!</v>
      </c>
      <c r="N97" s="294" t="e">
        <f t="shared" si="26"/>
        <v>#DIV/0!</v>
      </c>
      <c r="O97" s="294" t="e">
        <f t="shared" si="26"/>
        <v>#DIV/0!</v>
      </c>
      <c r="P97" s="294">
        <f t="shared" si="26"/>
        <v>27.2326781554313</v>
      </c>
    </row>
    <row r="98" spans="1:17">
      <c r="A98" s="350">
        <f>SUM(D98:F98)</f>
        <v>2195.89317667839</v>
      </c>
      <c r="B98" s="293" t="s">
        <v>42</v>
      </c>
      <c r="C98" s="293"/>
      <c r="D98" s="201">
        <f>厨电!D98+洗碗机!D98</f>
        <v>795.75699926457</v>
      </c>
      <c r="E98" s="201">
        <f>厨电!E98+洗碗机!E98</f>
        <v>616.845917438735</v>
      </c>
      <c r="F98" s="201">
        <f>厨电!F98+洗碗机!F98</f>
        <v>783.290259975085</v>
      </c>
      <c r="G98" s="201">
        <f>厨电!G98+洗碗机!G98</f>
        <v>269.96061732569</v>
      </c>
      <c r="H98" s="201">
        <f>厨电!H98+洗碗机!H98</f>
        <v>0</v>
      </c>
      <c r="I98" s="201">
        <f>厨电!I98+洗碗机!I98</f>
        <v>0</v>
      </c>
      <c r="J98" s="201">
        <f>厨电!J98+洗碗机!J98</f>
        <v>0</v>
      </c>
      <c r="K98" s="201">
        <f>厨电!K98+洗碗机!K98</f>
        <v>0</v>
      </c>
      <c r="L98" s="201">
        <f>厨电!L98+洗碗机!L98</f>
        <v>0</v>
      </c>
      <c r="M98" s="201">
        <f>厨电!M98+洗碗机!M98</f>
        <v>0</v>
      </c>
      <c r="N98" s="201">
        <f>厨电!N98+洗碗机!N98</f>
        <v>0</v>
      </c>
      <c r="O98" s="201">
        <f>厨电!O98+洗碗机!O98</f>
        <v>0</v>
      </c>
      <c r="P98" s="201"/>
      <c r="Q98" s="312">
        <f>P98/$P$54*1000</f>
        <v>0</v>
      </c>
    </row>
    <row r="99" spans="1:16">
      <c r="A99" s="301">
        <f>A97/A78</f>
        <v>0.239123987431435</v>
      </c>
      <c r="C99" s="196" t="s">
        <v>68</v>
      </c>
      <c r="D99" s="279">
        <f t="shared" ref="D99:P99" si="27">D97/D78</f>
        <v>0.190605769736385</v>
      </c>
      <c r="E99" s="279">
        <f t="shared" si="27"/>
        <v>0.187792501757244</v>
      </c>
      <c r="F99" s="279">
        <f t="shared" si="27"/>
        <v>0.227298882684887</v>
      </c>
      <c r="G99" s="279">
        <f t="shared" si="27"/>
        <v>0.134782433256679</v>
      </c>
      <c r="H99" s="279" t="e">
        <f t="shared" si="27"/>
        <v>#DIV/0!</v>
      </c>
      <c r="I99" s="279" t="e">
        <f t="shared" si="27"/>
        <v>#DIV/0!</v>
      </c>
      <c r="J99" s="279" t="e">
        <f t="shared" si="27"/>
        <v>#DIV/0!</v>
      </c>
      <c r="K99" s="279" t="e">
        <f t="shared" si="27"/>
        <v>#DIV/0!</v>
      </c>
      <c r="L99" s="279" t="e">
        <f t="shared" si="27"/>
        <v>#DIV/0!</v>
      </c>
      <c r="M99" s="279" t="e">
        <f t="shared" si="27"/>
        <v>#DIV/0!</v>
      </c>
      <c r="N99" s="279" t="e">
        <f t="shared" si="27"/>
        <v>#DIV/0!</v>
      </c>
      <c r="O99" s="279" t="e">
        <f t="shared" si="27"/>
        <v>#DIV/0!</v>
      </c>
      <c r="P99" s="279" t="e">
        <f t="shared" si="27"/>
        <v>#DIV/0!</v>
      </c>
    </row>
    <row r="101" ht="14" customHeight="1" spans="3:20">
      <c r="C101" s="296" t="s">
        <v>69</v>
      </c>
      <c r="D101" s="296"/>
      <c r="E101" s="296"/>
      <c r="F101" s="296"/>
      <c r="G101" s="296"/>
      <c r="H101" s="296"/>
      <c r="I101" s="296"/>
      <c r="J101" s="296"/>
      <c r="K101" s="296"/>
      <c r="L101" s="296"/>
      <c r="M101" s="296"/>
      <c r="N101" s="296"/>
      <c r="O101" s="296"/>
      <c r="P101" s="296"/>
      <c r="Q101" s="282" t="e">
        <f>P99/P80</f>
        <v>#DIV/0!</v>
      </c>
      <c r="R101" s="295"/>
      <c r="S101" s="317"/>
      <c r="T101" s="317"/>
    </row>
    <row r="102" spans="1:20">
      <c r="A102" s="25" t="s">
        <v>45</v>
      </c>
      <c r="C102" s="285" t="s">
        <v>2</v>
      </c>
      <c r="D102" s="297" t="s">
        <v>46</v>
      </c>
      <c r="E102" s="297" t="s">
        <v>47</v>
      </c>
      <c r="F102" s="297" t="s">
        <v>48</v>
      </c>
      <c r="G102" s="297" t="s">
        <v>49</v>
      </c>
      <c r="H102" s="297" t="s">
        <v>50</v>
      </c>
      <c r="I102" s="297" t="s">
        <v>51</v>
      </c>
      <c r="J102" s="297" t="s">
        <v>52</v>
      </c>
      <c r="K102" s="297" t="s">
        <v>53</v>
      </c>
      <c r="L102" s="297" t="s">
        <v>54</v>
      </c>
      <c r="M102" s="297" t="s">
        <v>55</v>
      </c>
      <c r="N102" s="297" t="s">
        <v>56</v>
      </c>
      <c r="O102" s="297" t="s">
        <v>57</v>
      </c>
      <c r="P102" s="304" t="s">
        <v>15</v>
      </c>
      <c r="Q102" s="205" t="s">
        <v>16</v>
      </c>
      <c r="R102" s="205" t="s">
        <v>17</v>
      </c>
      <c r="S102" s="205" t="s">
        <v>18</v>
      </c>
      <c r="T102" s="205" t="s">
        <v>19</v>
      </c>
    </row>
    <row r="103" spans="1:17">
      <c r="A103" s="25">
        <v>125</v>
      </c>
      <c r="B103" s="283" t="s">
        <v>20</v>
      </c>
      <c r="C103" s="283"/>
      <c r="D103" s="296">
        <f>(厨电!D103*厨电!D104+洗碗机!D103*洗碗机!D104)/(洗碗机!D104+厨电!D104)</f>
        <v>151.489049872283</v>
      </c>
      <c r="E103" s="296">
        <f>(厨电!E103*厨电!E104+洗碗机!E103*洗碗机!E104)/(洗碗机!E104+厨电!E104)</f>
        <v>151.573333333333</v>
      </c>
      <c r="F103" s="296">
        <f>(厨电!F103*厨电!F104+洗碗机!F103*洗碗机!F104)/(洗碗机!F104+厨电!F104)</f>
        <v>153.421982679079</v>
      </c>
      <c r="G103" s="296">
        <f>(厨电!G103*厨电!G104+洗碗机!G103*洗碗机!G104)/(洗碗机!G104+厨电!G104)</f>
        <v>152.770362805557</v>
      </c>
      <c r="H103" s="296">
        <f>(厨电!H103*厨电!H104+洗碗机!H103*洗碗机!H104)/(洗碗机!H104+厨电!H104)</f>
        <v>155.215722928734</v>
      </c>
      <c r="I103" s="296">
        <f>(厨电!I103*厨电!I104+洗碗机!I103*洗碗机!I104)/(洗碗机!I104+厨电!I104)</f>
        <v>153.929944298219</v>
      </c>
      <c r="J103" s="296">
        <f>(厨电!J103*厨电!J104+洗碗机!J103*洗碗机!J104)/(洗碗机!J104+厨电!J104)</f>
        <v>154.113321118085</v>
      </c>
      <c r="K103" s="296">
        <f>(厨电!K103*厨电!K104+洗碗机!K103*洗碗机!K104)/(洗碗机!K104+厨电!K104)</f>
        <v>153.745227940872</v>
      </c>
      <c r="L103" s="296">
        <f>(厨电!L103*厨电!L104+洗碗机!L103*洗碗机!L104)/(洗碗机!L104+厨电!L104)</f>
        <v>152.729578979987</v>
      </c>
      <c r="M103" s="296">
        <f>(厨电!M103*厨电!M104+洗碗机!M103*洗碗机!M104)/(洗碗机!M104+厨电!M104)</f>
        <v>149.919264182881</v>
      </c>
      <c r="N103" s="296">
        <f>(厨电!N103*厨电!N104+洗碗机!N103*洗碗机!N104)/(洗碗机!N104+厨电!N104)</f>
        <v>149.597280282877</v>
      </c>
      <c r="O103" s="296">
        <f>(厨电!O103*厨电!O104+洗碗机!O103*洗碗机!O104)/(洗碗机!O104+厨电!O104)</f>
        <v>152.127783544601</v>
      </c>
      <c r="P103" s="296">
        <f>(厨电!P103*厨电!P104+洗碗机!P103*洗碗机!P104)/(洗碗机!P104+厨电!P104)</f>
        <v>152.375803882608</v>
      </c>
      <c r="Q103" s="296">
        <f>P103</f>
        <v>152.375803882608</v>
      </c>
    </row>
    <row r="104" s="281" customFormat="1" spans="1:20">
      <c r="A104" s="350">
        <f>SUM(D104:F104)</f>
        <v>490968</v>
      </c>
      <c r="C104" s="248" t="s">
        <v>21</v>
      </c>
      <c r="D104" s="305">
        <f>厨电!D104+洗碗机!D104</f>
        <v>167167</v>
      </c>
      <c r="E104" s="305">
        <f>厨电!E104+洗碗机!E104</f>
        <v>166650</v>
      </c>
      <c r="F104" s="305">
        <f>厨电!F104+洗碗机!F104</f>
        <v>157151</v>
      </c>
      <c r="G104" s="305">
        <f>厨电!G104+洗碗机!G104</f>
        <v>152754</v>
      </c>
      <c r="H104" s="305">
        <f>厨电!H104+洗碗机!H104</f>
        <v>108593</v>
      </c>
      <c r="I104" s="305">
        <f>厨电!I104+洗碗机!I104</f>
        <v>163370</v>
      </c>
      <c r="J104" s="305">
        <f>厨电!J104+洗碗机!J104</f>
        <v>128255</v>
      </c>
      <c r="K104" s="305">
        <f>厨电!K104+洗碗机!K104</f>
        <v>120755</v>
      </c>
      <c r="L104" s="305">
        <f>厨电!L104+洗碗机!L104</f>
        <v>171037</v>
      </c>
      <c r="M104" s="305">
        <f>厨电!M104+洗碗机!M104</f>
        <v>169553</v>
      </c>
      <c r="N104" s="305">
        <f>厨电!N104+洗碗机!N104</f>
        <v>181563</v>
      </c>
      <c r="O104" s="305">
        <f>厨电!O104+洗碗机!O104</f>
        <v>131981</v>
      </c>
      <c r="P104" s="296">
        <f>SUM(D104:O104)</f>
        <v>1818829</v>
      </c>
      <c r="Q104" s="359">
        <f>P104/12</f>
        <v>151569.083333333</v>
      </c>
      <c r="R104" s="323"/>
      <c r="S104" s="323"/>
      <c r="T104" s="323"/>
    </row>
    <row r="105" ht="13.8" spans="1:18">
      <c r="A105" s="350">
        <f t="shared" ref="A105:A121" si="28">SUM(D105:F105)</f>
        <v>4118.37611413421</v>
      </c>
      <c r="B105" s="198" t="s">
        <v>22</v>
      </c>
      <c r="C105" s="92" t="s">
        <v>70</v>
      </c>
      <c r="D105" s="201">
        <f>厨电!D105+洗碗机!D105</f>
        <v>1393.14730522406</v>
      </c>
      <c r="E105" s="201">
        <f>厨电!E105+洗碗机!E105</f>
        <v>1316.11835878099</v>
      </c>
      <c r="F105" s="201">
        <f>厨电!F105+洗碗机!F105</f>
        <v>1409.11045012917</v>
      </c>
      <c r="G105" s="201">
        <f>厨电!G105+洗碗机!G105</f>
        <v>1384.21187633622</v>
      </c>
      <c r="H105" s="201">
        <f>厨电!H105+洗碗机!H105</f>
        <v>1408.14035244023</v>
      </c>
      <c r="I105" s="201">
        <f>厨电!I105+洗碗机!I105</f>
        <v>1391.11437098493</v>
      </c>
      <c r="J105" s="201">
        <f>厨电!J105+洗碗机!J105</f>
        <v>1483.30534871889</v>
      </c>
      <c r="K105" s="201">
        <f>厨电!K105+洗碗机!K105</f>
        <v>1493.57120997349</v>
      </c>
      <c r="L105" s="201">
        <f>厨电!L105+洗碗机!L105</f>
        <v>1467.96245464718</v>
      </c>
      <c r="M105" s="201">
        <f>厨电!M105+洗碗机!M105</f>
        <v>1499.48309522431</v>
      </c>
      <c r="N105" s="201">
        <f>厨电!N105+洗碗机!N105</f>
        <v>1476.41612136236</v>
      </c>
      <c r="O105" s="201">
        <f>厨电!O105+洗碗机!O105</f>
        <v>1510.50528875856</v>
      </c>
      <c r="P105" s="296">
        <f>SUM(D105:O105)</f>
        <v>17233.0862325804</v>
      </c>
      <c r="Q105" s="312">
        <f>P105/$P$104*1000</f>
        <v>9.47482486400888</v>
      </c>
      <c r="R105" s="313">
        <f>P105/$P$121</f>
        <v>0.316978860420904</v>
      </c>
    </row>
    <row r="106" spans="1:18">
      <c r="A106" s="350">
        <f t="shared" si="28"/>
        <v>479.536474829082</v>
      </c>
      <c r="B106" s="198"/>
      <c r="C106" s="25" t="s">
        <v>24</v>
      </c>
      <c r="D106" s="201">
        <f>厨电!D106+洗碗机!D106</f>
        <v>155.843543512199</v>
      </c>
      <c r="E106" s="201">
        <f>厨电!E106+洗碗机!E106</f>
        <v>173.591657242465</v>
      </c>
      <c r="F106" s="201">
        <f>厨电!F106+洗碗机!F106</f>
        <v>150.101274074418</v>
      </c>
      <c r="G106" s="201">
        <f>厨电!G106+洗碗机!G106</f>
        <v>149.5494128812</v>
      </c>
      <c r="H106" s="201">
        <f>厨电!H106+洗碗机!H106</f>
        <v>144.658230772988</v>
      </c>
      <c r="I106" s="201">
        <f>厨电!I106+洗碗机!I106</f>
        <v>150.194197805899</v>
      </c>
      <c r="J106" s="201">
        <f>厨电!J106+洗碗机!J106</f>
        <v>151.017152081126</v>
      </c>
      <c r="K106" s="201">
        <f>厨电!K106+洗碗机!K106</f>
        <v>144.926476270958</v>
      </c>
      <c r="L106" s="201">
        <f>厨电!L106+洗碗机!L106</f>
        <v>141.888730509488</v>
      </c>
      <c r="M106" s="201">
        <f>厨电!M106+洗碗机!M106</f>
        <v>154.749720402445</v>
      </c>
      <c r="N106" s="201">
        <f>厨电!N106+洗碗机!N106</f>
        <v>145.798349609725</v>
      </c>
      <c r="O106" s="201">
        <f>厨电!O106+洗碗机!O106</f>
        <v>141.1511819066</v>
      </c>
      <c r="P106" s="296">
        <f t="shared" ref="P106:P116" si="29">SUM(D106:O106)</f>
        <v>1803.46992706951</v>
      </c>
      <c r="Q106" s="312">
        <f t="shared" ref="Q106:Q117" si="30">P106/$P$104*1000</f>
        <v>0.991555515702417</v>
      </c>
      <c r="R106" s="313">
        <f t="shared" ref="R106:R117" si="31">P106/$P$121</f>
        <v>0.0331723427000032</v>
      </c>
    </row>
    <row r="107" spans="1:18">
      <c r="A107" s="350">
        <f t="shared" si="28"/>
        <v>64.0879122554437</v>
      </c>
      <c r="B107" s="198"/>
      <c r="C107" s="25" t="s">
        <v>25</v>
      </c>
      <c r="D107" s="201">
        <f>厨电!D107+洗碗机!D107</f>
        <v>21.5299611846539</v>
      </c>
      <c r="E107" s="201">
        <f>厨电!E107+洗碗机!E107</f>
        <v>21.3615909564808</v>
      </c>
      <c r="F107" s="201">
        <f>厨电!F107+洗碗机!F107</f>
        <v>21.1963601143089</v>
      </c>
      <c r="G107" s="201">
        <f>厨电!G107+洗碗机!G107</f>
        <v>21.0678424771517</v>
      </c>
      <c r="H107" s="201">
        <f>厨电!H107+洗碗机!H107</f>
        <v>20.9412241154204</v>
      </c>
      <c r="I107" s="201">
        <f>厨电!I107+洗碗机!I107</f>
        <v>20.8164769610053</v>
      </c>
      <c r="J107" s="201">
        <f>厨电!J107+洗碗机!J107</f>
        <v>20.7504731756005</v>
      </c>
      <c r="K107" s="201">
        <f>厨电!K107+洗碗机!K107</f>
        <v>20.6849932297624</v>
      </c>
      <c r="L107" s="201">
        <f>厨电!L107+洗碗机!L107</f>
        <v>20.6200329660341</v>
      </c>
      <c r="M107" s="201">
        <f>厨电!M107+洗碗机!M107</f>
        <v>20.4803763793947</v>
      </c>
      <c r="N107" s="201">
        <f>厨电!N107+洗碗机!N107</f>
        <v>20.3431217487909</v>
      </c>
      <c r="O107" s="201">
        <f>厨电!O107+洗碗机!O107</f>
        <v>20.2082277629394</v>
      </c>
      <c r="P107" s="296">
        <f t="shared" si="29"/>
        <v>250.000681071543</v>
      </c>
      <c r="Q107" s="312">
        <f t="shared" si="30"/>
        <v>0.137451448746167</v>
      </c>
      <c r="R107" s="313">
        <f t="shared" si="31"/>
        <v>0.00459841782957536</v>
      </c>
    </row>
    <row r="108" spans="1:18">
      <c r="A108" s="350">
        <f t="shared" si="28"/>
        <v>114.176487867034</v>
      </c>
      <c r="B108" s="198"/>
      <c r="C108" s="25" t="s">
        <v>26</v>
      </c>
      <c r="D108" s="201">
        <f>厨电!D108+洗碗机!D108</f>
        <v>38.3577343602626</v>
      </c>
      <c r="E108" s="201">
        <f>厨电!E108+洗碗机!E108</f>
        <v>38.1099832820389</v>
      </c>
      <c r="F108" s="201">
        <f>厨电!F108+洗碗机!F108</f>
        <v>37.7087702247322</v>
      </c>
      <c r="G108" s="201">
        <f>厨电!G108+洗碗机!G108</f>
        <v>33.771067116194</v>
      </c>
      <c r="H108" s="201">
        <f>厨电!H108+洗碗机!H108</f>
        <v>30.3635455998706</v>
      </c>
      <c r="I108" s="201">
        <f>厨电!I108+洗碗机!I108</f>
        <v>33.5706321017697</v>
      </c>
      <c r="J108" s="201">
        <f>厨电!J108+洗碗机!J108</f>
        <v>36.4495135893355</v>
      </c>
      <c r="K108" s="201">
        <f>厨电!K108+洗碗机!K108</f>
        <v>31.3679099610314</v>
      </c>
      <c r="L108" s="201">
        <f>厨电!L108+洗碗机!L108</f>
        <v>33.683804554028</v>
      </c>
      <c r="M108" s="201">
        <f>厨电!M108+洗碗机!M108</f>
        <v>39.8334499280873</v>
      </c>
      <c r="N108" s="201">
        <f>厨电!N108+洗碗机!N108</f>
        <v>41.3761753977276</v>
      </c>
      <c r="O108" s="201">
        <f>厨电!O108+洗碗机!O108</f>
        <v>40.5570351314918</v>
      </c>
      <c r="P108" s="296">
        <f t="shared" si="29"/>
        <v>435.14962124657</v>
      </c>
      <c r="Q108" s="312">
        <f t="shared" si="30"/>
        <v>0.239247131669096</v>
      </c>
      <c r="R108" s="313">
        <f t="shared" si="31"/>
        <v>0.00800397730236808</v>
      </c>
    </row>
    <row r="109" spans="1:18">
      <c r="A109" s="350">
        <f t="shared" si="28"/>
        <v>1616.71617826813</v>
      </c>
      <c r="B109" s="198"/>
      <c r="C109" s="25" t="s">
        <v>27</v>
      </c>
      <c r="D109" s="201">
        <f>厨电!D109+洗碗机!D109</f>
        <v>510.446274680623</v>
      </c>
      <c r="E109" s="201">
        <f>厨电!E109+洗碗机!E109</f>
        <v>546.618284107622</v>
      </c>
      <c r="F109" s="201">
        <f>厨电!F109+洗碗机!F109</f>
        <v>559.651619479882</v>
      </c>
      <c r="G109" s="201">
        <f>厨电!G109+洗碗机!G109</f>
        <v>528.227806136723</v>
      </c>
      <c r="H109" s="201">
        <f>厨电!H109+洗碗机!H109</f>
        <v>588.355735466907</v>
      </c>
      <c r="I109" s="201">
        <f>厨电!I109+洗碗机!I109</f>
        <v>563.765413039622</v>
      </c>
      <c r="J109" s="201">
        <f>厨电!J109+洗碗机!J109</f>
        <v>568.548530509824</v>
      </c>
      <c r="K109" s="201">
        <f>厨电!K109+洗碗机!K109</f>
        <v>547.300117131555</v>
      </c>
      <c r="L109" s="201">
        <f>厨电!L109+洗碗机!L109</f>
        <v>619.799644158455</v>
      </c>
      <c r="M109" s="201">
        <f>厨电!M109+洗碗机!M109</f>
        <v>647.396176821196</v>
      </c>
      <c r="N109" s="201">
        <f>厨电!N109+洗碗机!N109</f>
        <v>571.04250387377</v>
      </c>
      <c r="O109" s="201">
        <f>厨电!O109+洗碗机!O109</f>
        <v>755.475996203698</v>
      </c>
      <c r="P109" s="296">
        <f t="shared" si="29"/>
        <v>7006.62810160988</v>
      </c>
      <c r="Q109" s="312">
        <f t="shared" si="30"/>
        <v>3.85227423887011</v>
      </c>
      <c r="R109" s="313">
        <f t="shared" si="31"/>
        <v>0.12887726325204</v>
      </c>
    </row>
    <row r="110" spans="1:18">
      <c r="A110" s="350">
        <f t="shared" si="28"/>
        <v>787.754733735963</v>
      </c>
      <c r="B110" s="198"/>
      <c r="C110" s="25" t="s">
        <v>28</v>
      </c>
      <c r="D110" s="201">
        <f>厨电!D110+洗碗机!D110</f>
        <v>260.901805183496</v>
      </c>
      <c r="E110" s="201">
        <f>厨电!E110+洗碗机!E110</f>
        <v>275.589827199954</v>
      </c>
      <c r="F110" s="201">
        <f>厨电!F110+洗碗机!F110</f>
        <v>251.263101352512</v>
      </c>
      <c r="G110" s="201">
        <f>厨电!G110+洗碗机!G110</f>
        <v>254.60129554557</v>
      </c>
      <c r="H110" s="201">
        <f>厨电!H110+洗碗机!H110</f>
        <v>269.443995899759</v>
      </c>
      <c r="I110" s="201">
        <f>厨电!I110+洗碗机!I110</f>
        <v>256.973537733028</v>
      </c>
      <c r="J110" s="201">
        <f>厨电!J110+洗碗机!J110</f>
        <v>240.20929617695</v>
      </c>
      <c r="K110" s="201">
        <f>厨电!K110+洗碗机!K110</f>
        <v>240.171358949856</v>
      </c>
      <c r="L110" s="201">
        <f>厨电!L110+洗碗机!L110</f>
        <v>252.513657725047</v>
      </c>
      <c r="M110" s="201">
        <f>厨电!M110+洗碗机!M110</f>
        <v>236.971080832122</v>
      </c>
      <c r="N110" s="201">
        <f>厨电!N110+洗碗机!N110</f>
        <v>232.89541113722</v>
      </c>
      <c r="O110" s="201">
        <f>厨电!O110+洗碗机!O110</f>
        <v>228.889838955499</v>
      </c>
      <c r="P110" s="296">
        <f t="shared" si="29"/>
        <v>3000.42420669101</v>
      </c>
      <c r="Q110" s="312">
        <f t="shared" si="30"/>
        <v>1.64964612214288</v>
      </c>
      <c r="R110" s="313">
        <f t="shared" si="31"/>
        <v>0.0551886663236294</v>
      </c>
    </row>
    <row r="111" spans="1:18">
      <c r="A111" s="350">
        <f t="shared" si="28"/>
        <v>1278.79922400252</v>
      </c>
      <c r="B111" s="198"/>
      <c r="C111" s="25" t="s">
        <v>29</v>
      </c>
      <c r="D111" s="201">
        <f>厨电!D111+洗碗机!D111</f>
        <v>506.585107850375</v>
      </c>
      <c r="E111" s="201">
        <f>厨电!E111+洗碗机!E111</f>
        <v>398.145706273669</v>
      </c>
      <c r="F111" s="201">
        <f>厨电!F111+洗碗机!F111</f>
        <v>374.068409878478</v>
      </c>
      <c r="G111" s="201">
        <f>厨电!G111+洗碗机!G111</f>
        <v>333.29002845061</v>
      </c>
      <c r="H111" s="201">
        <f>厨电!H111+洗碗机!H111</f>
        <v>299.905858249234</v>
      </c>
      <c r="I111" s="201">
        <f>厨电!I111+洗碗机!I111</f>
        <v>357.038973420631</v>
      </c>
      <c r="J111" s="201">
        <f>厨电!J111+洗碗机!J111</f>
        <v>354.999804436509</v>
      </c>
      <c r="K111" s="201">
        <f>厨电!K111+洗碗机!K111</f>
        <v>357.212515322801</v>
      </c>
      <c r="L111" s="201">
        <f>厨电!L111+洗碗机!L111</f>
        <v>376.483674205259</v>
      </c>
      <c r="M111" s="201">
        <f>厨电!M111+洗碗机!M111</f>
        <v>380.657783646622</v>
      </c>
      <c r="N111" s="201">
        <f>厨电!N111+洗碗机!N111</f>
        <v>382.367416022454</v>
      </c>
      <c r="O111" s="201">
        <f>厨电!O111+洗碗机!O111</f>
        <v>364.471201416166</v>
      </c>
      <c r="P111" s="296">
        <f t="shared" si="29"/>
        <v>4485.22647917281</v>
      </c>
      <c r="Q111" s="312">
        <f t="shared" si="30"/>
        <v>2.46599679198694</v>
      </c>
      <c r="R111" s="313">
        <f t="shared" si="31"/>
        <v>0.0824995568936451</v>
      </c>
    </row>
    <row r="112" spans="1:18">
      <c r="A112" s="350">
        <f t="shared" si="28"/>
        <v>3460.36136817491</v>
      </c>
      <c r="B112" s="198" t="s">
        <v>30</v>
      </c>
      <c r="C112" s="25" t="s">
        <v>31</v>
      </c>
      <c r="D112" s="201">
        <f>厨电!D112+洗碗机!D112</f>
        <v>1062.53272940305</v>
      </c>
      <c r="E112" s="201">
        <f>厨电!E112+洗碗机!E112</f>
        <v>1197.05115442257</v>
      </c>
      <c r="F112" s="201">
        <f>厨电!F112+洗碗机!F112</f>
        <v>1200.77748434929</v>
      </c>
      <c r="G112" s="201">
        <f>厨电!G112+洗碗机!G112</f>
        <v>1077.68491604864</v>
      </c>
      <c r="H112" s="201">
        <f>厨电!H112+洗碗机!H112</f>
        <v>1226.16608936527</v>
      </c>
      <c r="I112" s="201">
        <f>厨电!I112+洗碗机!I112</f>
        <v>1110.39035559289</v>
      </c>
      <c r="J112" s="201">
        <f>厨电!J112+洗碗机!J112</f>
        <v>1002.66426224524</v>
      </c>
      <c r="K112" s="201">
        <f>厨电!K112+洗碗机!K112</f>
        <v>1015.61030322653</v>
      </c>
      <c r="L112" s="201">
        <f>厨电!L112+洗碗机!L112</f>
        <v>1315.48327435607</v>
      </c>
      <c r="M112" s="201">
        <f>厨电!M112+洗碗机!M112</f>
        <v>1164.92916495488</v>
      </c>
      <c r="N112" s="201">
        <f>厨电!N112+洗碗机!N112</f>
        <v>1283.36766829055</v>
      </c>
      <c r="O112" s="201">
        <f>厨电!O112+洗碗机!O112</f>
        <v>1289.60676104331</v>
      </c>
      <c r="P112" s="296">
        <f t="shared" si="29"/>
        <v>13946.2641632983</v>
      </c>
      <c r="Q112" s="312">
        <f t="shared" si="30"/>
        <v>7.66771596631585</v>
      </c>
      <c r="R112" s="313">
        <f t="shared" si="31"/>
        <v>0.25652230029776</v>
      </c>
    </row>
    <row r="113" spans="1:18">
      <c r="A113" s="350">
        <f t="shared" si="28"/>
        <v>273.006323076158</v>
      </c>
      <c r="B113" s="198"/>
      <c r="C113" s="25" t="s">
        <v>66</v>
      </c>
      <c r="D113" s="201">
        <f>厨电!D113+洗碗机!D113</f>
        <v>85.1567151234641</v>
      </c>
      <c r="E113" s="201">
        <f>厨电!E113+洗碗机!E113</f>
        <v>97.9430394449908</v>
      </c>
      <c r="F113" s="201">
        <f>厨电!F113+洗碗机!F113</f>
        <v>89.9065685077027</v>
      </c>
      <c r="G113" s="201">
        <f>厨电!G113+洗碗机!G113</f>
        <v>78.8339535610861</v>
      </c>
      <c r="H113" s="201">
        <f>厨电!H113+洗碗机!H113</f>
        <v>55.0389170698995</v>
      </c>
      <c r="I113" s="201">
        <f>厨电!I113+洗碗机!I113</f>
        <v>84.2159328865552</v>
      </c>
      <c r="J113" s="201">
        <f>厨电!J113+洗碗机!J113</f>
        <v>66.4261732828414</v>
      </c>
      <c r="K113" s="201">
        <f>厨电!K113+洗碗机!K113</f>
        <v>62.2269387843893</v>
      </c>
      <c r="L113" s="201">
        <f>厨电!L113+洗碗机!L113</f>
        <v>89.6190584787475</v>
      </c>
      <c r="M113" s="201">
        <f>厨电!M113+洗碗机!M113</f>
        <v>87.4025375888456</v>
      </c>
      <c r="N113" s="201">
        <f>厨电!N113+洗碗机!N113</f>
        <v>93.6627846460716</v>
      </c>
      <c r="O113" s="201">
        <f>厨电!O113+洗碗机!O113</f>
        <v>66.0650147564643</v>
      </c>
      <c r="P113" s="296">
        <f t="shared" si="29"/>
        <v>956.497634131058</v>
      </c>
      <c r="Q113" s="312">
        <f t="shared" si="30"/>
        <v>0.525886509469036</v>
      </c>
      <c r="R113" s="313">
        <f t="shared" si="31"/>
        <v>0.017593455169333</v>
      </c>
    </row>
    <row r="114" spans="1:18">
      <c r="A114" s="350">
        <f t="shared" si="28"/>
        <v>157.243388143785</v>
      </c>
      <c r="B114" s="198"/>
      <c r="C114" s="25" t="s">
        <v>33</v>
      </c>
      <c r="D114" s="201">
        <f>厨电!D114+洗碗机!D114</f>
        <v>57.9310853976622</v>
      </c>
      <c r="E114" s="201">
        <f>厨电!E114+洗碗机!E114</f>
        <v>48.9645972632191</v>
      </c>
      <c r="F114" s="201">
        <f>厨电!F114+洗碗机!F114</f>
        <v>50.3477054829041</v>
      </c>
      <c r="G114" s="201">
        <f>厨电!G114+洗碗机!G114</f>
        <v>48.4999898858705</v>
      </c>
      <c r="H114" s="201">
        <f>厨电!H114+洗碗机!H114</f>
        <v>45.6526691718126</v>
      </c>
      <c r="I114" s="201">
        <f>厨电!I114+洗碗机!I114</f>
        <v>49.0877629020943</v>
      </c>
      <c r="J114" s="201">
        <f>厨电!J114+洗碗机!J114</f>
        <v>48.0591487948939</v>
      </c>
      <c r="K114" s="201">
        <f>厨电!K114+洗碗机!K114</f>
        <v>43.1385893642987</v>
      </c>
      <c r="L114" s="201">
        <f>厨电!L114+洗碗机!L114</f>
        <v>46.9112802126095</v>
      </c>
      <c r="M114" s="201">
        <f>厨电!M114+洗碗机!M114</f>
        <v>41.3293055452965</v>
      </c>
      <c r="N114" s="201">
        <f>厨电!N114+洗碗机!N114</f>
        <v>44.0131140811858</v>
      </c>
      <c r="O114" s="201">
        <f>厨电!O114+洗碗机!O114</f>
        <v>38.1519298775107</v>
      </c>
      <c r="P114" s="296">
        <f t="shared" si="29"/>
        <v>562.087177979358</v>
      </c>
      <c r="Q114" s="312">
        <f t="shared" si="30"/>
        <v>0.309037945831828</v>
      </c>
      <c r="R114" s="313">
        <f t="shared" si="31"/>
        <v>0.0103388186380833</v>
      </c>
    </row>
    <row r="115" spans="1:18">
      <c r="A115" s="350">
        <f t="shared" si="28"/>
        <v>-418.90486998534</v>
      </c>
      <c r="B115" s="198"/>
      <c r="C115" s="25" t="s">
        <v>67</v>
      </c>
      <c r="D115" s="201">
        <f>厨电!D115+洗碗机!D115</f>
        <v>-141.950243110976</v>
      </c>
      <c r="E115" s="201">
        <f>厨电!E115+洗碗机!E115</f>
        <v>-142.47716076607</v>
      </c>
      <c r="F115" s="201">
        <f>厨电!F115+洗碗机!F115</f>
        <v>-134.477466108294</v>
      </c>
      <c r="G115" s="201">
        <f>厨电!G115+洗碗机!G115</f>
        <v>-117.897004839781</v>
      </c>
      <c r="H115" s="201">
        <f>厨电!H115+洗碗机!H115</f>
        <v>-84.3709376472876</v>
      </c>
      <c r="I115" s="201">
        <f>厨电!I115+洗碗机!I115</f>
        <v>-126.84142030628</v>
      </c>
      <c r="J115" s="201">
        <f>厨电!J115+洗碗机!J115</f>
        <v>-101.781236119923</v>
      </c>
      <c r="K115" s="201">
        <f>厨电!K115+洗碗机!K115</f>
        <v>-101.266770250651</v>
      </c>
      <c r="L115" s="201">
        <f>厨电!L115+洗碗机!L115</f>
        <v>-151.094004316143</v>
      </c>
      <c r="M115" s="201">
        <f>厨电!M115+洗碗机!M115</f>
        <v>-161.472755959152</v>
      </c>
      <c r="N115" s="201">
        <f>厨电!N115+洗碗机!N115</f>
        <v>-172.721430876138</v>
      </c>
      <c r="O115" s="201">
        <f>厨电!O115+洗碗机!O115</f>
        <v>-124.36764132438</v>
      </c>
      <c r="P115" s="296">
        <f t="shared" si="29"/>
        <v>-1560.71807162508</v>
      </c>
      <c r="Q115" s="312">
        <f t="shared" si="30"/>
        <v>-0.8580895024354</v>
      </c>
      <c r="R115" s="313">
        <f t="shared" si="31"/>
        <v>-0.0287072570232216</v>
      </c>
    </row>
    <row r="116" spans="1:18">
      <c r="A116" s="350">
        <f t="shared" si="28"/>
        <v>351.652331184757</v>
      </c>
      <c r="B116" s="198"/>
      <c r="C116" s="25" t="s">
        <v>35</v>
      </c>
      <c r="D116" s="201">
        <f>厨电!D116+洗碗机!D116</f>
        <v>109.866908042447</v>
      </c>
      <c r="E116" s="201">
        <f>厨电!E116+洗碗机!E116</f>
        <v>124.622135542989</v>
      </c>
      <c r="F116" s="201">
        <f>厨电!F116+洗碗机!F116</f>
        <v>117.16328759932</v>
      </c>
      <c r="G116" s="201">
        <f>厨电!G116+洗碗机!G116</f>
        <v>114.849950510203</v>
      </c>
      <c r="H116" s="201">
        <f>厨电!H116+洗碗机!H116</f>
        <v>78.8459100182276</v>
      </c>
      <c r="I116" s="201">
        <f>厨电!I116+洗碗机!I116</f>
        <v>122.433650322548</v>
      </c>
      <c r="J116" s="201">
        <f>厨电!J116+洗碗机!J116</f>
        <v>97.0518585801788</v>
      </c>
      <c r="K116" s="201">
        <f>厨电!K116+洗碗机!K116</f>
        <v>95.5614915440185</v>
      </c>
      <c r="L116" s="201">
        <f>厨电!L116+洗碗机!L116</f>
        <v>125.734585043449</v>
      </c>
      <c r="M116" s="201">
        <f>厨电!M116+洗碗机!M116</f>
        <v>126.454423077239</v>
      </c>
      <c r="N116" s="201">
        <f>厨电!N116+洗碗机!N116</f>
        <v>142.465971403679</v>
      </c>
      <c r="O116" s="201">
        <f>厨电!O116+洗碗机!O116</f>
        <v>102.171074353571</v>
      </c>
      <c r="P116" s="296">
        <f t="shared" si="29"/>
        <v>1357.22124603787</v>
      </c>
      <c r="Q116" s="312">
        <f t="shared" si="30"/>
        <v>0.746206073269049</v>
      </c>
      <c r="R116" s="313">
        <f t="shared" si="31"/>
        <v>0.0249642134961745</v>
      </c>
    </row>
    <row r="117" spans="1:18">
      <c r="A117" s="350">
        <f t="shared" si="28"/>
        <v>1220.80251159819</v>
      </c>
      <c r="B117" s="336" t="s">
        <v>36</v>
      </c>
      <c r="C117" s="337" t="s">
        <v>37</v>
      </c>
      <c r="D117" s="201">
        <f>厨电!D117+洗碗机!D117</f>
        <v>406.548386737456</v>
      </c>
      <c r="E117" s="201">
        <f>厨电!E117+洗碗机!E117</f>
        <v>407.131897343077</v>
      </c>
      <c r="F117" s="201">
        <f>厨电!F117+洗碗机!F117</f>
        <v>407.122227517656</v>
      </c>
      <c r="G117" s="201">
        <f>厨电!G117+洗碗机!G117</f>
        <v>406.964305731871</v>
      </c>
      <c r="H117" s="201">
        <f>厨电!H117+洗碗机!H117</f>
        <v>407.785929460843</v>
      </c>
      <c r="I117" s="201">
        <f>厨电!I117+洗碗机!I117</f>
        <v>406.649553001749</v>
      </c>
      <c r="J117" s="201">
        <f>厨电!J117+洗碗机!J117</f>
        <v>408.028936348992</v>
      </c>
      <c r="K117" s="201">
        <f>厨电!K117+洗碗机!K117</f>
        <v>407.900159227801</v>
      </c>
      <c r="L117" s="201">
        <f>厨电!L117+洗碗机!L117</f>
        <v>408.613458461771</v>
      </c>
      <c r="M117" s="201">
        <f>厨电!M117+洗碗机!M117</f>
        <v>408.080174019197</v>
      </c>
      <c r="N117" s="201">
        <f>厨电!N117+洗碗机!N117</f>
        <v>408.053640531816</v>
      </c>
      <c r="O117" s="201">
        <f>厨电!O117+洗碗机!O117</f>
        <v>408.457500734707</v>
      </c>
      <c r="P117" s="344">
        <f t="shared" ref="P117:P120" si="32">SUM(D117:O117)</f>
        <v>4891.33616911694</v>
      </c>
      <c r="Q117" s="366">
        <f t="shared" si="30"/>
        <v>2.68927764463671</v>
      </c>
      <c r="R117" s="367">
        <f t="shared" si="31"/>
        <v>0.0899693846997061</v>
      </c>
    </row>
    <row r="118" spans="1:18">
      <c r="A118" s="350">
        <f t="shared" si="28"/>
        <v>557.0013675</v>
      </c>
      <c r="B118" s="336"/>
      <c r="C118" s="337" t="s">
        <v>38</v>
      </c>
      <c r="D118" s="201">
        <f>厨电!D118+洗碗机!D118</f>
        <v>185.6671225</v>
      </c>
      <c r="E118" s="201">
        <f>厨电!E118+洗碗机!E118</f>
        <v>185.6671225</v>
      </c>
      <c r="F118" s="201">
        <f>厨电!F118+洗碗机!F118</f>
        <v>185.6671225</v>
      </c>
      <c r="G118" s="201">
        <f>厨电!G118+洗碗机!G118</f>
        <v>185.6671225</v>
      </c>
      <c r="H118" s="201">
        <f>厨电!H118+洗碗机!H118</f>
        <v>185.6671225</v>
      </c>
      <c r="I118" s="201">
        <f>厨电!I118+洗碗机!I118</f>
        <v>185.6671225</v>
      </c>
      <c r="J118" s="201">
        <f>厨电!J118+洗碗机!J118</f>
        <v>185.6671225</v>
      </c>
      <c r="K118" s="201">
        <f>厨电!K118+洗碗机!K118</f>
        <v>185.6671225</v>
      </c>
      <c r="L118" s="201">
        <f>厨电!L118+洗碗机!L118</f>
        <v>185.6671225</v>
      </c>
      <c r="M118" s="201">
        <f>厨电!M118+洗碗机!M118</f>
        <v>185.6671225</v>
      </c>
      <c r="N118" s="201">
        <f>厨电!N118+洗碗机!N118</f>
        <v>185.6671225</v>
      </c>
      <c r="O118" s="201">
        <f>厨电!O118+洗碗机!O118</f>
        <v>185.6671225</v>
      </c>
      <c r="P118" s="344">
        <f t="shared" si="32"/>
        <v>2228.00547</v>
      </c>
      <c r="Q118" s="336"/>
      <c r="R118" s="336"/>
    </row>
    <row r="119" spans="1:18">
      <c r="A119" s="350">
        <f t="shared" si="28"/>
        <v>39.4406830762781</v>
      </c>
      <c r="B119" s="336"/>
      <c r="C119" s="337" t="s">
        <v>39</v>
      </c>
      <c r="D119" s="201">
        <f>厨电!D119+洗碗机!D119</f>
        <v>12.9173223056419</v>
      </c>
      <c r="E119" s="201">
        <f>厨电!E119+洗碗机!E119</f>
        <v>13.2665152980284</v>
      </c>
      <c r="F119" s="201">
        <f>厨电!F119+洗碗机!F119</f>
        <v>13.2568454726078</v>
      </c>
      <c r="G119" s="201">
        <f>厨电!G119+洗碗机!G119</f>
        <v>13.0989236868225</v>
      </c>
      <c r="H119" s="201">
        <f>厨电!H119+洗碗机!H119</f>
        <v>13.7551847421754</v>
      </c>
      <c r="I119" s="201">
        <f>厨电!I119+洗碗机!I119</f>
        <v>13.4130243916172</v>
      </c>
      <c r="J119" s="201">
        <f>厨电!J119+洗碗机!J119</f>
        <v>13.2626810000264</v>
      </c>
      <c r="K119" s="201">
        <f>厨电!K119+洗碗机!K119</f>
        <v>13.1900752850111</v>
      </c>
      <c r="L119" s="201">
        <f>厨电!L119+洗碗机!L119</f>
        <v>13.8472031128052</v>
      </c>
      <c r="M119" s="201">
        <f>厨电!M119+洗碗机!M119</f>
        <v>13.4262614825838</v>
      </c>
      <c r="N119" s="201">
        <f>厨电!N119+洗碗机!N119</f>
        <v>13.2518177994259</v>
      </c>
      <c r="O119" s="201">
        <f>厨电!O119+洗碗机!O119</f>
        <v>13.7122131807619</v>
      </c>
      <c r="P119" s="344">
        <f t="shared" si="32"/>
        <v>160.398067757508</v>
      </c>
      <c r="Q119" s="336"/>
      <c r="R119" s="336"/>
    </row>
    <row r="120" spans="1:18">
      <c r="A120" s="350">
        <f t="shared" si="28"/>
        <v>624.360461021911</v>
      </c>
      <c r="B120" s="336"/>
      <c r="C120" s="337" t="s">
        <v>40</v>
      </c>
      <c r="D120" s="201">
        <f>厨电!D120+洗碗机!D120</f>
        <v>207.963941931814</v>
      </c>
      <c r="E120" s="201">
        <f>厨电!E120+洗碗机!E120</f>
        <v>208.198259545048</v>
      </c>
      <c r="F120" s="201">
        <f>厨电!F120+洗碗机!F120</f>
        <v>208.198259545048</v>
      </c>
      <c r="G120" s="201">
        <f>厨电!G120+洗碗机!G120</f>
        <v>208.198259545048</v>
      </c>
      <c r="H120" s="201">
        <f>厨电!H120+洗碗机!H120</f>
        <v>208.363622218667</v>
      </c>
      <c r="I120" s="201">
        <f>厨电!I120+洗碗机!I120</f>
        <v>207.569406110132</v>
      </c>
      <c r="J120" s="201">
        <f>厨电!J120+洗碗机!J120</f>
        <v>209.099132848966</v>
      </c>
      <c r="K120" s="201">
        <f>厨电!K120+洗碗机!K120</f>
        <v>209.04296144279</v>
      </c>
      <c r="L120" s="201">
        <f>厨电!L120+洗碗机!L120</f>
        <v>209.099132848966</v>
      </c>
      <c r="M120" s="201">
        <f>厨电!M120+洗碗机!M120</f>
        <v>208.986790036613</v>
      </c>
      <c r="N120" s="201">
        <f>厨电!N120+洗碗机!N120</f>
        <v>209.13470023239</v>
      </c>
      <c r="O120" s="201">
        <f>厨电!O120+洗碗机!O120</f>
        <v>209.078165053945</v>
      </c>
      <c r="P120" s="344">
        <f t="shared" si="32"/>
        <v>2502.93263135943</v>
      </c>
      <c r="Q120" s="336"/>
      <c r="R120" s="336"/>
    </row>
    <row r="121" spans="1:16">
      <c r="A121" s="350">
        <f t="shared" si="28"/>
        <v>13503.6081772848</v>
      </c>
      <c r="B121" s="293" t="s">
        <v>15</v>
      </c>
      <c r="C121" s="293"/>
      <c r="D121" s="303">
        <f>厨电!D121+洗碗机!D121</f>
        <v>4466.89731358877</v>
      </c>
      <c r="E121" s="303">
        <f>厨电!E121+洗碗机!E121</f>
        <v>4502.77107109399</v>
      </c>
      <c r="F121" s="303">
        <f>厨电!F121+洗碗机!F121</f>
        <v>4533.93979260207</v>
      </c>
      <c r="G121" s="303">
        <f>厨电!G121+洗碗机!G121</f>
        <v>4313.65543984157</v>
      </c>
      <c r="H121" s="303">
        <f>厨电!H121+洗碗机!H121</f>
        <v>4490.92751998318</v>
      </c>
      <c r="I121" s="303">
        <f>厨电!I121+洗碗机!I121</f>
        <v>4419.40943644644</v>
      </c>
      <c r="J121" s="303">
        <f>厨电!J121+洗碗机!J121</f>
        <v>4375.72926182046</v>
      </c>
      <c r="K121" s="303">
        <f>厨电!K121+洗碗机!K121</f>
        <v>4358.40529273585</v>
      </c>
      <c r="L121" s="303">
        <f>厨电!L121+洗碗机!L121</f>
        <v>4748.21965100199</v>
      </c>
      <c r="M121" s="303">
        <f>厨电!M121+洗碗机!M121</f>
        <v>4646.29453246048</v>
      </c>
      <c r="N121" s="303">
        <f>厨电!N121+洗碗机!N121</f>
        <v>4669.08084722922</v>
      </c>
      <c r="O121" s="303">
        <f>厨电!O121+洗碗机!O121</f>
        <v>4841.34340957614</v>
      </c>
      <c r="P121" s="296">
        <f>SUM(P105:P117)</f>
        <v>54366.6735683802</v>
      </c>
    </row>
    <row r="122" spans="1:17">
      <c r="A122" s="292">
        <f>A121/A104*1000</f>
        <v>27.5040495048248</v>
      </c>
      <c r="B122" s="293" t="s">
        <v>16</v>
      </c>
      <c r="C122" s="293"/>
      <c r="D122" s="296">
        <f>D121/D104*1000</f>
        <v>26.7211669383836</v>
      </c>
      <c r="E122" s="296">
        <f t="shared" ref="E122:P122" si="33">E121/E104*1000</f>
        <v>27.0193283593999</v>
      </c>
      <c r="F122" s="296">
        <f t="shared" si="33"/>
        <v>28.8508491361943</v>
      </c>
      <c r="G122" s="296">
        <f t="shared" si="33"/>
        <v>28.2392306574071</v>
      </c>
      <c r="H122" s="296">
        <f t="shared" si="33"/>
        <v>41.355589402477</v>
      </c>
      <c r="I122" s="296">
        <f t="shared" si="33"/>
        <v>27.051536000774</v>
      </c>
      <c r="J122" s="296">
        <f t="shared" si="33"/>
        <v>34.117416567155</v>
      </c>
      <c r="K122" s="296">
        <f t="shared" si="33"/>
        <v>36.0929592375955</v>
      </c>
      <c r="L122" s="296">
        <f t="shared" si="33"/>
        <v>27.7613595362524</v>
      </c>
      <c r="M122" s="296">
        <f t="shared" si="33"/>
        <v>27.4031986013841</v>
      </c>
      <c r="N122" s="296">
        <f t="shared" si="33"/>
        <v>25.7160371178556</v>
      </c>
      <c r="O122" s="296">
        <f t="shared" si="33"/>
        <v>36.6821240146395</v>
      </c>
      <c r="P122" s="365">
        <f t="shared" si="33"/>
        <v>29.8910307502136</v>
      </c>
      <c r="Q122" s="295">
        <f>SUM(Q105:Q117)</f>
        <v>29.8910307502136</v>
      </c>
    </row>
    <row r="123" spans="1:17">
      <c r="A123" s="350">
        <f>SUM(D123:F123)</f>
        <v>2580</v>
      </c>
      <c r="B123" s="293" t="s">
        <v>42</v>
      </c>
      <c r="C123" s="293"/>
      <c r="D123" s="201">
        <f>厨电!D123+洗碗机!D123</f>
        <v>860</v>
      </c>
      <c r="E123" s="201">
        <f>厨电!E123+洗碗机!E123</f>
        <v>860</v>
      </c>
      <c r="F123" s="201">
        <f>厨电!F123+洗碗机!F123</f>
        <v>860</v>
      </c>
      <c r="G123" s="201">
        <f>厨电!G123+洗碗机!G123</f>
        <v>860</v>
      </c>
      <c r="H123" s="201">
        <f>厨电!H123+洗碗机!H123</f>
        <v>860</v>
      </c>
      <c r="I123" s="201">
        <f>厨电!I123+洗碗机!I123</f>
        <v>860</v>
      </c>
      <c r="J123" s="201">
        <f>厨电!J123+洗碗机!J123</f>
        <v>860</v>
      </c>
      <c r="K123" s="201">
        <f>厨电!K123+洗碗机!K123</f>
        <v>860</v>
      </c>
      <c r="L123" s="201">
        <f>厨电!L123+洗碗机!L123</f>
        <v>860</v>
      </c>
      <c r="M123" s="201">
        <f>厨电!M123+洗碗机!M123</f>
        <v>860</v>
      </c>
      <c r="N123" s="201">
        <f>厨电!N123+洗碗机!N123</f>
        <v>860</v>
      </c>
      <c r="O123" s="201">
        <f>厨电!O123+洗碗机!O123</f>
        <v>860</v>
      </c>
      <c r="P123" s="201"/>
      <c r="Q123" s="312"/>
    </row>
    <row r="124" ht="15" customHeight="1" spans="1:16">
      <c r="A124" s="301">
        <f>A122/A103</f>
        <v>0.220032396038599</v>
      </c>
      <c r="B124" s="293" t="s">
        <v>68</v>
      </c>
      <c r="C124" s="293"/>
      <c r="D124" s="279">
        <f>D122/D103</f>
        <v>0.17639008866259</v>
      </c>
      <c r="E124" s="279">
        <f t="shared" ref="E124:P124" si="34">E122/E103</f>
        <v>0.178259115671621</v>
      </c>
      <c r="F124" s="279">
        <f t="shared" si="34"/>
        <v>0.188048991626859</v>
      </c>
      <c r="G124" s="279">
        <f t="shared" si="34"/>
        <v>0.184847572125946</v>
      </c>
      <c r="H124" s="279">
        <f t="shared" si="34"/>
        <v>0.26643943424124</v>
      </c>
      <c r="I124" s="279">
        <f t="shared" si="34"/>
        <v>0.175739269731464</v>
      </c>
      <c r="J124" s="279">
        <f t="shared" si="34"/>
        <v>0.221378764143389</v>
      </c>
      <c r="K124" s="279">
        <f t="shared" si="34"/>
        <v>0.234758240766187</v>
      </c>
      <c r="L124" s="279">
        <f t="shared" si="34"/>
        <v>0.181768061705258</v>
      </c>
      <c r="M124" s="279">
        <f t="shared" si="34"/>
        <v>0.182786373390654</v>
      </c>
      <c r="N124" s="279">
        <f t="shared" si="34"/>
        <v>0.171901768997595</v>
      </c>
      <c r="O124" s="279">
        <f t="shared" si="34"/>
        <v>0.24112705227106</v>
      </c>
      <c r="P124" s="279">
        <f t="shared" si="34"/>
        <v>0.196166517180391</v>
      </c>
    </row>
  </sheetData>
  <mergeCells count="40">
    <mergeCell ref="C2:P2"/>
    <mergeCell ref="B4:C4"/>
    <mergeCell ref="B5:C5"/>
    <mergeCell ref="B26:C26"/>
    <mergeCell ref="C28:P28"/>
    <mergeCell ref="B30:C30"/>
    <mergeCell ref="B48:C48"/>
    <mergeCell ref="B49:C49"/>
    <mergeCell ref="B50:C50"/>
    <mergeCell ref="C51:P51"/>
    <mergeCell ref="B53:C53"/>
    <mergeCell ref="B71:C71"/>
    <mergeCell ref="B72:C72"/>
    <mergeCell ref="B73:C73"/>
    <mergeCell ref="C76:P76"/>
    <mergeCell ref="B78:C78"/>
    <mergeCell ref="B96:C96"/>
    <mergeCell ref="B97:C97"/>
    <mergeCell ref="B98:C98"/>
    <mergeCell ref="C101:P101"/>
    <mergeCell ref="B103:C103"/>
    <mergeCell ref="B121:C121"/>
    <mergeCell ref="B122:C122"/>
    <mergeCell ref="B123:C123"/>
    <mergeCell ref="B124:C124"/>
    <mergeCell ref="B6:B12"/>
    <mergeCell ref="B13:B17"/>
    <mergeCell ref="B18:B21"/>
    <mergeCell ref="B32:B38"/>
    <mergeCell ref="B39:B43"/>
    <mergeCell ref="B44:B47"/>
    <mergeCell ref="B55:B61"/>
    <mergeCell ref="B62:B66"/>
    <mergeCell ref="B67:B70"/>
    <mergeCell ref="B80:B86"/>
    <mergeCell ref="B87:B89"/>
    <mergeCell ref="B92:B95"/>
    <mergeCell ref="B105:B111"/>
    <mergeCell ref="B112:B116"/>
    <mergeCell ref="B117:B12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124"/>
  <sheetViews>
    <sheetView workbookViewId="0">
      <pane xSplit="3" ySplit="3" topLeftCell="D75" activePane="bottomRight" state="frozen"/>
      <selection/>
      <selection pane="topRight"/>
      <selection pane="bottomLeft"/>
      <selection pane="bottomRight" activeCell="Q80" sqref="Q80"/>
    </sheetView>
  </sheetViews>
  <sheetFormatPr defaultColWidth="9.08333333333333" defaultRowHeight="13.2"/>
  <cols>
    <col min="1" max="1" width="9.08333333333333" style="25"/>
    <col min="2" max="2" width="8.75" style="25" customWidth="1"/>
    <col min="3" max="3" width="18.75" style="25" customWidth="1"/>
    <col min="4" max="4" width="7.83333333333333" style="198" customWidth="1"/>
    <col min="5" max="6" width="7.41666666666667" style="198" customWidth="1"/>
    <col min="7" max="8" width="8.41666666666667" style="198" customWidth="1"/>
    <col min="9" max="12" width="7.41666666666667" style="198" customWidth="1"/>
    <col min="13" max="15" width="8.41666666666667" style="198" customWidth="1"/>
    <col min="16" max="16" width="9.75" style="198" customWidth="1"/>
    <col min="17" max="17" width="16.3333333333333" style="198" customWidth="1"/>
    <col min="18" max="19" width="9.08333333333333" style="198"/>
    <col min="20" max="20" width="11.8333333333333" style="198" customWidth="1"/>
    <col min="21" max="21" width="21.3333333333333" style="198" customWidth="1"/>
    <col min="22" max="26" width="9.08333333333333" style="198" customWidth="1" outlineLevel="1"/>
    <col min="27" max="30" width="9.08333333333333" style="25" customWidth="1" outlineLevel="1"/>
    <col min="31" max="32" width="9.41666666666667" style="25" customWidth="1" outlineLevel="1"/>
    <col min="33" max="33" width="6.08333333333333" style="25" customWidth="1"/>
    <col min="34" max="43" width="9.08333333333333" style="25" customWidth="1" outlineLevel="1"/>
    <col min="44" max="44" width="6.75" style="25" customWidth="1" outlineLevel="1"/>
    <col min="45" max="45" width="6.08333333333333" style="25" customWidth="1"/>
    <col min="46" max="56" width="9.08333333333333" style="25" customWidth="1" outlineLevel="1"/>
    <col min="57" max="16384" width="9.08333333333333" style="25"/>
  </cols>
  <sheetData>
    <row r="1" spans="4:13">
      <c r="D1" s="313"/>
      <c r="E1" s="313"/>
      <c r="F1" s="313"/>
      <c r="G1" s="313"/>
      <c r="H1" s="313"/>
      <c r="I1" s="313"/>
      <c r="J1" s="313"/>
      <c r="K1" s="313"/>
      <c r="L1" s="313"/>
      <c r="M1" s="313"/>
    </row>
    <row r="2" spans="3:56">
      <c r="C2" s="283" t="s">
        <v>0</v>
      </c>
      <c r="D2" s="283"/>
      <c r="E2" s="283"/>
      <c r="F2" s="283"/>
      <c r="G2" s="283"/>
      <c r="H2" s="283"/>
      <c r="I2" s="283"/>
      <c r="J2" s="283"/>
      <c r="K2" s="283"/>
      <c r="L2" s="283"/>
      <c r="M2" s="283"/>
      <c r="N2" s="283"/>
      <c r="O2" s="283"/>
      <c r="P2" s="283"/>
      <c r="V2" s="293" t="s">
        <v>71</v>
      </c>
      <c r="W2" s="293"/>
      <c r="X2" s="293"/>
      <c r="Y2" s="293"/>
      <c r="Z2" s="293"/>
      <c r="AA2" s="293"/>
      <c r="AB2" s="293"/>
      <c r="AC2" s="293"/>
      <c r="AD2" s="293"/>
      <c r="AE2" s="293"/>
      <c r="AF2" s="293"/>
      <c r="AH2" s="293" t="s">
        <v>16</v>
      </c>
      <c r="AI2" s="293"/>
      <c r="AJ2" s="293"/>
      <c r="AK2" s="293"/>
      <c r="AL2" s="293"/>
      <c r="AM2" s="293"/>
      <c r="AN2" s="293"/>
      <c r="AO2" s="293"/>
      <c r="AP2" s="293"/>
      <c r="AQ2" s="293"/>
      <c r="AR2" s="293"/>
      <c r="AT2" s="293" t="s">
        <v>18</v>
      </c>
      <c r="AU2" s="293"/>
      <c r="AV2" s="293"/>
      <c r="AW2" s="293"/>
      <c r="AX2" s="293"/>
      <c r="AY2" s="293"/>
      <c r="AZ2" s="293"/>
      <c r="BA2" s="293"/>
      <c r="BB2" s="293"/>
      <c r="BC2" s="293"/>
      <c r="BD2" s="293"/>
    </row>
    <row r="3" spans="2:56">
      <c r="B3" s="284" t="s">
        <v>1</v>
      </c>
      <c r="C3" s="285" t="s">
        <v>2</v>
      </c>
      <c r="D3" s="285" t="s">
        <v>3</v>
      </c>
      <c r="E3" s="285" t="s">
        <v>4</v>
      </c>
      <c r="F3" s="285" t="s">
        <v>5</v>
      </c>
      <c r="G3" s="285" t="s">
        <v>6</v>
      </c>
      <c r="H3" s="285" t="s">
        <v>7</v>
      </c>
      <c r="I3" s="285" t="s">
        <v>8</v>
      </c>
      <c r="J3" s="285" t="s">
        <v>9</v>
      </c>
      <c r="K3" s="285" t="s">
        <v>10</v>
      </c>
      <c r="L3" s="285" t="s">
        <v>11</v>
      </c>
      <c r="M3" s="285" t="s">
        <v>12</v>
      </c>
      <c r="N3" s="285" t="s">
        <v>13</v>
      </c>
      <c r="O3" s="285" t="s">
        <v>14</v>
      </c>
      <c r="P3" s="302" t="s">
        <v>15</v>
      </c>
      <c r="Q3" s="205" t="s">
        <v>16</v>
      </c>
      <c r="R3" s="205" t="s">
        <v>17</v>
      </c>
      <c r="S3" s="205" t="s">
        <v>18</v>
      </c>
      <c r="T3" s="205" t="s">
        <v>19</v>
      </c>
      <c r="U3" s="293" t="s">
        <v>72</v>
      </c>
      <c r="V3" s="293" t="s">
        <v>73</v>
      </c>
      <c r="W3" s="293" t="s">
        <v>74</v>
      </c>
      <c r="X3" s="293" t="s">
        <v>75</v>
      </c>
      <c r="Y3" s="293" t="s">
        <v>76</v>
      </c>
      <c r="Z3" s="293" t="s">
        <v>77</v>
      </c>
      <c r="AA3" s="293" t="s">
        <v>78</v>
      </c>
      <c r="AB3" s="293" t="s">
        <v>79</v>
      </c>
      <c r="AC3" s="293" t="s">
        <v>80</v>
      </c>
      <c r="AD3" s="293" t="s">
        <v>81</v>
      </c>
      <c r="AE3" s="293" t="s">
        <v>82</v>
      </c>
      <c r="AF3" s="293" t="s">
        <v>83</v>
      </c>
      <c r="AH3" s="293" t="s">
        <v>73</v>
      </c>
      <c r="AI3" s="293" t="s">
        <v>74</v>
      </c>
      <c r="AJ3" s="293" t="s">
        <v>75</v>
      </c>
      <c r="AK3" s="293" t="s">
        <v>76</v>
      </c>
      <c r="AL3" s="293" t="s">
        <v>77</v>
      </c>
      <c r="AM3" s="293" t="s">
        <v>78</v>
      </c>
      <c r="AN3" s="293" t="s">
        <v>79</v>
      </c>
      <c r="AO3" s="293" t="s">
        <v>80</v>
      </c>
      <c r="AP3" s="293" t="s">
        <v>81</v>
      </c>
      <c r="AQ3" s="293" t="s">
        <v>82</v>
      </c>
      <c r="AR3" s="293" t="s">
        <v>83</v>
      </c>
      <c r="AT3" s="293" t="s">
        <v>73</v>
      </c>
      <c r="AU3" s="293" t="s">
        <v>74</v>
      </c>
      <c r="AV3" s="293" t="s">
        <v>75</v>
      </c>
      <c r="AW3" s="293" t="s">
        <v>76</v>
      </c>
      <c r="AX3" s="293" t="s">
        <v>77</v>
      </c>
      <c r="AY3" s="293" t="s">
        <v>78</v>
      </c>
      <c r="AZ3" s="293" t="s">
        <v>79</v>
      </c>
      <c r="BA3" s="293" t="s">
        <v>80</v>
      </c>
      <c r="BB3" s="293" t="s">
        <v>81</v>
      </c>
      <c r="BC3" s="293" t="s">
        <v>82</v>
      </c>
      <c r="BD3" s="293" t="s">
        <v>83</v>
      </c>
    </row>
    <row r="4" spans="2:56">
      <c r="B4" s="283" t="s">
        <v>20</v>
      </c>
      <c r="C4" s="283"/>
      <c r="D4" s="286">
        <v>132.50001046467</v>
      </c>
      <c r="E4" s="286">
        <v>125.232840095826</v>
      </c>
      <c r="F4" s="286">
        <v>123.166077867663</v>
      </c>
      <c r="G4" s="286">
        <v>121.990322970618</v>
      </c>
      <c r="H4" s="286">
        <v>122.669354208489</v>
      </c>
      <c r="I4" s="286">
        <v>119.611865555576</v>
      </c>
      <c r="J4" s="286">
        <v>122.499633494977</v>
      </c>
      <c r="K4" s="286">
        <v>123.977362128047</v>
      </c>
      <c r="L4" s="286">
        <v>116.138489538688</v>
      </c>
      <c r="M4" s="286">
        <v>123.194973535549</v>
      </c>
      <c r="N4" s="286">
        <v>117.499129714642</v>
      </c>
      <c r="O4" s="286">
        <v>120.280102860531</v>
      </c>
      <c r="P4" s="296">
        <f>AVERAGE(D4:O4)</f>
        <v>122.39668020294</v>
      </c>
      <c r="AT4" s="201">
        <f>$P$4</f>
        <v>122.39668020294</v>
      </c>
      <c r="AU4" s="201">
        <f t="shared" ref="AU4:BD4" si="0">$P$4</f>
        <v>122.39668020294</v>
      </c>
      <c r="AV4" s="201">
        <f t="shared" si="0"/>
        <v>122.39668020294</v>
      </c>
      <c r="AW4" s="201">
        <f t="shared" si="0"/>
        <v>122.39668020294</v>
      </c>
      <c r="AX4" s="201">
        <f t="shared" si="0"/>
        <v>122.39668020294</v>
      </c>
      <c r="AY4" s="201">
        <f t="shared" si="0"/>
        <v>122.39668020294</v>
      </c>
      <c r="AZ4" s="201">
        <f t="shared" si="0"/>
        <v>122.39668020294</v>
      </c>
      <c r="BA4" s="201">
        <f t="shared" si="0"/>
        <v>122.39668020294</v>
      </c>
      <c r="BB4" s="201">
        <f t="shared" si="0"/>
        <v>122.39668020294</v>
      </c>
      <c r="BC4" s="201">
        <f t="shared" si="0"/>
        <v>122.39668020294</v>
      </c>
      <c r="BD4" s="201">
        <f t="shared" si="0"/>
        <v>122.39668020294</v>
      </c>
    </row>
    <row r="5" spans="2:32">
      <c r="B5" s="283" t="s">
        <v>21</v>
      </c>
      <c r="C5" s="283"/>
      <c r="D5" s="305">
        <f>'24年CK1'!D1+'24年CK2'!D1</f>
        <v>87337</v>
      </c>
      <c r="E5" s="305">
        <f>'24年CK1'!E1+'24年CK2'!E1</f>
        <v>110212</v>
      </c>
      <c r="F5" s="305">
        <f>'24年CK1'!F1+'24年CK2'!F1</f>
        <v>113626</v>
      </c>
      <c r="G5" s="305">
        <f>'24年CK1'!G1+'24年CK2'!G1</f>
        <v>109618</v>
      </c>
      <c r="H5" s="305">
        <f>'24年CK1'!H1+'24年CK2'!H1</f>
        <v>153929</v>
      </c>
      <c r="I5" s="305">
        <f>'24年CK1'!I1+'24年CK2'!I1</f>
        <v>121229</v>
      </c>
      <c r="J5" s="305">
        <f>'24年CK1'!J1+'24年CK2'!J1</f>
        <v>128355</v>
      </c>
      <c r="K5" s="305">
        <f>'24年CK1'!K1+'24年CK2'!K1</f>
        <v>58349</v>
      </c>
      <c r="L5" s="305">
        <f>'24年CK1'!L1+'24年CK2'!L1</f>
        <v>109907</v>
      </c>
      <c r="M5" s="305">
        <f>'24年CK1'!M1+'24年CK2'!M1</f>
        <v>116105</v>
      </c>
      <c r="N5" s="305">
        <f>'24年CK1'!N1+'24年CK2'!N1</f>
        <v>105978</v>
      </c>
      <c r="O5" s="305">
        <f>'24年CK1'!O1+'24年CK2'!O1</f>
        <v>72817</v>
      </c>
      <c r="P5" s="296">
        <f>SUM(D5:O5)</f>
        <v>1287462</v>
      </c>
      <c r="V5" s="198">
        <f t="shared" ref="V5:V21" si="1">D5+E5</f>
        <v>197549</v>
      </c>
      <c r="W5" s="198">
        <f t="shared" ref="W5:W21" si="2">V5+F5</f>
        <v>311175</v>
      </c>
      <c r="X5" s="198">
        <f t="shared" ref="X5:X21" si="3">W5+G5</f>
        <v>420793</v>
      </c>
      <c r="Y5" s="198">
        <f t="shared" ref="Y5:Y21" si="4">X5+H5</f>
        <v>574722</v>
      </c>
      <c r="Z5" s="198">
        <f t="shared" ref="Z5:Z21" si="5">Y5+I5</f>
        <v>695951</v>
      </c>
      <c r="AA5" s="25">
        <f t="shared" ref="AA5:AA21" si="6">Z5+J5</f>
        <v>824306</v>
      </c>
      <c r="AB5" s="25">
        <f t="shared" ref="AB5:AB21" si="7">AA5+K5</f>
        <v>882655</v>
      </c>
      <c r="AC5" s="25">
        <f t="shared" ref="AC5:AC21" si="8">AB5+L5</f>
        <v>992562</v>
      </c>
      <c r="AD5" s="25">
        <f t="shared" ref="AD5:AD21" si="9">AC5+M5</f>
        <v>1108667</v>
      </c>
      <c r="AE5" s="25">
        <f t="shared" ref="AE5:AE21" si="10">AD5+N5</f>
        <v>1214645</v>
      </c>
      <c r="AF5" s="25">
        <f t="shared" ref="AF5:AF21" si="11">AE5+O5</f>
        <v>1287462</v>
      </c>
    </row>
    <row r="6" spans="2:56">
      <c r="B6" s="198" t="s">
        <v>22</v>
      </c>
      <c r="C6" s="25" t="s">
        <v>23</v>
      </c>
      <c r="D6" s="201">
        <f>('24年CK1'!D144+'24年CK2'!D136)/1000</f>
        <v>85.7748292105263</v>
      </c>
      <c r="E6" s="201">
        <f>('24年CK1'!E144+'24年CK2'!E136)/1000</f>
        <v>351.937879473684</v>
      </c>
      <c r="F6" s="201">
        <f>('24年CK1'!F144+'24年CK2'!F136)/1000</f>
        <v>352.071933947368</v>
      </c>
      <c r="G6" s="201">
        <f>('24年CK1'!G144+'24年CK2'!G136)/1000</f>
        <v>339.969674210526</v>
      </c>
      <c r="H6" s="201">
        <f>('24年CK1'!H144+'24年CK2'!H136)/1000</f>
        <v>403.568400789474</v>
      </c>
      <c r="I6" s="201">
        <f>('24年CK1'!I144+'24年CK2'!I136)/1000</f>
        <v>524.025942894737</v>
      </c>
      <c r="J6" s="201">
        <f>('24年CK1'!J144+'24年CK2'!J136)/1000</f>
        <v>431.484320526316</v>
      </c>
      <c r="K6" s="201">
        <f>('24年CK1'!K144+'24年CK2'!K136)/1000</f>
        <v>417.902185</v>
      </c>
      <c r="L6" s="201">
        <f>('24年CK1'!L144+'24年CK2'!L136)/1000</f>
        <v>260.613649736842</v>
      </c>
      <c r="M6" s="201">
        <f>('24年CK1'!M144+'24年CK2'!M136)/1000</f>
        <v>447.623565526316</v>
      </c>
      <c r="N6" s="201">
        <f>('24年CK1'!N144+'24年CK2'!N136)/1000</f>
        <v>463.324019473684</v>
      </c>
      <c r="O6" s="201">
        <f>('24年CK1'!O144+'24年CK2'!O136)/1000</f>
        <v>471.314184210526</v>
      </c>
      <c r="P6" s="296">
        <f>SUM(D6:O6)</f>
        <v>4549.610585</v>
      </c>
      <c r="Q6" s="312">
        <f>P6/$P$5*1000</f>
        <v>3.53378242231615</v>
      </c>
      <c r="R6" s="313">
        <f>P6/$P$22</f>
        <v>0.124202543384459</v>
      </c>
      <c r="S6" s="282">
        <f>Q6/$P$4</f>
        <v>0.0288715544936102</v>
      </c>
      <c r="T6" s="282"/>
      <c r="V6" s="201">
        <f t="shared" si="1"/>
        <v>437.712708684211</v>
      </c>
      <c r="W6" s="201">
        <f t="shared" si="2"/>
        <v>789.784642631579</v>
      </c>
      <c r="X6" s="201">
        <f t="shared" si="3"/>
        <v>1129.75431684211</v>
      </c>
      <c r="Y6" s="201">
        <f t="shared" si="4"/>
        <v>1533.32271763158</v>
      </c>
      <c r="Z6" s="201">
        <f t="shared" si="5"/>
        <v>2057.34866052632</v>
      </c>
      <c r="AA6" s="331">
        <f t="shared" si="6"/>
        <v>2488.83298105263</v>
      </c>
      <c r="AB6" s="331">
        <f t="shared" si="7"/>
        <v>2906.73516605263</v>
      </c>
      <c r="AC6" s="331">
        <f t="shared" si="8"/>
        <v>3167.34881578947</v>
      </c>
      <c r="AD6" s="331">
        <f t="shared" si="9"/>
        <v>3614.97238131579</v>
      </c>
      <c r="AE6" s="331">
        <f t="shared" si="10"/>
        <v>4078.29640078947</v>
      </c>
      <c r="AF6" s="331">
        <f t="shared" si="11"/>
        <v>4549.610585</v>
      </c>
      <c r="AH6" s="295">
        <f>V6/V$5*1000</f>
        <v>2.21571715718232</v>
      </c>
      <c r="AI6" s="295">
        <f t="shared" ref="AI6:AR21" si="12">W6/W$5*1000</f>
        <v>2.53807228290055</v>
      </c>
      <c r="AJ6" s="295">
        <f t="shared" si="12"/>
        <v>2.68482203088479</v>
      </c>
      <c r="AK6" s="295">
        <f t="shared" si="12"/>
        <v>2.66793809464677</v>
      </c>
      <c r="AL6" s="295">
        <f t="shared" si="12"/>
        <v>2.95616884022915</v>
      </c>
      <c r="AM6" s="295">
        <f t="shared" si="12"/>
        <v>3.01930712751409</v>
      </c>
      <c r="AN6" s="295">
        <f t="shared" si="12"/>
        <v>3.29317249214317</v>
      </c>
      <c r="AO6" s="295">
        <f t="shared" si="12"/>
        <v>3.19108409932022</v>
      </c>
      <c r="AP6" s="295">
        <f t="shared" si="12"/>
        <v>3.26064758968724</v>
      </c>
      <c r="AQ6" s="295">
        <f t="shared" si="12"/>
        <v>3.35760358029669</v>
      </c>
      <c r="AR6" s="295">
        <f t="shared" si="12"/>
        <v>3.53378242231615</v>
      </c>
      <c r="AT6" s="282">
        <f>AH6/AT$4</f>
        <v>0.0181027553484993</v>
      </c>
      <c r="AU6" s="282">
        <f t="shared" ref="AU6:BD21" si="13">AI6/AU$4</f>
        <v>0.0207364470890248</v>
      </c>
      <c r="AV6" s="282">
        <f t="shared" si="13"/>
        <v>0.0219354154576188</v>
      </c>
      <c r="AW6" s="282">
        <f t="shared" si="13"/>
        <v>0.021797471060679</v>
      </c>
      <c r="AX6" s="282">
        <f t="shared" si="13"/>
        <v>0.0241523612840452</v>
      </c>
      <c r="AY6" s="282">
        <f t="shared" si="13"/>
        <v>0.0246682109556234</v>
      </c>
      <c r="AZ6" s="282">
        <f t="shared" si="13"/>
        <v>0.0269057337722145</v>
      </c>
      <c r="BA6" s="282">
        <f t="shared" si="13"/>
        <v>0.0260716556529903</v>
      </c>
      <c r="BB6" s="282">
        <f t="shared" si="13"/>
        <v>0.0266400002375957</v>
      </c>
      <c r="BC6" s="282">
        <f t="shared" si="13"/>
        <v>0.0274321458288706</v>
      </c>
      <c r="BD6" s="282">
        <f t="shared" si="13"/>
        <v>0.0288715544936102</v>
      </c>
    </row>
    <row r="7" spans="2:56">
      <c r="B7" s="198"/>
      <c r="C7" s="25" t="s">
        <v>24</v>
      </c>
      <c r="D7" s="201">
        <f>('24年CK1'!D145+'24年CK2'!D137)/1000</f>
        <v>79.2357157894737</v>
      </c>
      <c r="E7" s="201">
        <f>('24年CK1'!E145+'24年CK2'!E137)/1000</f>
        <v>99.8238531578947</v>
      </c>
      <c r="F7" s="201">
        <f>('24年CK1'!F145+'24年CK2'!F137)/1000</f>
        <v>148.249519473684</v>
      </c>
      <c r="G7" s="201">
        <f>('24年CK1'!G145+'24年CK2'!G137)/1000</f>
        <v>39.5594144736842</v>
      </c>
      <c r="H7" s="201">
        <f>('24年CK1'!H145+'24年CK2'!H137)/1000</f>
        <v>105.482563157895</v>
      </c>
      <c r="I7" s="201">
        <f>('24年CK1'!I145+'24年CK2'!I137)/1000</f>
        <v>101.518887105263</v>
      </c>
      <c r="J7" s="201">
        <f>('24年CK1'!J145+'24年CK2'!J137)/1000</f>
        <v>236.567599210526</v>
      </c>
      <c r="K7" s="201">
        <f>('24年CK1'!K145+'24年CK2'!K137)/1000</f>
        <v>-51.40182</v>
      </c>
      <c r="L7" s="201">
        <f>('24年CK1'!L145+'24年CK2'!L137)/1000</f>
        <v>148.080006842105</v>
      </c>
      <c r="M7" s="201">
        <f>('24年CK1'!M145+'24年CK2'!M137)/1000</f>
        <v>104.149784736842</v>
      </c>
      <c r="N7" s="201">
        <f>('24年CK1'!N145+'24年CK2'!N137)/1000</f>
        <v>111.538877894737</v>
      </c>
      <c r="O7" s="201">
        <f>('24年CK1'!O145+'24年CK2'!O137)/1000</f>
        <v>163.944734473684</v>
      </c>
      <c r="P7" s="296">
        <f t="shared" ref="P7:P22" si="14">SUM(D7:O7)</f>
        <v>1286.74913631579</v>
      </c>
      <c r="Q7" s="312">
        <f t="shared" ref="Q7:Q21" si="15">P7/$P$5*1000</f>
        <v>0.999446303126453</v>
      </c>
      <c r="R7" s="313">
        <f t="shared" ref="R7:R18" si="16">P7/$P$22</f>
        <v>0.0351277350978329</v>
      </c>
      <c r="S7" s="282">
        <f t="shared" ref="S7:S21" si="17">Q7/$P$4</f>
        <v>0.0081656324458255</v>
      </c>
      <c r="T7" s="282"/>
      <c r="V7" s="201">
        <f t="shared" si="1"/>
        <v>179.059568947368</v>
      </c>
      <c r="W7" s="201">
        <f t="shared" si="2"/>
        <v>327.309088421053</v>
      </c>
      <c r="X7" s="201">
        <f t="shared" si="3"/>
        <v>366.868502894737</v>
      </c>
      <c r="Y7" s="201">
        <f t="shared" si="4"/>
        <v>472.351066052632</v>
      </c>
      <c r="Z7" s="201">
        <f t="shared" si="5"/>
        <v>573.869953157895</v>
      </c>
      <c r="AA7" s="331">
        <f t="shared" si="6"/>
        <v>810.437552368421</v>
      </c>
      <c r="AB7" s="331">
        <f t="shared" si="7"/>
        <v>759.035732368421</v>
      </c>
      <c r="AC7" s="331">
        <f t="shared" si="8"/>
        <v>907.115739210526</v>
      </c>
      <c r="AD7" s="331">
        <f t="shared" si="9"/>
        <v>1011.26552394737</v>
      </c>
      <c r="AE7" s="331">
        <f t="shared" si="10"/>
        <v>1122.80440184211</v>
      </c>
      <c r="AF7" s="331">
        <f t="shared" si="11"/>
        <v>1286.74913631579</v>
      </c>
      <c r="AH7" s="295">
        <f t="shared" ref="AH7:AH22" si="18">V7/V$5*1000</f>
        <v>0.906405848409095</v>
      </c>
      <c r="AI7" s="295">
        <f t="shared" si="12"/>
        <v>1.05184892237825</v>
      </c>
      <c r="AJ7" s="295">
        <f t="shared" si="12"/>
        <v>0.871850299065662</v>
      </c>
      <c r="AK7" s="295">
        <f t="shared" si="12"/>
        <v>0.82187747476629</v>
      </c>
      <c r="AL7" s="295">
        <f t="shared" si="12"/>
        <v>0.82458384736554</v>
      </c>
      <c r="AM7" s="295">
        <f t="shared" si="12"/>
        <v>0.983175607563722</v>
      </c>
      <c r="AN7" s="295">
        <f t="shared" si="12"/>
        <v>0.859946108466412</v>
      </c>
      <c r="AO7" s="295">
        <f t="shared" si="12"/>
        <v>0.913913427282655</v>
      </c>
      <c r="AP7" s="295">
        <f t="shared" si="12"/>
        <v>0.912145417828228</v>
      </c>
      <c r="AQ7" s="295">
        <f t="shared" si="12"/>
        <v>0.924388938201783</v>
      </c>
      <c r="AR7" s="295">
        <f t="shared" si="12"/>
        <v>0.999446303126453</v>
      </c>
      <c r="AT7" s="282">
        <f t="shared" ref="AT7:AT22" si="19">AH7/AT$4</f>
        <v>0.00740547739453578</v>
      </c>
      <c r="AU7" s="282">
        <f t="shared" si="13"/>
        <v>0.0085937700322773</v>
      </c>
      <c r="AV7" s="282">
        <f t="shared" si="13"/>
        <v>0.00712315315758638</v>
      </c>
      <c r="AW7" s="282">
        <f t="shared" si="13"/>
        <v>0.00671486737551685</v>
      </c>
      <c r="AX7" s="282">
        <f t="shared" si="13"/>
        <v>0.00673697886248498</v>
      </c>
      <c r="AY7" s="282">
        <f t="shared" si="13"/>
        <v>0.00803269832101301</v>
      </c>
      <c r="AZ7" s="282">
        <f t="shared" si="13"/>
        <v>0.0070258940605299</v>
      </c>
      <c r="BA7" s="282">
        <f t="shared" si="13"/>
        <v>0.00746681548688527</v>
      </c>
      <c r="BB7" s="282">
        <f t="shared" si="13"/>
        <v>0.00745237057341625</v>
      </c>
      <c r="BC7" s="282">
        <f t="shared" si="13"/>
        <v>0.00755240204774427</v>
      </c>
      <c r="BD7" s="282">
        <f t="shared" si="13"/>
        <v>0.0081656324458255</v>
      </c>
    </row>
    <row r="8" spans="2:56">
      <c r="B8" s="198"/>
      <c r="C8" s="25" t="s">
        <v>25</v>
      </c>
      <c r="D8" s="201">
        <f>('24年CK1'!D146+'24年CK2'!D138)/1000</f>
        <v>26</v>
      </c>
      <c r="E8" s="201">
        <f>('24年CK1'!E146+'24年CK2'!E138)/1000</f>
        <v>26</v>
      </c>
      <c r="F8" s="201">
        <f>('24年CK1'!F146+'24年CK2'!F138)/1000</f>
        <v>12.2003142105263</v>
      </c>
      <c r="G8" s="201">
        <f>('24年CK1'!G146+'24年CK2'!G138)/1000</f>
        <v>26</v>
      </c>
      <c r="H8" s="201">
        <f>('24年CK1'!H146+'24年CK2'!H138)/1000</f>
        <v>26</v>
      </c>
      <c r="I8" s="201">
        <f>('24年CK1'!I146+'24年CK2'!I138)/1000</f>
        <v>26</v>
      </c>
      <c r="J8" s="201">
        <f>('24年CK1'!J146+'24年CK2'!J138)/1000</f>
        <v>373.561359736842</v>
      </c>
      <c r="K8" s="201">
        <f>('24年CK1'!K146+'24年CK2'!K138)/1000</f>
        <v>373.561359736842</v>
      </c>
      <c r="L8" s="201">
        <f>('24年CK1'!L146+'24年CK2'!L138)/1000</f>
        <v>402.669241578947</v>
      </c>
      <c r="M8" s="201">
        <f>('24年CK1'!M146+'24年CK2'!M138)/1000</f>
        <v>494.335908157895</v>
      </c>
      <c r="N8" s="201">
        <f>('24年CK1'!N146+'24年CK2'!N138)/1000</f>
        <v>494.469338157895</v>
      </c>
      <c r="O8" s="201">
        <f>('24年CK1'!O146+'24年CK2'!O138)/1000</f>
        <v>506.994630789474</v>
      </c>
      <c r="P8" s="296">
        <f t="shared" si="14"/>
        <v>2787.79215236842</v>
      </c>
      <c r="Q8" s="312">
        <f t="shared" si="15"/>
        <v>2.16533936719563</v>
      </c>
      <c r="R8" s="313">
        <f t="shared" si="16"/>
        <v>0.0761056071244815</v>
      </c>
      <c r="S8" s="282">
        <f t="shared" si="17"/>
        <v>0.0176911609334942</v>
      </c>
      <c r="T8" s="282"/>
      <c r="V8" s="201">
        <f t="shared" si="1"/>
        <v>52</v>
      </c>
      <c r="W8" s="201">
        <f t="shared" si="2"/>
        <v>64.2003142105263</v>
      </c>
      <c r="X8" s="201">
        <f t="shared" si="3"/>
        <v>90.2003142105263</v>
      </c>
      <c r="Y8" s="201">
        <f t="shared" si="4"/>
        <v>116.200314210526</v>
      </c>
      <c r="Z8" s="201">
        <f t="shared" si="5"/>
        <v>142.200314210526</v>
      </c>
      <c r="AA8" s="331">
        <f t="shared" si="6"/>
        <v>515.761673947368</v>
      </c>
      <c r="AB8" s="331">
        <f t="shared" si="7"/>
        <v>889.32303368421</v>
      </c>
      <c r="AC8" s="331">
        <f t="shared" si="8"/>
        <v>1291.99227526316</v>
      </c>
      <c r="AD8" s="331">
        <f t="shared" si="9"/>
        <v>1786.32818342105</v>
      </c>
      <c r="AE8" s="331">
        <f t="shared" si="10"/>
        <v>2280.79752157895</v>
      </c>
      <c r="AF8" s="331">
        <f t="shared" si="11"/>
        <v>2787.79215236842</v>
      </c>
      <c r="AH8" s="295">
        <f t="shared" si="18"/>
        <v>0.263225832578246</v>
      </c>
      <c r="AI8" s="295">
        <f t="shared" si="12"/>
        <v>0.206315784399538</v>
      </c>
      <c r="AJ8" s="295">
        <f t="shared" si="12"/>
        <v>0.214357924705321</v>
      </c>
      <c r="AK8" s="295">
        <f t="shared" si="12"/>
        <v>0.202185255150362</v>
      </c>
      <c r="AL8" s="295">
        <f t="shared" si="12"/>
        <v>0.204325181241964</v>
      </c>
      <c r="AM8" s="295">
        <f t="shared" si="12"/>
        <v>0.625692005089576</v>
      </c>
      <c r="AN8" s="295">
        <f t="shared" si="12"/>
        <v>1.00755451867854</v>
      </c>
      <c r="AO8" s="295">
        <f t="shared" si="12"/>
        <v>1.30167412742293</v>
      </c>
      <c r="AP8" s="295">
        <f t="shared" si="12"/>
        <v>1.61123960884653</v>
      </c>
      <c r="AQ8" s="295">
        <f t="shared" si="12"/>
        <v>1.87774824873024</v>
      </c>
      <c r="AR8" s="295">
        <f t="shared" si="12"/>
        <v>2.16533936719563</v>
      </c>
      <c r="AT8" s="282">
        <f t="shared" si="19"/>
        <v>0.00215059617746008</v>
      </c>
      <c r="AU8" s="282">
        <f t="shared" si="13"/>
        <v>0.00168563219245372</v>
      </c>
      <c r="AV8" s="282">
        <f t="shared" si="13"/>
        <v>0.00175133773522211</v>
      </c>
      <c r="AW8" s="282">
        <f t="shared" si="13"/>
        <v>0.00165188512315145</v>
      </c>
      <c r="AX8" s="282">
        <f t="shared" si="13"/>
        <v>0.00166936865365288</v>
      </c>
      <c r="AY8" s="282">
        <f t="shared" si="13"/>
        <v>0.00511200143706633</v>
      </c>
      <c r="AZ8" s="282">
        <f t="shared" si="13"/>
        <v>0.00823187783367954</v>
      </c>
      <c r="BA8" s="282">
        <f t="shared" si="13"/>
        <v>0.0106348809891305</v>
      </c>
      <c r="BB8" s="282">
        <f t="shared" si="13"/>
        <v>0.0131640793375687</v>
      </c>
      <c r="BC8" s="282">
        <f t="shared" si="13"/>
        <v>0.0153414965636065</v>
      </c>
      <c r="BD8" s="282">
        <f t="shared" si="13"/>
        <v>0.0176911609334942</v>
      </c>
    </row>
    <row r="9" spans="2:56">
      <c r="B9" s="198"/>
      <c r="C9" s="25" t="s">
        <v>26</v>
      </c>
      <c r="D9" s="201">
        <f>('24年CK1'!D147+'24年CK2'!D139)/1000</f>
        <v>12.4001842105263</v>
      </c>
      <c r="E9" s="201">
        <f>('24年CK1'!E147+'24年CK2'!E139)/1000</f>
        <v>-1.06702552631579</v>
      </c>
      <c r="F9" s="201">
        <f>('24年CK1'!F147+'24年CK2'!F139)/1000</f>
        <v>16.2566357894737</v>
      </c>
      <c r="G9" s="201">
        <f>('24年CK1'!G147+'24年CK2'!G139)/1000</f>
        <v>6.02092815789474</v>
      </c>
      <c r="H9" s="201">
        <f>('24年CK1'!H147+'24年CK2'!H139)/1000</f>
        <v>6.1583452631579</v>
      </c>
      <c r="I9" s="201">
        <f>('24年CK1'!I147+'24年CK2'!I139)/1000</f>
        <v>5.59074894736842</v>
      </c>
      <c r="J9" s="201">
        <f>('24年CK1'!J147+'24年CK2'!J139)/1000</f>
        <v>5.57661947368421</v>
      </c>
      <c r="K9" s="201">
        <f>('24年CK1'!K147+'24年CK2'!K139)/1000</f>
        <v>6.60596447368421</v>
      </c>
      <c r="L9" s="201">
        <f>('24年CK1'!L147+'24年CK2'!L139)/1000</f>
        <v>5.87500526315789</v>
      </c>
      <c r="M9" s="201">
        <f>('24年CK1'!M147+'24年CK2'!M139)/1000</f>
        <v>6.43333631578947</v>
      </c>
      <c r="N9" s="201">
        <f>('24年CK1'!N147+'24年CK2'!N139)/1000</f>
        <v>3.71243</v>
      </c>
      <c r="O9" s="201">
        <f>('24年CK1'!O147+'24年CK2'!O139)/1000</f>
        <v>7.49769</v>
      </c>
      <c r="P9" s="296">
        <f t="shared" si="14"/>
        <v>81.0608623684211</v>
      </c>
      <c r="Q9" s="312">
        <f t="shared" si="15"/>
        <v>0.062961751390271</v>
      </c>
      <c r="R9" s="313">
        <f t="shared" si="16"/>
        <v>0.0022129290160106</v>
      </c>
      <c r="S9" s="282">
        <f t="shared" si="17"/>
        <v>0.00051440734573746</v>
      </c>
      <c r="T9" s="282"/>
      <c r="V9" s="201">
        <f t="shared" si="1"/>
        <v>11.3331586842105</v>
      </c>
      <c r="W9" s="201">
        <f t="shared" si="2"/>
        <v>27.5897944736842</v>
      </c>
      <c r="X9" s="201">
        <f t="shared" si="3"/>
        <v>33.610722631579</v>
      </c>
      <c r="Y9" s="201">
        <f t="shared" si="4"/>
        <v>39.7690678947368</v>
      </c>
      <c r="Z9" s="201">
        <f t="shared" si="5"/>
        <v>45.3598168421053</v>
      </c>
      <c r="AA9" s="331">
        <f t="shared" si="6"/>
        <v>50.9364363157895</v>
      </c>
      <c r="AB9" s="331">
        <f t="shared" si="7"/>
        <v>57.5424007894737</v>
      </c>
      <c r="AC9" s="331">
        <f t="shared" si="8"/>
        <v>63.4174060526316</v>
      </c>
      <c r="AD9" s="331">
        <f t="shared" si="9"/>
        <v>69.8507423684211</v>
      </c>
      <c r="AE9" s="331">
        <f t="shared" si="10"/>
        <v>73.563172368421</v>
      </c>
      <c r="AF9" s="331">
        <f t="shared" si="11"/>
        <v>81.0608623684211</v>
      </c>
      <c r="AH9" s="295">
        <f t="shared" si="18"/>
        <v>0.0573688486613981</v>
      </c>
      <c r="AI9" s="295">
        <f t="shared" si="12"/>
        <v>0.0886632746000939</v>
      </c>
      <c r="AJ9" s="295">
        <f t="shared" si="12"/>
        <v>0.0798747189986025</v>
      </c>
      <c r="AK9" s="295">
        <f t="shared" si="12"/>
        <v>0.0691970516088419</v>
      </c>
      <c r="AL9" s="295">
        <f t="shared" si="12"/>
        <v>0.0651767392274819</v>
      </c>
      <c r="AM9" s="295">
        <f t="shared" si="12"/>
        <v>0.0617931160464554</v>
      </c>
      <c r="AN9" s="295">
        <f t="shared" si="12"/>
        <v>0.0651924033619859</v>
      </c>
      <c r="AO9" s="295">
        <f t="shared" si="12"/>
        <v>0.0638926395052718</v>
      </c>
      <c r="AP9" s="295">
        <f t="shared" si="12"/>
        <v>0.0630042585992197</v>
      </c>
      <c r="AQ9" s="295">
        <f t="shared" si="12"/>
        <v>0.0605635163923789</v>
      </c>
      <c r="AR9" s="295">
        <f t="shared" si="12"/>
        <v>0.062961751390271</v>
      </c>
      <c r="AT9" s="282">
        <f t="shared" si="19"/>
        <v>0.000468712456630994</v>
      </c>
      <c r="AU9" s="282">
        <f t="shared" si="13"/>
        <v>0.000724392805859487</v>
      </c>
      <c r="AV9" s="282">
        <f t="shared" si="13"/>
        <v>0.000652588933508378</v>
      </c>
      <c r="AW9" s="282">
        <f t="shared" si="13"/>
        <v>0.000565350722700238</v>
      </c>
      <c r="AX9" s="282">
        <f t="shared" si="13"/>
        <v>0.000532504142427847</v>
      </c>
      <c r="AY9" s="282">
        <f t="shared" si="13"/>
        <v>0.000504859412395821</v>
      </c>
      <c r="AZ9" s="282">
        <f t="shared" si="13"/>
        <v>0.000532632120854043</v>
      </c>
      <c r="BA9" s="282">
        <f t="shared" si="13"/>
        <v>0.000522012847075056</v>
      </c>
      <c r="BB9" s="282">
        <f t="shared" si="13"/>
        <v>0.000514754636275718</v>
      </c>
      <c r="BC9" s="282">
        <f t="shared" si="13"/>
        <v>0.000494813391114543</v>
      </c>
      <c r="BD9" s="282">
        <f t="shared" si="13"/>
        <v>0.00051440734573746</v>
      </c>
    </row>
    <row r="10" spans="2:56">
      <c r="B10" s="198"/>
      <c r="C10" s="25" t="s">
        <v>27</v>
      </c>
      <c r="D10" s="201">
        <f>('24年CK1'!D148+'24年CK2'!D140)/1000</f>
        <v>224.168477368421</v>
      </c>
      <c r="E10" s="201">
        <f>('24年CK1'!E148+'24年CK2'!E140)/1000</f>
        <v>414.347926315789</v>
      </c>
      <c r="F10" s="201">
        <f>('24年CK1'!F148+'24年CK2'!F140)/1000</f>
        <v>456.915199736842</v>
      </c>
      <c r="G10" s="201">
        <f>('24年CK1'!G148+'24年CK2'!G140)/1000</f>
        <v>424.531898947369</v>
      </c>
      <c r="H10" s="201">
        <f>('24年CK1'!H148+'24年CK2'!H140)/1000</f>
        <v>449.109145526316</v>
      </c>
      <c r="I10" s="201">
        <f>('24年CK1'!I148+'24年CK2'!I140)/1000</f>
        <v>453.037885526316</v>
      </c>
      <c r="J10" s="201">
        <f>('24年CK1'!J148+'24年CK2'!J140)/1000</f>
        <v>415.643568684211</v>
      </c>
      <c r="K10" s="201">
        <f>('24年CK1'!K148+'24年CK2'!K140)/1000</f>
        <v>394.265111052632</v>
      </c>
      <c r="L10" s="201">
        <f>('24年CK1'!L148+'24年CK2'!L140)/1000</f>
        <v>470.231514210526</v>
      </c>
      <c r="M10" s="201">
        <f>('24年CK1'!M148+'24年CK2'!M140)/1000</f>
        <v>476.426986578947</v>
      </c>
      <c r="N10" s="201">
        <f>('24年CK1'!N148+'24年CK2'!N140)/1000</f>
        <v>426.485993157895</v>
      </c>
      <c r="O10" s="201">
        <f>('24年CK1'!O148+'24年CK2'!O140)/1000</f>
        <v>473.502993684211</v>
      </c>
      <c r="P10" s="296">
        <f t="shared" si="14"/>
        <v>5078.66670078947</v>
      </c>
      <c r="Q10" s="312">
        <f t="shared" si="15"/>
        <v>3.94471192220778</v>
      </c>
      <c r="R10" s="313">
        <f t="shared" si="16"/>
        <v>0.138645563055373</v>
      </c>
      <c r="S10" s="282">
        <f t="shared" si="17"/>
        <v>0.0322289127096197</v>
      </c>
      <c r="T10" s="282"/>
      <c r="V10" s="201">
        <f t="shared" si="1"/>
        <v>638.51640368421</v>
      </c>
      <c r="W10" s="201">
        <f t="shared" si="2"/>
        <v>1095.43160342105</v>
      </c>
      <c r="X10" s="201">
        <f t="shared" si="3"/>
        <v>1519.96350236842</v>
      </c>
      <c r="Y10" s="201">
        <f t="shared" si="4"/>
        <v>1969.07264789474</v>
      </c>
      <c r="Z10" s="201">
        <f t="shared" si="5"/>
        <v>2422.11053342105</v>
      </c>
      <c r="AA10" s="331">
        <f t="shared" si="6"/>
        <v>2837.75410210526</v>
      </c>
      <c r="AB10" s="331">
        <f t="shared" si="7"/>
        <v>3232.01921315789</v>
      </c>
      <c r="AC10" s="331">
        <f t="shared" si="8"/>
        <v>3702.25072736842</v>
      </c>
      <c r="AD10" s="331">
        <f t="shared" si="9"/>
        <v>4178.67771394737</v>
      </c>
      <c r="AE10" s="331">
        <f t="shared" si="10"/>
        <v>4605.16370710526</v>
      </c>
      <c r="AF10" s="331">
        <f t="shared" si="11"/>
        <v>5078.66670078947</v>
      </c>
      <c r="AH10" s="295">
        <f t="shared" si="18"/>
        <v>3.23219253797392</v>
      </c>
      <c r="AI10" s="295">
        <f t="shared" si="12"/>
        <v>3.52030723361791</v>
      </c>
      <c r="AJ10" s="295">
        <f t="shared" si="12"/>
        <v>3.61214065435599</v>
      </c>
      <c r="AK10" s="295">
        <f t="shared" si="12"/>
        <v>3.42613062993019</v>
      </c>
      <c r="AL10" s="295">
        <f t="shared" si="12"/>
        <v>3.48028889019637</v>
      </c>
      <c r="AM10" s="295">
        <f t="shared" si="12"/>
        <v>3.44259789702521</v>
      </c>
      <c r="AN10" s="295">
        <f t="shared" si="12"/>
        <v>3.6617015857361</v>
      </c>
      <c r="AO10" s="295">
        <f t="shared" si="12"/>
        <v>3.72999442590833</v>
      </c>
      <c r="AP10" s="295">
        <f t="shared" si="12"/>
        <v>3.76910083365642</v>
      </c>
      <c r="AQ10" s="295">
        <f t="shared" si="12"/>
        <v>3.79136596051131</v>
      </c>
      <c r="AR10" s="295">
        <f t="shared" si="12"/>
        <v>3.94471192220778</v>
      </c>
      <c r="AT10" s="282">
        <f t="shared" si="19"/>
        <v>0.0264075180194004</v>
      </c>
      <c r="AU10" s="282">
        <f t="shared" si="13"/>
        <v>0.0287614600966387</v>
      </c>
      <c r="AV10" s="282">
        <f t="shared" si="13"/>
        <v>0.0295117534917359</v>
      </c>
      <c r="AW10" s="282">
        <f t="shared" si="13"/>
        <v>0.027992022530754</v>
      </c>
      <c r="AX10" s="282">
        <f t="shared" si="13"/>
        <v>0.0284345039785873</v>
      </c>
      <c r="AY10" s="282">
        <f t="shared" si="13"/>
        <v>0.0281265626756968</v>
      </c>
      <c r="AZ10" s="282">
        <f t="shared" si="13"/>
        <v>0.0299166740443026</v>
      </c>
      <c r="BA10" s="282">
        <f t="shared" si="13"/>
        <v>0.0304746372182955</v>
      </c>
      <c r="BB10" s="282">
        <f t="shared" si="13"/>
        <v>0.030794142679418</v>
      </c>
      <c r="BC10" s="282">
        <f t="shared" si="13"/>
        <v>0.0309760522444321</v>
      </c>
      <c r="BD10" s="282">
        <f t="shared" si="13"/>
        <v>0.0322289127096197</v>
      </c>
    </row>
    <row r="11" spans="2:56">
      <c r="B11" s="198"/>
      <c r="C11" s="25" t="s">
        <v>28</v>
      </c>
      <c r="D11" s="201">
        <f>('24年CK1'!D149+'24年CK2'!D141)/1000</f>
        <v>122.236153157895</v>
      </c>
      <c r="E11" s="201">
        <f>('24年CK1'!E149+'24年CK2'!E141)/1000</f>
        <v>84.2802473684211</v>
      </c>
      <c r="F11" s="201">
        <f>('24年CK1'!F149+'24年CK2'!F141)/1000</f>
        <v>158.116838157895</v>
      </c>
      <c r="G11" s="201">
        <f>('24年CK1'!G149+'24年CK2'!G141)/1000</f>
        <v>163.96534</v>
      </c>
      <c r="H11" s="201">
        <f>('24年CK1'!H149+'24年CK2'!H141)/1000</f>
        <v>195.263812631579</v>
      </c>
      <c r="I11" s="201">
        <f>('24年CK1'!I149+'24年CK2'!I141)/1000</f>
        <v>201.13422368421</v>
      </c>
      <c r="J11" s="201">
        <f>('24年CK1'!J149+'24年CK2'!J141)/1000</f>
        <v>244.861378684211</v>
      </c>
      <c r="K11" s="201">
        <f>('24年CK1'!K149+'24年CK2'!K141)/1000</f>
        <v>223.192528947368</v>
      </c>
      <c r="L11" s="201">
        <f>('24年CK1'!L149+'24年CK2'!L141)/1000</f>
        <v>201.470730263158</v>
      </c>
      <c r="M11" s="201">
        <f>('24年CK1'!M149+'24年CK2'!M141)/1000</f>
        <v>92.8327160526316</v>
      </c>
      <c r="N11" s="201">
        <f>('24年CK1'!N149+'24年CK2'!N141)/1000</f>
        <v>218.326458421053</v>
      </c>
      <c r="O11" s="201">
        <f>('24年CK1'!O149+'24年CK2'!O141)/1000</f>
        <v>184.890717105263</v>
      </c>
      <c r="P11" s="296">
        <f t="shared" si="14"/>
        <v>2090.57114447368</v>
      </c>
      <c r="Q11" s="312">
        <f t="shared" si="15"/>
        <v>1.62379250375831</v>
      </c>
      <c r="R11" s="313">
        <f t="shared" si="16"/>
        <v>0.0570717533772817</v>
      </c>
      <c r="S11" s="282">
        <f t="shared" si="17"/>
        <v>0.0132666384502095</v>
      </c>
      <c r="T11" s="282"/>
      <c r="V11" s="201">
        <f t="shared" si="1"/>
        <v>206.516400526316</v>
      </c>
      <c r="W11" s="201">
        <f t="shared" si="2"/>
        <v>364.633238684211</v>
      </c>
      <c r="X11" s="201">
        <f t="shared" si="3"/>
        <v>528.598578684211</v>
      </c>
      <c r="Y11" s="201">
        <f t="shared" si="4"/>
        <v>723.86239131579</v>
      </c>
      <c r="Z11" s="201">
        <f t="shared" si="5"/>
        <v>924.996615</v>
      </c>
      <c r="AA11" s="331">
        <f t="shared" si="6"/>
        <v>1169.85799368421</v>
      </c>
      <c r="AB11" s="331">
        <f t="shared" si="7"/>
        <v>1393.05052263158</v>
      </c>
      <c r="AC11" s="331">
        <f t="shared" si="8"/>
        <v>1594.52125289474</v>
      </c>
      <c r="AD11" s="331">
        <f t="shared" si="9"/>
        <v>1687.35396894737</v>
      </c>
      <c r="AE11" s="331">
        <f t="shared" si="10"/>
        <v>1905.68042736842</v>
      </c>
      <c r="AF11" s="331">
        <f t="shared" si="11"/>
        <v>2090.57114447368</v>
      </c>
      <c r="AH11" s="295">
        <f t="shared" si="18"/>
        <v>1.04539329749235</v>
      </c>
      <c r="AI11" s="295">
        <f t="shared" si="12"/>
        <v>1.17179477362966</v>
      </c>
      <c r="AJ11" s="295">
        <f t="shared" si="12"/>
        <v>1.25619622637309</v>
      </c>
      <c r="AK11" s="295">
        <f t="shared" si="12"/>
        <v>1.25950005622856</v>
      </c>
      <c r="AL11" s="295">
        <f t="shared" si="12"/>
        <v>1.32911169751893</v>
      </c>
      <c r="AM11" s="295">
        <f t="shared" si="12"/>
        <v>1.41920354053496</v>
      </c>
      <c r="AN11" s="295">
        <f t="shared" si="12"/>
        <v>1.57825030462817</v>
      </c>
      <c r="AO11" s="295">
        <f t="shared" si="12"/>
        <v>1.60647017807929</v>
      </c>
      <c r="AP11" s="295">
        <f t="shared" si="12"/>
        <v>1.52196644163429</v>
      </c>
      <c r="AQ11" s="295">
        <f t="shared" si="12"/>
        <v>1.56891966571996</v>
      </c>
      <c r="AR11" s="295">
        <f t="shared" si="12"/>
        <v>1.62379250375831</v>
      </c>
      <c r="AT11" s="282">
        <f t="shared" si="19"/>
        <v>0.00854102656835981</v>
      </c>
      <c r="AU11" s="282">
        <f t="shared" si="13"/>
        <v>0.00957374637683611</v>
      </c>
      <c r="AV11" s="282">
        <f t="shared" si="13"/>
        <v>0.0102633194322775</v>
      </c>
      <c r="AW11" s="282">
        <f t="shared" si="13"/>
        <v>0.0102903122383732</v>
      </c>
      <c r="AX11" s="282">
        <f t="shared" si="13"/>
        <v>0.0108590502235453</v>
      </c>
      <c r="AY11" s="282">
        <f t="shared" si="13"/>
        <v>0.0115951146565564</v>
      </c>
      <c r="AZ11" s="282">
        <f t="shared" si="13"/>
        <v>0.0128945515679948</v>
      </c>
      <c r="BA11" s="282">
        <f t="shared" si="13"/>
        <v>0.0131251123430446</v>
      </c>
      <c r="BB11" s="282">
        <f t="shared" si="13"/>
        <v>0.012434703613781</v>
      </c>
      <c r="BC11" s="282">
        <f t="shared" si="13"/>
        <v>0.0128183187903349</v>
      </c>
      <c r="BD11" s="282">
        <f t="shared" si="13"/>
        <v>0.0132666384502095</v>
      </c>
    </row>
    <row r="12" spans="2:56">
      <c r="B12" s="198"/>
      <c r="C12" s="25" t="s">
        <v>29</v>
      </c>
      <c r="D12" s="201">
        <f>('24年CK1'!D150+'24年CK2'!D142)/1000</f>
        <v>142.517076052632</v>
      </c>
      <c r="E12" s="201">
        <f>('24年CK1'!E150+'24年CK2'!E142)/1000</f>
        <v>171.206564210526</v>
      </c>
      <c r="F12" s="201">
        <f>('24年CK1'!F150+'24年CK2'!F142)/1000</f>
        <v>283.62612631579</v>
      </c>
      <c r="G12" s="201">
        <f>('24年CK1'!G150+'24年CK2'!G142)/1000</f>
        <v>231.253927368421</v>
      </c>
      <c r="H12" s="201">
        <f>('24年CK1'!H150+'24年CK2'!H142)/1000</f>
        <v>215.491577631579</v>
      </c>
      <c r="I12" s="201">
        <f>('24年CK1'!I150+'24年CK2'!I142)/1000</f>
        <v>249.630479473684</v>
      </c>
      <c r="J12" s="201">
        <f>('24年CK1'!J150+'24年CK2'!J142)/1000</f>
        <v>228.760151578947</v>
      </c>
      <c r="K12" s="201">
        <f>('24年CK1'!K150+'24年CK2'!K142)/1000</f>
        <v>189.02819</v>
      </c>
      <c r="L12" s="201">
        <f>('24年CK1'!L150+'24年CK2'!L142)/1000</f>
        <v>188.77518868421</v>
      </c>
      <c r="M12" s="201">
        <f>('24年CK1'!M150+'24年CK2'!M142)/1000</f>
        <v>315.968154736842</v>
      </c>
      <c r="N12" s="201">
        <f>('24年CK1'!N150+'24年CK2'!N142)/1000</f>
        <v>159.578604736842</v>
      </c>
      <c r="O12" s="201">
        <f>('24年CK1'!O150+'24年CK2'!O142)/1000</f>
        <v>172.452569210526</v>
      </c>
      <c r="P12" s="296">
        <f t="shared" si="14"/>
        <v>2548.28861</v>
      </c>
      <c r="Q12" s="312">
        <f t="shared" si="15"/>
        <v>1.9793117078407</v>
      </c>
      <c r="R12" s="313">
        <f t="shared" si="16"/>
        <v>0.0695672565215044</v>
      </c>
      <c r="S12" s="282">
        <f t="shared" si="17"/>
        <v>0.0161712858923861</v>
      </c>
      <c r="T12" s="282"/>
      <c r="V12" s="201">
        <f t="shared" si="1"/>
        <v>313.723640263158</v>
      </c>
      <c r="W12" s="201">
        <f t="shared" si="2"/>
        <v>597.349766578947</v>
      </c>
      <c r="X12" s="201">
        <f t="shared" si="3"/>
        <v>828.603693947368</v>
      </c>
      <c r="Y12" s="201">
        <f t="shared" si="4"/>
        <v>1044.09527157895</v>
      </c>
      <c r="Z12" s="201">
        <f t="shared" si="5"/>
        <v>1293.72575105263</v>
      </c>
      <c r="AA12" s="331">
        <f t="shared" si="6"/>
        <v>1522.48590263158</v>
      </c>
      <c r="AB12" s="331">
        <f t="shared" si="7"/>
        <v>1711.51409263158</v>
      </c>
      <c r="AC12" s="331">
        <f t="shared" si="8"/>
        <v>1900.28928131579</v>
      </c>
      <c r="AD12" s="331">
        <f t="shared" si="9"/>
        <v>2216.25743605263</v>
      </c>
      <c r="AE12" s="331">
        <f t="shared" si="10"/>
        <v>2375.83604078947</v>
      </c>
      <c r="AF12" s="331">
        <f t="shared" si="11"/>
        <v>2548.28861</v>
      </c>
      <c r="AH12" s="295">
        <f t="shared" si="18"/>
        <v>1.58808012322592</v>
      </c>
      <c r="AI12" s="295">
        <f t="shared" si="12"/>
        <v>1.91965860554012</v>
      </c>
      <c r="AJ12" s="295">
        <f t="shared" si="12"/>
        <v>1.96914799900989</v>
      </c>
      <c r="AK12" s="295">
        <f t="shared" si="12"/>
        <v>1.81669619673329</v>
      </c>
      <c r="AL12" s="295">
        <f t="shared" si="12"/>
        <v>1.858932239558</v>
      </c>
      <c r="AM12" s="295">
        <f t="shared" si="12"/>
        <v>1.84699116909446</v>
      </c>
      <c r="AN12" s="295">
        <f t="shared" si="12"/>
        <v>1.93905216945645</v>
      </c>
      <c r="AO12" s="295">
        <f t="shared" si="12"/>
        <v>1.91452955212449</v>
      </c>
      <c r="AP12" s="295">
        <f t="shared" si="12"/>
        <v>1.99902895644286</v>
      </c>
      <c r="AQ12" s="295">
        <f t="shared" si="12"/>
        <v>1.95599211357184</v>
      </c>
      <c r="AR12" s="295">
        <f t="shared" si="12"/>
        <v>1.9793117078407</v>
      </c>
      <c r="AT12" s="282">
        <f t="shared" si="19"/>
        <v>0.0129748627217079</v>
      </c>
      <c r="AU12" s="282">
        <f t="shared" si="13"/>
        <v>0.0156839107266409</v>
      </c>
      <c r="AV12" s="282">
        <f t="shared" si="13"/>
        <v>0.0160882468033034</v>
      </c>
      <c r="AW12" s="282">
        <f t="shared" si="13"/>
        <v>0.0148426917602758</v>
      </c>
      <c r="AX12" s="282">
        <f t="shared" si="13"/>
        <v>0.0151877668289352</v>
      </c>
      <c r="AY12" s="282">
        <f t="shared" si="13"/>
        <v>0.0150902064176255</v>
      </c>
      <c r="AZ12" s="282">
        <f t="shared" si="13"/>
        <v>0.015842359173806</v>
      </c>
      <c r="BA12" s="282">
        <f t="shared" si="13"/>
        <v>0.0156420055588935</v>
      </c>
      <c r="BB12" s="282">
        <f t="shared" si="13"/>
        <v>0.0163323788940057</v>
      </c>
      <c r="BC12" s="282">
        <f t="shared" si="13"/>
        <v>0.0159807611638544</v>
      </c>
      <c r="BD12" s="282">
        <f t="shared" si="13"/>
        <v>0.0161712858923861</v>
      </c>
    </row>
    <row r="13" spans="2:56">
      <c r="B13" s="198" t="s">
        <v>30</v>
      </c>
      <c r="C13" s="25" t="s">
        <v>31</v>
      </c>
      <c r="D13" s="201">
        <f>('24年CK1'!D151+'24年CK2'!D143)/1000</f>
        <v>421.245189473684</v>
      </c>
      <c r="E13" s="201">
        <f>('24年CK1'!E151+'24年CK2'!E143)/1000</f>
        <v>551.948167631579</v>
      </c>
      <c r="F13" s="201">
        <f>('24年CK1'!F151+'24年CK2'!F143)/1000</f>
        <v>421.620881578947</v>
      </c>
      <c r="G13" s="201">
        <f>('24年CK1'!G151+'24年CK2'!G143)/1000</f>
        <v>612.540008157895</v>
      </c>
      <c r="H13" s="201">
        <f>('24年CK1'!H151+'24年CK2'!H143)/1000</f>
        <v>635.198020789474</v>
      </c>
      <c r="I13" s="201">
        <f>('24年CK1'!I151+'24年CK2'!I143)/1000</f>
        <v>679.028579210526</v>
      </c>
      <c r="J13" s="201">
        <f>('24年CK1'!J151+'24年CK2'!J143)/1000</f>
        <v>619.589281315789</v>
      </c>
      <c r="K13" s="201">
        <f>('24年CK1'!K151+'24年CK2'!K143)/1000</f>
        <v>534.658471842105</v>
      </c>
      <c r="L13" s="201">
        <f>('24年CK1'!L151+'24年CK2'!L143)/1000</f>
        <v>615.618421052632</v>
      </c>
      <c r="M13" s="201">
        <f>('24年CK1'!M151+'24年CK2'!M143)/1000</f>
        <v>614.187260263158</v>
      </c>
      <c r="N13" s="201">
        <f>('24年CK1'!N151+'24年CK2'!N143)/1000</f>
        <v>570.82731631579</v>
      </c>
      <c r="O13" s="201">
        <f>('24年CK1'!O151+'24年CK2'!O143)/1000</f>
        <v>456.135285789474</v>
      </c>
      <c r="P13" s="296">
        <f t="shared" si="14"/>
        <v>6732.59688342105</v>
      </c>
      <c r="Q13" s="312">
        <f t="shared" si="15"/>
        <v>5.22935580500322</v>
      </c>
      <c r="R13" s="313">
        <f t="shared" si="16"/>
        <v>0.18379719338181</v>
      </c>
      <c r="S13" s="282">
        <f t="shared" si="17"/>
        <v>0.0427246539394098</v>
      </c>
      <c r="T13" s="282"/>
      <c r="V13" s="201">
        <f t="shared" si="1"/>
        <v>973.193357105263</v>
      </c>
      <c r="W13" s="201">
        <f t="shared" si="2"/>
        <v>1394.81423868421</v>
      </c>
      <c r="X13" s="201">
        <f t="shared" si="3"/>
        <v>2007.35424684211</v>
      </c>
      <c r="Y13" s="201">
        <f t="shared" si="4"/>
        <v>2642.55226763158</v>
      </c>
      <c r="Z13" s="201">
        <f t="shared" si="5"/>
        <v>3321.5808468421</v>
      </c>
      <c r="AA13" s="331">
        <f t="shared" si="6"/>
        <v>3941.17012815789</v>
      </c>
      <c r="AB13" s="331">
        <f t="shared" si="7"/>
        <v>4475.8286</v>
      </c>
      <c r="AC13" s="331">
        <f t="shared" si="8"/>
        <v>5091.44702105263</v>
      </c>
      <c r="AD13" s="331">
        <f t="shared" si="9"/>
        <v>5705.63428131579</v>
      </c>
      <c r="AE13" s="331">
        <f t="shared" si="10"/>
        <v>6276.46159763158</v>
      </c>
      <c r="AF13" s="331">
        <f t="shared" si="11"/>
        <v>6732.59688342105</v>
      </c>
      <c r="AH13" s="295">
        <f t="shared" si="18"/>
        <v>4.92633907083945</v>
      </c>
      <c r="AI13" s="295">
        <f t="shared" si="12"/>
        <v>4.48241098637169</v>
      </c>
      <c r="AJ13" s="295">
        <f t="shared" si="12"/>
        <v>4.77040788901456</v>
      </c>
      <c r="AK13" s="295">
        <f t="shared" si="12"/>
        <v>4.59796609079099</v>
      </c>
      <c r="AL13" s="295">
        <f t="shared" si="12"/>
        <v>4.77272228481905</v>
      </c>
      <c r="AM13" s="295">
        <f t="shared" si="12"/>
        <v>4.7811979145583</v>
      </c>
      <c r="AN13" s="295">
        <f t="shared" si="12"/>
        <v>5.07086981889866</v>
      </c>
      <c r="AO13" s="295">
        <f t="shared" si="12"/>
        <v>5.12960099324035</v>
      </c>
      <c r="AP13" s="295">
        <f t="shared" si="12"/>
        <v>5.14639137028142</v>
      </c>
      <c r="AQ13" s="295">
        <f t="shared" si="12"/>
        <v>5.16732180812631</v>
      </c>
      <c r="AR13" s="295">
        <f t="shared" si="12"/>
        <v>5.22935580500322</v>
      </c>
      <c r="AT13" s="282">
        <f t="shared" si="19"/>
        <v>0.0402489598792331</v>
      </c>
      <c r="AU13" s="282">
        <f t="shared" si="13"/>
        <v>0.0366219980716767</v>
      </c>
      <c r="AV13" s="282">
        <f t="shared" si="13"/>
        <v>0.0389749777616925</v>
      </c>
      <c r="AW13" s="282">
        <f t="shared" si="13"/>
        <v>0.0375661013286253</v>
      </c>
      <c r="AX13" s="282">
        <f t="shared" si="13"/>
        <v>0.0389938867370066</v>
      </c>
      <c r="AY13" s="282">
        <f t="shared" si="13"/>
        <v>0.0390631339561729</v>
      </c>
      <c r="AZ13" s="282">
        <f t="shared" si="13"/>
        <v>0.0414297986717524</v>
      </c>
      <c r="BA13" s="282">
        <f t="shared" si="13"/>
        <v>0.0419096415420354</v>
      </c>
      <c r="BB13" s="282">
        <f t="shared" si="13"/>
        <v>0.0420468215457187</v>
      </c>
      <c r="BC13" s="282">
        <f t="shared" si="13"/>
        <v>0.042217826492995</v>
      </c>
      <c r="BD13" s="282">
        <f t="shared" si="13"/>
        <v>0.0427246539394098</v>
      </c>
    </row>
    <row r="14" spans="2:56">
      <c r="B14" s="198"/>
      <c r="C14" s="25" t="s">
        <v>32</v>
      </c>
      <c r="D14" s="201">
        <f>('24年CK1'!D152+'24年CK2'!D144)/1000</f>
        <v>20.1467205263158</v>
      </c>
      <c r="E14" s="201">
        <f>('24年CK1'!E152+'24年CK2'!E144)/1000</f>
        <v>53.4523447368421</v>
      </c>
      <c r="F14" s="201">
        <f>('24年CK1'!F152+'24年CK2'!F144)/1000</f>
        <v>38.0489355263158</v>
      </c>
      <c r="G14" s="201">
        <f>('24年CK1'!G152+'24年CK2'!G144)/1000</f>
        <v>61.0724586842105</v>
      </c>
      <c r="H14" s="201">
        <f>('24年CK1'!H152+'24年CK2'!H144)/1000</f>
        <v>94.598057368421</v>
      </c>
      <c r="I14" s="201">
        <f>('24年CK1'!I152+'24年CK2'!I144)/1000</f>
        <v>50.3827439473684</v>
      </c>
      <c r="J14" s="201">
        <f>('24年CK1'!J152+'24年CK2'!J144)/1000</f>
        <v>63.0285518421053</v>
      </c>
      <c r="K14" s="201">
        <f>('24年CK1'!K152+'24年CK2'!K144)/1000</f>
        <v>32.3753671052632</v>
      </c>
      <c r="L14" s="201">
        <f>('24年CK1'!L152+'24年CK2'!L144)/1000</f>
        <v>37.241865</v>
      </c>
      <c r="M14" s="201">
        <f>('24年CK1'!M152+'24年CK2'!M144)/1000</f>
        <v>46.4713847368421</v>
      </c>
      <c r="N14" s="201">
        <f>('24年CK1'!N152+'24年CK2'!N144)/1000</f>
        <v>30.2317518421053</v>
      </c>
      <c r="O14" s="201">
        <f>('24年CK1'!O152+'24年CK2'!O144)/1000</f>
        <v>52.0741581578948</v>
      </c>
      <c r="P14" s="296">
        <f t="shared" si="14"/>
        <v>579.124339473684</v>
      </c>
      <c r="Q14" s="312">
        <f t="shared" si="15"/>
        <v>0.449818588411684</v>
      </c>
      <c r="R14" s="313">
        <f t="shared" si="16"/>
        <v>0.0158098620870156</v>
      </c>
      <c r="S14" s="282">
        <f t="shared" si="17"/>
        <v>0.00367508814508582</v>
      </c>
      <c r="T14" s="282"/>
      <c r="V14" s="201">
        <f t="shared" si="1"/>
        <v>73.5990652631579</v>
      </c>
      <c r="W14" s="201">
        <f t="shared" si="2"/>
        <v>111.648000789474</v>
      </c>
      <c r="X14" s="201">
        <f t="shared" si="3"/>
        <v>172.720459473684</v>
      </c>
      <c r="Y14" s="201">
        <f t="shared" si="4"/>
        <v>267.318516842105</v>
      </c>
      <c r="Z14" s="201">
        <f t="shared" si="5"/>
        <v>317.701260789474</v>
      </c>
      <c r="AA14" s="331">
        <f t="shared" si="6"/>
        <v>380.729812631579</v>
      </c>
      <c r="AB14" s="331">
        <f t="shared" si="7"/>
        <v>413.105179736842</v>
      </c>
      <c r="AC14" s="331">
        <f t="shared" si="8"/>
        <v>450.347044736842</v>
      </c>
      <c r="AD14" s="331">
        <f t="shared" si="9"/>
        <v>496.818429473684</v>
      </c>
      <c r="AE14" s="331">
        <f t="shared" si="10"/>
        <v>527.050181315789</v>
      </c>
      <c r="AF14" s="331">
        <f t="shared" si="11"/>
        <v>579.124339473684</v>
      </c>
      <c r="AH14" s="295">
        <f t="shared" si="18"/>
        <v>0.37256106213222</v>
      </c>
      <c r="AI14" s="295">
        <f t="shared" si="12"/>
        <v>0.358794892872093</v>
      </c>
      <c r="AJ14" s="295">
        <f t="shared" si="12"/>
        <v>0.410464193733461</v>
      </c>
      <c r="AK14" s="295">
        <f t="shared" si="12"/>
        <v>0.465126647043449</v>
      </c>
      <c r="AL14" s="295">
        <f t="shared" si="12"/>
        <v>0.456499467332432</v>
      </c>
      <c r="AM14" s="295">
        <f t="shared" si="12"/>
        <v>0.461879220376388</v>
      </c>
      <c r="AN14" s="295">
        <f t="shared" si="12"/>
        <v>0.468025649587712</v>
      </c>
      <c r="AO14" s="295">
        <f t="shared" si="12"/>
        <v>0.453721827691209</v>
      </c>
      <c r="AP14" s="295">
        <f t="shared" si="12"/>
        <v>0.448122321196251</v>
      </c>
      <c r="AQ14" s="295">
        <f t="shared" si="12"/>
        <v>0.433912938608227</v>
      </c>
      <c r="AR14" s="295">
        <f t="shared" si="12"/>
        <v>0.449818588411684</v>
      </c>
      <c r="AT14" s="282">
        <f t="shared" si="19"/>
        <v>0.00304388208499197</v>
      </c>
      <c r="AU14" s="282">
        <f t="shared" si="13"/>
        <v>0.00293141033136841</v>
      </c>
      <c r="AV14" s="282">
        <f t="shared" si="13"/>
        <v>0.00335355659199981</v>
      </c>
      <c r="AW14" s="282">
        <f t="shared" si="13"/>
        <v>0.00380015737577397</v>
      </c>
      <c r="AX14" s="282">
        <f t="shared" si="13"/>
        <v>0.00372967196966072</v>
      </c>
      <c r="AY14" s="282">
        <f t="shared" si="13"/>
        <v>0.00377362539253981</v>
      </c>
      <c r="AZ14" s="282">
        <f t="shared" si="13"/>
        <v>0.00382384267948855</v>
      </c>
      <c r="BA14" s="282">
        <f t="shared" si="13"/>
        <v>0.00370697821982521</v>
      </c>
      <c r="BB14" s="282">
        <f t="shared" si="13"/>
        <v>0.00366122937691808</v>
      </c>
      <c r="BC14" s="282">
        <f t="shared" si="13"/>
        <v>0.00354513650115981</v>
      </c>
      <c r="BD14" s="282">
        <f t="shared" si="13"/>
        <v>0.00367508814508582</v>
      </c>
    </row>
    <row r="15" spans="2:56">
      <c r="B15" s="198"/>
      <c r="C15" s="25" t="s">
        <v>33</v>
      </c>
      <c r="D15" s="201">
        <f>('24年CK1'!D153+'24年CK2'!D145)/1000</f>
        <v>-5.31405421052632</v>
      </c>
      <c r="E15" s="201">
        <f>('24年CK1'!E153+'24年CK2'!E145)/1000</f>
        <v>2.6393652631579</v>
      </c>
      <c r="F15" s="201">
        <f>('24年CK1'!F153+'24年CK2'!F145)/1000</f>
        <v>15.2972289473684</v>
      </c>
      <c r="G15" s="201">
        <f>('24年CK1'!G153+'24年CK2'!G145)/1000</f>
        <v>47.3147157894737</v>
      </c>
      <c r="H15" s="201">
        <f>('24年CK1'!H153+'24年CK2'!H145)/1000</f>
        <v>36.0216731578947</v>
      </c>
      <c r="I15" s="201">
        <f>('24年CK1'!I153+'24年CK2'!I145)/1000</f>
        <v>24.3069031578947</v>
      </c>
      <c r="J15" s="201">
        <f>('24年CK1'!J153+'24年CK2'!J145)/1000</f>
        <v>-22.4208302631579</v>
      </c>
      <c r="K15" s="201">
        <f>('24年CK1'!K153+'24年CK2'!K145)/1000</f>
        <v>117.453849736842</v>
      </c>
      <c r="L15" s="201">
        <f>('24年CK1'!L153+'24年CK2'!L145)/1000</f>
        <v>42.7786378947368</v>
      </c>
      <c r="M15" s="201">
        <f>('24年CK1'!M153+'24年CK2'!M145)/1000</f>
        <v>28.6137544736842</v>
      </c>
      <c r="N15" s="201">
        <f>('24年CK1'!N153+'24年CK2'!N145)/1000</f>
        <v>38.1279736842105</v>
      </c>
      <c r="O15" s="201">
        <f>('24年CK1'!O153+'24年CK2'!O145)/1000</f>
        <v>61.9053102631578</v>
      </c>
      <c r="P15" s="296">
        <f t="shared" si="14"/>
        <v>386.724527894737</v>
      </c>
      <c r="Q15" s="312">
        <f t="shared" si="15"/>
        <v>0.300377430863774</v>
      </c>
      <c r="R15" s="313">
        <f t="shared" si="16"/>
        <v>0.0105574244336519</v>
      </c>
      <c r="S15" s="282">
        <f t="shared" si="17"/>
        <v>0.00245413053986214</v>
      </c>
      <c r="T15" s="282"/>
      <c r="V15" s="201">
        <f t="shared" si="1"/>
        <v>-2.67468894736842</v>
      </c>
      <c r="W15" s="201">
        <f t="shared" si="2"/>
        <v>12.62254</v>
      </c>
      <c r="X15" s="201">
        <f t="shared" si="3"/>
        <v>59.9372557894737</v>
      </c>
      <c r="Y15" s="201">
        <f t="shared" si="4"/>
        <v>95.9589289473684</v>
      </c>
      <c r="Z15" s="201">
        <f t="shared" si="5"/>
        <v>120.265832105263</v>
      </c>
      <c r="AA15" s="331">
        <f t="shared" si="6"/>
        <v>97.8450018421053</v>
      </c>
      <c r="AB15" s="331">
        <f t="shared" si="7"/>
        <v>215.298851578947</v>
      </c>
      <c r="AC15" s="331">
        <f t="shared" si="8"/>
        <v>258.077489473684</v>
      </c>
      <c r="AD15" s="331">
        <f t="shared" si="9"/>
        <v>286.691243947368</v>
      </c>
      <c r="AE15" s="331">
        <f t="shared" si="10"/>
        <v>324.819217631579</v>
      </c>
      <c r="AF15" s="331">
        <f t="shared" si="11"/>
        <v>386.724527894737</v>
      </c>
      <c r="AH15" s="295">
        <f t="shared" si="18"/>
        <v>-0.0135393697126709</v>
      </c>
      <c r="AI15" s="295">
        <f t="shared" si="12"/>
        <v>0.0405641198682414</v>
      </c>
      <c r="AJ15" s="295">
        <f t="shared" si="12"/>
        <v>0.14243881383358</v>
      </c>
      <c r="AK15" s="295">
        <f t="shared" si="12"/>
        <v>0.166965818164901</v>
      </c>
      <c r="AL15" s="295">
        <f t="shared" si="12"/>
        <v>0.172807901856974</v>
      </c>
      <c r="AM15" s="295">
        <f t="shared" si="12"/>
        <v>0.118699853988816</v>
      </c>
      <c r="AN15" s="295">
        <f t="shared" si="12"/>
        <v>0.243921862538531</v>
      </c>
      <c r="AO15" s="295">
        <f t="shared" si="12"/>
        <v>0.260011454673546</v>
      </c>
      <c r="AP15" s="295">
        <f t="shared" si="12"/>
        <v>0.258590942047854</v>
      </c>
      <c r="AQ15" s="295">
        <f t="shared" si="12"/>
        <v>0.267419054646896</v>
      </c>
      <c r="AR15" s="295">
        <f t="shared" si="12"/>
        <v>0.300377430863774</v>
      </c>
      <c r="AT15" s="282">
        <f t="shared" si="19"/>
        <v>-0.000110618765886639</v>
      </c>
      <c r="AU15" s="282">
        <f t="shared" si="13"/>
        <v>0.000331415196890831</v>
      </c>
      <c r="AV15" s="282">
        <f t="shared" si="13"/>
        <v>0.00116374736306091</v>
      </c>
      <c r="AW15" s="282">
        <f t="shared" si="13"/>
        <v>0.00136413682044369</v>
      </c>
      <c r="AX15" s="282">
        <f t="shared" si="13"/>
        <v>0.00141186755695048</v>
      </c>
      <c r="AY15" s="282">
        <f t="shared" si="13"/>
        <v>0.000969796352254049</v>
      </c>
      <c r="AZ15" s="282">
        <f t="shared" si="13"/>
        <v>0.00199287972626461</v>
      </c>
      <c r="BA15" s="282">
        <f t="shared" si="13"/>
        <v>0.00212433420777781</v>
      </c>
      <c r="BB15" s="282">
        <f t="shared" si="13"/>
        <v>0.002112728397691</v>
      </c>
      <c r="BC15" s="282">
        <f t="shared" si="13"/>
        <v>0.00218485545689231</v>
      </c>
      <c r="BD15" s="282">
        <f t="shared" si="13"/>
        <v>0.00245413053986214</v>
      </c>
    </row>
    <row r="16" spans="2:56">
      <c r="B16" s="198"/>
      <c r="C16" s="25" t="s">
        <v>34</v>
      </c>
      <c r="D16" s="201">
        <f>('24年CK1'!D154+'24年CK2'!D146)/1000</f>
        <v>-64.1592263157895</v>
      </c>
      <c r="E16" s="201">
        <f>('24年CK1'!E154+'24年CK2'!E146)/1000</f>
        <v>-81.2221802631579</v>
      </c>
      <c r="F16" s="201">
        <f>('24年CK1'!F154+'24年CK2'!F146)/1000</f>
        <v>-93.2784078947368</v>
      </c>
      <c r="G16" s="201">
        <f>('24年CK1'!G154+'24年CK2'!G146)/1000</f>
        <v>-96.8450921052632</v>
      </c>
      <c r="H16" s="201">
        <f>('24年CK1'!H154+'24年CK2'!H146)/1000</f>
        <v>-132.976736842105</v>
      </c>
      <c r="I16" s="201">
        <f>('24年CK1'!I154+'24年CK2'!I146)/1000</f>
        <v>-100.33</v>
      </c>
      <c r="J16" s="201">
        <f>('24年CK1'!J154+'24年CK2'!J146)/1000</f>
        <v>-115.207644736842</v>
      </c>
      <c r="K16" s="201">
        <f>('24年CK1'!K154+'24年CK2'!K146)/1000</f>
        <v>-77.0083815789474</v>
      </c>
      <c r="L16" s="201">
        <f>('24年CK1'!L154+'24年CK2'!L146)/1000</f>
        <v>-86.1589605263158</v>
      </c>
      <c r="M16" s="201">
        <f>('24年CK1'!M154+'24年CK2'!M146)/1000</f>
        <v>-99.4881842105263</v>
      </c>
      <c r="N16" s="201">
        <f>('24年CK1'!N154+'24年CK2'!N146)/1000</f>
        <v>-108.286881578947</v>
      </c>
      <c r="O16" s="201">
        <f>('24年CK1'!O154+'24年CK2'!O146)/1000</f>
        <v>-68.6198421052632</v>
      </c>
      <c r="P16" s="296">
        <f t="shared" si="14"/>
        <v>-1123.58153815789</v>
      </c>
      <c r="Q16" s="312">
        <f t="shared" si="15"/>
        <v>-0.872710447498951</v>
      </c>
      <c r="R16" s="313">
        <f t="shared" si="16"/>
        <v>-0.0306733251410863</v>
      </c>
      <c r="S16" s="282">
        <f t="shared" si="17"/>
        <v>-0.00713018070467233</v>
      </c>
      <c r="T16" s="282"/>
      <c r="V16" s="201">
        <f t="shared" si="1"/>
        <v>-145.381406578947</v>
      </c>
      <c r="W16" s="201">
        <f t="shared" si="2"/>
        <v>-238.659814473684</v>
      </c>
      <c r="X16" s="201">
        <f t="shared" si="3"/>
        <v>-335.504906578947</v>
      </c>
      <c r="Y16" s="201">
        <f t="shared" si="4"/>
        <v>-468.481643421053</v>
      </c>
      <c r="Z16" s="201">
        <f t="shared" si="5"/>
        <v>-568.811643421053</v>
      </c>
      <c r="AA16" s="331">
        <f t="shared" si="6"/>
        <v>-684.019288157895</v>
      </c>
      <c r="AB16" s="331">
        <f t="shared" si="7"/>
        <v>-761.027669736842</v>
      </c>
      <c r="AC16" s="331">
        <f t="shared" si="8"/>
        <v>-847.186630263158</v>
      </c>
      <c r="AD16" s="331">
        <f t="shared" si="9"/>
        <v>-946.674814473684</v>
      </c>
      <c r="AE16" s="331">
        <f t="shared" si="10"/>
        <v>-1054.96169605263</v>
      </c>
      <c r="AF16" s="331">
        <f t="shared" si="11"/>
        <v>-1123.58153815789</v>
      </c>
      <c r="AH16" s="295">
        <f t="shared" si="18"/>
        <v>-0.735925803618076</v>
      </c>
      <c r="AI16" s="295">
        <f t="shared" si="12"/>
        <v>-0.766963330838545</v>
      </c>
      <c r="AJ16" s="295">
        <f t="shared" si="12"/>
        <v>-0.797315797978929</v>
      </c>
      <c r="AK16" s="295">
        <f t="shared" si="12"/>
        <v>-0.815144788995467</v>
      </c>
      <c r="AL16" s="295">
        <f t="shared" si="12"/>
        <v>-0.817315649264176</v>
      </c>
      <c r="AM16" s="295">
        <f t="shared" si="12"/>
        <v>-0.829812336872345</v>
      </c>
      <c r="AN16" s="295">
        <f t="shared" si="12"/>
        <v>-0.862202864920997</v>
      </c>
      <c r="AO16" s="295">
        <f t="shared" si="12"/>
        <v>-0.853535225268707</v>
      </c>
      <c r="AP16" s="295">
        <f t="shared" si="12"/>
        <v>-0.853885625236148</v>
      </c>
      <c r="AQ16" s="295">
        <f t="shared" si="12"/>
        <v>-0.86853500080487</v>
      </c>
      <c r="AR16" s="295">
        <f t="shared" si="12"/>
        <v>-0.872710447498951</v>
      </c>
      <c r="AT16" s="282">
        <f t="shared" si="19"/>
        <v>-0.00601262879350873</v>
      </c>
      <c r="AU16" s="282">
        <f t="shared" si="13"/>
        <v>-0.00626621024007254</v>
      </c>
      <c r="AV16" s="282">
        <f t="shared" si="13"/>
        <v>-0.00651419463875114</v>
      </c>
      <c r="AW16" s="282">
        <f t="shared" si="13"/>
        <v>-0.00665986028088275</v>
      </c>
      <c r="AX16" s="282">
        <f t="shared" si="13"/>
        <v>-0.00667759654844417</v>
      </c>
      <c r="AY16" s="282">
        <f t="shared" si="13"/>
        <v>-0.00677969643863277</v>
      </c>
      <c r="AZ16" s="282">
        <f t="shared" si="13"/>
        <v>-0.00704433211334998</v>
      </c>
      <c r="BA16" s="282">
        <f t="shared" si="13"/>
        <v>-0.00697351614319524</v>
      </c>
      <c r="BB16" s="282">
        <f t="shared" si="13"/>
        <v>-0.00697637896567426</v>
      </c>
      <c r="BC16" s="282">
        <f t="shared" si="13"/>
        <v>-0.00709606665282748</v>
      </c>
      <c r="BD16" s="282">
        <f t="shared" si="13"/>
        <v>-0.00713018070467233</v>
      </c>
    </row>
    <row r="17" spans="2:56">
      <c r="B17" s="198"/>
      <c r="C17" s="25" t="s">
        <v>35</v>
      </c>
      <c r="D17" s="201">
        <f>('24年CK1'!D155+'24年CK2'!D147)/1000</f>
        <v>128.917075</v>
      </c>
      <c r="E17" s="201">
        <f>('24年CK1'!E155+'24年CK2'!E147)/1000</f>
        <v>13.5115507894737</v>
      </c>
      <c r="F17" s="201">
        <f>('24年CK1'!F155+'24年CK2'!F147)/1000</f>
        <v>76.8881526315789</v>
      </c>
      <c r="G17" s="201">
        <f>('24年CK1'!G155+'24年CK2'!G147)/1000</f>
        <v>91.7584760526316</v>
      </c>
      <c r="H17" s="201">
        <f>('24年CK1'!H155+'24年CK2'!H147)/1000</f>
        <v>105.741269473684</v>
      </c>
      <c r="I17" s="201">
        <f>('24年CK1'!I155+'24年CK2'!I147)/1000</f>
        <v>74.1115139473684</v>
      </c>
      <c r="J17" s="201">
        <f>('24年CK1'!J155+'24年CK2'!J147)/1000</f>
        <v>59.1603876315789</v>
      </c>
      <c r="K17" s="201">
        <f>('24年CK1'!K155+'24年CK2'!K147)/1000</f>
        <v>78.8593107894737</v>
      </c>
      <c r="L17" s="201">
        <f>('24年CK1'!L155+'24年CK2'!L147)/1000</f>
        <v>78.5707121052632</v>
      </c>
      <c r="M17" s="201">
        <f>('24年CK1'!M155+'24年CK2'!M147)/1000</f>
        <v>82.0589071052632</v>
      </c>
      <c r="N17" s="201">
        <f>('24年CK1'!N155+'24年CK2'!N147)/1000</f>
        <v>98.3551565789474</v>
      </c>
      <c r="O17" s="201">
        <f>('24年CK1'!O155+'24年CK2'!O147)/1000</f>
        <v>76.9763657894737</v>
      </c>
      <c r="P17" s="296">
        <f t="shared" si="14"/>
        <v>964.908877894737</v>
      </c>
      <c r="Q17" s="312">
        <f t="shared" si="15"/>
        <v>0.749465908814968</v>
      </c>
      <c r="R17" s="313">
        <f t="shared" si="16"/>
        <v>0.026341625185218</v>
      </c>
      <c r="S17" s="282">
        <f t="shared" si="17"/>
        <v>0.00612325356841637</v>
      </c>
      <c r="T17" s="282"/>
      <c r="V17" s="201">
        <f t="shared" si="1"/>
        <v>142.428625789474</v>
      </c>
      <c r="W17" s="201">
        <f t="shared" si="2"/>
        <v>219.316778421053</v>
      </c>
      <c r="X17" s="201">
        <f t="shared" si="3"/>
        <v>311.075254473684</v>
      </c>
      <c r="Y17" s="201">
        <f t="shared" si="4"/>
        <v>416.816523947368</v>
      </c>
      <c r="Z17" s="201">
        <f t="shared" si="5"/>
        <v>490.928037894737</v>
      </c>
      <c r="AA17" s="331">
        <f t="shared" si="6"/>
        <v>550.088425526316</v>
      </c>
      <c r="AB17" s="331">
        <f t="shared" si="7"/>
        <v>628.947736315789</v>
      </c>
      <c r="AC17" s="331">
        <f t="shared" si="8"/>
        <v>707.518448421053</v>
      </c>
      <c r="AD17" s="331">
        <f t="shared" si="9"/>
        <v>789.577355526316</v>
      </c>
      <c r="AE17" s="331">
        <f t="shared" si="10"/>
        <v>887.932512105263</v>
      </c>
      <c r="AF17" s="331">
        <f t="shared" si="11"/>
        <v>964.908877894737</v>
      </c>
      <c r="AH17" s="295">
        <f t="shared" si="18"/>
        <v>0.720978723200187</v>
      </c>
      <c r="AI17" s="295">
        <f t="shared" si="12"/>
        <v>0.704802051646349</v>
      </c>
      <c r="AJ17" s="295">
        <f t="shared" si="12"/>
        <v>0.739259575310626</v>
      </c>
      <c r="AK17" s="295">
        <f t="shared" si="12"/>
        <v>0.725248944615603</v>
      </c>
      <c r="AL17" s="295">
        <f t="shared" si="12"/>
        <v>0.705406038492274</v>
      </c>
      <c r="AM17" s="295">
        <f t="shared" si="12"/>
        <v>0.667335219598445</v>
      </c>
      <c r="AN17" s="295">
        <f t="shared" si="12"/>
        <v>0.712563500252975</v>
      </c>
      <c r="AO17" s="295">
        <f t="shared" si="12"/>
        <v>0.712820406605383</v>
      </c>
      <c r="AP17" s="295">
        <f t="shared" si="12"/>
        <v>0.712186215993004</v>
      </c>
      <c r="AQ17" s="295">
        <f t="shared" si="12"/>
        <v>0.731022242799553</v>
      </c>
      <c r="AR17" s="295">
        <f t="shared" si="12"/>
        <v>0.749465908814968</v>
      </c>
      <c r="AT17" s="282">
        <f t="shared" si="19"/>
        <v>0.00589050881122566</v>
      </c>
      <c r="AU17" s="282">
        <f t="shared" si="13"/>
        <v>0.00575834287725575</v>
      </c>
      <c r="AV17" s="282">
        <f t="shared" si="13"/>
        <v>0.00603986622909132</v>
      </c>
      <c r="AW17" s="282">
        <f t="shared" si="13"/>
        <v>0.00592539718735103</v>
      </c>
      <c r="AX17" s="282">
        <f t="shared" si="13"/>
        <v>0.00576327754415133</v>
      </c>
      <c r="AY17" s="282">
        <f t="shared" si="13"/>
        <v>0.00545223300576429</v>
      </c>
      <c r="AZ17" s="282">
        <f t="shared" si="13"/>
        <v>0.00582175512498794</v>
      </c>
      <c r="BA17" s="282">
        <f t="shared" si="13"/>
        <v>0.00582385409002509</v>
      </c>
      <c r="BB17" s="282">
        <f t="shared" si="13"/>
        <v>0.00581867265363867</v>
      </c>
      <c r="BC17" s="282">
        <f t="shared" si="13"/>
        <v>0.0059725659355097</v>
      </c>
      <c r="BD17" s="282">
        <f t="shared" si="13"/>
        <v>0.00612325356841637</v>
      </c>
    </row>
    <row r="18" spans="2:56">
      <c r="B18" s="198" t="s">
        <v>36</v>
      </c>
      <c r="C18" s="25" t="s">
        <v>37</v>
      </c>
      <c r="D18" s="201">
        <f>('24年CK1'!D156+'24年CK2'!D148)/1000</f>
        <v>342.51653</v>
      </c>
      <c r="E18" s="201">
        <f>('24年CK1'!E156+'24年CK2'!E148)/1000</f>
        <v>306.269304473684</v>
      </c>
      <c r="F18" s="201">
        <f>('24年CK1'!F156+'24年CK2'!F148)/1000</f>
        <v>363.043056052632</v>
      </c>
      <c r="G18" s="201">
        <f>('24年CK1'!G156+'24年CK2'!G148)/1000</f>
        <v>406.732759473684</v>
      </c>
      <c r="H18" s="201">
        <f>('24年CK1'!H156+'24年CK2'!H148)/1000</f>
        <v>348.090505</v>
      </c>
      <c r="I18" s="201">
        <f>('24年CK1'!I156+'24年CK2'!I148)/1000</f>
        <v>320.466885</v>
      </c>
      <c r="J18" s="201">
        <f>('24年CK1'!J156+'24年CK2'!J148)/1000</f>
        <v>396.47497131579</v>
      </c>
      <c r="K18" s="201">
        <f>('24年CK1'!K156+'24年CK2'!K148)/1000</f>
        <v>599.954624473684</v>
      </c>
      <c r="L18" s="201">
        <f>('24年CK1'!L156+'24年CK2'!L148)/1000</f>
        <v>344.903394473684</v>
      </c>
      <c r="M18" s="201">
        <f>('24年CK1'!M156+'24年CK2'!M148)/1000</f>
        <v>372.083701842105</v>
      </c>
      <c r="N18" s="201">
        <f>('24年CK1'!N156+'24年CK2'!N148)/1000</f>
        <v>425.578223421053</v>
      </c>
      <c r="O18" s="201">
        <f>('24年CK1'!O156+'24年CK2'!O148)/1000</f>
        <v>251.143008947368</v>
      </c>
      <c r="P18" s="296">
        <f t="shared" si="14"/>
        <v>4477.25696447368</v>
      </c>
      <c r="Q18" s="315">
        <f t="shared" si="15"/>
        <v>3.47758377682113</v>
      </c>
      <c r="R18" s="316">
        <f t="shared" si="16"/>
        <v>0.122227318576852</v>
      </c>
      <c r="S18" s="317">
        <f t="shared" si="17"/>
        <v>0.0284124027796761</v>
      </c>
      <c r="T18" s="317"/>
      <c r="V18" s="201">
        <f t="shared" si="1"/>
        <v>648.785834473684</v>
      </c>
      <c r="W18" s="201">
        <f t="shared" si="2"/>
        <v>1011.82889052632</v>
      </c>
      <c r="X18" s="201">
        <f t="shared" si="3"/>
        <v>1418.56165</v>
      </c>
      <c r="Y18" s="201">
        <f t="shared" si="4"/>
        <v>1766.652155</v>
      </c>
      <c r="Z18" s="201">
        <f t="shared" si="5"/>
        <v>2087.11904</v>
      </c>
      <c r="AA18" s="331">
        <f t="shared" si="6"/>
        <v>2483.59401131579</v>
      </c>
      <c r="AB18" s="331">
        <f t="shared" si="7"/>
        <v>3083.54863578947</v>
      </c>
      <c r="AC18" s="331">
        <f t="shared" si="8"/>
        <v>3428.45203026316</v>
      </c>
      <c r="AD18" s="331">
        <f t="shared" si="9"/>
        <v>3800.53573210526</v>
      </c>
      <c r="AE18" s="331">
        <f t="shared" si="10"/>
        <v>4226.11395552632</v>
      </c>
      <c r="AF18" s="331">
        <f t="shared" si="11"/>
        <v>4477.25696447368</v>
      </c>
      <c r="AH18" s="295">
        <f t="shared" si="18"/>
        <v>3.28417675854438</v>
      </c>
      <c r="AI18" s="295">
        <f t="shared" si="12"/>
        <v>3.25163940074336</v>
      </c>
      <c r="AJ18" s="295">
        <f t="shared" si="12"/>
        <v>3.37116266192641</v>
      </c>
      <c r="AK18" s="295">
        <f t="shared" si="12"/>
        <v>3.07392470620578</v>
      </c>
      <c r="AL18" s="295">
        <f t="shared" si="12"/>
        <v>2.99894538552283</v>
      </c>
      <c r="AM18" s="295">
        <f t="shared" si="12"/>
        <v>3.01295151474791</v>
      </c>
      <c r="AN18" s="295">
        <f t="shared" si="12"/>
        <v>3.49349251495712</v>
      </c>
      <c r="AO18" s="295">
        <f t="shared" si="12"/>
        <v>3.45414395298546</v>
      </c>
      <c r="AP18" s="295">
        <f t="shared" si="12"/>
        <v>3.42802278060523</v>
      </c>
      <c r="AQ18" s="295">
        <f t="shared" si="12"/>
        <v>3.47929967647034</v>
      </c>
      <c r="AR18" s="295">
        <f t="shared" si="12"/>
        <v>3.47758377682113</v>
      </c>
      <c r="AT18" s="282">
        <f t="shared" si="19"/>
        <v>0.0268322372232568</v>
      </c>
      <c r="AU18" s="282">
        <f t="shared" si="13"/>
        <v>0.0265664019265227</v>
      </c>
      <c r="AV18" s="282">
        <f t="shared" si="13"/>
        <v>0.0275429256441993</v>
      </c>
      <c r="AW18" s="282">
        <f t="shared" si="13"/>
        <v>0.025114445106755</v>
      </c>
      <c r="AX18" s="282">
        <f t="shared" si="13"/>
        <v>0.0245018523423219</v>
      </c>
      <c r="AY18" s="282">
        <f t="shared" si="13"/>
        <v>0.0246162846063495</v>
      </c>
      <c r="AZ18" s="282">
        <f t="shared" si="13"/>
        <v>0.0285423796557613</v>
      </c>
      <c r="BA18" s="282">
        <f t="shared" si="13"/>
        <v>0.0282208957567993</v>
      </c>
      <c r="BB18" s="282">
        <f t="shared" si="13"/>
        <v>0.0280074816973908</v>
      </c>
      <c r="BC18" s="282">
        <f t="shared" si="13"/>
        <v>0.028426421947895</v>
      </c>
      <c r="BD18" s="282">
        <f t="shared" si="13"/>
        <v>0.0284124027796761</v>
      </c>
    </row>
    <row r="19" spans="2:56">
      <c r="B19" s="198"/>
      <c r="C19" s="25" t="s">
        <v>38</v>
      </c>
      <c r="D19" s="201">
        <f>('24年CK1'!D115+'24年CK2'!D107)/38/1000</f>
        <v>182.097943684211</v>
      </c>
      <c r="E19" s="201">
        <f>('24年CK1'!E115+'24年CK2'!E107)/38/1000</f>
        <v>304.458612105263</v>
      </c>
      <c r="F19" s="201">
        <f>('24年CK1'!F115+'24年CK2'!F107)/38/1000</f>
        <v>362.883864736842</v>
      </c>
      <c r="G19" s="201">
        <f>('24年CK1'!G115+'24年CK2'!G107)/38/1000</f>
        <v>320.666136052632</v>
      </c>
      <c r="H19" s="201">
        <f>('24年CK1'!H115+'24年CK2'!H107)/38/1000</f>
        <v>319.727396578947</v>
      </c>
      <c r="I19" s="201">
        <f>('24年CK1'!I115+'24年CK2'!I107)/38/1000</f>
        <v>319.913564210526</v>
      </c>
      <c r="J19" s="201">
        <f>('24年CK1'!J115+'24年CK2'!J107)/38/1000</f>
        <v>372.582698157895</v>
      </c>
      <c r="K19" s="201">
        <f>('24年CK1'!K115+'24年CK2'!K107)/38/1000</f>
        <v>375.617810263158</v>
      </c>
      <c r="L19" s="201">
        <f>('24年CK1'!L115+'24年CK2'!L107)/38/1000</f>
        <v>353.00401</v>
      </c>
      <c r="M19" s="201">
        <f>('24年CK1'!M115+'24年CK2'!M107)/38/1000</f>
        <v>376.770795526316</v>
      </c>
      <c r="N19" s="201">
        <f>('24年CK1'!N115+'24年CK2'!N107)/38/1000</f>
        <v>402.908270789474</v>
      </c>
      <c r="O19" s="201">
        <f>('24年CK1'!O115+'24年CK2'!O107)/38/1000</f>
        <v>228.269023947368</v>
      </c>
      <c r="P19" s="296">
        <f t="shared" si="14"/>
        <v>3918.90012605263</v>
      </c>
      <c r="Q19" s="315">
        <f t="shared" si="15"/>
        <v>3.04389576240125</v>
      </c>
      <c r="R19" s="317"/>
      <c r="S19" s="317">
        <f t="shared" si="17"/>
        <v>0.0248691039442762</v>
      </c>
      <c r="T19" s="317"/>
      <c r="V19" s="201">
        <f t="shared" si="1"/>
        <v>486.556555789474</v>
      </c>
      <c r="W19" s="201">
        <f t="shared" si="2"/>
        <v>849.440420526316</v>
      </c>
      <c r="X19" s="201">
        <f t="shared" si="3"/>
        <v>1170.10655657895</v>
      </c>
      <c r="Y19" s="201">
        <f t="shared" si="4"/>
        <v>1489.83395315789</v>
      </c>
      <c r="Z19" s="201">
        <f t="shared" si="5"/>
        <v>1809.74751736842</v>
      </c>
      <c r="AA19" s="331">
        <f t="shared" si="6"/>
        <v>2182.33021552632</v>
      </c>
      <c r="AB19" s="331">
        <f t="shared" si="7"/>
        <v>2557.94802578947</v>
      </c>
      <c r="AC19" s="331">
        <f t="shared" si="8"/>
        <v>2910.95203578947</v>
      </c>
      <c r="AD19" s="331">
        <f t="shared" si="9"/>
        <v>3287.72283131579</v>
      </c>
      <c r="AE19" s="331">
        <f t="shared" si="10"/>
        <v>3690.63110210526</v>
      </c>
      <c r="AF19" s="331">
        <f t="shared" si="11"/>
        <v>3918.90012605263</v>
      </c>
      <c r="AH19" s="295">
        <f t="shared" si="18"/>
        <v>2.46296643257862</v>
      </c>
      <c r="AI19" s="295">
        <f t="shared" si="12"/>
        <v>2.72978362826807</v>
      </c>
      <c r="AJ19" s="295">
        <f t="shared" si="12"/>
        <v>2.78071773194646</v>
      </c>
      <c r="AK19" s="295">
        <f t="shared" si="12"/>
        <v>2.59226887635743</v>
      </c>
      <c r="AL19" s="295">
        <f t="shared" si="12"/>
        <v>2.6003950240296</v>
      </c>
      <c r="AM19" s="295">
        <f t="shared" si="12"/>
        <v>2.6474758348554</v>
      </c>
      <c r="AN19" s="295">
        <f t="shared" si="12"/>
        <v>2.89801567519526</v>
      </c>
      <c r="AO19" s="295">
        <f t="shared" si="12"/>
        <v>2.93276594891752</v>
      </c>
      <c r="AP19" s="295">
        <f t="shared" si="12"/>
        <v>2.9654737006836</v>
      </c>
      <c r="AQ19" s="295">
        <f t="shared" si="12"/>
        <v>3.0384442385267</v>
      </c>
      <c r="AR19" s="295">
        <f t="shared" si="12"/>
        <v>3.04389576240125</v>
      </c>
      <c r="AT19" s="282">
        <f t="shared" si="19"/>
        <v>0.0201228205576728</v>
      </c>
      <c r="AU19" s="282">
        <f t="shared" si="13"/>
        <v>0.0223027587328508</v>
      </c>
      <c r="AV19" s="282">
        <f t="shared" si="13"/>
        <v>0.0227188983176332</v>
      </c>
      <c r="AW19" s="282">
        <f t="shared" si="13"/>
        <v>0.0211792417250151</v>
      </c>
      <c r="AX19" s="282">
        <f t="shared" si="13"/>
        <v>0.0212456336210918</v>
      </c>
      <c r="AY19" s="282">
        <f t="shared" si="13"/>
        <v>0.0216302912012463</v>
      </c>
      <c r="AZ19" s="282">
        <f t="shared" si="13"/>
        <v>0.0236772408401127</v>
      </c>
      <c r="BA19" s="282">
        <f t="shared" si="13"/>
        <v>0.02396115600566</v>
      </c>
      <c r="BB19" s="282">
        <f t="shared" si="13"/>
        <v>0.0242283834477104</v>
      </c>
      <c r="BC19" s="282">
        <f t="shared" si="13"/>
        <v>0.024824564142498</v>
      </c>
      <c r="BD19" s="282">
        <f t="shared" si="13"/>
        <v>0.0248691039442762</v>
      </c>
    </row>
    <row r="20" spans="2:56">
      <c r="B20" s="198"/>
      <c r="C20" s="25" t="s">
        <v>39</v>
      </c>
      <c r="D20" s="201">
        <f>('24年CK1'!D114+'24年CK2'!D106)/38/1000</f>
        <v>0</v>
      </c>
      <c r="E20" s="201">
        <f>('24年CK1'!E114+'24年CK2'!E106)/38/1000</f>
        <v>1.81069236842105</v>
      </c>
      <c r="F20" s="201">
        <f>('24年CK1'!F114+'24年CK2'!F106)/38/1000</f>
        <v>0.159191315789474</v>
      </c>
      <c r="G20" s="201">
        <f>('24年CK1'!G114+'24年CK2'!G106)/38/1000</f>
        <v>9.55722447368421</v>
      </c>
      <c r="H20" s="201">
        <f>('24年CK1'!H114+'24年CK2'!H106)/38/1000</f>
        <v>8.63762657894737</v>
      </c>
      <c r="I20" s="201">
        <f>('24年CK1'!I114+'24年CK2'!I106)/38/1000</f>
        <v>8.72793210526316</v>
      </c>
      <c r="J20" s="201">
        <f>('24年CK1'!J114+'24年CK2'!J106)/38/1000</f>
        <v>8.41543210526316</v>
      </c>
      <c r="K20" s="201">
        <f>('24年CK1'!K114+'24年CK2'!K106)/38/1000</f>
        <v>7.80082815789474</v>
      </c>
      <c r="L20" s="201">
        <f>('24年CK1'!L114+'24年CK2'!L106)/38/1000</f>
        <v>8.001485</v>
      </c>
      <c r="M20" s="201">
        <f>('24年CK1'!M114+'24年CK2'!M106)/38/1000</f>
        <v>7.16294263157895</v>
      </c>
      <c r="N20" s="201">
        <f>('24年CK1'!N114+'24年CK2'!N106)/38/1000</f>
        <v>7.35938105263158</v>
      </c>
      <c r="O20" s="201">
        <f>('24年CK1'!O114+'24年CK2'!O106)/38/1000</f>
        <v>7.39714394736842</v>
      </c>
      <c r="P20" s="296">
        <f t="shared" si="14"/>
        <v>75.0298797368421</v>
      </c>
      <c r="Q20" s="315">
        <f t="shared" si="15"/>
        <v>0.0582773547777271</v>
      </c>
      <c r="R20" s="317"/>
      <c r="S20" s="317">
        <f t="shared" si="17"/>
        <v>0.000476135093542573</v>
      </c>
      <c r="T20" s="317"/>
      <c r="V20" s="201">
        <f t="shared" si="1"/>
        <v>1.81069236842105</v>
      </c>
      <c r="W20" s="201">
        <f t="shared" si="2"/>
        <v>1.96988368421053</v>
      </c>
      <c r="X20" s="201">
        <f t="shared" si="3"/>
        <v>11.5271081578947</v>
      </c>
      <c r="Y20" s="201">
        <f t="shared" si="4"/>
        <v>20.1647347368421</v>
      </c>
      <c r="Z20" s="201">
        <f t="shared" si="5"/>
        <v>28.8926668421053</v>
      </c>
      <c r="AA20" s="331">
        <f t="shared" si="6"/>
        <v>37.3080989473684</v>
      </c>
      <c r="AB20" s="331">
        <f t="shared" si="7"/>
        <v>45.1089271052632</v>
      </c>
      <c r="AC20" s="331">
        <f t="shared" si="8"/>
        <v>53.1104121052632</v>
      </c>
      <c r="AD20" s="331">
        <f t="shared" si="9"/>
        <v>60.2733547368421</v>
      </c>
      <c r="AE20" s="331">
        <f t="shared" si="10"/>
        <v>67.6327357894737</v>
      </c>
      <c r="AF20" s="331">
        <f t="shared" si="11"/>
        <v>75.0298797368421</v>
      </c>
      <c r="AH20" s="295">
        <f t="shared" si="18"/>
        <v>0.00916578858116747</v>
      </c>
      <c r="AI20" s="295">
        <f t="shared" si="12"/>
        <v>0.00633046897794015</v>
      </c>
      <c r="AJ20" s="295">
        <f t="shared" si="12"/>
        <v>0.0273937735606218</v>
      </c>
      <c r="AK20" s="295">
        <f t="shared" si="12"/>
        <v>0.0350860672409306</v>
      </c>
      <c r="AL20" s="295">
        <f t="shared" si="12"/>
        <v>0.0415153751371939</v>
      </c>
      <c r="AM20" s="295">
        <f t="shared" si="12"/>
        <v>0.0452600113882083</v>
      </c>
      <c r="AN20" s="295">
        <f t="shared" si="12"/>
        <v>0.0511059554472168</v>
      </c>
      <c r="AO20" s="295">
        <f t="shared" si="12"/>
        <v>0.0535084076412992</v>
      </c>
      <c r="AP20" s="295">
        <f t="shared" si="12"/>
        <v>0.0543656072895126</v>
      </c>
      <c r="AQ20" s="295">
        <f t="shared" si="12"/>
        <v>0.0556810720741235</v>
      </c>
      <c r="AR20" s="295">
        <f t="shared" si="12"/>
        <v>0.0582773547777271</v>
      </c>
      <c r="AT20" s="282">
        <f t="shared" si="19"/>
        <v>7.4885924732355e-5</v>
      </c>
      <c r="AU20" s="282">
        <f t="shared" si="13"/>
        <v>5.17209205955906e-5</v>
      </c>
      <c r="AV20" s="282">
        <f t="shared" si="13"/>
        <v>0.000223811409878124</v>
      </c>
      <c r="AW20" s="282">
        <f t="shared" si="13"/>
        <v>0.000286658651057824</v>
      </c>
      <c r="AX20" s="282">
        <f t="shared" si="13"/>
        <v>0.000339187101058292</v>
      </c>
      <c r="AY20" s="282">
        <f t="shared" si="13"/>
        <v>0.00036978136427528</v>
      </c>
      <c r="AZ20" s="282">
        <f t="shared" si="13"/>
        <v>0.000417543640583066</v>
      </c>
      <c r="BA20" s="282">
        <f t="shared" si="13"/>
        <v>0.000437172050357735</v>
      </c>
      <c r="BB20" s="282">
        <f t="shared" si="13"/>
        <v>0.000444175505408903</v>
      </c>
      <c r="BC20" s="282">
        <f t="shared" si="13"/>
        <v>0.000454923058221853</v>
      </c>
      <c r="BD20" s="282">
        <f t="shared" si="13"/>
        <v>0.000476135093542573</v>
      </c>
    </row>
    <row r="21" spans="2:56">
      <c r="B21" s="198"/>
      <c r="C21" s="25" t="s">
        <v>40</v>
      </c>
      <c r="D21" s="201">
        <f>D18-D19-D20</f>
        <v>160.418586315789</v>
      </c>
      <c r="E21" s="201">
        <f t="shared" ref="E21:O21" si="20">E18-E19-E20</f>
        <v>-2.24265050974282e-14</v>
      </c>
      <c r="F21" s="201">
        <f t="shared" si="20"/>
        <v>1.14075415780235e-14</v>
      </c>
      <c r="G21" s="201">
        <f t="shared" si="20"/>
        <v>76.5093989473684</v>
      </c>
      <c r="H21" s="201">
        <f t="shared" si="20"/>
        <v>19.7254818421053</v>
      </c>
      <c r="I21" s="201">
        <f t="shared" si="20"/>
        <v>-8.17461131578954</v>
      </c>
      <c r="J21" s="201">
        <f t="shared" si="20"/>
        <v>15.4768410526316</v>
      </c>
      <c r="K21" s="201">
        <f t="shared" si="20"/>
        <v>216.535986052632</v>
      </c>
      <c r="L21" s="201">
        <f t="shared" si="20"/>
        <v>-16.1021005263157</v>
      </c>
      <c r="M21" s="201">
        <f t="shared" si="20"/>
        <v>-11.8500363157895</v>
      </c>
      <c r="N21" s="201">
        <f t="shared" si="20"/>
        <v>15.3105715789474</v>
      </c>
      <c r="O21" s="201">
        <f t="shared" si="20"/>
        <v>15.4768410526316</v>
      </c>
      <c r="P21" s="296">
        <f t="shared" si="14"/>
        <v>483.326958684211</v>
      </c>
      <c r="Q21" s="315">
        <f t="shared" si="15"/>
        <v>0.375410659642157</v>
      </c>
      <c r="R21" s="317"/>
      <c r="S21" s="317">
        <f t="shared" si="17"/>
        <v>0.00306716374185727</v>
      </c>
      <c r="T21" s="317"/>
      <c r="V21" s="201">
        <f t="shared" si="1"/>
        <v>160.418586315789</v>
      </c>
      <c r="W21" s="201">
        <f t="shared" si="2"/>
        <v>160.418586315789</v>
      </c>
      <c r="X21" s="201">
        <f t="shared" si="3"/>
        <v>236.927985263158</v>
      </c>
      <c r="Y21" s="201">
        <f t="shared" si="4"/>
        <v>256.653467105263</v>
      </c>
      <c r="Z21" s="201">
        <f t="shared" si="5"/>
        <v>248.478855789474</v>
      </c>
      <c r="AA21" s="331">
        <f t="shared" si="6"/>
        <v>263.955696842105</v>
      </c>
      <c r="AB21" s="331">
        <f t="shared" si="7"/>
        <v>480.491682894737</v>
      </c>
      <c r="AC21" s="331">
        <f t="shared" si="8"/>
        <v>464.389582368421</v>
      </c>
      <c r="AD21" s="331">
        <f t="shared" si="9"/>
        <v>452.539546052632</v>
      </c>
      <c r="AE21" s="331">
        <f t="shared" si="10"/>
        <v>467.850117631579</v>
      </c>
      <c r="AF21" s="331">
        <f t="shared" si="11"/>
        <v>483.326958684211</v>
      </c>
      <c r="AH21" s="295">
        <f t="shared" si="18"/>
        <v>0.812044537384595</v>
      </c>
      <c r="AI21" s="295">
        <f t="shared" si="12"/>
        <v>0.515525303497355</v>
      </c>
      <c r="AJ21" s="295">
        <f t="shared" si="12"/>
        <v>0.563051156419327</v>
      </c>
      <c r="AK21" s="295">
        <f t="shared" si="12"/>
        <v>0.446569762607423</v>
      </c>
      <c r="AL21" s="295">
        <f t="shared" si="12"/>
        <v>0.357034986356042</v>
      </c>
      <c r="AM21" s="295">
        <f t="shared" si="12"/>
        <v>0.3202156685043</v>
      </c>
      <c r="AN21" s="295">
        <f t="shared" si="12"/>
        <v>0.544370884314638</v>
      </c>
      <c r="AO21" s="295">
        <f t="shared" si="12"/>
        <v>0.467869596426642</v>
      </c>
      <c r="AP21" s="295">
        <f t="shared" si="12"/>
        <v>0.408183472632117</v>
      </c>
      <c r="AQ21" s="295">
        <f t="shared" si="12"/>
        <v>0.385174365869517</v>
      </c>
      <c r="AR21" s="295">
        <f t="shared" si="12"/>
        <v>0.375410659642157</v>
      </c>
      <c r="AT21" s="282">
        <f t="shared" si="19"/>
        <v>0.00663453074085167</v>
      </c>
      <c r="AU21" s="282">
        <f t="shared" si="13"/>
        <v>0.00421192227307627</v>
      </c>
      <c r="AV21" s="282">
        <f t="shared" si="13"/>
        <v>0.00460021591668794</v>
      </c>
      <c r="AW21" s="282">
        <f t="shared" si="13"/>
        <v>0.00364854473068214</v>
      </c>
      <c r="AX21" s="282">
        <f t="shared" si="13"/>
        <v>0.00291703162017189</v>
      </c>
      <c r="AY21" s="282">
        <f t="shared" si="13"/>
        <v>0.00261621204082795</v>
      </c>
      <c r="AZ21" s="282">
        <f t="shared" si="13"/>
        <v>0.00444759517506556</v>
      </c>
      <c r="BA21" s="282">
        <f t="shared" si="13"/>
        <v>0.00382256770078152</v>
      </c>
      <c r="BB21" s="282">
        <f t="shared" si="13"/>
        <v>0.00333492274427157</v>
      </c>
      <c r="BC21" s="282">
        <f t="shared" si="13"/>
        <v>0.00314693474717515</v>
      </c>
      <c r="BD21" s="282">
        <f t="shared" si="13"/>
        <v>0.00306716374185727</v>
      </c>
    </row>
    <row r="22" ht="12" customHeight="1" spans="2:56">
      <c r="B22" s="289" t="s">
        <v>15</v>
      </c>
      <c r="C22" s="290"/>
      <c r="D22" s="303">
        <f>SUM(D6:D18,D26)</f>
        <v>2064.56610026316</v>
      </c>
      <c r="E22" s="303">
        <f t="shared" ref="E22:O22" si="21">SUM(E6:E18,E26)</f>
        <v>2522.00942763158</v>
      </c>
      <c r="F22" s="303">
        <f t="shared" si="21"/>
        <v>2777.93784447368</v>
      </c>
      <c r="G22" s="303">
        <f t="shared" si="21"/>
        <v>2882.75593921053</v>
      </c>
      <c r="H22" s="303">
        <f t="shared" si="21"/>
        <v>3016.62806394737</v>
      </c>
      <c r="I22" s="303">
        <f t="shared" si="21"/>
        <v>3137.78622289474</v>
      </c>
      <c r="J22" s="303">
        <f t="shared" si="21"/>
        <v>3465.961145</v>
      </c>
      <c r="K22" s="303">
        <f t="shared" si="21"/>
        <v>3368.32819157894</v>
      </c>
      <c r="L22" s="303">
        <f t="shared" si="21"/>
        <v>3239.55083657895</v>
      </c>
      <c r="M22" s="303">
        <f t="shared" si="21"/>
        <v>3510.57870631579</v>
      </c>
      <c r="N22" s="303">
        <f t="shared" si="21"/>
        <v>3461.15069210526</v>
      </c>
      <c r="O22" s="303">
        <f t="shared" si="21"/>
        <v>3183.32186514286</v>
      </c>
      <c r="P22" s="303">
        <f t="shared" si="14"/>
        <v>36630.5750351429</v>
      </c>
      <c r="Q22" s="320"/>
      <c r="R22" s="320"/>
      <c r="S22" s="320"/>
      <c r="T22" s="320"/>
      <c r="V22" s="303">
        <f t="shared" ref="V22:AF22" si="22">SUM(V6:V18)</f>
        <v>3528.81266789474</v>
      </c>
      <c r="W22" s="303">
        <f t="shared" si="22"/>
        <v>5777.86908236842</v>
      </c>
      <c r="X22" s="303">
        <f t="shared" si="22"/>
        <v>8131.74359157895</v>
      </c>
      <c r="Y22" s="303">
        <f t="shared" si="22"/>
        <v>10619.4902255263</v>
      </c>
      <c r="Z22" s="303">
        <f t="shared" si="22"/>
        <v>13228.3950184211</v>
      </c>
      <c r="AA22" s="303">
        <f t="shared" si="22"/>
        <v>16165.474733421</v>
      </c>
      <c r="AB22" s="303">
        <f t="shared" si="22"/>
        <v>19004.921495</v>
      </c>
      <c r="AC22" s="303">
        <f t="shared" si="22"/>
        <v>21715.5909015789</v>
      </c>
      <c r="AD22" s="303">
        <f t="shared" si="22"/>
        <v>24697.2881778947</v>
      </c>
      <c r="AE22" s="303">
        <f t="shared" si="22"/>
        <v>27629.55744</v>
      </c>
      <c r="AF22" s="303">
        <f t="shared" si="22"/>
        <v>30439.7692463158</v>
      </c>
      <c r="AH22" s="295">
        <f t="shared" si="18"/>
        <v>17.8629740869087</v>
      </c>
      <c r="AI22" s="295">
        <f t="shared" ref="AI22" si="23">W22/W$5*1000</f>
        <v>18.5679089977293</v>
      </c>
      <c r="AJ22" s="295">
        <f t="shared" ref="AJ22" si="24">X22/X$5*1000</f>
        <v>19.3248071892331</v>
      </c>
      <c r="AK22" s="295">
        <f t="shared" ref="AK22" si="25">Y22/Y$5*1000</f>
        <v>18.4776121768896</v>
      </c>
      <c r="AL22" s="295">
        <f t="shared" ref="AL22" si="26">Z22/Z$5*1000</f>
        <v>19.0076528640968</v>
      </c>
      <c r="AM22" s="295">
        <f t="shared" ref="AM22" si="27">AA22/AA$5*1000</f>
        <v>19.611011849266</v>
      </c>
      <c r="AN22" s="295">
        <f t="shared" ref="AN22" si="28">AB22/AB$5*1000</f>
        <v>21.5315400637848</v>
      </c>
      <c r="AO22" s="295">
        <f t="shared" ref="AO22" si="29">AC22/AC$5*1000</f>
        <v>21.8783218595704</v>
      </c>
      <c r="AP22" s="295">
        <f t="shared" ref="AP22" si="30">AD22/AD$5*1000</f>
        <v>22.2765611115824</v>
      </c>
      <c r="AQ22" s="295">
        <f t="shared" ref="AQ22" si="31">AE22/AE$5*1000</f>
        <v>22.7470227432707</v>
      </c>
      <c r="AR22" s="295">
        <f t="shared" ref="AR22" si="32">AF22/AF$5*1000</f>
        <v>23.6432370402511</v>
      </c>
      <c r="AT22" s="282">
        <f t="shared" si="19"/>
        <v>0.145943289125906</v>
      </c>
      <c r="AU22" s="282">
        <f t="shared" ref="AU22" si="33">AI22/AU$4</f>
        <v>0.151702717483373</v>
      </c>
      <c r="AV22" s="282">
        <f t="shared" ref="AV22" si="34">AJ22/AV$4</f>
        <v>0.157886693962545</v>
      </c>
      <c r="AW22" s="282">
        <f t="shared" ref="AW22" si="35">AK22/AW$4</f>
        <v>0.150964978349517</v>
      </c>
      <c r="AX22" s="282">
        <f t="shared" ref="AX22" si="36">AL22/AX$4</f>
        <v>0.155295493575326</v>
      </c>
      <c r="AY22" s="282">
        <f t="shared" ref="AY22" si="37">AM22/AY$4</f>
        <v>0.160225030750425</v>
      </c>
      <c r="AZ22" s="282">
        <f t="shared" ref="AZ22" si="38">AN22/AZ$4</f>
        <v>0.175916046318286</v>
      </c>
      <c r="BA22" s="282">
        <f t="shared" ref="BA22" si="39">AO22/BA$4</f>
        <v>0.178749307769582</v>
      </c>
      <c r="BB22" s="282">
        <f t="shared" ref="BB22" si="40">AP22/BB$4</f>
        <v>0.182002984677744</v>
      </c>
      <c r="BC22" s="282">
        <f t="shared" ref="BC22" si="41">AQ22/BC$4</f>
        <v>0.185846729711582</v>
      </c>
      <c r="BD22" s="282">
        <f t="shared" ref="BD22" si="42">AR22/BD$4</f>
        <v>0.19316894053866</v>
      </c>
    </row>
    <row r="23" spans="2:32">
      <c r="B23" s="289" t="s">
        <v>16</v>
      </c>
      <c r="C23" s="290"/>
      <c r="D23" s="292">
        <f>D22/D5*1000</f>
        <v>23.6390773699939</v>
      </c>
      <c r="E23" s="292">
        <f t="shared" ref="E23:P23" si="43">E22/E5*1000</f>
        <v>22.8832561575108</v>
      </c>
      <c r="F23" s="292">
        <f t="shared" si="43"/>
        <v>24.4480826965103</v>
      </c>
      <c r="G23" s="292">
        <f t="shared" si="43"/>
        <v>26.2981986463038</v>
      </c>
      <c r="H23" s="292">
        <f t="shared" si="43"/>
        <v>19.5975291462127</v>
      </c>
      <c r="I23" s="292">
        <f t="shared" si="43"/>
        <v>25.8831321127349</v>
      </c>
      <c r="J23" s="292">
        <f t="shared" si="43"/>
        <v>27.0029305052394</v>
      </c>
      <c r="K23" s="292">
        <f t="shared" si="43"/>
        <v>57.7272651044395</v>
      </c>
      <c r="L23" s="292">
        <f t="shared" si="43"/>
        <v>29.4753822466171</v>
      </c>
      <c r="M23" s="292">
        <f t="shared" si="43"/>
        <v>30.2362405263838</v>
      </c>
      <c r="N23" s="292">
        <f t="shared" si="43"/>
        <v>32.6591433326281</v>
      </c>
      <c r="O23" s="292">
        <f t="shared" si="43"/>
        <v>43.7167401175942</v>
      </c>
      <c r="P23" s="292">
        <f t="shared" si="43"/>
        <v>28.4517718077449</v>
      </c>
      <c r="Q23" s="358">
        <f>P23</f>
        <v>28.4517718077449</v>
      </c>
      <c r="R23" s="320"/>
      <c r="S23" s="322">
        <f>Q23/$P$4</f>
        <v>0.232455420854311</v>
      </c>
      <c r="T23" s="322"/>
      <c r="V23" s="292">
        <f>V22/V5*1000</f>
        <v>17.8629740869087</v>
      </c>
      <c r="W23" s="292">
        <f t="shared" ref="W23:AF23" si="44">W22/W5*1000</f>
        <v>18.5679089977293</v>
      </c>
      <c r="X23" s="292">
        <f t="shared" si="44"/>
        <v>19.3248071892331</v>
      </c>
      <c r="Y23" s="292">
        <f t="shared" si="44"/>
        <v>18.4776121768896</v>
      </c>
      <c r="Z23" s="292">
        <f t="shared" si="44"/>
        <v>19.0076528640968</v>
      </c>
      <c r="AA23" s="292">
        <f t="shared" si="44"/>
        <v>19.611011849266</v>
      </c>
      <c r="AB23" s="292">
        <f t="shared" si="44"/>
        <v>21.5315400637848</v>
      </c>
      <c r="AC23" s="292">
        <f t="shared" si="44"/>
        <v>21.8783218595704</v>
      </c>
      <c r="AD23" s="292">
        <f t="shared" si="44"/>
        <v>22.2765611115824</v>
      </c>
      <c r="AE23" s="292">
        <f t="shared" si="44"/>
        <v>22.7470227432707</v>
      </c>
      <c r="AF23" s="292">
        <f t="shared" si="44"/>
        <v>23.6432370402511</v>
      </c>
    </row>
    <row r="24" spans="2:16">
      <c r="B24" s="293"/>
      <c r="C24" s="196"/>
      <c r="D24" s="294"/>
      <c r="E24" s="294"/>
      <c r="F24" s="294"/>
      <c r="G24" s="294"/>
      <c r="H24" s="294"/>
      <c r="I24" s="294"/>
      <c r="J24" s="294"/>
      <c r="K24" s="294"/>
      <c r="L24" s="294"/>
      <c r="M24" s="294"/>
      <c r="N24" s="294"/>
      <c r="O24" s="294"/>
      <c r="P24" s="294"/>
    </row>
    <row r="25" spans="2:20">
      <c r="B25" s="25" t="s">
        <v>41</v>
      </c>
      <c r="D25" s="201">
        <f>('24年CK1'!D158+'24年CK2'!D150)/1000</f>
        <v>341.802000263158</v>
      </c>
      <c r="E25" s="201">
        <f>('24年CK1'!E158+'24年CK2'!E150)/1000</f>
        <v>327.685971315789</v>
      </c>
      <c r="F25" s="201">
        <f>('24年CK1'!F158+'24年CK2'!F150)/1000</f>
        <v>365.93252</v>
      </c>
      <c r="G25" s="201">
        <f>('24年CK1'!G158+'24年CK2'!G150)/1000</f>
        <v>383.456434210526</v>
      </c>
      <c r="H25" s="201">
        <f>('24年CK1'!H158+'24年CK2'!H150)/1000</f>
        <v>419.768332105263</v>
      </c>
      <c r="I25" s="201">
        <f>('24年CK1'!I158+'24年CK2'!I150)/1000</f>
        <v>551.741421578947</v>
      </c>
      <c r="J25" s="201">
        <f>('24年CK1'!J158+'24年CK2'!J150)/1000</f>
        <v>906.903773157895</v>
      </c>
      <c r="K25" s="201">
        <f>('24年CK1'!K158+'24年CK2'!K150)/1000</f>
        <v>986.055754736842</v>
      </c>
      <c r="L25" s="201">
        <f>('24年CK1'!L158+'24年CK2'!L150)/1000</f>
        <v>867.199325789474</v>
      </c>
      <c r="M25" s="201">
        <f>('24年CK1'!M158+'24年CK2'!M150)/1000</f>
        <v>937.227046842105</v>
      </c>
      <c r="N25" s="201">
        <f>('24年CK1'!N158+'24年CK2'!N150)/1000</f>
        <v>986.531098421053</v>
      </c>
      <c r="O25" s="201">
        <f>('24年CK1'!O158+'24年CK2'!O150)/1000</f>
        <v>910.23683</v>
      </c>
      <c r="P25" s="344">
        <f>SUM(D25:O25)</f>
        <v>7984.54050842105</v>
      </c>
      <c r="Q25" s="295"/>
      <c r="R25" s="295"/>
      <c r="S25" s="295"/>
      <c r="T25" s="295"/>
    </row>
    <row r="26" spans="2:20">
      <c r="B26" s="289" t="s">
        <v>42</v>
      </c>
      <c r="C26" s="289"/>
      <c r="D26" s="201">
        <v>528.881430000001</v>
      </c>
      <c r="E26" s="201">
        <v>528.881430000002</v>
      </c>
      <c r="F26" s="201">
        <v>528.881429999999</v>
      </c>
      <c r="G26" s="201">
        <v>528.88143</v>
      </c>
      <c r="H26" s="201">
        <v>528.881429999999</v>
      </c>
      <c r="I26" s="201">
        <v>528.88143</v>
      </c>
      <c r="J26" s="201">
        <v>528.881430000001</v>
      </c>
      <c r="K26" s="201">
        <v>528.881429999995</v>
      </c>
      <c r="L26" s="201">
        <v>528.881430000001</v>
      </c>
      <c r="M26" s="201">
        <v>528.881429999999</v>
      </c>
      <c r="N26" s="201">
        <v>528.881429999996</v>
      </c>
      <c r="O26" s="201">
        <v>373.110058827069</v>
      </c>
      <c r="P26" s="296">
        <f t="shared" ref="P26" si="45">SUM(D26:O26)</f>
        <v>6190.80578882706</v>
      </c>
      <c r="Q26" s="315">
        <f t="shared" ref="Q26" si="46">P26/$P$5*1000</f>
        <v>4.80853476749377</v>
      </c>
      <c r="R26" s="295"/>
      <c r="S26" s="295"/>
      <c r="T26" s="295"/>
    </row>
    <row r="27" spans="16:20">
      <c r="P27" s="313"/>
      <c r="Q27" s="315">
        <f>Q23+Q26</f>
        <v>33.2603065752387</v>
      </c>
      <c r="R27" s="198" t="s">
        <v>43</v>
      </c>
      <c r="S27" s="317">
        <f>Q23/P4</f>
        <v>0.232455420854311</v>
      </c>
      <c r="T27" s="317"/>
    </row>
    <row r="28" ht="14" customHeight="1" spans="3:16">
      <c r="C28" s="296" t="s">
        <v>44</v>
      </c>
      <c r="D28" s="296"/>
      <c r="E28" s="296"/>
      <c r="F28" s="296"/>
      <c r="G28" s="296"/>
      <c r="H28" s="296"/>
      <c r="I28" s="296"/>
      <c r="J28" s="296"/>
      <c r="K28" s="296"/>
      <c r="L28" s="296"/>
      <c r="M28" s="296"/>
      <c r="N28" s="296"/>
      <c r="O28" s="296"/>
      <c r="P28" s="296"/>
    </row>
    <row r="29" spans="1:20">
      <c r="A29" s="25" t="s">
        <v>45</v>
      </c>
      <c r="C29" s="285" t="s">
        <v>2</v>
      </c>
      <c r="D29" s="297" t="s">
        <v>46</v>
      </c>
      <c r="E29" s="297" t="s">
        <v>47</v>
      </c>
      <c r="F29" s="297" t="s">
        <v>48</v>
      </c>
      <c r="G29" s="297" t="s">
        <v>49</v>
      </c>
      <c r="H29" s="297" t="s">
        <v>50</v>
      </c>
      <c r="I29" s="297" t="s">
        <v>51</v>
      </c>
      <c r="J29" s="297" t="s">
        <v>52</v>
      </c>
      <c r="K29" s="297" t="s">
        <v>53</v>
      </c>
      <c r="L29" s="297" t="s">
        <v>54</v>
      </c>
      <c r="M29" s="297" t="s">
        <v>55</v>
      </c>
      <c r="N29" s="297" t="s">
        <v>56</v>
      </c>
      <c r="O29" s="297" t="s">
        <v>57</v>
      </c>
      <c r="P29" s="304" t="s">
        <v>15</v>
      </c>
      <c r="Q29" s="205" t="s">
        <v>16</v>
      </c>
      <c r="R29" s="205" t="s">
        <v>17</v>
      </c>
      <c r="S29" s="205" t="s">
        <v>18</v>
      </c>
      <c r="T29" s="205" t="s">
        <v>19</v>
      </c>
    </row>
    <row r="30" spans="1:56">
      <c r="A30" s="25">
        <v>125</v>
      </c>
      <c r="B30" s="283" t="s">
        <v>58</v>
      </c>
      <c r="C30" s="283"/>
      <c r="D30" s="286">
        <v>132.280935159716</v>
      </c>
      <c r="E30" s="286">
        <v>126.520304163837</v>
      </c>
      <c r="F30" s="286">
        <v>124.524809568171</v>
      </c>
      <c r="G30" s="286">
        <v>125.483652411664</v>
      </c>
      <c r="H30" s="286">
        <v>119.997998528539</v>
      </c>
      <c r="I30" s="286">
        <v>117.223079989479</v>
      </c>
      <c r="J30" s="286">
        <v>106.8</v>
      </c>
      <c r="K30" s="286">
        <v>122.157605659459</v>
      </c>
      <c r="L30" s="286">
        <v>113.63291103558</v>
      </c>
      <c r="M30" s="286">
        <v>119.391500685583</v>
      </c>
      <c r="N30" s="286">
        <v>119.782526447964</v>
      </c>
      <c r="O30" s="286">
        <v>124.505488697302</v>
      </c>
      <c r="P30" s="201">
        <f>AVERAGE(D30:O30)</f>
        <v>121.025067695608</v>
      </c>
      <c r="Q30" s="201">
        <f>AVERAGE(D30:O30)</f>
        <v>121.025067695608</v>
      </c>
      <c r="AT30" s="201">
        <f t="shared" ref="AT30:BD30" si="47">$P$30</f>
        <v>121.025067695608</v>
      </c>
      <c r="AU30" s="201">
        <f t="shared" si="47"/>
        <v>121.025067695608</v>
      </c>
      <c r="AV30" s="201">
        <f t="shared" si="47"/>
        <v>121.025067695608</v>
      </c>
      <c r="AW30" s="201">
        <f t="shared" si="47"/>
        <v>121.025067695608</v>
      </c>
      <c r="AX30" s="201">
        <f t="shared" si="47"/>
        <v>121.025067695608</v>
      </c>
      <c r="AY30" s="201">
        <f t="shared" si="47"/>
        <v>121.025067695608</v>
      </c>
      <c r="AZ30" s="201">
        <f t="shared" si="47"/>
        <v>121.025067695608</v>
      </c>
      <c r="BA30" s="201">
        <f t="shared" si="47"/>
        <v>121.025067695608</v>
      </c>
      <c r="BB30" s="201">
        <f t="shared" si="47"/>
        <v>121.025067695608</v>
      </c>
      <c r="BC30" s="201">
        <f t="shared" si="47"/>
        <v>121.025067695608</v>
      </c>
      <c r="BD30" s="201">
        <f t="shared" si="47"/>
        <v>121.025067695608</v>
      </c>
    </row>
    <row r="31" s="281" customFormat="1" spans="1:32">
      <c r="A31" s="350">
        <f>SUM(D31:F31)</f>
        <v>254474</v>
      </c>
      <c r="C31" s="248" t="s">
        <v>21</v>
      </c>
      <c r="D31" s="323">
        <v>79712</v>
      </c>
      <c r="E31" s="323">
        <v>82105</v>
      </c>
      <c r="F31" s="346">
        <v>92657</v>
      </c>
      <c r="G31" s="346">
        <v>98687</v>
      </c>
      <c r="H31" s="346">
        <v>93353</v>
      </c>
      <c r="I31" s="346">
        <v>75092</v>
      </c>
      <c r="J31" s="346">
        <v>77799</v>
      </c>
      <c r="K31" s="306">
        <v>58812</v>
      </c>
      <c r="L31" s="351">
        <v>90826</v>
      </c>
      <c r="M31" s="306">
        <v>111572</v>
      </c>
      <c r="N31" s="306">
        <v>111625</v>
      </c>
      <c r="O31" s="306">
        <v>75554</v>
      </c>
      <c r="P31" s="352">
        <f t="shared" ref="P31:P47" si="48">SUM(D31:O31)</f>
        <v>1047794</v>
      </c>
      <c r="Q31" s="309"/>
      <c r="R31" s="323"/>
      <c r="S31" s="323"/>
      <c r="T31" s="323"/>
      <c r="U31" s="359">
        <v>1171</v>
      </c>
      <c r="V31" s="198">
        <f t="shared" ref="V31:V47" si="49">D31+E31</f>
        <v>161817</v>
      </c>
      <c r="W31" s="198">
        <f t="shared" ref="W31:W47" si="50">V31+F31</f>
        <v>254474</v>
      </c>
      <c r="X31" s="198">
        <f t="shared" ref="X31:X47" si="51">W31+G31</f>
        <v>353161</v>
      </c>
      <c r="Y31" s="198">
        <f t="shared" ref="Y31:Y47" si="52">X31+H31</f>
        <v>446514</v>
      </c>
      <c r="Z31" s="198">
        <f t="shared" ref="Z31:Z47" si="53">Y31+I31</f>
        <v>521606</v>
      </c>
      <c r="AA31" s="25">
        <f t="shared" ref="AA31:AA47" si="54">Z31+J31</f>
        <v>599405</v>
      </c>
      <c r="AB31" s="25">
        <f t="shared" ref="AB31:AB47" si="55">AA31+K31</f>
        <v>658217</v>
      </c>
      <c r="AC31" s="25">
        <f t="shared" ref="AC31:AC47" si="56">AB31+L31</f>
        <v>749043</v>
      </c>
      <c r="AD31" s="25">
        <f>AC31+M31</f>
        <v>860615</v>
      </c>
      <c r="AE31" s="25">
        <f t="shared" ref="AE31:AE47" si="57">AD31+N31</f>
        <v>972240</v>
      </c>
      <c r="AF31" s="25">
        <f t="shared" ref="AF31:AF47" si="58">AE31+O31</f>
        <v>1047794</v>
      </c>
    </row>
    <row r="32" spans="1:56">
      <c r="A32" s="350">
        <f t="shared" ref="A32:A48" si="59">SUM(D32:F32)</f>
        <v>2275.30252</v>
      </c>
      <c r="B32" s="198" t="s">
        <v>22</v>
      </c>
      <c r="C32" s="25" t="s">
        <v>59</v>
      </c>
      <c r="D32" s="201">
        <v>770.36882</v>
      </c>
      <c r="E32" s="201">
        <v>741.42854</v>
      </c>
      <c r="F32" s="311">
        <v>763.50516</v>
      </c>
      <c r="G32" s="201">
        <v>766.01624</v>
      </c>
      <c r="H32" s="201">
        <v>831.68695</v>
      </c>
      <c r="I32" s="201">
        <v>824.01968</v>
      </c>
      <c r="J32" s="201">
        <v>839.2091</v>
      </c>
      <c r="K32" s="201">
        <v>583.2903</v>
      </c>
      <c r="L32" s="201">
        <v>793.0073</v>
      </c>
      <c r="M32" s="201">
        <v>589.92044</v>
      </c>
      <c r="N32" s="201">
        <v>801.39809</v>
      </c>
      <c r="O32" s="201">
        <v>815.91192</v>
      </c>
      <c r="P32" s="296">
        <f t="shared" si="48"/>
        <v>9119.76254</v>
      </c>
      <c r="Q32" s="312">
        <f>P32/$P$31*1000</f>
        <v>8.70377434877466</v>
      </c>
      <c r="R32" s="313">
        <f>P32/$P$48</f>
        <v>0.315995604618149</v>
      </c>
      <c r="S32" s="282">
        <f t="shared" ref="S32:S50" si="60">Q32/$P$30</f>
        <v>0.0719171202668994</v>
      </c>
      <c r="T32" s="282"/>
      <c r="U32" s="201">
        <f>P32/11*12</f>
        <v>9948.83186181818</v>
      </c>
      <c r="V32" s="201">
        <f t="shared" si="49"/>
        <v>1511.79736</v>
      </c>
      <c r="W32" s="201">
        <f t="shared" si="50"/>
        <v>2275.30252</v>
      </c>
      <c r="X32" s="201">
        <f t="shared" si="51"/>
        <v>3041.31876</v>
      </c>
      <c r="Y32" s="201">
        <f t="shared" si="52"/>
        <v>3873.00571</v>
      </c>
      <c r="Z32" s="201">
        <f t="shared" si="53"/>
        <v>4697.02539</v>
      </c>
      <c r="AA32" s="331">
        <f t="shared" si="54"/>
        <v>5536.23449</v>
      </c>
      <c r="AB32" s="331">
        <f t="shared" si="55"/>
        <v>6119.52479</v>
      </c>
      <c r="AC32" s="331">
        <f t="shared" si="56"/>
        <v>6912.53209</v>
      </c>
      <c r="AD32" s="331">
        <f>AC32+M32</f>
        <v>7502.45253</v>
      </c>
      <c r="AE32" s="331">
        <f t="shared" si="57"/>
        <v>8303.85062</v>
      </c>
      <c r="AF32" s="331">
        <f t="shared" si="58"/>
        <v>9119.76254</v>
      </c>
      <c r="AH32" s="295">
        <f>V32/V$31*1000</f>
        <v>9.34263618779238</v>
      </c>
      <c r="AI32" s="295">
        <f t="shared" ref="AI32:AR32" si="61">W32/W$31*1000</f>
        <v>8.94119839354905</v>
      </c>
      <c r="AJ32" s="295">
        <f t="shared" si="61"/>
        <v>8.61170616234522</v>
      </c>
      <c r="AK32" s="295">
        <f t="shared" si="61"/>
        <v>8.67387295807074</v>
      </c>
      <c r="AL32" s="295">
        <f t="shared" si="61"/>
        <v>9.00492975540925</v>
      </c>
      <c r="AM32" s="295">
        <f t="shared" si="61"/>
        <v>9.23621673159216</v>
      </c>
      <c r="AN32" s="295">
        <f t="shared" si="61"/>
        <v>9.29712357778666</v>
      </c>
      <c r="AO32" s="295">
        <f t="shared" si="61"/>
        <v>9.22848500019358</v>
      </c>
      <c r="AP32" s="295">
        <f t="shared" si="61"/>
        <v>8.71754795117445</v>
      </c>
      <c r="AQ32" s="295">
        <f t="shared" si="61"/>
        <v>8.54094731753476</v>
      </c>
      <c r="AR32" s="295">
        <f t="shared" si="61"/>
        <v>8.70377434877466</v>
      </c>
      <c r="AT32" s="282">
        <f>AH32/AT$30</f>
        <v>0.0771958765707135</v>
      </c>
      <c r="AU32" s="282">
        <f t="shared" ref="AU32:BD47" si="62">AI32/AU$30</f>
        <v>0.0738788960319956</v>
      </c>
      <c r="AV32" s="282">
        <f t="shared" si="62"/>
        <v>0.0711563837667471</v>
      </c>
      <c r="AW32" s="282">
        <f t="shared" si="62"/>
        <v>0.0716700525207434</v>
      </c>
      <c r="AX32" s="282">
        <f t="shared" si="62"/>
        <v>0.0744054924063972</v>
      </c>
      <c r="AY32" s="282">
        <f t="shared" si="62"/>
        <v>0.0763165591018079</v>
      </c>
      <c r="AZ32" s="282">
        <f t="shared" si="62"/>
        <v>0.0768198172065477</v>
      </c>
      <c r="BA32" s="282">
        <f t="shared" si="62"/>
        <v>0.0762526737304068</v>
      </c>
      <c r="BB32" s="282">
        <f t="shared" si="62"/>
        <v>0.0720309281140011</v>
      </c>
      <c r="BC32" s="282">
        <f t="shared" si="62"/>
        <v>0.0705717210505202</v>
      </c>
      <c r="BD32" s="282">
        <f t="shared" si="62"/>
        <v>0.0719171202668994</v>
      </c>
    </row>
    <row r="33" spans="1:56">
      <c r="A33" s="350">
        <f t="shared" si="59"/>
        <v>407.82934</v>
      </c>
      <c r="B33" s="198"/>
      <c r="C33" s="25" t="s">
        <v>24</v>
      </c>
      <c r="D33" s="201">
        <v>95.78168</v>
      </c>
      <c r="E33" s="201">
        <v>108.72299</v>
      </c>
      <c r="F33" s="311">
        <v>203.32467</v>
      </c>
      <c r="G33" s="201">
        <v>12.16119</v>
      </c>
      <c r="H33" s="201">
        <v>83.73571</v>
      </c>
      <c r="I33" s="353">
        <v>82.17874</v>
      </c>
      <c r="J33" s="201">
        <v>72.26606</v>
      </c>
      <c r="K33" s="201">
        <v>71.16146</v>
      </c>
      <c r="L33" s="201">
        <v>85.19357</v>
      </c>
      <c r="M33" s="201">
        <v>87.58382</v>
      </c>
      <c r="N33" s="201">
        <v>120.34261</v>
      </c>
      <c r="O33" s="201">
        <v>75.7402999999997</v>
      </c>
      <c r="P33" s="296">
        <f t="shared" si="48"/>
        <v>1098.1928</v>
      </c>
      <c r="Q33" s="312">
        <f t="shared" ref="Q33:Q44" si="63">P33/$P$31*1000</f>
        <v>1.04809991276911</v>
      </c>
      <c r="R33" s="313">
        <f t="shared" ref="R33:R44" si="64">P33/$P$48</f>
        <v>0.0380518786866678</v>
      </c>
      <c r="S33" s="282">
        <f t="shared" si="60"/>
        <v>0.00866018860989367</v>
      </c>
      <c r="T33" s="282"/>
      <c r="V33" s="201">
        <f t="shared" si="49"/>
        <v>204.50467</v>
      </c>
      <c r="W33" s="201">
        <f t="shared" si="50"/>
        <v>407.82934</v>
      </c>
      <c r="X33" s="201">
        <f t="shared" si="51"/>
        <v>419.99053</v>
      </c>
      <c r="Y33" s="201">
        <f t="shared" si="52"/>
        <v>503.72624</v>
      </c>
      <c r="Z33" s="201">
        <f t="shared" si="53"/>
        <v>585.90498</v>
      </c>
      <c r="AA33" s="331">
        <f t="shared" si="54"/>
        <v>658.17104</v>
      </c>
      <c r="AB33" s="331">
        <f t="shared" si="55"/>
        <v>729.3325</v>
      </c>
      <c r="AC33" s="331">
        <f t="shared" si="56"/>
        <v>814.52607</v>
      </c>
      <c r="AD33" s="331">
        <f>AC33+M33</f>
        <v>902.10989</v>
      </c>
      <c r="AE33" s="331">
        <f t="shared" si="57"/>
        <v>1022.4525</v>
      </c>
      <c r="AF33" s="331">
        <f t="shared" si="58"/>
        <v>1098.1928</v>
      </c>
      <c r="AH33" s="295">
        <f t="shared" ref="AH33:AH48" si="65">V33/V$31*1000</f>
        <v>1.26380213450997</v>
      </c>
      <c r="AI33" s="295">
        <f t="shared" ref="AI33:AI48" si="66">W33/W$31*1000</f>
        <v>1.60263657583879</v>
      </c>
      <c r="AJ33" s="295">
        <f t="shared" ref="AJ33:AJ48" si="67">X33/X$31*1000</f>
        <v>1.189232474707</v>
      </c>
      <c r="AK33" s="295">
        <f t="shared" ref="AK33:AK48" si="68">Y33/Y$31*1000</f>
        <v>1.12813089847127</v>
      </c>
      <c r="AL33" s="295">
        <f t="shared" ref="AL33:AL48" si="69">Z33/Z$31*1000</f>
        <v>1.12327116635928</v>
      </c>
      <c r="AM33" s="295">
        <f t="shared" ref="AM33:AM48" si="70">AA33/AA$31*1000</f>
        <v>1.09804062361842</v>
      </c>
      <c r="AN33" s="295">
        <f t="shared" ref="AN33:AN48" si="71">AB33/AB$31*1000</f>
        <v>1.10804263639499</v>
      </c>
      <c r="AO33" s="295">
        <f t="shared" ref="AO33:AO48" si="72">AC33/AC$31*1000</f>
        <v>1.08742231086867</v>
      </c>
      <c r="AP33" s="295">
        <f t="shared" ref="AP33:AP48" si="73">AD33/AD$31*1000</f>
        <v>1.04821539248096</v>
      </c>
      <c r="AQ33" s="295">
        <f t="shared" ref="AQ33:AQ48" si="74">AE33/AE$31*1000</f>
        <v>1.05164619846951</v>
      </c>
      <c r="AR33" s="295">
        <f t="shared" ref="AR33:AR48" si="75">AF33/AF$31*1000</f>
        <v>1.04809991276911</v>
      </c>
      <c r="AT33" s="282">
        <f t="shared" ref="AT33:AT48" si="76">AH33/AT$30</f>
        <v>0.0104424823598412</v>
      </c>
      <c r="AU33" s="282">
        <f t="shared" si="62"/>
        <v>0.0132421869812096</v>
      </c>
      <c r="AV33" s="282">
        <f t="shared" si="62"/>
        <v>0.00982633182819663</v>
      </c>
      <c r="AW33" s="282">
        <f t="shared" si="62"/>
        <v>0.00932146471761247</v>
      </c>
      <c r="AX33" s="282">
        <f t="shared" si="62"/>
        <v>0.00928130996120937</v>
      </c>
      <c r="AY33" s="282">
        <f t="shared" si="62"/>
        <v>0.00907283626876476</v>
      </c>
      <c r="AZ33" s="282">
        <f t="shared" si="62"/>
        <v>0.00915548040990851</v>
      </c>
      <c r="BA33" s="282">
        <f t="shared" si="62"/>
        <v>0.00898509979439683</v>
      </c>
      <c r="BB33" s="282">
        <f t="shared" si="62"/>
        <v>0.00866114278999903</v>
      </c>
      <c r="BC33" s="282">
        <f t="shared" si="62"/>
        <v>0.00868949068563652</v>
      </c>
      <c r="BD33" s="282">
        <f t="shared" si="62"/>
        <v>0.00866018860989367</v>
      </c>
    </row>
    <row r="34" spans="1:56">
      <c r="A34" s="350">
        <f t="shared" si="59"/>
        <v>92.55319</v>
      </c>
      <c r="B34" s="198"/>
      <c r="C34" s="25" t="s">
        <v>25</v>
      </c>
      <c r="D34" s="201">
        <v>34.84363</v>
      </c>
      <c r="E34" s="201">
        <v>28.85478</v>
      </c>
      <c r="F34" s="311">
        <v>28.85478</v>
      </c>
      <c r="G34" s="201">
        <v>28.85478</v>
      </c>
      <c r="H34" s="201">
        <v>28.85478</v>
      </c>
      <c r="I34" s="354">
        <v>222.48895</v>
      </c>
      <c r="J34" s="201">
        <v>8.85478000000003</v>
      </c>
      <c r="K34" s="201">
        <v>8.855</v>
      </c>
      <c r="L34" s="354">
        <v>-1281.68539</v>
      </c>
      <c r="M34" s="198">
        <v>0</v>
      </c>
      <c r="N34" s="201">
        <v>0</v>
      </c>
      <c r="O34" s="201">
        <v>-375.25241</v>
      </c>
      <c r="P34" s="296">
        <f t="shared" si="48"/>
        <v>-1266.47632</v>
      </c>
      <c r="Q34" s="312">
        <f t="shared" si="63"/>
        <v>-1.20870736041627</v>
      </c>
      <c r="R34" s="313">
        <f t="shared" si="64"/>
        <v>-0.0438828257553478</v>
      </c>
      <c r="S34" s="282">
        <f t="shared" si="60"/>
        <v>-0.00998724795970621</v>
      </c>
      <c r="T34" s="282"/>
      <c r="V34" s="201">
        <f t="shared" si="49"/>
        <v>63.69841</v>
      </c>
      <c r="W34" s="201">
        <f t="shared" si="50"/>
        <v>92.55319</v>
      </c>
      <c r="X34" s="201">
        <f t="shared" si="51"/>
        <v>121.40797</v>
      </c>
      <c r="Y34" s="201">
        <f t="shared" si="52"/>
        <v>150.26275</v>
      </c>
      <c r="Z34" s="201">
        <f t="shared" si="53"/>
        <v>372.7517</v>
      </c>
      <c r="AA34" s="331">
        <f t="shared" si="54"/>
        <v>381.60648</v>
      </c>
      <c r="AB34" s="331">
        <f t="shared" si="55"/>
        <v>390.46148</v>
      </c>
      <c r="AC34" s="331">
        <f t="shared" si="56"/>
        <v>-891.22391</v>
      </c>
      <c r="AD34" s="331">
        <f>AC34+[1]Sheet1!L57</f>
        <v>-891.103973409996</v>
      </c>
      <c r="AE34" s="331">
        <f t="shared" si="57"/>
        <v>-891.103973409996</v>
      </c>
      <c r="AF34" s="331">
        <f t="shared" si="58"/>
        <v>-1266.35638341</v>
      </c>
      <c r="AH34" s="295">
        <f t="shared" si="65"/>
        <v>0.393644734484016</v>
      </c>
      <c r="AI34" s="295">
        <f t="shared" si="66"/>
        <v>0.363703914741781</v>
      </c>
      <c r="AJ34" s="295">
        <f t="shared" si="67"/>
        <v>0.343775133720881</v>
      </c>
      <c r="AK34" s="295">
        <f t="shared" si="68"/>
        <v>0.336524162736219</v>
      </c>
      <c r="AL34" s="295">
        <f t="shared" si="69"/>
        <v>0.714623106329298</v>
      </c>
      <c r="AM34" s="295">
        <f t="shared" si="70"/>
        <v>0.636642136785646</v>
      </c>
      <c r="AN34" s="295">
        <f t="shared" si="71"/>
        <v>0.593210871186858</v>
      </c>
      <c r="AO34" s="295">
        <f t="shared" si="72"/>
        <v>-1.18981675284329</v>
      </c>
      <c r="AP34" s="295">
        <f t="shared" si="73"/>
        <v>-1.03542696026678</v>
      </c>
      <c r="AQ34" s="295">
        <f t="shared" si="74"/>
        <v>-0.916547327213441</v>
      </c>
      <c r="AR34" s="295">
        <f t="shared" si="75"/>
        <v>-1.20859289460523</v>
      </c>
      <c r="AT34" s="282">
        <f t="shared" si="76"/>
        <v>0.0032525884263422</v>
      </c>
      <c r="AU34" s="282">
        <f t="shared" si="62"/>
        <v>0.00300519488786025</v>
      </c>
      <c r="AV34" s="282">
        <f t="shared" si="62"/>
        <v>0.00284052833240726</v>
      </c>
      <c r="AW34" s="282">
        <f t="shared" si="62"/>
        <v>0.00278061536460047</v>
      </c>
      <c r="AX34" s="282">
        <f t="shared" si="62"/>
        <v>0.00590475279160065</v>
      </c>
      <c r="AY34" s="282">
        <f t="shared" si="62"/>
        <v>0.00526041545696033</v>
      </c>
      <c r="AZ34" s="282">
        <f t="shared" si="62"/>
        <v>0.00490155372338938</v>
      </c>
      <c r="BA34" s="282">
        <f t="shared" si="62"/>
        <v>-0.00983115957295577</v>
      </c>
      <c r="BB34" s="282">
        <f t="shared" si="62"/>
        <v>-0.00855547515884065</v>
      </c>
      <c r="BC34" s="282">
        <f t="shared" si="62"/>
        <v>-0.00757320235109196</v>
      </c>
      <c r="BD34" s="282">
        <f t="shared" si="62"/>
        <v>-0.00998630215721081</v>
      </c>
    </row>
    <row r="35" spans="1:56">
      <c r="A35" s="350">
        <f t="shared" si="59"/>
        <v>129.83754</v>
      </c>
      <c r="B35" s="198"/>
      <c r="C35" s="25" t="s">
        <v>26</v>
      </c>
      <c r="D35" s="201">
        <v>47.14342</v>
      </c>
      <c r="E35" s="201">
        <v>35.17581</v>
      </c>
      <c r="F35" s="311">
        <v>47.51831</v>
      </c>
      <c r="G35" s="201">
        <v>5.08957</v>
      </c>
      <c r="H35" s="201">
        <v>27.51429</v>
      </c>
      <c r="I35" s="201">
        <v>20.25036</v>
      </c>
      <c r="J35" s="201">
        <v>22.36867</v>
      </c>
      <c r="K35" s="201">
        <v>29.97052</v>
      </c>
      <c r="L35" s="201">
        <v>29.52934</v>
      </c>
      <c r="M35" s="201">
        <v>33.0999</v>
      </c>
      <c r="N35" s="201">
        <v>27.76599</v>
      </c>
      <c r="O35" s="201">
        <v>33.87562</v>
      </c>
      <c r="P35" s="296">
        <f t="shared" si="48"/>
        <v>359.3018</v>
      </c>
      <c r="Q35" s="312">
        <f t="shared" si="63"/>
        <v>0.34291263359019</v>
      </c>
      <c r="R35" s="313">
        <f t="shared" si="64"/>
        <v>0.0124496431824188</v>
      </c>
      <c r="S35" s="282">
        <f t="shared" si="60"/>
        <v>0.00283340170858368</v>
      </c>
      <c r="T35" s="282"/>
      <c r="U35" s="313"/>
      <c r="V35" s="201">
        <f t="shared" si="49"/>
        <v>82.31923</v>
      </c>
      <c r="W35" s="201">
        <f t="shared" si="50"/>
        <v>129.83754</v>
      </c>
      <c r="X35" s="201">
        <f t="shared" si="51"/>
        <v>134.92711</v>
      </c>
      <c r="Y35" s="201">
        <f t="shared" si="52"/>
        <v>162.4414</v>
      </c>
      <c r="Z35" s="201">
        <f t="shared" si="53"/>
        <v>182.69176</v>
      </c>
      <c r="AA35" s="331">
        <f t="shared" si="54"/>
        <v>205.06043</v>
      </c>
      <c r="AB35" s="331">
        <f t="shared" si="55"/>
        <v>235.03095</v>
      </c>
      <c r="AC35" s="331">
        <f t="shared" si="56"/>
        <v>264.56029</v>
      </c>
      <c r="AD35" s="331">
        <f t="shared" ref="AD35:AD47" si="77">AC35+M35</f>
        <v>297.66019</v>
      </c>
      <c r="AE35" s="331">
        <f t="shared" si="57"/>
        <v>325.42618</v>
      </c>
      <c r="AF35" s="331">
        <f t="shared" si="58"/>
        <v>359.3018</v>
      </c>
      <c r="AH35" s="295">
        <f t="shared" si="65"/>
        <v>0.508718058053233</v>
      </c>
      <c r="AI35" s="295">
        <f t="shared" si="66"/>
        <v>0.510219275839575</v>
      </c>
      <c r="AJ35" s="295">
        <f t="shared" si="67"/>
        <v>0.382055521419409</v>
      </c>
      <c r="AK35" s="295">
        <f t="shared" si="68"/>
        <v>0.363799119400512</v>
      </c>
      <c r="AL35" s="295">
        <f t="shared" si="69"/>
        <v>0.350248578428929</v>
      </c>
      <c r="AM35" s="295">
        <f t="shared" si="70"/>
        <v>0.342106639083758</v>
      </c>
      <c r="AN35" s="295">
        <f t="shared" si="71"/>
        <v>0.357072135785007</v>
      </c>
      <c r="AO35" s="295">
        <f t="shared" si="72"/>
        <v>0.35319773364146</v>
      </c>
      <c r="AP35" s="295">
        <f t="shared" si="73"/>
        <v>0.345869163330874</v>
      </c>
      <c r="AQ35" s="295">
        <f t="shared" si="74"/>
        <v>0.334717950300337</v>
      </c>
      <c r="AR35" s="295">
        <f t="shared" si="75"/>
        <v>0.34291263359019</v>
      </c>
      <c r="AT35" s="282">
        <f t="shared" si="76"/>
        <v>0.00420341064656719</v>
      </c>
      <c r="AU35" s="282">
        <f t="shared" si="62"/>
        <v>0.00421581483534334</v>
      </c>
      <c r="AV35" s="282">
        <f t="shared" si="62"/>
        <v>0.00315682964441981</v>
      </c>
      <c r="AW35" s="282">
        <f t="shared" si="62"/>
        <v>0.00300598154025006</v>
      </c>
      <c r="AX35" s="282">
        <f t="shared" si="62"/>
        <v>0.00289401679418883</v>
      </c>
      <c r="AY35" s="282">
        <f t="shared" si="62"/>
        <v>0.00282674197666384</v>
      </c>
      <c r="AZ35" s="282">
        <f t="shared" si="62"/>
        <v>0.00295039814960554</v>
      </c>
      <c r="BA35" s="282">
        <f t="shared" si="62"/>
        <v>0.0029183849293916</v>
      </c>
      <c r="BB35" s="282">
        <f t="shared" si="62"/>
        <v>0.00285783077767637</v>
      </c>
      <c r="BC35" s="282">
        <f t="shared" si="62"/>
        <v>0.00276569108097665</v>
      </c>
      <c r="BD35" s="282">
        <f t="shared" si="62"/>
        <v>0.00283340170858368</v>
      </c>
    </row>
    <row r="36" spans="1:56">
      <c r="A36" s="350">
        <f t="shared" si="59"/>
        <v>1235.88011</v>
      </c>
      <c r="B36" s="198"/>
      <c r="C36" s="25" t="s">
        <v>27</v>
      </c>
      <c r="D36" s="201">
        <v>385.87333</v>
      </c>
      <c r="E36" s="201">
        <v>358.20537</v>
      </c>
      <c r="F36" s="311">
        <v>491.80141</v>
      </c>
      <c r="G36" s="201">
        <v>403.07668</v>
      </c>
      <c r="H36" s="201">
        <v>452.17888</v>
      </c>
      <c r="I36" s="201">
        <v>332.25239</v>
      </c>
      <c r="J36" s="201">
        <v>332.16484</v>
      </c>
      <c r="K36" s="201">
        <v>279.86157</v>
      </c>
      <c r="L36" s="201">
        <v>317.01562</v>
      </c>
      <c r="M36" s="201">
        <v>415.08803</v>
      </c>
      <c r="N36" s="201">
        <v>361.68076</v>
      </c>
      <c r="O36" s="201">
        <v>422.62091</v>
      </c>
      <c r="P36" s="296">
        <f t="shared" si="48"/>
        <v>4551.81979</v>
      </c>
      <c r="Q36" s="312">
        <f t="shared" si="63"/>
        <v>4.34419341015505</v>
      </c>
      <c r="R36" s="313">
        <f t="shared" si="64"/>
        <v>0.157718475710871</v>
      </c>
      <c r="S36" s="282">
        <f t="shared" si="60"/>
        <v>0.0358949884752901</v>
      </c>
      <c r="T36" s="282"/>
      <c r="U36" s="327" t="s">
        <v>84</v>
      </c>
      <c r="V36" s="201">
        <f t="shared" si="49"/>
        <v>744.0787</v>
      </c>
      <c r="W36" s="201">
        <f t="shared" si="50"/>
        <v>1235.88011</v>
      </c>
      <c r="X36" s="201">
        <f t="shared" si="51"/>
        <v>1638.95679</v>
      </c>
      <c r="Y36" s="201">
        <f t="shared" si="52"/>
        <v>2091.13567</v>
      </c>
      <c r="Z36" s="201">
        <f t="shared" si="53"/>
        <v>2423.38806</v>
      </c>
      <c r="AA36" s="331">
        <f t="shared" si="54"/>
        <v>2755.5529</v>
      </c>
      <c r="AB36" s="331">
        <f t="shared" si="55"/>
        <v>3035.41447</v>
      </c>
      <c r="AC36" s="331">
        <f t="shared" si="56"/>
        <v>3352.43009</v>
      </c>
      <c r="AD36" s="331">
        <f t="shared" si="77"/>
        <v>3767.51812</v>
      </c>
      <c r="AE36" s="331">
        <f t="shared" si="57"/>
        <v>4129.19888</v>
      </c>
      <c r="AF36" s="331">
        <f t="shared" si="58"/>
        <v>4551.81979</v>
      </c>
      <c r="AH36" s="295">
        <f t="shared" si="65"/>
        <v>4.59827274019417</v>
      </c>
      <c r="AI36" s="295">
        <f t="shared" si="66"/>
        <v>4.85660660814071</v>
      </c>
      <c r="AJ36" s="295">
        <f t="shared" si="67"/>
        <v>4.64082044733139</v>
      </c>
      <c r="AK36" s="295">
        <f t="shared" si="68"/>
        <v>4.68324771451735</v>
      </c>
      <c r="AL36" s="295">
        <f t="shared" si="69"/>
        <v>4.64601262255419</v>
      </c>
      <c r="AM36" s="295">
        <f t="shared" si="70"/>
        <v>4.59714700411241</v>
      </c>
      <c r="AN36" s="295">
        <f t="shared" si="71"/>
        <v>4.61157106243078</v>
      </c>
      <c r="AO36" s="295">
        <f t="shared" si="72"/>
        <v>4.47561767481974</v>
      </c>
      <c r="AP36" s="295">
        <f t="shared" si="73"/>
        <v>4.3777044555347</v>
      </c>
      <c r="AQ36" s="295">
        <f t="shared" si="74"/>
        <v>4.24709832963054</v>
      </c>
      <c r="AR36" s="295">
        <f t="shared" si="75"/>
        <v>4.34419341015505</v>
      </c>
      <c r="AT36" s="282">
        <f t="shared" si="76"/>
        <v>0.0379943827154831</v>
      </c>
      <c r="AU36" s="282">
        <f t="shared" si="62"/>
        <v>0.0401289311430558</v>
      </c>
      <c r="AV36" s="282">
        <f t="shared" si="62"/>
        <v>0.0383459438254857</v>
      </c>
      <c r="AW36" s="282">
        <f t="shared" si="62"/>
        <v>0.0386965097701599</v>
      </c>
      <c r="AX36" s="282">
        <f t="shared" si="62"/>
        <v>0.0383888454765376</v>
      </c>
      <c r="AY36" s="282">
        <f t="shared" si="62"/>
        <v>0.0379850810385397</v>
      </c>
      <c r="AZ36" s="282">
        <f t="shared" si="62"/>
        <v>0.0381042634409379</v>
      </c>
      <c r="BA36" s="282">
        <f t="shared" si="62"/>
        <v>0.0369809144505206</v>
      </c>
      <c r="BB36" s="282">
        <f t="shared" si="62"/>
        <v>0.0361718818992537</v>
      </c>
      <c r="BC36" s="282">
        <f t="shared" si="62"/>
        <v>0.0350927160008908</v>
      </c>
      <c r="BD36" s="282">
        <f t="shared" si="62"/>
        <v>0.0358949884752901</v>
      </c>
    </row>
    <row r="37" spans="1:56">
      <c r="A37" s="350">
        <f t="shared" si="59"/>
        <v>722.82554</v>
      </c>
      <c r="B37" s="198"/>
      <c r="C37" s="25" t="s">
        <v>28</v>
      </c>
      <c r="D37" s="201">
        <v>276.16976</v>
      </c>
      <c r="E37" s="201">
        <v>193.34998</v>
      </c>
      <c r="F37" s="311">
        <v>253.3058</v>
      </c>
      <c r="G37" s="201">
        <v>149.25268</v>
      </c>
      <c r="H37" s="201">
        <v>199.13504</v>
      </c>
      <c r="I37" s="201">
        <v>153.80926</v>
      </c>
      <c r="J37" s="201">
        <v>132.57406</v>
      </c>
      <c r="K37" s="201">
        <v>141.30123</v>
      </c>
      <c r="L37" s="201">
        <v>119.39319</v>
      </c>
      <c r="M37" s="201">
        <v>103.52545</v>
      </c>
      <c r="N37" s="201">
        <v>110.0848</v>
      </c>
      <c r="O37" s="201">
        <v>106.23428</v>
      </c>
      <c r="P37" s="296">
        <f t="shared" si="48"/>
        <v>1938.13553</v>
      </c>
      <c r="Q37" s="312">
        <f t="shared" si="63"/>
        <v>1.84972955561876</v>
      </c>
      <c r="R37" s="313">
        <f t="shared" si="64"/>
        <v>0.0671555104585285</v>
      </c>
      <c r="S37" s="282">
        <f t="shared" si="60"/>
        <v>0.015283854748762</v>
      </c>
      <c r="T37" s="282"/>
      <c r="U37" s="327"/>
      <c r="V37" s="201">
        <f t="shared" si="49"/>
        <v>469.51974</v>
      </c>
      <c r="W37" s="201">
        <f t="shared" si="50"/>
        <v>722.82554</v>
      </c>
      <c r="X37" s="201">
        <f t="shared" si="51"/>
        <v>872.07822</v>
      </c>
      <c r="Y37" s="201">
        <f t="shared" si="52"/>
        <v>1071.21326</v>
      </c>
      <c r="Z37" s="201">
        <f t="shared" si="53"/>
        <v>1225.02252</v>
      </c>
      <c r="AA37" s="331">
        <f t="shared" si="54"/>
        <v>1357.59658</v>
      </c>
      <c r="AB37" s="331">
        <f t="shared" si="55"/>
        <v>1498.89781</v>
      </c>
      <c r="AC37" s="331">
        <f t="shared" si="56"/>
        <v>1618.291</v>
      </c>
      <c r="AD37" s="331">
        <f t="shared" si="77"/>
        <v>1721.81645</v>
      </c>
      <c r="AE37" s="331">
        <f t="shared" si="57"/>
        <v>1831.90125</v>
      </c>
      <c r="AF37" s="331">
        <f t="shared" si="58"/>
        <v>1938.13553</v>
      </c>
      <c r="AH37" s="295">
        <f t="shared" si="65"/>
        <v>2.90154767422459</v>
      </c>
      <c r="AI37" s="295">
        <f t="shared" si="66"/>
        <v>2.8404691245471</v>
      </c>
      <c r="AJ37" s="295">
        <f t="shared" si="67"/>
        <v>2.46935029632377</v>
      </c>
      <c r="AK37" s="295">
        <f t="shared" si="68"/>
        <v>2.39905861854276</v>
      </c>
      <c r="AL37" s="295">
        <f t="shared" si="69"/>
        <v>2.34855910399804</v>
      </c>
      <c r="AM37" s="295">
        <f t="shared" si="70"/>
        <v>2.26490699944111</v>
      </c>
      <c r="AN37" s="295">
        <f t="shared" si="71"/>
        <v>2.27720920304398</v>
      </c>
      <c r="AO37" s="295">
        <f t="shared" si="72"/>
        <v>2.16047810339326</v>
      </c>
      <c r="AP37" s="295">
        <f t="shared" si="73"/>
        <v>2.00068143130203</v>
      </c>
      <c r="AQ37" s="295">
        <f t="shared" si="74"/>
        <v>1.88420683164651</v>
      </c>
      <c r="AR37" s="295">
        <f t="shared" si="75"/>
        <v>1.84972955561876</v>
      </c>
      <c r="AT37" s="282">
        <f t="shared" si="76"/>
        <v>0.023974765967678</v>
      </c>
      <c r="AU37" s="282">
        <f t="shared" si="62"/>
        <v>0.0234700891198112</v>
      </c>
      <c r="AV37" s="282">
        <f t="shared" si="62"/>
        <v>0.0204036266481129</v>
      </c>
      <c r="AW37" s="282">
        <f t="shared" si="62"/>
        <v>0.0198228240167291</v>
      </c>
      <c r="AX37" s="282">
        <f t="shared" si="62"/>
        <v>0.0194055591020609</v>
      </c>
      <c r="AY37" s="282">
        <f t="shared" si="62"/>
        <v>0.0187143625908776</v>
      </c>
      <c r="AZ37" s="282">
        <f t="shared" si="62"/>
        <v>0.0188160126360882</v>
      </c>
      <c r="BA37" s="282">
        <f t="shared" si="62"/>
        <v>0.017851492624876</v>
      </c>
      <c r="BB37" s="282">
        <f t="shared" si="62"/>
        <v>0.0165311325116048</v>
      </c>
      <c r="BC37" s="282">
        <f t="shared" si="62"/>
        <v>0.0155687318959863</v>
      </c>
      <c r="BD37" s="282">
        <f t="shared" si="62"/>
        <v>0.015283854748762</v>
      </c>
    </row>
    <row r="38" spans="1:56">
      <c r="A38" s="350">
        <f t="shared" si="59"/>
        <v>581.13068</v>
      </c>
      <c r="B38" s="198"/>
      <c r="C38" s="25" t="s">
        <v>29</v>
      </c>
      <c r="D38" s="201">
        <v>219.71751</v>
      </c>
      <c r="E38" s="201">
        <v>220.42753</v>
      </c>
      <c r="F38" s="311">
        <v>140.98564</v>
      </c>
      <c r="G38" s="201">
        <v>147.58937</v>
      </c>
      <c r="H38" s="201">
        <v>170.65504</v>
      </c>
      <c r="I38" s="201">
        <v>126.29138</v>
      </c>
      <c r="J38" s="201">
        <v>128.75935</v>
      </c>
      <c r="K38" s="201">
        <v>134.41711</v>
      </c>
      <c r="L38" s="201">
        <v>147.22651</v>
      </c>
      <c r="M38" s="201">
        <v>149.29277</v>
      </c>
      <c r="N38" s="201">
        <v>157.73939</v>
      </c>
      <c r="O38" s="201">
        <v>168.50673</v>
      </c>
      <c r="P38" s="296">
        <f t="shared" si="48"/>
        <v>1911.60833</v>
      </c>
      <c r="Q38" s="312">
        <f t="shared" si="63"/>
        <v>1.8244123654077</v>
      </c>
      <c r="R38" s="313">
        <f t="shared" si="64"/>
        <v>0.0662363551004739</v>
      </c>
      <c r="S38" s="282">
        <f t="shared" si="60"/>
        <v>0.0150746651098458</v>
      </c>
      <c r="T38" s="282"/>
      <c r="U38" s="327"/>
      <c r="V38" s="201">
        <f t="shared" si="49"/>
        <v>440.14504</v>
      </c>
      <c r="W38" s="201">
        <f t="shared" si="50"/>
        <v>581.13068</v>
      </c>
      <c r="X38" s="201">
        <f t="shared" si="51"/>
        <v>728.72005</v>
      </c>
      <c r="Y38" s="201">
        <f t="shared" si="52"/>
        <v>899.37509</v>
      </c>
      <c r="Z38" s="201">
        <f t="shared" si="53"/>
        <v>1025.66647</v>
      </c>
      <c r="AA38" s="331">
        <f t="shared" si="54"/>
        <v>1154.42582</v>
      </c>
      <c r="AB38" s="331">
        <f t="shared" si="55"/>
        <v>1288.84293</v>
      </c>
      <c r="AC38" s="331">
        <f t="shared" si="56"/>
        <v>1436.06944</v>
      </c>
      <c r="AD38" s="331">
        <f t="shared" si="77"/>
        <v>1585.36221</v>
      </c>
      <c r="AE38" s="331">
        <f t="shared" si="57"/>
        <v>1743.1016</v>
      </c>
      <c r="AF38" s="331">
        <f t="shared" si="58"/>
        <v>1911.60833</v>
      </c>
      <c r="AH38" s="295">
        <f t="shared" si="65"/>
        <v>2.72001730349716</v>
      </c>
      <c r="AI38" s="295">
        <f t="shared" si="66"/>
        <v>2.28365444013927</v>
      </c>
      <c r="AJ38" s="295">
        <f t="shared" si="67"/>
        <v>2.06342164055487</v>
      </c>
      <c r="AK38" s="295">
        <f t="shared" si="68"/>
        <v>2.01421476146325</v>
      </c>
      <c r="AL38" s="295">
        <f t="shared" si="69"/>
        <v>1.96636248432725</v>
      </c>
      <c r="AM38" s="295">
        <f t="shared" si="70"/>
        <v>1.92595293666219</v>
      </c>
      <c r="AN38" s="295">
        <f t="shared" si="71"/>
        <v>1.95808210666087</v>
      </c>
      <c r="AO38" s="295">
        <f t="shared" si="72"/>
        <v>1.91720560768874</v>
      </c>
      <c r="AP38" s="295">
        <f t="shared" si="73"/>
        <v>1.84212709515869</v>
      </c>
      <c r="AQ38" s="295">
        <f t="shared" si="74"/>
        <v>1.79287171891714</v>
      </c>
      <c r="AR38" s="295">
        <f t="shared" si="75"/>
        <v>1.8244123654077</v>
      </c>
      <c r="AT38" s="282">
        <f t="shared" si="76"/>
        <v>0.0224748257141101</v>
      </c>
      <c r="AU38" s="282">
        <f t="shared" si="62"/>
        <v>0.018869268025389</v>
      </c>
      <c r="AV38" s="282">
        <f t="shared" si="62"/>
        <v>0.0170495392388015</v>
      </c>
      <c r="AW38" s="282">
        <f t="shared" si="62"/>
        <v>0.0166429550490253</v>
      </c>
      <c r="AX38" s="282">
        <f t="shared" si="62"/>
        <v>0.0162475635979224</v>
      </c>
      <c r="AY38" s="282">
        <f t="shared" si="62"/>
        <v>0.0159136695672519</v>
      </c>
      <c r="AZ38" s="282">
        <f t="shared" si="62"/>
        <v>0.0161791448990194</v>
      </c>
      <c r="BA38" s="282">
        <f t="shared" si="62"/>
        <v>0.0158413925659661</v>
      </c>
      <c r="BB38" s="282">
        <f t="shared" si="62"/>
        <v>0.0152210375109383</v>
      </c>
      <c r="BC38" s="282">
        <f t="shared" si="62"/>
        <v>0.0148140526012877</v>
      </c>
      <c r="BD38" s="282">
        <f t="shared" si="62"/>
        <v>0.0150746651098458</v>
      </c>
    </row>
    <row r="39" spans="1:56">
      <c r="A39" s="350">
        <f t="shared" si="59"/>
        <v>1702.28242</v>
      </c>
      <c r="B39" s="198" t="s">
        <v>30</v>
      </c>
      <c r="C39" s="25" t="s">
        <v>31</v>
      </c>
      <c r="D39" s="201">
        <v>544.15844</v>
      </c>
      <c r="E39" s="201">
        <v>469.02011</v>
      </c>
      <c r="F39" s="311">
        <v>689.10387</v>
      </c>
      <c r="G39" s="201">
        <v>573.04516</v>
      </c>
      <c r="H39" s="201">
        <v>645.05798</v>
      </c>
      <c r="I39" s="201">
        <v>596.42251</v>
      </c>
      <c r="J39" s="201">
        <v>524.39303</v>
      </c>
      <c r="K39" s="201">
        <v>432.51216</v>
      </c>
      <c r="L39" s="201">
        <v>570.86096</v>
      </c>
      <c r="M39" s="201">
        <v>501.28108</v>
      </c>
      <c r="N39" s="201">
        <v>640.25558</v>
      </c>
      <c r="O39" s="201">
        <v>557.30606</v>
      </c>
      <c r="P39" s="296">
        <f t="shared" si="48"/>
        <v>6743.41694</v>
      </c>
      <c r="Q39" s="312">
        <f t="shared" si="63"/>
        <v>6.43582320570647</v>
      </c>
      <c r="R39" s="313">
        <f t="shared" si="64"/>
        <v>0.233656315479851</v>
      </c>
      <c r="S39" s="282">
        <f t="shared" si="60"/>
        <v>0.0531776046752009</v>
      </c>
      <c r="T39" s="282"/>
      <c r="U39" s="327" t="s">
        <v>84</v>
      </c>
      <c r="V39" s="201">
        <f t="shared" si="49"/>
        <v>1013.17855</v>
      </c>
      <c r="W39" s="201">
        <f t="shared" si="50"/>
        <v>1702.28242</v>
      </c>
      <c r="X39" s="201">
        <f t="shared" si="51"/>
        <v>2275.32758</v>
      </c>
      <c r="Y39" s="201">
        <f t="shared" si="52"/>
        <v>2920.38556</v>
      </c>
      <c r="Z39" s="201">
        <f t="shared" si="53"/>
        <v>3516.80807</v>
      </c>
      <c r="AA39" s="331">
        <f t="shared" si="54"/>
        <v>4041.2011</v>
      </c>
      <c r="AB39" s="331">
        <f t="shared" si="55"/>
        <v>4473.71326</v>
      </c>
      <c r="AC39" s="331">
        <f t="shared" si="56"/>
        <v>5044.57422</v>
      </c>
      <c r="AD39" s="331">
        <f t="shared" si="77"/>
        <v>5545.8553</v>
      </c>
      <c r="AE39" s="331">
        <f t="shared" si="57"/>
        <v>6186.11088</v>
      </c>
      <c r="AF39" s="331">
        <f t="shared" si="58"/>
        <v>6743.41694</v>
      </c>
      <c r="AH39" s="295">
        <f t="shared" si="65"/>
        <v>6.2612614867412</v>
      </c>
      <c r="AI39" s="295">
        <f t="shared" si="66"/>
        <v>6.68941589317573</v>
      </c>
      <c r="AJ39" s="295">
        <f t="shared" si="67"/>
        <v>6.4427487180068</v>
      </c>
      <c r="AK39" s="295">
        <f t="shared" si="68"/>
        <v>6.54041208114415</v>
      </c>
      <c r="AL39" s="295">
        <f t="shared" si="69"/>
        <v>6.74226920319168</v>
      </c>
      <c r="AM39" s="295">
        <f t="shared" si="70"/>
        <v>6.74202100416246</v>
      </c>
      <c r="AN39" s="295">
        <f t="shared" si="71"/>
        <v>6.7967148523967</v>
      </c>
      <c r="AO39" s="295">
        <f t="shared" si="72"/>
        <v>6.73469242753754</v>
      </c>
      <c r="AP39" s="295">
        <f t="shared" si="73"/>
        <v>6.44406070077793</v>
      </c>
      <c r="AQ39" s="295">
        <f t="shared" si="74"/>
        <v>6.36274055788694</v>
      </c>
      <c r="AR39" s="295">
        <f t="shared" si="75"/>
        <v>6.43582320570647</v>
      </c>
      <c r="AT39" s="282">
        <f t="shared" si="76"/>
        <v>0.0517352446559997</v>
      </c>
      <c r="AU39" s="282">
        <f t="shared" si="62"/>
        <v>0.0552729779090096</v>
      </c>
      <c r="AV39" s="282">
        <f t="shared" si="62"/>
        <v>0.053234828458936</v>
      </c>
      <c r="AW39" s="282">
        <f t="shared" si="62"/>
        <v>0.054041796511067</v>
      </c>
      <c r="AX39" s="282">
        <f t="shared" si="62"/>
        <v>0.0557096916495785</v>
      </c>
      <c r="AY39" s="282">
        <f t="shared" si="62"/>
        <v>0.0557076408427999</v>
      </c>
      <c r="AZ39" s="282">
        <f t="shared" si="62"/>
        <v>0.0561595624923857</v>
      </c>
      <c r="BA39" s="282">
        <f t="shared" si="62"/>
        <v>0.0556470866389108</v>
      </c>
      <c r="BB39" s="282">
        <f t="shared" si="62"/>
        <v>0.0532456690458996</v>
      </c>
      <c r="BC39" s="282">
        <f t="shared" si="62"/>
        <v>0.0525737409533203</v>
      </c>
      <c r="BD39" s="282">
        <f t="shared" si="62"/>
        <v>0.0531776046752009</v>
      </c>
    </row>
    <row r="40" spans="1:56">
      <c r="A40" s="350">
        <f t="shared" si="59"/>
        <v>95.4338</v>
      </c>
      <c r="B40" s="198"/>
      <c r="C40" s="25" t="s">
        <v>32</v>
      </c>
      <c r="D40" s="201">
        <v>30.00512</v>
      </c>
      <c r="E40" s="201">
        <v>32.08729</v>
      </c>
      <c r="F40" s="311">
        <v>33.34139</v>
      </c>
      <c r="G40" s="201">
        <v>38.25359</v>
      </c>
      <c r="H40" s="201">
        <v>38.32702</v>
      </c>
      <c r="I40" s="201">
        <v>39.72992</v>
      </c>
      <c r="J40" s="201">
        <v>34.70272</v>
      </c>
      <c r="K40" s="201">
        <v>33.87479</v>
      </c>
      <c r="L40" s="201">
        <v>43.88856</v>
      </c>
      <c r="M40" s="201">
        <v>42.01354</v>
      </c>
      <c r="N40" s="201">
        <v>43.6391</v>
      </c>
      <c r="O40" s="201">
        <v>51.3195900000003</v>
      </c>
      <c r="P40" s="296">
        <f t="shared" si="48"/>
        <v>461.18263</v>
      </c>
      <c r="Q40" s="312">
        <f t="shared" si="63"/>
        <v>0.440146278753267</v>
      </c>
      <c r="R40" s="313">
        <f t="shared" si="64"/>
        <v>0.0159797673861625</v>
      </c>
      <c r="S40" s="282">
        <f t="shared" si="60"/>
        <v>0.00363681910808995</v>
      </c>
      <c r="T40" s="282"/>
      <c r="U40" s="313"/>
      <c r="V40" s="201">
        <f t="shared" si="49"/>
        <v>62.09241</v>
      </c>
      <c r="W40" s="201">
        <f t="shared" si="50"/>
        <v>95.4338</v>
      </c>
      <c r="X40" s="201">
        <f t="shared" si="51"/>
        <v>133.68739</v>
      </c>
      <c r="Y40" s="201">
        <f t="shared" si="52"/>
        <v>172.01441</v>
      </c>
      <c r="Z40" s="201">
        <f t="shared" si="53"/>
        <v>211.74433</v>
      </c>
      <c r="AA40" s="331">
        <f t="shared" si="54"/>
        <v>246.44705</v>
      </c>
      <c r="AB40" s="331">
        <f t="shared" si="55"/>
        <v>280.32184</v>
      </c>
      <c r="AC40" s="331">
        <f t="shared" si="56"/>
        <v>324.2104</v>
      </c>
      <c r="AD40" s="331">
        <f t="shared" si="77"/>
        <v>366.22394</v>
      </c>
      <c r="AE40" s="331">
        <f t="shared" si="57"/>
        <v>409.86304</v>
      </c>
      <c r="AF40" s="331">
        <f t="shared" si="58"/>
        <v>461.18263</v>
      </c>
      <c r="AH40" s="295">
        <f t="shared" si="65"/>
        <v>0.383719942898459</v>
      </c>
      <c r="AI40" s="295">
        <f t="shared" si="66"/>
        <v>0.375023774530993</v>
      </c>
      <c r="AJ40" s="295">
        <f t="shared" si="67"/>
        <v>0.378545167784665</v>
      </c>
      <c r="AK40" s="295">
        <f t="shared" si="68"/>
        <v>0.385238559149321</v>
      </c>
      <c r="AL40" s="295">
        <f t="shared" si="69"/>
        <v>0.405946883279717</v>
      </c>
      <c r="AM40" s="295">
        <f t="shared" si="70"/>
        <v>0.411152809869788</v>
      </c>
      <c r="AN40" s="295">
        <f t="shared" si="71"/>
        <v>0.425880583455</v>
      </c>
      <c r="AO40" s="295">
        <f t="shared" si="72"/>
        <v>0.432832828021889</v>
      </c>
      <c r="AP40" s="295">
        <f t="shared" si="73"/>
        <v>0.425537481917001</v>
      </c>
      <c r="AQ40" s="295">
        <f t="shared" si="74"/>
        <v>0.421565703941414</v>
      </c>
      <c r="AR40" s="295">
        <f t="shared" si="75"/>
        <v>0.440146278753267</v>
      </c>
      <c r="AT40" s="282">
        <f t="shared" si="76"/>
        <v>0.00317058234467226</v>
      </c>
      <c r="AU40" s="282">
        <f t="shared" si="62"/>
        <v>0.00309872807073508</v>
      </c>
      <c r="AV40" s="282">
        <f t="shared" si="62"/>
        <v>0.00312782446638865</v>
      </c>
      <c r="AW40" s="282">
        <f t="shared" si="62"/>
        <v>0.00318313029262864</v>
      </c>
      <c r="AX40" s="282">
        <f t="shared" si="62"/>
        <v>0.00335423801869478</v>
      </c>
      <c r="AY40" s="282">
        <f t="shared" si="62"/>
        <v>0.00339725329387036</v>
      </c>
      <c r="AZ40" s="282">
        <f t="shared" si="62"/>
        <v>0.0035189452198956</v>
      </c>
      <c r="BA40" s="282">
        <f t="shared" si="62"/>
        <v>0.00357638988569306</v>
      </c>
      <c r="BB40" s="282">
        <f t="shared" si="62"/>
        <v>0.00351611025731692</v>
      </c>
      <c r="BC40" s="282">
        <f t="shared" si="62"/>
        <v>0.0034832924448487</v>
      </c>
      <c r="BD40" s="282">
        <f t="shared" si="62"/>
        <v>0.00363681910808995</v>
      </c>
    </row>
    <row r="41" spans="1:56">
      <c r="A41" s="350">
        <f t="shared" si="59"/>
        <v>-16.46333</v>
      </c>
      <c r="B41" s="198"/>
      <c r="C41" s="25" t="s">
        <v>33</v>
      </c>
      <c r="D41" s="201">
        <v>-6.18037</v>
      </c>
      <c r="E41" s="201">
        <v>-5.43418</v>
      </c>
      <c r="F41" s="311">
        <v>-4.84877999999999</v>
      </c>
      <c r="G41" s="201">
        <v>-10.03154</v>
      </c>
      <c r="H41" s="201">
        <v>-22.19444</v>
      </c>
      <c r="I41" s="201">
        <v>4.14348</v>
      </c>
      <c r="J41" s="201">
        <v>-89.60533</v>
      </c>
      <c r="K41" s="201">
        <v>70.5916899999981</v>
      </c>
      <c r="L41" s="201">
        <v>9.30265</v>
      </c>
      <c r="M41" s="201">
        <v>6.55931</v>
      </c>
      <c r="N41" s="201">
        <v>5.24204</v>
      </c>
      <c r="O41" s="201">
        <v>-14.07716</v>
      </c>
      <c r="P41" s="296">
        <f t="shared" si="48"/>
        <v>-56.5326300000019</v>
      </c>
      <c r="Q41" s="312">
        <f t="shared" si="63"/>
        <v>-0.0539539546895686</v>
      </c>
      <c r="R41" s="313">
        <f t="shared" si="64"/>
        <v>-0.00195882979618729</v>
      </c>
      <c r="S41" s="282">
        <f t="shared" si="60"/>
        <v>-0.0004458080934544</v>
      </c>
      <c r="T41" s="282"/>
      <c r="V41" s="201">
        <f t="shared" si="49"/>
        <v>-11.61455</v>
      </c>
      <c r="W41" s="201">
        <f t="shared" si="50"/>
        <v>-16.46333</v>
      </c>
      <c r="X41" s="201">
        <f t="shared" si="51"/>
        <v>-26.49487</v>
      </c>
      <c r="Y41" s="201">
        <f t="shared" si="52"/>
        <v>-48.68931</v>
      </c>
      <c r="Z41" s="201">
        <f t="shared" si="53"/>
        <v>-44.54583</v>
      </c>
      <c r="AA41" s="331">
        <f t="shared" si="54"/>
        <v>-134.15116</v>
      </c>
      <c r="AB41" s="331">
        <f t="shared" si="55"/>
        <v>-63.5594700000019</v>
      </c>
      <c r="AC41" s="331">
        <f t="shared" si="56"/>
        <v>-54.2568200000019</v>
      </c>
      <c r="AD41" s="331">
        <f t="shared" si="77"/>
        <v>-47.6975100000018</v>
      </c>
      <c r="AE41" s="331">
        <f t="shared" si="57"/>
        <v>-42.4554700000019</v>
      </c>
      <c r="AF41" s="331">
        <f t="shared" si="58"/>
        <v>-56.5326300000019</v>
      </c>
      <c r="AH41" s="295">
        <f t="shared" si="65"/>
        <v>-0.0717758331942874</v>
      </c>
      <c r="AI41" s="295">
        <f t="shared" si="66"/>
        <v>-0.0646955288163034</v>
      </c>
      <c r="AJ41" s="295">
        <f t="shared" si="67"/>
        <v>-0.0750220720861023</v>
      </c>
      <c r="AK41" s="295">
        <f t="shared" si="68"/>
        <v>-0.109043187895564</v>
      </c>
      <c r="AL41" s="295">
        <f t="shared" si="69"/>
        <v>-0.0854012990648114</v>
      </c>
      <c r="AM41" s="295">
        <f t="shared" si="70"/>
        <v>-0.223807208815409</v>
      </c>
      <c r="AN41" s="295">
        <f t="shared" si="71"/>
        <v>-0.0965630939340701</v>
      </c>
      <c r="AO41" s="295">
        <f t="shared" si="72"/>
        <v>-0.0724348535397859</v>
      </c>
      <c r="AP41" s="295">
        <f t="shared" si="73"/>
        <v>-0.0554225873358027</v>
      </c>
      <c r="AQ41" s="295">
        <f t="shared" si="74"/>
        <v>-0.0436676849337631</v>
      </c>
      <c r="AR41" s="295">
        <f t="shared" si="75"/>
        <v>-0.0539539546895686</v>
      </c>
      <c r="AT41" s="282">
        <f t="shared" si="76"/>
        <v>-0.000593065838019707</v>
      </c>
      <c r="AU41" s="282">
        <f t="shared" si="62"/>
        <v>-0.000534563045889139</v>
      </c>
      <c r="AV41" s="282">
        <f t="shared" si="62"/>
        <v>-0.000619888701692707</v>
      </c>
      <c r="AW41" s="282">
        <f t="shared" si="62"/>
        <v>-0.000900996710613876</v>
      </c>
      <c r="AX41" s="282">
        <f t="shared" si="62"/>
        <v>-0.000705649669865136</v>
      </c>
      <c r="AY41" s="282">
        <f t="shared" si="62"/>
        <v>-0.00184926324006122</v>
      </c>
      <c r="AZ41" s="282">
        <f t="shared" si="62"/>
        <v>-0.000797876801663417</v>
      </c>
      <c r="BA41" s="282">
        <f t="shared" si="62"/>
        <v>-0.000598511159043249</v>
      </c>
      <c r="BB41" s="282">
        <f t="shared" si="62"/>
        <v>-0.000457943039331298</v>
      </c>
      <c r="BC41" s="282">
        <f t="shared" si="62"/>
        <v>-0.000360815207669145</v>
      </c>
      <c r="BD41" s="282">
        <f t="shared" si="62"/>
        <v>-0.0004458080934544</v>
      </c>
    </row>
    <row r="42" spans="1:56">
      <c r="A42" s="350">
        <f t="shared" si="59"/>
        <v>-162.5558</v>
      </c>
      <c r="B42" s="198"/>
      <c r="C42" s="25" t="s">
        <v>34</v>
      </c>
      <c r="D42" s="201">
        <v>-36.41102</v>
      </c>
      <c r="E42" s="201">
        <v>-38.3304</v>
      </c>
      <c r="F42" s="311">
        <v>-87.81438</v>
      </c>
      <c r="G42" s="201">
        <v>-84.58556</v>
      </c>
      <c r="H42" s="201">
        <v>-90.78098</v>
      </c>
      <c r="I42" s="201">
        <v>-97.37103</v>
      </c>
      <c r="J42" s="201">
        <v>-81.74893</v>
      </c>
      <c r="K42" s="201">
        <v>-45.93377</v>
      </c>
      <c r="L42" s="201">
        <v>-76.47944</v>
      </c>
      <c r="M42" s="201">
        <v>-78.08778</v>
      </c>
      <c r="N42" s="201">
        <v>-95.42989</v>
      </c>
      <c r="O42" s="201">
        <v>-67.8956</v>
      </c>
      <c r="P42" s="296">
        <f t="shared" si="48"/>
        <v>-880.86878</v>
      </c>
      <c r="Q42" s="312">
        <f t="shared" si="63"/>
        <v>-0.840688894954543</v>
      </c>
      <c r="R42" s="313">
        <f t="shared" si="64"/>
        <v>-0.0305217007026754</v>
      </c>
      <c r="S42" s="282">
        <f t="shared" si="60"/>
        <v>-0.00694640301353909</v>
      </c>
      <c r="T42" s="282"/>
      <c r="V42" s="201">
        <f t="shared" si="49"/>
        <v>-74.74142</v>
      </c>
      <c r="W42" s="201">
        <f t="shared" si="50"/>
        <v>-162.5558</v>
      </c>
      <c r="X42" s="201">
        <f t="shared" si="51"/>
        <v>-247.14136</v>
      </c>
      <c r="Y42" s="201">
        <f t="shared" si="52"/>
        <v>-337.92234</v>
      </c>
      <c r="Z42" s="201">
        <f t="shared" si="53"/>
        <v>-435.29337</v>
      </c>
      <c r="AA42" s="331">
        <f t="shared" si="54"/>
        <v>-517.0423</v>
      </c>
      <c r="AB42" s="331">
        <f t="shared" si="55"/>
        <v>-562.97607</v>
      </c>
      <c r="AC42" s="331">
        <f t="shared" si="56"/>
        <v>-639.45551</v>
      </c>
      <c r="AD42" s="331">
        <f t="shared" si="77"/>
        <v>-717.54329</v>
      </c>
      <c r="AE42" s="331">
        <f t="shared" si="57"/>
        <v>-812.97318</v>
      </c>
      <c r="AF42" s="331">
        <f t="shared" si="58"/>
        <v>-880.86878</v>
      </c>
      <c r="AH42" s="295">
        <f t="shared" si="65"/>
        <v>-0.461888553118646</v>
      </c>
      <c r="AI42" s="295">
        <f t="shared" si="66"/>
        <v>-0.638791389297138</v>
      </c>
      <c r="AJ42" s="295">
        <f t="shared" si="67"/>
        <v>-0.69979799581494</v>
      </c>
      <c r="AK42" s="295">
        <f t="shared" si="68"/>
        <v>-0.756801220118518</v>
      </c>
      <c r="AL42" s="295">
        <f t="shared" si="69"/>
        <v>-0.834525235522597</v>
      </c>
      <c r="AM42" s="295">
        <f t="shared" si="70"/>
        <v>-0.862592570966208</v>
      </c>
      <c r="AN42" s="295">
        <f t="shared" si="71"/>
        <v>-0.855304663963404</v>
      </c>
      <c r="AO42" s="295">
        <f t="shared" si="72"/>
        <v>-0.853696663609432</v>
      </c>
      <c r="AP42" s="295">
        <f t="shared" si="73"/>
        <v>-0.833756429994829</v>
      </c>
      <c r="AQ42" s="295">
        <f t="shared" si="74"/>
        <v>-0.836185694890151</v>
      </c>
      <c r="AR42" s="295">
        <f t="shared" si="75"/>
        <v>-0.840688894954543</v>
      </c>
      <c r="AT42" s="282">
        <f t="shared" si="76"/>
        <v>-0.00381647010750161</v>
      </c>
      <c r="AU42" s="282">
        <f t="shared" si="62"/>
        <v>-0.00527817419531442</v>
      </c>
      <c r="AV42" s="282">
        <f t="shared" si="62"/>
        <v>-0.00578225659476608</v>
      </c>
      <c r="AW42" s="282">
        <f t="shared" si="62"/>
        <v>-0.00625326004379491</v>
      </c>
      <c r="AX42" s="282">
        <f t="shared" si="62"/>
        <v>-0.00689547423035966</v>
      </c>
      <c r="AY42" s="282">
        <f t="shared" si="62"/>
        <v>-0.00712738763456616</v>
      </c>
      <c r="AZ42" s="282">
        <f t="shared" si="62"/>
        <v>-0.00706716947363826</v>
      </c>
      <c r="BA42" s="282">
        <f t="shared" si="62"/>
        <v>-0.00705388296709388</v>
      </c>
      <c r="BB42" s="282">
        <f t="shared" si="62"/>
        <v>-0.00688912178171074</v>
      </c>
      <c r="BC42" s="282">
        <f t="shared" si="62"/>
        <v>-0.00690919419267135</v>
      </c>
      <c r="BD42" s="282">
        <f t="shared" si="62"/>
        <v>-0.00694640301353909</v>
      </c>
    </row>
    <row r="43" spans="1:56">
      <c r="A43" s="350">
        <f t="shared" si="59"/>
        <v>111.6038</v>
      </c>
      <c r="B43" s="198"/>
      <c r="C43" s="25" t="s">
        <v>35</v>
      </c>
      <c r="D43" s="201">
        <v>27.00688</v>
      </c>
      <c r="E43" s="201">
        <v>41.25257</v>
      </c>
      <c r="F43" s="311">
        <v>43.34435</v>
      </c>
      <c r="G43" s="201">
        <v>73.26051</v>
      </c>
      <c r="H43" s="201">
        <v>63.04494</v>
      </c>
      <c r="I43" s="201">
        <v>42.06939</v>
      </c>
      <c r="J43" s="201">
        <v>44.6181</v>
      </c>
      <c r="K43" s="201">
        <v>33.37998</v>
      </c>
      <c r="L43" s="201">
        <v>43.418</v>
      </c>
      <c r="M43" s="201">
        <v>58.75728</v>
      </c>
      <c r="N43" s="201">
        <v>60.06815</v>
      </c>
      <c r="O43" s="201">
        <v>31.5877</v>
      </c>
      <c r="P43" s="296">
        <f t="shared" si="48"/>
        <v>561.80785</v>
      </c>
      <c r="Q43" s="312">
        <f t="shared" si="63"/>
        <v>0.536181587220389</v>
      </c>
      <c r="R43" s="313">
        <f t="shared" si="64"/>
        <v>0.0194663852771733</v>
      </c>
      <c r="S43" s="282">
        <f t="shared" si="60"/>
        <v>0.00443033494985475</v>
      </c>
      <c r="T43" s="282"/>
      <c r="V43" s="201">
        <f t="shared" si="49"/>
        <v>68.25945</v>
      </c>
      <c r="W43" s="201">
        <f t="shared" si="50"/>
        <v>111.6038</v>
      </c>
      <c r="X43" s="201">
        <f t="shared" si="51"/>
        <v>184.86431</v>
      </c>
      <c r="Y43" s="201">
        <f t="shared" si="52"/>
        <v>247.90925</v>
      </c>
      <c r="Z43" s="201">
        <f t="shared" si="53"/>
        <v>289.97864</v>
      </c>
      <c r="AA43" s="331">
        <f t="shared" si="54"/>
        <v>334.59674</v>
      </c>
      <c r="AB43" s="331">
        <f t="shared" si="55"/>
        <v>367.97672</v>
      </c>
      <c r="AC43" s="331">
        <f t="shared" si="56"/>
        <v>411.39472</v>
      </c>
      <c r="AD43" s="331">
        <f t="shared" si="77"/>
        <v>470.152</v>
      </c>
      <c r="AE43" s="331">
        <f t="shared" si="57"/>
        <v>530.22015</v>
      </c>
      <c r="AF43" s="331">
        <f t="shared" si="58"/>
        <v>561.80785</v>
      </c>
      <c r="AH43" s="295">
        <f t="shared" si="65"/>
        <v>0.421831142586996</v>
      </c>
      <c r="AI43" s="295">
        <f t="shared" si="66"/>
        <v>0.438566611913201</v>
      </c>
      <c r="AJ43" s="295">
        <f t="shared" si="67"/>
        <v>0.52345618570567</v>
      </c>
      <c r="AK43" s="295">
        <f t="shared" si="68"/>
        <v>0.555210474923519</v>
      </c>
      <c r="AL43" s="295">
        <f t="shared" si="69"/>
        <v>0.555934249222593</v>
      </c>
      <c r="AM43" s="295">
        <f t="shared" si="70"/>
        <v>0.558214796339704</v>
      </c>
      <c r="AN43" s="295">
        <f t="shared" si="71"/>
        <v>0.559050768971327</v>
      </c>
      <c r="AO43" s="295">
        <f t="shared" si="72"/>
        <v>0.549227107122021</v>
      </c>
      <c r="AP43" s="295">
        <f t="shared" si="73"/>
        <v>0.546297705710451</v>
      </c>
      <c r="AQ43" s="295">
        <f t="shared" si="74"/>
        <v>0.54535932485806</v>
      </c>
      <c r="AR43" s="295">
        <f t="shared" si="75"/>
        <v>0.536181587220389</v>
      </c>
      <c r="AT43" s="282">
        <f t="shared" si="76"/>
        <v>0.00348548569828485</v>
      </c>
      <c r="AU43" s="282">
        <f t="shared" si="62"/>
        <v>0.00362376671431614</v>
      </c>
      <c r="AV43" s="282">
        <f t="shared" si="62"/>
        <v>0.00432518812567181</v>
      </c>
      <c r="AW43" s="282">
        <f t="shared" si="62"/>
        <v>0.00458756591088995</v>
      </c>
      <c r="AX43" s="282">
        <f t="shared" si="62"/>
        <v>0.00459354627770862</v>
      </c>
      <c r="AY43" s="282">
        <f t="shared" si="62"/>
        <v>0.00461238987069752</v>
      </c>
      <c r="AZ43" s="282">
        <f t="shared" si="62"/>
        <v>0.00461929730440147</v>
      </c>
      <c r="BA43" s="282">
        <f t="shared" si="62"/>
        <v>0.00453812683256159</v>
      </c>
      <c r="BB43" s="282">
        <f t="shared" si="62"/>
        <v>0.00451392191809761</v>
      </c>
      <c r="BC43" s="282">
        <f t="shared" si="62"/>
        <v>0.00450616831076436</v>
      </c>
      <c r="BD43" s="282">
        <f t="shared" si="62"/>
        <v>0.00443033494985475</v>
      </c>
    </row>
    <row r="44" spans="1:56">
      <c r="A44" s="350">
        <f t="shared" si="59"/>
        <v>1282.46658</v>
      </c>
      <c r="B44" s="198" t="s">
        <v>36</v>
      </c>
      <c r="C44" s="25" t="s">
        <v>37</v>
      </c>
      <c r="D44" s="201">
        <v>397.89523</v>
      </c>
      <c r="E44" s="201">
        <v>507.54717</v>
      </c>
      <c r="F44" s="201">
        <v>377.02418</v>
      </c>
      <c r="G44" s="201">
        <v>454.70945</v>
      </c>
      <c r="H44" s="201">
        <v>388.80844</v>
      </c>
      <c r="I44" s="201">
        <v>396.65983</v>
      </c>
      <c r="J44" s="201">
        <v>400.03725</v>
      </c>
      <c r="K44" s="201">
        <v>380.49694</v>
      </c>
      <c r="L44" s="201">
        <v>437.17342</v>
      </c>
      <c r="M44" s="201">
        <v>408.42982</v>
      </c>
      <c r="N44" s="201">
        <v>385.71638</v>
      </c>
      <c r="O44" s="201">
        <v>-215.43912</v>
      </c>
      <c r="P44" s="296">
        <f t="shared" si="48"/>
        <v>4319.05899</v>
      </c>
      <c r="Q44" s="315">
        <f t="shared" si="63"/>
        <v>4.12204974451085</v>
      </c>
      <c r="R44" s="316">
        <f t="shared" si="64"/>
        <v>0.149653420353914</v>
      </c>
      <c r="S44" s="317">
        <f t="shared" si="60"/>
        <v>0.0340594706782423</v>
      </c>
      <c r="T44" s="317"/>
      <c r="U44" s="201">
        <f>P44/8*12</f>
        <v>6478.588485</v>
      </c>
      <c r="V44" s="201">
        <f t="shared" si="49"/>
        <v>905.4424</v>
      </c>
      <c r="W44" s="201">
        <f t="shared" si="50"/>
        <v>1282.46658</v>
      </c>
      <c r="X44" s="201">
        <f t="shared" si="51"/>
        <v>1737.17603</v>
      </c>
      <c r="Y44" s="201">
        <f t="shared" si="52"/>
        <v>2125.98447</v>
      </c>
      <c r="Z44" s="201">
        <f t="shared" si="53"/>
        <v>2522.6443</v>
      </c>
      <c r="AA44" s="331">
        <f t="shared" si="54"/>
        <v>2922.68155</v>
      </c>
      <c r="AB44" s="331">
        <f t="shared" si="55"/>
        <v>3303.17849</v>
      </c>
      <c r="AC44" s="331">
        <f t="shared" si="56"/>
        <v>3740.35191</v>
      </c>
      <c r="AD44" s="331">
        <f t="shared" si="77"/>
        <v>4148.78173</v>
      </c>
      <c r="AE44" s="331">
        <f t="shared" si="57"/>
        <v>4534.49811</v>
      </c>
      <c r="AF44" s="331">
        <f t="shared" si="58"/>
        <v>4319.05899</v>
      </c>
      <c r="AH44" s="295">
        <f t="shared" si="65"/>
        <v>5.59547142760031</v>
      </c>
      <c r="AI44" s="295">
        <f t="shared" si="66"/>
        <v>5.03967627341104</v>
      </c>
      <c r="AJ44" s="295">
        <f t="shared" si="67"/>
        <v>4.91893507493749</v>
      </c>
      <c r="AK44" s="295">
        <f t="shared" si="68"/>
        <v>4.76129409156264</v>
      </c>
      <c r="AL44" s="295">
        <f t="shared" si="69"/>
        <v>4.83630230480478</v>
      </c>
      <c r="AM44" s="295">
        <f t="shared" si="70"/>
        <v>4.8759712548277</v>
      </c>
      <c r="AN44" s="295">
        <f t="shared" si="71"/>
        <v>5.01837310491829</v>
      </c>
      <c r="AO44" s="295">
        <f t="shared" si="72"/>
        <v>4.9935075956921</v>
      </c>
      <c r="AP44" s="295">
        <f t="shared" si="73"/>
        <v>4.82071742881544</v>
      </c>
      <c r="AQ44" s="295">
        <f t="shared" si="74"/>
        <v>4.66396991483584</v>
      </c>
      <c r="AR44" s="295">
        <f t="shared" si="75"/>
        <v>4.12204974451085</v>
      </c>
      <c r="AT44" s="282">
        <f t="shared" si="76"/>
        <v>0.0462339871742404</v>
      </c>
      <c r="AU44" s="282">
        <f t="shared" si="62"/>
        <v>0.0416415902041584</v>
      </c>
      <c r="AV44" s="282">
        <f t="shared" si="62"/>
        <v>0.040643935744859</v>
      </c>
      <c r="AW44" s="282">
        <f t="shared" si="62"/>
        <v>0.0393413875507002</v>
      </c>
      <c r="AX44" s="282">
        <f t="shared" si="62"/>
        <v>0.039961161740216</v>
      </c>
      <c r="AY44" s="282">
        <f t="shared" si="62"/>
        <v>0.0402889363969731</v>
      </c>
      <c r="AZ44" s="282">
        <f t="shared" si="62"/>
        <v>0.0414655674272381</v>
      </c>
      <c r="BA44" s="282">
        <f t="shared" si="62"/>
        <v>0.0412601099158346</v>
      </c>
      <c r="BB44" s="282">
        <f t="shared" si="62"/>
        <v>0.0398323877904378</v>
      </c>
      <c r="BC44" s="282">
        <f t="shared" si="62"/>
        <v>0.0385372221114247</v>
      </c>
      <c r="BD44" s="282">
        <f t="shared" si="62"/>
        <v>0.0340594706782423</v>
      </c>
    </row>
    <row r="45" spans="1:56">
      <c r="A45" s="350">
        <f t="shared" si="59"/>
        <v>758.44391</v>
      </c>
      <c r="B45" s="198"/>
      <c r="C45" s="25" t="s">
        <v>60</v>
      </c>
      <c r="D45" s="201">
        <v>252.82816</v>
      </c>
      <c r="E45" s="201">
        <v>252.82816</v>
      </c>
      <c r="F45" s="201">
        <v>252.78759</v>
      </c>
      <c r="G45" s="201">
        <v>252.81464</v>
      </c>
      <c r="H45" s="201">
        <v>278.01555</v>
      </c>
      <c r="I45" s="201">
        <v>252.81464</v>
      </c>
      <c r="J45" s="201">
        <v>277.713</v>
      </c>
      <c r="K45" s="201">
        <v>252.8</v>
      </c>
      <c r="L45" s="355">
        <v>278.01555</v>
      </c>
      <c r="M45" s="201">
        <v>278.01555</v>
      </c>
      <c r="N45" s="201">
        <v>252.81464</v>
      </c>
      <c r="O45" s="201">
        <v>-300.68492</v>
      </c>
      <c r="P45" s="296">
        <f t="shared" si="48"/>
        <v>2580.76256</v>
      </c>
      <c r="Q45" s="315">
        <f t="shared" ref="Q45:Q47" si="78">P45/$P$31*1000</f>
        <v>2.46304384258738</v>
      </c>
      <c r="R45" s="316"/>
      <c r="S45" s="317">
        <f t="shared" si="60"/>
        <v>0.0203515179911506</v>
      </c>
      <c r="T45" s="317"/>
      <c r="V45" s="201">
        <f t="shared" si="49"/>
        <v>505.65632</v>
      </c>
      <c r="W45" s="201">
        <f t="shared" si="50"/>
        <v>758.44391</v>
      </c>
      <c r="X45" s="201">
        <f t="shared" si="51"/>
        <v>1011.25855</v>
      </c>
      <c r="Y45" s="201">
        <f t="shared" si="52"/>
        <v>1289.2741</v>
      </c>
      <c r="Z45" s="201">
        <f t="shared" si="53"/>
        <v>1542.08874</v>
      </c>
      <c r="AA45" s="331">
        <f t="shared" si="54"/>
        <v>1819.80174</v>
      </c>
      <c r="AB45" s="331">
        <f t="shared" si="55"/>
        <v>2072.60174</v>
      </c>
      <c r="AC45" s="331">
        <f t="shared" si="56"/>
        <v>2350.61729</v>
      </c>
      <c r="AD45" s="331">
        <f t="shared" si="77"/>
        <v>2628.63284</v>
      </c>
      <c r="AE45" s="331">
        <f t="shared" si="57"/>
        <v>2881.44748</v>
      </c>
      <c r="AF45" s="331">
        <f t="shared" si="58"/>
        <v>2580.76256</v>
      </c>
      <c r="AH45" s="295">
        <f t="shared" si="65"/>
        <v>3.12486524901586</v>
      </c>
      <c r="AI45" s="295">
        <f t="shared" si="66"/>
        <v>2.9804377264475</v>
      </c>
      <c r="AJ45" s="295">
        <f t="shared" si="67"/>
        <v>2.86344910678133</v>
      </c>
      <c r="AK45" s="295">
        <f t="shared" si="68"/>
        <v>2.8874214470319</v>
      </c>
      <c r="AL45" s="295">
        <f t="shared" si="69"/>
        <v>2.95642446597623</v>
      </c>
      <c r="AM45" s="295">
        <f t="shared" si="70"/>
        <v>3.03601361350005</v>
      </c>
      <c r="AN45" s="295">
        <f t="shared" si="71"/>
        <v>3.14881223061695</v>
      </c>
      <c r="AO45" s="295">
        <f t="shared" si="72"/>
        <v>3.13816067969396</v>
      </c>
      <c r="AP45" s="295">
        <f t="shared" si="73"/>
        <v>3.05436558739971</v>
      </c>
      <c r="AQ45" s="295">
        <f t="shared" si="74"/>
        <v>2.96372035711347</v>
      </c>
      <c r="AR45" s="295">
        <f t="shared" si="75"/>
        <v>2.46304384258738</v>
      </c>
      <c r="AT45" s="282">
        <f t="shared" si="76"/>
        <v>0.0258199834837132</v>
      </c>
      <c r="AU45" s="282">
        <f t="shared" si="62"/>
        <v>0.024626614826142</v>
      </c>
      <c r="AV45" s="282">
        <f t="shared" si="62"/>
        <v>0.0236599669911628</v>
      </c>
      <c r="AW45" s="282">
        <f t="shared" si="62"/>
        <v>0.0238580444697135</v>
      </c>
      <c r="AX45" s="282">
        <f t="shared" si="62"/>
        <v>0.0244281992339966</v>
      </c>
      <c r="AY45" s="282">
        <f t="shared" si="62"/>
        <v>0.0250858245428623</v>
      </c>
      <c r="AZ45" s="282">
        <f t="shared" si="62"/>
        <v>0.0260178514300573</v>
      </c>
      <c r="BA45" s="282">
        <f t="shared" si="62"/>
        <v>0.0259298403169399</v>
      </c>
      <c r="BB45" s="282">
        <f t="shared" si="62"/>
        <v>0.0252374623336861</v>
      </c>
      <c r="BC45" s="282">
        <f t="shared" si="62"/>
        <v>0.0244884833658393</v>
      </c>
      <c r="BD45" s="282">
        <f t="shared" si="62"/>
        <v>0.0203515179911506</v>
      </c>
    </row>
    <row r="46" spans="1:56">
      <c r="A46" s="350">
        <f t="shared" si="59"/>
        <v>26.2841</v>
      </c>
      <c r="B46" s="198"/>
      <c r="C46" s="25" t="s">
        <v>61</v>
      </c>
      <c r="D46" s="201">
        <v>8.4916</v>
      </c>
      <c r="E46" s="201">
        <v>8.70346</v>
      </c>
      <c r="F46" s="201">
        <v>9.08904</v>
      </c>
      <c r="G46" s="201">
        <v>8.71558</v>
      </c>
      <c r="H46" s="201">
        <v>8.6381</v>
      </c>
      <c r="I46" s="201">
        <v>7.07974</v>
      </c>
      <c r="J46" s="201">
        <v>9.466</v>
      </c>
      <c r="K46" s="201">
        <v>7.111</v>
      </c>
      <c r="L46" s="201">
        <v>6.994</v>
      </c>
      <c r="M46" s="201">
        <v>8.07241</v>
      </c>
      <c r="N46" s="201">
        <v>5.47521</v>
      </c>
      <c r="O46" s="201">
        <v>8.44809</v>
      </c>
      <c r="P46" s="296">
        <f t="shared" si="48"/>
        <v>96.28423</v>
      </c>
      <c r="Q46" s="315">
        <f t="shared" si="78"/>
        <v>0.0918923280721211</v>
      </c>
      <c r="R46" s="316"/>
      <c r="S46" s="317">
        <f t="shared" si="60"/>
        <v>0.000759283426333138</v>
      </c>
      <c r="T46" s="317"/>
      <c r="V46" s="201">
        <f t="shared" si="49"/>
        <v>17.19506</v>
      </c>
      <c r="W46" s="201">
        <f t="shared" si="50"/>
        <v>26.2841</v>
      </c>
      <c r="X46" s="201">
        <f t="shared" si="51"/>
        <v>34.99968</v>
      </c>
      <c r="Y46" s="201">
        <f t="shared" si="52"/>
        <v>43.63778</v>
      </c>
      <c r="Z46" s="201">
        <f t="shared" si="53"/>
        <v>50.71752</v>
      </c>
      <c r="AA46" s="331">
        <f t="shared" si="54"/>
        <v>60.18352</v>
      </c>
      <c r="AB46" s="331">
        <f t="shared" si="55"/>
        <v>67.29452</v>
      </c>
      <c r="AC46" s="331">
        <f t="shared" si="56"/>
        <v>74.28852</v>
      </c>
      <c r="AD46" s="331">
        <f t="shared" si="77"/>
        <v>82.36093</v>
      </c>
      <c r="AE46" s="331">
        <f t="shared" si="57"/>
        <v>87.83614</v>
      </c>
      <c r="AF46" s="331">
        <f t="shared" si="58"/>
        <v>96.28423</v>
      </c>
      <c r="AH46" s="295">
        <f t="shared" si="65"/>
        <v>0.106262382815155</v>
      </c>
      <c r="AI46" s="295">
        <f t="shared" si="66"/>
        <v>0.103287958691261</v>
      </c>
      <c r="AJ46" s="295">
        <f t="shared" si="67"/>
        <v>0.0991040347037187</v>
      </c>
      <c r="AK46" s="295">
        <f t="shared" si="68"/>
        <v>0.0977299256014369</v>
      </c>
      <c r="AL46" s="295">
        <f t="shared" si="69"/>
        <v>0.0972333907201988</v>
      </c>
      <c r="AM46" s="295">
        <f t="shared" si="70"/>
        <v>0.100405435390095</v>
      </c>
      <c r="AN46" s="295">
        <f t="shared" si="71"/>
        <v>0.102237590338748</v>
      </c>
      <c r="AO46" s="295">
        <f t="shared" si="72"/>
        <v>0.0991779110144545</v>
      </c>
      <c r="AP46" s="295">
        <f t="shared" si="73"/>
        <v>0.0957000865660022</v>
      </c>
      <c r="AQ46" s="295">
        <f t="shared" si="74"/>
        <v>0.0903440919937464</v>
      </c>
      <c r="AR46" s="295">
        <f t="shared" si="75"/>
        <v>0.0918923280721211</v>
      </c>
      <c r="AT46" s="282">
        <f t="shared" si="76"/>
        <v>0.000878019610634862</v>
      </c>
      <c r="AU46" s="282">
        <f t="shared" si="62"/>
        <v>0.000853442684709274</v>
      </c>
      <c r="AV46" s="282">
        <f t="shared" si="62"/>
        <v>0.000818871962567101</v>
      </c>
      <c r="AW46" s="282">
        <f t="shared" si="62"/>
        <v>0.000807518041198201</v>
      </c>
      <c r="AX46" s="282">
        <f t="shared" si="62"/>
        <v>0.000803415297108134</v>
      </c>
      <c r="AY46" s="282">
        <f t="shared" si="62"/>
        <v>0.000829625112399247</v>
      </c>
      <c r="AZ46" s="282">
        <f t="shared" si="62"/>
        <v>0.000844763752546604</v>
      </c>
      <c r="BA46" s="282">
        <f t="shared" si="62"/>
        <v>0.000819482384128043</v>
      </c>
      <c r="BB46" s="282">
        <f t="shared" si="62"/>
        <v>0.000790745986663681</v>
      </c>
      <c r="BC46" s="282">
        <f t="shared" si="62"/>
        <v>0.000746490737117143</v>
      </c>
      <c r="BD46" s="282">
        <f t="shared" si="62"/>
        <v>0.000759283426333138</v>
      </c>
    </row>
    <row r="47" spans="1:56">
      <c r="A47" s="350">
        <f t="shared" si="59"/>
        <v>497.73857</v>
      </c>
      <c r="B47" s="198"/>
      <c r="C47" s="25" t="s">
        <v>62</v>
      </c>
      <c r="D47" s="201">
        <v>136.57547</v>
      </c>
      <c r="E47" s="201">
        <v>246.01555</v>
      </c>
      <c r="F47" s="201">
        <v>115.14755</v>
      </c>
      <c r="G47" s="201">
        <v>193.17923</v>
      </c>
      <c r="H47" s="201">
        <v>102.15479</v>
      </c>
      <c r="I47" s="201">
        <v>136.76545</v>
      </c>
      <c r="J47" s="201">
        <v>112.85825</v>
      </c>
      <c r="K47" s="201">
        <v>120.58594</v>
      </c>
      <c r="L47" s="201">
        <f>L44-L45-L46</f>
        <v>152.16387</v>
      </c>
      <c r="M47" s="201">
        <v>122.34186</v>
      </c>
      <c r="N47" s="201">
        <v>127.42653</v>
      </c>
      <c r="O47" s="201">
        <v>76.79771</v>
      </c>
      <c r="P47" s="296">
        <f t="shared" si="48"/>
        <v>1642.0122</v>
      </c>
      <c r="Q47" s="315">
        <f t="shared" si="78"/>
        <v>1.56711357385135</v>
      </c>
      <c r="R47" s="316"/>
      <c r="S47" s="317">
        <f t="shared" si="60"/>
        <v>0.0129486692607586</v>
      </c>
      <c r="T47" s="317"/>
      <c r="V47" s="201">
        <f t="shared" si="49"/>
        <v>382.59102</v>
      </c>
      <c r="W47" s="201">
        <f t="shared" si="50"/>
        <v>497.73857</v>
      </c>
      <c r="X47" s="201">
        <f t="shared" si="51"/>
        <v>690.9178</v>
      </c>
      <c r="Y47" s="201">
        <f t="shared" si="52"/>
        <v>793.07259</v>
      </c>
      <c r="Z47" s="201">
        <f t="shared" si="53"/>
        <v>929.83804</v>
      </c>
      <c r="AA47" s="331">
        <f t="shared" si="54"/>
        <v>1042.69629</v>
      </c>
      <c r="AB47" s="331">
        <f t="shared" si="55"/>
        <v>1163.28223</v>
      </c>
      <c r="AC47" s="331">
        <f t="shared" si="56"/>
        <v>1315.4461</v>
      </c>
      <c r="AD47" s="331">
        <f t="shared" si="77"/>
        <v>1437.78796</v>
      </c>
      <c r="AE47" s="331">
        <f t="shared" si="57"/>
        <v>1565.21449</v>
      </c>
      <c r="AF47" s="331">
        <f t="shared" si="58"/>
        <v>1642.0122</v>
      </c>
      <c r="AH47" s="295">
        <f t="shared" si="65"/>
        <v>2.36434379576929</v>
      </c>
      <c r="AI47" s="295">
        <f t="shared" si="66"/>
        <v>1.95595058827228</v>
      </c>
      <c r="AJ47" s="295">
        <f t="shared" si="67"/>
        <v>1.95638193345245</v>
      </c>
      <c r="AK47" s="295">
        <f t="shared" si="68"/>
        <v>1.77614271892931</v>
      </c>
      <c r="AL47" s="295">
        <f t="shared" si="69"/>
        <v>1.78264444810834</v>
      </c>
      <c r="AM47" s="295">
        <f t="shared" si="70"/>
        <v>1.73955220593755</v>
      </c>
      <c r="AN47" s="295">
        <f t="shared" si="71"/>
        <v>1.76732328396258</v>
      </c>
      <c r="AO47" s="295">
        <f t="shared" si="72"/>
        <v>1.75616900498369</v>
      </c>
      <c r="AP47" s="295">
        <f t="shared" si="73"/>
        <v>1.67065175484973</v>
      </c>
      <c r="AQ47" s="295">
        <f t="shared" si="74"/>
        <v>1.60990546572863</v>
      </c>
      <c r="AR47" s="295">
        <f t="shared" si="75"/>
        <v>1.56711357385135</v>
      </c>
      <c r="AT47" s="282">
        <f t="shared" si="76"/>
        <v>0.0195359840798924</v>
      </c>
      <c r="AU47" s="282">
        <f t="shared" si="62"/>
        <v>0.0161615326933072</v>
      </c>
      <c r="AV47" s="282">
        <f t="shared" si="62"/>
        <v>0.0161650967911291</v>
      </c>
      <c r="AW47" s="282">
        <f t="shared" si="62"/>
        <v>0.0146758250397885</v>
      </c>
      <c r="AX47" s="282">
        <f t="shared" si="62"/>
        <v>0.0147295472091113</v>
      </c>
      <c r="AY47" s="282">
        <f t="shared" si="62"/>
        <v>0.0143734867417115</v>
      </c>
      <c r="AZ47" s="282">
        <f t="shared" si="62"/>
        <v>0.0146029522446342</v>
      </c>
      <c r="BA47" s="282">
        <f t="shared" si="62"/>
        <v>0.0145107872147666</v>
      </c>
      <c r="BB47" s="282">
        <f t="shared" si="62"/>
        <v>0.0138041794700881</v>
      </c>
      <c r="BC47" s="282">
        <f t="shared" si="62"/>
        <v>0.0133022480084682</v>
      </c>
      <c r="BD47" s="282">
        <f t="shared" si="62"/>
        <v>0.0129486692607586</v>
      </c>
    </row>
    <row r="48" spans="1:56">
      <c r="A48" s="350">
        <f t="shared" si="59"/>
        <v>8458.12639</v>
      </c>
      <c r="B48" s="289" t="s">
        <v>15</v>
      </c>
      <c r="C48" s="289"/>
      <c r="D48" s="303">
        <f>SUM(D32:D44)</f>
        <v>2786.37243</v>
      </c>
      <c r="E48" s="303">
        <f>SUM(E32:E44)</f>
        <v>2692.30756</v>
      </c>
      <c r="F48" s="303">
        <f t="shared" ref="F48:I48" si="79">SUM(F32:F44)</f>
        <v>2979.4464</v>
      </c>
      <c r="G48" s="303">
        <f t="shared" si="79"/>
        <v>2556.69212</v>
      </c>
      <c r="H48" s="303">
        <f t="shared" si="79"/>
        <v>2816.02365</v>
      </c>
      <c r="I48" s="303">
        <f t="shared" si="79"/>
        <v>2742.94486</v>
      </c>
      <c r="J48" s="303">
        <f t="shared" ref="J48:K48" si="80">SUM(J32:J44)</f>
        <v>2368.5937</v>
      </c>
      <c r="K48" s="303">
        <f t="shared" si="80"/>
        <v>2153.77898</v>
      </c>
      <c r="L48" s="303">
        <v>1237.84429</v>
      </c>
      <c r="M48" s="303">
        <v>2317.46366</v>
      </c>
      <c r="N48" s="356">
        <f>SUM(N32:N44)</f>
        <v>2618.503</v>
      </c>
      <c r="O48" s="356">
        <f>SUM(O32:O44)</f>
        <v>1590.43882</v>
      </c>
      <c r="P48" s="303">
        <f>SUM(P32:P44)</f>
        <v>28860.40947</v>
      </c>
      <c r="Q48" s="360">
        <f>P49/P30</f>
        <v>0.227588989263963</v>
      </c>
      <c r="R48" s="360"/>
      <c r="S48" s="360">
        <f t="shared" si="60"/>
        <v>0.00188051115027158</v>
      </c>
      <c r="T48" s="360"/>
      <c r="V48" s="303">
        <f t="shared" ref="V48:AF48" si="81">SUM(V32:V44)</f>
        <v>5478.67999</v>
      </c>
      <c r="W48" s="303">
        <f t="shared" si="81"/>
        <v>8458.12639</v>
      </c>
      <c r="X48" s="303">
        <f t="shared" si="81"/>
        <v>11014.81851</v>
      </c>
      <c r="Y48" s="303">
        <f t="shared" si="81"/>
        <v>13830.84216</v>
      </c>
      <c r="Z48" s="303">
        <f t="shared" si="81"/>
        <v>16573.78702</v>
      </c>
      <c r="AA48" s="303">
        <f t="shared" si="81"/>
        <v>18942.38072</v>
      </c>
      <c r="AB48" s="303">
        <f t="shared" si="81"/>
        <v>21096.1597</v>
      </c>
      <c r="AC48" s="303">
        <f t="shared" si="81"/>
        <v>22334.00399</v>
      </c>
      <c r="AD48" s="303">
        <f t="shared" si="81"/>
        <v>24651.58758659</v>
      </c>
      <c r="AE48" s="303">
        <f t="shared" si="81"/>
        <v>27270.09058659</v>
      </c>
      <c r="AF48" s="303">
        <f t="shared" si="81"/>
        <v>28860.52940659</v>
      </c>
      <c r="AH48" s="295">
        <f t="shared" si="65"/>
        <v>33.8572584462695</v>
      </c>
      <c r="AI48" s="295">
        <f t="shared" si="66"/>
        <v>33.2376839677138</v>
      </c>
      <c r="AJ48" s="295">
        <f t="shared" si="67"/>
        <v>31.1892267549361</v>
      </c>
      <c r="AK48" s="295">
        <f t="shared" si="68"/>
        <v>30.9751590319676</v>
      </c>
      <c r="AL48" s="295">
        <f t="shared" si="69"/>
        <v>31.7745329233176</v>
      </c>
      <c r="AM48" s="295">
        <f t="shared" si="70"/>
        <v>31.6019731567138</v>
      </c>
      <c r="AN48" s="295">
        <f t="shared" si="71"/>
        <v>32.050463145133</v>
      </c>
      <c r="AO48" s="295">
        <f t="shared" si="72"/>
        <v>29.8167181189865</v>
      </c>
      <c r="AP48" s="295">
        <f t="shared" si="73"/>
        <v>28.6441528286051</v>
      </c>
      <c r="AQ48" s="295">
        <f t="shared" si="74"/>
        <v>28.0487231409837</v>
      </c>
      <c r="AR48" s="295">
        <f t="shared" si="75"/>
        <v>27.5440872982571</v>
      </c>
      <c r="AT48" s="282">
        <f t="shared" si="76"/>
        <v>0.279754096328411</v>
      </c>
      <c r="AU48" s="282">
        <f t="shared" ref="AU48" si="82">AI48/AU$30</f>
        <v>0.274634706681681</v>
      </c>
      <c r="AV48" s="282">
        <f t="shared" ref="AV48" si="83">AJ48/AV$30</f>
        <v>0.257708814783568</v>
      </c>
      <c r="AW48" s="282">
        <f t="shared" ref="AW48" si="84">AK48/AW$30</f>
        <v>0.255940026489998</v>
      </c>
      <c r="AX48" s="282">
        <f t="shared" ref="AX48" si="85">AL48/AX$30</f>
        <v>0.26254505391589</v>
      </c>
      <c r="AY48" s="282">
        <f t="shared" ref="AY48" si="86">AM48/AY$30</f>
        <v>0.26111923553058</v>
      </c>
      <c r="AZ48" s="282">
        <f t="shared" ref="AZ48" si="87">AN48/AZ$30</f>
        <v>0.264824996634116</v>
      </c>
      <c r="BA48" s="282">
        <f t="shared" ref="BA48" si="88">AO48/BA$30</f>
        <v>0.246368117669465</v>
      </c>
      <c r="BB48" s="282">
        <f t="shared" ref="BB48" si="89">AP48/BB$30</f>
        <v>0.236679502635343</v>
      </c>
      <c r="BC48" s="282">
        <f t="shared" ref="BC48" si="90">AQ48/BC$30</f>
        <v>0.231759615384224</v>
      </c>
      <c r="BD48" s="282">
        <f t="shared" ref="BD48" si="91">AR48/BD$30</f>
        <v>0.227589935066458</v>
      </c>
    </row>
    <row r="49" spans="1:32">
      <c r="A49" s="292">
        <f>A48/A31*1000</f>
        <v>33.2376839677138</v>
      </c>
      <c r="B49" s="289" t="s">
        <v>16</v>
      </c>
      <c r="C49" s="289"/>
      <c r="D49" s="292">
        <f>D48/D31*1000</f>
        <v>34.9554951575672</v>
      </c>
      <c r="E49" s="292">
        <f>E48/E31*1000</f>
        <v>32.7910305097132</v>
      </c>
      <c r="F49" s="292">
        <f t="shared" ref="F49:K49" si="92">F48/F31*1000</f>
        <v>32.1556536473229</v>
      </c>
      <c r="G49" s="292">
        <f t="shared" si="92"/>
        <v>25.9070811758388</v>
      </c>
      <c r="H49" s="292">
        <f t="shared" si="92"/>
        <v>30.1653256992277</v>
      </c>
      <c r="I49" s="292">
        <f t="shared" si="92"/>
        <v>36.5277907100623</v>
      </c>
      <c r="J49" s="292">
        <f t="shared" si="92"/>
        <v>30.4450404246841</v>
      </c>
      <c r="K49" s="292">
        <f t="shared" si="92"/>
        <v>36.6214204584098</v>
      </c>
      <c r="L49" s="292">
        <f>L48*1000/L31</f>
        <v>13.6287438618898</v>
      </c>
      <c r="M49" s="292">
        <v>20.771014770731</v>
      </c>
      <c r="N49" s="357">
        <f t="shared" ref="N49:P49" si="93">N48/N31*1000</f>
        <v>23.4580335946249</v>
      </c>
      <c r="O49" s="357">
        <f t="shared" si="93"/>
        <v>21.0503589485666</v>
      </c>
      <c r="P49" s="292">
        <f t="shared" si="93"/>
        <v>27.5439728324461</v>
      </c>
      <c r="Q49" s="361">
        <f>P49</f>
        <v>27.5439728324461</v>
      </c>
      <c r="R49" s="320"/>
      <c r="S49" s="322">
        <f t="shared" si="60"/>
        <v>0.227588989263963</v>
      </c>
      <c r="T49" s="322"/>
      <c r="V49" s="292">
        <f>V48/V31*1000</f>
        <v>33.8572584462695</v>
      </c>
      <c r="W49" s="292">
        <f t="shared" ref="W49" si="94">W48/W31*1000</f>
        <v>33.2376839677138</v>
      </c>
      <c r="X49" s="292">
        <f t="shared" ref="X49" si="95">X48/X31*1000</f>
        <v>31.1892267549361</v>
      </c>
      <c r="Y49" s="292">
        <f t="shared" ref="Y49" si="96">Y48/Y31*1000</f>
        <v>30.9751590319676</v>
      </c>
      <c r="Z49" s="292">
        <f t="shared" ref="Z49" si="97">Z48/Z31*1000</f>
        <v>31.7745329233176</v>
      </c>
      <c r="AA49" s="292">
        <f t="shared" ref="AA49" si="98">AA48/AA31*1000</f>
        <v>31.6019731567138</v>
      </c>
      <c r="AB49" s="292">
        <f t="shared" ref="AB49" si="99">AB48/AB31*1000</f>
        <v>32.050463145133</v>
      </c>
      <c r="AC49" s="292">
        <f t="shared" ref="AC49" si="100">AC48/AC31*1000</f>
        <v>29.8167181189865</v>
      </c>
      <c r="AD49" s="292">
        <f t="shared" ref="AD49" si="101">AD48/AD31*1000</f>
        <v>28.6441528286051</v>
      </c>
      <c r="AE49" s="292">
        <f t="shared" ref="AE49" si="102">AE48/AE31*1000</f>
        <v>28.0487231409837</v>
      </c>
      <c r="AF49" s="292">
        <f t="shared" ref="AF49" si="103">AF48/AF31*1000</f>
        <v>27.5440872982571</v>
      </c>
    </row>
    <row r="50" spans="1:21">
      <c r="A50" s="350">
        <f>SUM(D50:F50)</f>
        <v>1004.436</v>
      </c>
      <c r="B50" s="289" t="s">
        <v>42</v>
      </c>
      <c r="C50" s="289"/>
      <c r="D50" s="341">
        <v>366.58</v>
      </c>
      <c r="E50" s="341">
        <v>326.856</v>
      </c>
      <c r="F50" s="341">
        <v>311</v>
      </c>
      <c r="G50" s="341">
        <v>358</v>
      </c>
      <c r="H50" s="341">
        <v>360</v>
      </c>
      <c r="I50" s="341">
        <v>370</v>
      </c>
      <c r="J50" s="341">
        <v>392.4</v>
      </c>
      <c r="K50" s="341">
        <v>405.991</v>
      </c>
      <c r="L50" s="341">
        <v>379.4</v>
      </c>
      <c r="M50" s="320">
        <v>385</v>
      </c>
      <c r="N50" s="341">
        <v>380.955216424112</v>
      </c>
      <c r="O50" s="341">
        <v>395.935196669268</v>
      </c>
      <c r="P50" s="303">
        <f>SUM(D50:O50)</f>
        <v>4432.11741309338</v>
      </c>
      <c r="Q50" s="321">
        <f>P50/$P$31*1000</f>
        <v>4.22995112884153</v>
      </c>
      <c r="R50" s="358">
        <f>P49-Q50-Q44</f>
        <v>19.1919719590937</v>
      </c>
      <c r="S50" s="322">
        <f t="shared" si="60"/>
        <v>0.0349510329503004</v>
      </c>
      <c r="T50" s="322"/>
      <c r="U50" s="198">
        <f>28/104</f>
        <v>0.269230769230769</v>
      </c>
    </row>
    <row r="51" ht="14" customHeight="1" spans="3:20">
      <c r="C51" s="296" t="s">
        <v>63</v>
      </c>
      <c r="D51" s="296"/>
      <c r="E51" s="296"/>
      <c r="F51" s="296"/>
      <c r="G51" s="296"/>
      <c r="H51" s="296"/>
      <c r="I51" s="296"/>
      <c r="J51" s="296"/>
      <c r="K51" s="296"/>
      <c r="L51" s="296"/>
      <c r="M51" s="296"/>
      <c r="N51" s="296"/>
      <c r="O51" s="296"/>
      <c r="P51" s="296"/>
      <c r="Q51" s="282">
        <f>P49/P30</f>
        <v>0.227588989263963</v>
      </c>
      <c r="R51" s="295"/>
      <c r="S51" s="317"/>
      <c r="T51" s="317"/>
    </row>
    <row r="52" spans="3:22">
      <c r="C52" s="285" t="s">
        <v>2</v>
      </c>
      <c r="D52" s="297" t="s">
        <v>46</v>
      </c>
      <c r="E52" s="297" t="s">
        <v>47</v>
      </c>
      <c r="F52" s="297" t="s">
        <v>48</v>
      </c>
      <c r="G52" s="297" t="s">
        <v>49</v>
      </c>
      <c r="H52" s="297" t="s">
        <v>50</v>
      </c>
      <c r="I52" s="297" t="s">
        <v>51</v>
      </c>
      <c r="J52" s="297" t="s">
        <v>52</v>
      </c>
      <c r="K52" s="297" t="s">
        <v>53</v>
      </c>
      <c r="L52" s="297" t="s">
        <v>54</v>
      </c>
      <c r="M52" s="297" t="s">
        <v>55</v>
      </c>
      <c r="N52" s="297" t="s">
        <v>56</v>
      </c>
      <c r="O52" s="297" t="s">
        <v>57</v>
      </c>
      <c r="P52" s="304" t="s">
        <v>15</v>
      </c>
      <c r="Q52" s="205" t="s">
        <v>16</v>
      </c>
      <c r="R52" s="205" t="s">
        <v>17</v>
      </c>
      <c r="S52" s="205" t="s">
        <v>18</v>
      </c>
      <c r="T52" s="205" t="s">
        <v>19</v>
      </c>
      <c r="V52" s="313"/>
    </row>
    <row r="53" spans="2:56">
      <c r="B53" s="283" t="s">
        <v>20</v>
      </c>
      <c r="C53" s="283"/>
      <c r="D53" s="296">
        <v>122.39668020294</v>
      </c>
      <c r="E53" s="296">
        <v>122.39668020294</v>
      </c>
      <c r="F53" s="296">
        <v>122.39668020294</v>
      </c>
      <c r="G53" s="296">
        <v>122.39668020294</v>
      </c>
      <c r="H53" s="296">
        <v>122.39668020294</v>
      </c>
      <c r="I53" s="296">
        <v>122.39668020294</v>
      </c>
      <c r="J53" s="296">
        <v>122.39668020294</v>
      </c>
      <c r="K53" s="296">
        <v>122.39668020294</v>
      </c>
      <c r="L53" s="296">
        <v>122.39668020294</v>
      </c>
      <c r="M53" s="296">
        <v>122.39668020294</v>
      </c>
      <c r="N53" s="296">
        <v>122.39668020294</v>
      </c>
      <c r="O53" s="296">
        <v>122.39668020294</v>
      </c>
      <c r="P53" s="296">
        <f>P4</f>
        <v>122.39668020294</v>
      </c>
      <c r="AT53" s="331">
        <f>$P$53</f>
        <v>122.39668020294</v>
      </c>
      <c r="AU53" s="331">
        <f t="shared" ref="AU53:BD53" si="104">$P$53</f>
        <v>122.39668020294</v>
      </c>
      <c r="AV53" s="331">
        <f t="shared" si="104"/>
        <v>122.39668020294</v>
      </c>
      <c r="AW53" s="331">
        <f t="shared" si="104"/>
        <v>122.39668020294</v>
      </c>
      <c r="AX53" s="331">
        <f t="shared" si="104"/>
        <v>122.39668020294</v>
      </c>
      <c r="AY53" s="331">
        <f t="shared" si="104"/>
        <v>122.39668020294</v>
      </c>
      <c r="AZ53" s="331">
        <f t="shared" si="104"/>
        <v>122.39668020294</v>
      </c>
      <c r="BA53" s="331">
        <f t="shared" si="104"/>
        <v>122.39668020294</v>
      </c>
      <c r="BB53" s="331">
        <f t="shared" si="104"/>
        <v>122.39668020294</v>
      </c>
      <c r="BC53" s="331">
        <f t="shared" si="104"/>
        <v>122.39668020294</v>
      </c>
      <c r="BD53" s="331">
        <f t="shared" si="104"/>
        <v>122.39668020294</v>
      </c>
    </row>
    <row r="54" s="281" customFormat="1" spans="3:32">
      <c r="C54" s="248" t="s">
        <v>21</v>
      </c>
      <c r="D54" s="306">
        <v>76110</v>
      </c>
      <c r="E54" s="306">
        <v>75445</v>
      </c>
      <c r="F54" s="306">
        <v>97997</v>
      </c>
      <c r="G54" s="306">
        <v>107391</v>
      </c>
      <c r="H54" s="306">
        <v>94300</v>
      </c>
      <c r="I54" s="306">
        <v>104181</v>
      </c>
      <c r="J54" s="306">
        <v>103114</v>
      </c>
      <c r="K54" s="306">
        <v>79317</v>
      </c>
      <c r="L54" s="306">
        <v>129648</v>
      </c>
      <c r="M54" s="306">
        <v>103320</v>
      </c>
      <c r="N54" s="306">
        <v>94620</v>
      </c>
      <c r="O54" s="306">
        <v>93020</v>
      </c>
      <c r="P54" s="296">
        <f>SUM(D54:O54)</f>
        <v>1158463</v>
      </c>
      <c r="Q54" s="323"/>
      <c r="R54" s="323"/>
      <c r="S54" s="323"/>
      <c r="T54" s="323"/>
      <c r="U54" s="346"/>
      <c r="V54" s="198">
        <f t="shared" ref="V54:V70" si="105">D54+E54</f>
        <v>151555</v>
      </c>
      <c r="W54" s="198">
        <f t="shared" ref="W54:W70" si="106">V54+F54</f>
        <v>249552</v>
      </c>
      <c r="X54" s="198">
        <f t="shared" ref="X54:X70" si="107">W54+G54</f>
        <v>356943</v>
      </c>
      <c r="Y54" s="198">
        <f t="shared" ref="Y54:Y70" si="108">X54+H54</f>
        <v>451243</v>
      </c>
      <c r="Z54" s="198">
        <f t="shared" ref="Z54:Z70" si="109">Y54+I54</f>
        <v>555424</v>
      </c>
      <c r="AA54" s="25">
        <f t="shared" ref="AA54:AA70" si="110">Z54+J54</f>
        <v>658538</v>
      </c>
      <c r="AB54" s="25">
        <f t="shared" ref="AB54:AB70" si="111">AA54+K54</f>
        <v>737855</v>
      </c>
      <c r="AC54" s="25">
        <f t="shared" ref="AC54:AC70" si="112">AB54+L54</f>
        <v>867503</v>
      </c>
      <c r="AD54" s="25">
        <f t="shared" ref="AD54:AD70" si="113">AC54+M54</f>
        <v>970823</v>
      </c>
      <c r="AE54" s="25">
        <f t="shared" ref="AE54:AE70" si="114">AD54+N54</f>
        <v>1065443</v>
      </c>
      <c r="AF54" s="25">
        <f t="shared" ref="AF54:AF70" si="115">AE54+O54</f>
        <v>1158463</v>
      </c>
    </row>
    <row r="55" spans="2:56">
      <c r="B55" s="198" t="s">
        <v>22</v>
      </c>
      <c r="C55" s="25" t="s">
        <v>59</v>
      </c>
      <c r="D55" s="201">
        <v>490.855</v>
      </c>
      <c r="E55" s="201">
        <v>471.516</v>
      </c>
      <c r="F55" s="311">
        <v>489.569</v>
      </c>
      <c r="G55" s="201">
        <v>484.657</v>
      </c>
      <c r="H55" s="201">
        <v>490.591</v>
      </c>
      <c r="I55" s="201">
        <v>530.264</v>
      </c>
      <c r="J55" s="201">
        <v>549.732</v>
      </c>
      <c r="K55" s="201">
        <v>556.001</v>
      </c>
      <c r="L55" s="201">
        <v>550.304</v>
      </c>
      <c r="M55" s="201">
        <v>611.236</v>
      </c>
      <c r="N55" s="201">
        <v>605.41</v>
      </c>
      <c r="O55" s="201">
        <v>649.814</v>
      </c>
      <c r="P55" s="296">
        <f>SUM(D55:O55)</f>
        <v>6479.949</v>
      </c>
      <c r="Q55" s="312">
        <f>P55/$P$54*1000</f>
        <v>5.59357441713719</v>
      </c>
      <c r="R55" s="313">
        <f>P55/$P$71</f>
        <v>0.222619112692242</v>
      </c>
      <c r="U55" s="348"/>
      <c r="V55" s="201">
        <f t="shared" si="105"/>
        <v>962.371</v>
      </c>
      <c r="W55" s="201">
        <f t="shared" si="106"/>
        <v>1451.94</v>
      </c>
      <c r="X55" s="201">
        <f t="shared" si="107"/>
        <v>1936.597</v>
      </c>
      <c r="Y55" s="201">
        <f t="shared" si="108"/>
        <v>2427.188</v>
      </c>
      <c r="Z55" s="201">
        <f t="shared" si="109"/>
        <v>2957.452</v>
      </c>
      <c r="AA55" s="331">
        <f t="shared" si="110"/>
        <v>3507.184</v>
      </c>
      <c r="AB55" s="331">
        <f t="shared" si="111"/>
        <v>4063.185</v>
      </c>
      <c r="AC55" s="331">
        <f t="shared" si="112"/>
        <v>4613.489</v>
      </c>
      <c r="AD55" s="331">
        <f t="shared" si="113"/>
        <v>5224.725</v>
      </c>
      <c r="AE55" s="331">
        <f t="shared" si="114"/>
        <v>5830.135</v>
      </c>
      <c r="AF55" s="331">
        <f t="shared" si="115"/>
        <v>6479.949</v>
      </c>
      <c r="AH55" s="295">
        <f>V55/V$54*1000</f>
        <v>6.34997855563987</v>
      </c>
      <c r="AI55" s="295">
        <f t="shared" ref="AI55:AR70" si="116">W55/W$54*1000</f>
        <v>5.81818618965186</v>
      </c>
      <c r="AJ55" s="295">
        <f t="shared" si="116"/>
        <v>5.42550771411682</v>
      </c>
      <c r="AK55" s="295">
        <f t="shared" si="116"/>
        <v>5.37889341219698</v>
      </c>
      <c r="AL55" s="295">
        <f t="shared" si="116"/>
        <v>5.32467448291756</v>
      </c>
      <c r="AM55" s="295">
        <f t="shared" si="116"/>
        <v>5.3257124114326</v>
      </c>
      <c r="AN55" s="295">
        <f t="shared" si="116"/>
        <v>5.50675268175997</v>
      </c>
      <c r="AO55" s="295">
        <f t="shared" si="116"/>
        <v>5.31812454827246</v>
      </c>
      <c r="AP55" s="295">
        <f t="shared" si="116"/>
        <v>5.38174826925196</v>
      </c>
      <c r="AQ55" s="295">
        <f t="shared" si="116"/>
        <v>5.47202900577506</v>
      </c>
      <c r="AR55" s="295">
        <f t="shared" si="116"/>
        <v>5.59357441713719</v>
      </c>
      <c r="AT55" s="332">
        <f>AH55/AT$53</f>
        <v>0.0518803168934916</v>
      </c>
      <c r="AU55" s="332">
        <f t="shared" ref="AU55:BD70" si="117">AI55/AU$53</f>
        <v>0.0475354901783693</v>
      </c>
      <c r="AV55" s="332">
        <f t="shared" si="117"/>
        <v>0.0443272456828164</v>
      </c>
      <c r="AW55" s="332">
        <f t="shared" si="117"/>
        <v>0.043946399553309</v>
      </c>
      <c r="AX55" s="332">
        <f t="shared" si="117"/>
        <v>0.0435034224301589</v>
      </c>
      <c r="AY55" s="332">
        <f t="shared" si="117"/>
        <v>0.0435119024682884</v>
      </c>
      <c r="AZ55" s="332">
        <f t="shared" si="117"/>
        <v>0.0449910297618326</v>
      </c>
      <c r="BA55" s="332">
        <f t="shared" si="117"/>
        <v>0.0434499084407742</v>
      </c>
      <c r="BB55" s="332">
        <f t="shared" si="117"/>
        <v>0.0439697241814791</v>
      </c>
      <c r="BC55" s="332">
        <f t="shared" si="117"/>
        <v>0.0447073319039549</v>
      </c>
      <c r="BD55" s="332">
        <f t="shared" si="117"/>
        <v>0.0457003769045269</v>
      </c>
    </row>
    <row r="56" spans="2:56">
      <c r="B56" s="198"/>
      <c r="C56" s="25" t="s">
        <v>24</v>
      </c>
      <c r="D56" s="201">
        <v>117.697408454695</v>
      </c>
      <c r="E56" s="201">
        <v>117.697408454695</v>
      </c>
      <c r="F56" s="311">
        <v>117.672706218735</v>
      </c>
      <c r="G56" s="201">
        <v>117.672706218735</v>
      </c>
      <c r="H56" s="201">
        <v>117.648003982775</v>
      </c>
      <c r="I56" s="201">
        <v>89.2242500016213</v>
      </c>
      <c r="J56" s="201">
        <v>77.8887950666815</v>
      </c>
      <c r="K56" s="201">
        <v>77.8887950666815</v>
      </c>
      <c r="L56" s="201">
        <v>77.8887950666815</v>
      </c>
      <c r="M56" s="201">
        <v>77.8887950666815</v>
      </c>
      <c r="N56" s="201">
        <v>77.8887950666815</v>
      </c>
      <c r="O56" s="201">
        <v>77.8887950666815</v>
      </c>
      <c r="P56" s="296">
        <f t="shared" ref="P56:P70" si="118">SUM(D56:O56)</f>
        <v>1144.94525373134</v>
      </c>
      <c r="Q56" s="312">
        <f t="shared" ref="Q56:Q67" si="119">P56/$P$54*1000</f>
        <v>0.988331309443067</v>
      </c>
      <c r="R56" s="313">
        <f t="shared" ref="R56:R67" si="120">P56/$P$71</f>
        <v>0.0393346763171848</v>
      </c>
      <c r="V56" s="201">
        <f t="shared" si="105"/>
        <v>235.394816909389</v>
      </c>
      <c r="W56" s="201">
        <f t="shared" si="106"/>
        <v>353.067523128124</v>
      </c>
      <c r="X56" s="201">
        <f t="shared" si="107"/>
        <v>470.740229346858</v>
      </c>
      <c r="Y56" s="201">
        <f t="shared" si="108"/>
        <v>588.388233329633</v>
      </c>
      <c r="Z56" s="201">
        <f t="shared" si="109"/>
        <v>677.612483331254</v>
      </c>
      <c r="AA56" s="331">
        <f t="shared" si="110"/>
        <v>755.501278397936</v>
      </c>
      <c r="AB56" s="331">
        <f t="shared" si="111"/>
        <v>833.390073464617</v>
      </c>
      <c r="AC56" s="331">
        <f t="shared" si="112"/>
        <v>911.278868531299</v>
      </c>
      <c r="AD56" s="331">
        <f t="shared" si="113"/>
        <v>989.16766359798</v>
      </c>
      <c r="AE56" s="331">
        <f t="shared" si="114"/>
        <v>1067.05645866466</v>
      </c>
      <c r="AF56" s="331">
        <f t="shared" si="115"/>
        <v>1144.94525373134</v>
      </c>
      <c r="AH56" s="295">
        <f t="shared" ref="AH56:AH71" si="121">V56/V$54*1000</f>
        <v>1.55319730071188</v>
      </c>
      <c r="AI56" s="295">
        <f t="shared" si="116"/>
        <v>1.414805423832</v>
      </c>
      <c r="AJ56" s="295">
        <f t="shared" si="116"/>
        <v>1.31881064861017</v>
      </c>
      <c r="AK56" s="295">
        <f t="shared" si="116"/>
        <v>1.30392766941456</v>
      </c>
      <c r="AL56" s="295">
        <f t="shared" si="116"/>
        <v>1.21999136395124</v>
      </c>
      <c r="AM56" s="295">
        <f t="shared" si="116"/>
        <v>1.14724021756973</v>
      </c>
      <c r="AN56" s="295">
        <f t="shared" si="116"/>
        <v>1.12947675825822</v>
      </c>
      <c r="AO56" s="295">
        <f t="shared" si="116"/>
        <v>1.05046192178159</v>
      </c>
      <c r="AP56" s="295">
        <f t="shared" si="116"/>
        <v>1.01889599195526</v>
      </c>
      <c r="AQ56" s="295">
        <f t="shared" si="116"/>
        <v>1.00151435474696</v>
      </c>
      <c r="AR56" s="295">
        <f t="shared" si="116"/>
        <v>0.988331309443067</v>
      </c>
      <c r="AT56" s="332">
        <f t="shared" ref="AT56:AT71" si="122">AH56/AT$53</f>
        <v>0.0126898646118228</v>
      </c>
      <c r="AU56" s="332">
        <f t="shared" si="117"/>
        <v>0.01155918135595</v>
      </c>
      <c r="AV56" s="332">
        <f t="shared" si="117"/>
        <v>0.0107748890445681</v>
      </c>
      <c r="AW56" s="332">
        <f t="shared" si="117"/>
        <v>0.010653292779286</v>
      </c>
      <c r="AX56" s="332">
        <f t="shared" si="117"/>
        <v>0.00996752004979575</v>
      </c>
      <c r="AY56" s="332">
        <f t="shared" si="117"/>
        <v>0.00937313181752601</v>
      </c>
      <c r="AZ56" s="332">
        <f t="shared" si="117"/>
        <v>0.00922800157966286</v>
      </c>
      <c r="BA56" s="332">
        <f t="shared" si="117"/>
        <v>0.00858243802070347</v>
      </c>
      <c r="BB56" s="332">
        <f t="shared" si="117"/>
        <v>0.00832453944229434</v>
      </c>
      <c r="BC56" s="332">
        <f t="shared" si="117"/>
        <v>0.0081825287506687</v>
      </c>
      <c r="BD56" s="332">
        <f t="shared" si="117"/>
        <v>0.00807482121087242</v>
      </c>
    </row>
    <row r="57" spans="2:56">
      <c r="B57" s="198"/>
      <c r="C57" s="25" t="s">
        <v>25</v>
      </c>
      <c r="D57" s="201">
        <v>28.854447761194</v>
      </c>
      <c r="E57" s="201">
        <v>28.854447761194</v>
      </c>
      <c r="F57" s="311">
        <v>28.854447761194</v>
      </c>
      <c r="G57" s="201">
        <v>28.854447761194</v>
      </c>
      <c r="H57" s="201">
        <v>28.854447761194</v>
      </c>
      <c r="I57" s="201">
        <v>8.85444776119403</v>
      </c>
      <c r="J57" s="201">
        <v>8.85444776119403</v>
      </c>
      <c r="K57" s="201">
        <v>8.85444776119403</v>
      </c>
      <c r="L57" s="201">
        <v>8.85444776119403</v>
      </c>
      <c r="M57" s="201">
        <v>8.85444776119403</v>
      </c>
      <c r="N57" s="201">
        <v>8.85444776119403</v>
      </c>
      <c r="O57" s="201">
        <v>8.85444776119403</v>
      </c>
      <c r="P57" s="296">
        <f t="shared" si="118"/>
        <v>206.253373134328</v>
      </c>
      <c r="Q57" s="312">
        <f t="shared" si="119"/>
        <v>0.178040535722184</v>
      </c>
      <c r="R57" s="313">
        <f t="shared" si="120"/>
        <v>0.00708584942828192</v>
      </c>
      <c r="V57" s="201">
        <f t="shared" si="105"/>
        <v>57.7088955223881</v>
      </c>
      <c r="W57" s="201">
        <f t="shared" si="106"/>
        <v>86.5633432835821</v>
      </c>
      <c r="X57" s="201">
        <f t="shared" si="107"/>
        <v>115.417791044776</v>
      </c>
      <c r="Y57" s="201">
        <f t="shared" si="108"/>
        <v>144.27223880597</v>
      </c>
      <c r="Z57" s="201">
        <f t="shared" si="109"/>
        <v>153.126686567164</v>
      </c>
      <c r="AA57" s="331">
        <f t="shared" si="110"/>
        <v>161.981134328358</v>
      </c>
      <c r="AB57" s="331">
        <f t="shared" si="111"/>
        <v>170.835582089552</v>
      </c>
      <c r="AC57" s="331">
        <f t="shared" si="112"/>
        <v>179.690029850746</v>
      </c>
      <c r="AD57" s="331">
        <f t="shared" si="113"/>
        <v>188.54447761194</v>
      </c>
      <c r="AE57" s="331">
        <f t="shared" si="114"/>
        <v>197.398925373134</v>
      </c>
      <c r="AF57" s="331">
        <f t="shared" si="115"/>
        <v>206.253373134328</v>
      </c>
      <c r="AH57" s="295">
        <f t="shared" si="121"/>
        <v>0.380778565684986</v>
      </c>
      <c r="AI57" s="295">
        <f t="shared" si="116"/>
        <v>0.346874973086099</v>
      </c>
      <c r="AJ57" s="295">
        <f t="shared" si="116"/>
        <v>0.323350762011795</v>
      </c>
      <c r="AK57" s="295">
        <f t="shared" si="116"/>
        <v>0.319721832374065</v>
      </c>
      <c r="AL57" s="295">
        <f t="shared" si="116"/>
        <v>0.275693319999071</v>
      </c>
      <c r="AM57" s="295">
        <f t="shared" si="116"/>
        <v>0.245970823746478</v>
      </c>
      <c r="AN57" s="295">
        <f t="shared" si="116"/>
        <v>0.231530018891994</v>
      </c>
      <c r="AO57" s="295">
        <f t="shared" si="116"/>
        <v>0.207134764779772</v>
      </c>
      <c r="AP57" s="295">
        <f t="shared" si="116"/>
        <v>0.194210971116198</v>
      </c>
      <c r="AQ57" s="295">
        <f t="shared" si="116"/>
        <v>0.185274036596171</v>
      </c>
      <c r="AR57" s="295">
        <f t="shared" si="116"/>
        <v>0.178040535722184</v>
      </c>
      <c r="AT57" s="332">
        <f t="shared" si="122"/>
        <v>0.00311102037288623</v>
      </c>
      <c r="AU57" s="332">
        <f t="shared" si="117"/>
        <v>0.00283402272439875</v>
      </c>
      <c r="AV57" s="332">
        <f t="shared" si="117"/>
        <v>0.002641826244598</v>
      </c>
      <c r="AW57" s="332">
        <f t="shared" si="117"/>
        <v>0.00261217732248906</v>
      </c>
      <c r="AX57" s="332">
        <f t="shared" si="117"/>
        <v>0.00225245749755596</v>
      </c>
      <c r="AY57" s="332">
        <f t="shared" si="117"/>
        <v>0.0020096200594546</v>
      </c>
      <c r="AZ57" s="332">
        <f t="shared" si="117"/>
        <v>0.00189163642762292</v>
      </c>
      <c r="BA57" s="332">
        <f t="shared" si="117"/>
        <v>0.00169232339011427</v>
      </c>
      <c r="BB57" s="332">
        <f t="shared" si="117"/>
        <v>0.00158673397672376</v>
      </c>
      <c r="BC57" s="332">
        <f t="shared" si="117"/>
        <v>0.00151371782542613</v>
      </c>
      <c r="BD57" s="332">
        <f t="shared" si="117"/>
        <v>0.00145461899315393</v>
      </c>
    </row>
    <row r="58" spans="2:56">
      <c r="B58" s="198"/>
      <c r="C58" s="25" t="s">
        <v>26</v>
      </c>
      <c r="D58" s="201">
        <v>40.2464787738406</v>
      </c>
      <c r="E58" s="201">
        <v>40.5725710781293</v>
      </c>
      <c r="F58" s="311">
        <v>42.8598531587347</v>
      </c>
      <c r="G58" s="201">
        <v>40.1896195314971</v>
      </c>
      <c r="H58" s="201">
        <v>30.5568135422178</v>
      </c>
      <c r="I58" s="201">
        <v>21.0466173726917</v>
      </c>
      <c r="J58" s="201">
        <v>21.672925386971</v>
      </c>
      <c r="K58" s="201">
        <v>21.56025093933</v>
      </c>
      <c r="L58" s="201">
        <v>23.9563608927226</v>
      </c>
      <c r="M58" s="201">
        <v>27.4477489875783</v>
      </c>
      <c r="N58" s="201">
        <v>30.7558901667742</v>
      </c>
      <c r="O58" s="201">
        <v>35.0782433038412</v>
      </c>
      <c r="P58" s="296">
        <f t="shared" si="118"/>
        <v>375.943373134328</v>
      </c>
      <c r="Q58" s="312">
        <f t="shared" si="119"/>
        <v>0.324519102581894</v>
      </c>
      <c r="R58" s="313">
        <f t="shared" si="120"/>
        <v>0.0129155615498968</v>
      </c>
      <c r="V58" s="201">
        <f t="shared" si="105"/>
        <v>80.8190498519699</v>
      </c>
      <c r="W58" s="201">
        <f t="shared" si="106"/>
        <v>123.678903010705</v>
      </c>
      <c r="X58" s="201">
        <f t="shared" si="107"/>
        <v>163.868522542202</v>
      </c>
      <c r="Y58" s="201">
        <f t="shared" si="108"/>
        <v>194.425336084419</v>
      </c>
      <c r="Z58" s="201">
        <f t="shared" si="109"/>
        <v>215.471953457111</v>
      </c>
      <c r="AA58" s="331">
        <f t="shared" si="110"/>
        <v>237.144878844082</v>
      </c>
      <c r="AB58" s="331">
        <f t="shared" si="111"/>
        <v>258.705129783412</v>
      </c>
      <c r="AC58" s="331">
        <f t="shared" si="112"/>
        <v>282.661490676135</v>
      </c>
      <c r="AD58" s="331">
        <f t="shared" si="113"/>
        <v>310.109239663713</v>
      </c>
      <c r="AE58" s="331">
        <f t="shared" si="114"/>
        <v>340.865129830487</v>
      </c>
      <c r="AF58" s="331">
        <f t="shared" si="115"/>
        <v>375.943373134328</v>
      </c>
      <c r="AH58" s="295">
        <f t="shared" si="121"/>
        <v>0.533265480201708</v>
      </c>
      <c r="AI58" s="295">
        <f t="shared" si="116"/>
        <v>0.495603733934028</v>
      </c>
      <c r="AJ58" s="295">
        <f t="shared" si="116"/>
        <v>0.459088769193405</v>
      </c>
      <c r="AK58" s="295">
        <f t="shared" si="116"/>
        <v>0.43086615434349</v>
      </c>
      <c r="AL58" s="295">
        <f t="shared" si="116"/>
        <v>0.38794138074176</v>
      </c>
      <c r="AM58" s="295">
        <f t="shared" si="116"/>
        <v>0.360108116530986</v>
      </c>
      <c r="AN58" s="295">
        <f t="shared" si="116"/>
        <v>0.350617844676003</v>
      </c>
      <c r="AO58" s="295">
        <f t="shared" si="116"/>
        <v>0.325833444583056</v>
      </c>
      <c r="AP58" s="295">
        <f t="shared" si="116"/>
        <v>0.319429226196447</v>
      </c>
      <c r="AQ58" s="295">
        <f t="shared" si="116"/>
        <v>0.319928076706579</v>
      </c>
      <c r="AR58" s="295">
        <f t="shared" si="116"/>
        <v>0.324519102581894</v>
      </c>
      <c r="AT58" s="332">
        <f t="shared" si="122"/>
        <v>0.00435686228840135</v>
      </c>
      <c r="AU58" s="332">
        <f t="shared" si="117"/>
        <v>0.00404915993728173</v>
      </c>
      <c r="AV58" s="332">
        <f t="shared" si="117"/>
        <v>0.00375082697040649</v>
      </c>
      <c r="AW58" s="332">
        <f t="shared" si="117"/>
        <v>0.00352024379770017</v>
      </c>
      <c r="AX58" s="332">
        <f t="shared" si="117"/>
        <v>0.00316954169098813</v>
      </c>
      <c r="AY58" s="332">
        <f t="shared" si="117"/>
        <v>0.0029421395738341</v>
      </c>
      <c r="AZ58" s="332">
        <f t="shared" si="117"/>
        <v>0.00286460257005877</v>
      </c>
      <c r="BA58" s="332">
        <f t="shared" si="117"/>
        <v>0.00266211014908907</v>
      </c>
      <c r="BB58" s="332">
        <f t="shared" si="117"/>
        <v>0.00260978668430236</v>
      </c>
      <c r="BC58" s="332">
        <f t="shared" si="117"/>
        <v>0.00261386237090844</v>
      </c>
      <c r="BD58" s="332">
        <f t="shared" si="117"/>
        <v>0.00265137176959232</v>
      </c>
    </row>
    <row r="59" spans="2:56">
      <c r="B59" s="198"/>
      <c r="C59" s="25" t="s">
        <v>27</v>
      </c>
      <c r="D59" s="201">
        <v>443.291543892628</v>
      </c>
      <c r="E59" s="201">
        <v>294.733793451191</v>
      </c>
      <c r="F59" s="311">
        <v>401.386336240746</v>
      </c>
      <c r="G59" s="201">
        <v>350.623435732656</v>
      </c>
      <c r="H59" s="201">
        <v>355.51091385646</v>
      </c>
      <c r="I59" s="201">
        <v>328.037709549522</v>
      </c>
      <c r="J59" s="201">
        <v>271.199700146263</v>
      </c>
      <c r="K59" s="201">
        <v>320.767033214509</v>
      </c>
      <c r="L59" s="201">
        <v>345.95349891563</v>
      </c>
      <c r="M59" s="201">
        <v>321.368673110321</v>
      </c>
      <c r="N59" s="201">
        <v>313.629217810578</v>
      </c>
      <c r="O59" s="201">
        <v>400.612472437704</v>
      </c>
      <c r="P59" s="296">
        <f t="shared" si="118"/>
        <v>4147.11432835821</v>
      </c>
      <c r="Q59" s="312">
        <f t="shared" si="119"/>
        <v>3.57984184937992</v>
      </c>
      <c r="R59" s="313">
        <f t="shared" si="120"/>
        <v>0.142474410217177</v>
      </c>
      <c r="V59" s="201">
        <f t="shared" si="105"/>
        <v>738.025337343819</v>
      </c>
      <c r="W59" s="201">
        <f t="shared" si="106"/>
        <v>1139.41167358457</v>
      </c>
      <c r="X59" s="201">
        <f t="shared" si="107"/>
        <v>1490.03510931722</v>
      </c>
      <c r="Y59" s="201">
        <f t="shared" si="108"/>
        <v>1845.54602317368</v>
      </c>
      <c r="Z59" s="201">
        <f t="shared" si="109"/>
        <v>2173.5837327232</v>
      </c>
      <c r="AA59" s="331">
        <f t="shared" si="110"/>
        <v>2444.78343286947</v>
      </c>
      <c r="AB59" s="331">
        <f t="shared" si="111"/>
        <v>2765.55046608398</v>
      </c>
      <c r="AC59" s="331">
        <f t="shared" si="112"/>
        <v>3111.50396499961</v>
      </c>
      <c r="AD59" s="331">
        <f t="shared" si="113"/>
        <v>3432.87263810993</v>
      </c>
      <c r="AE59" s="331">
        <f t="shared" si="114"/>
        <v>3746.5018559205</v>
      </c>
      <c r="AF59" s="331">
        <f t="shared" si="115"/>
        <v>4147.11432835821</v>
      </c>
      <c r="AH59" s="295">
        <f t="shared" si="121"/>
        <v>4.86968649891999</v>
      </c>
      <c r="AI59" s="295">
        <f t="shared" si="116"/>
        <v>4.56582865929572</v>
      </c>
      <c r="AJ59" s="295">
        <f t="shared" si="116"/>
        <v>4.17443431953343</v>
      </c>
      <c r="AK59" s="295">
        <f t="shared" si="116"/>
        <v>4.08991612761568</v>
      </c>
      <c r="AL59" s="295">
        <f t="shared" si="116"/>
        <v>3.91337740667166</v>
      </c>
      <c r="AM59" s="295">
        <f t="shared" si="116"/>
        <v>3.71244094170643</v>
      </c>
      <c r="AN59" s="295">
        <f t="shared" si="116"/>
        <v>3.7480947694113</v>
      </c>
      <c r="AO59" s="295">
        <f t="shared" si="116"/>
        <v>3.58673568275799</v>
      </c>
      <c r="AP59" s="295">
        <f t="shared" si="116"/>
        <v>3.53604378770376</v>
      </c>
      <c r="AQ59" s="295">
        <f t="shared" si="116"/>
        <v>3.51637943646024</v>
      </c>
      <c r="AR59" s="295">
        <f t="shared" si="116"/>
        <v>3.57984184937992</v>
      </c>
      <c r="AT59" s="332">
        <f t="shared" si="122"/>
        <v>0.0397860995154918</v>
      </c>
      <c r="AU59" s="332">
        <f t="shared" si="117"/>
        <v>0.037303533492292</v>
      </c>
      <c r="AV59" s="332">
        <f t="shared" si="117"/>
        <v>0.0341057805866304</v>
      </c>
      <c r="AW59" s="332">
        <f t="shared" si="117"/>
        <v>0.0334152537538959</v>
      </c>
      <c r="AX59" s="332">
        <f t="shared" si="117"/>
        <v>0.0319729048221168</v>
      </c>
      <c r="AY59" s="332">
        <f t="shared" si="117"/>
        <v>0.0303312225098835</v>
      </c>
      <c r="AZ59" s="332">
        <f t="shared" si="117"/>
        <v>0.0306225198526363</v>
      </c>
      <c r="BA59" s="332">
        <f t="shared" si="117"/>
        <v>0.0293041909046144</v>
      </c>
      <c r="BB59" s="332">
        <f t="shared" si="117"/>
        <v>0.0288900302021331</v>
      </c>
      <c r="BC59" s="332">
        <f t="shared" si="117"/>
        <v>0.0287293693801981</v>
      </c>
      <c r="BD59" s="332">
        <f t="shared" si="117"/>
        <v>0.0292478672088521</v>
      </c>
    </row>
    <row r="60" spans="2:56">
      <c r="B60" s="198"/>
      <c r="C60" s="25" t="s">
        <v>28</v>
      </c>
      <c r="D60" s="201">
        <v>184.50388170216</v>
      </c>
      <c r="E60" s="201">
        <v>184.50388170216</v>
      </c>
      <c r="F60" s="311">
        <v>192.376102817119</v>
      </c>
      <c r="G60" s="201">
        <v>201.604829765859</v>
      </c>
      <c r="H60" s="201">
        <v>196.84932096807</v>
      </c>
      <c r="I60" s="201">
        <v>174.442966597881</v>
      </c>
      <c r="J60" s="201">
        <v>155.560864230626</v>
      </c>
      <c r="K60" s="201">
        <v>155.560864230626</v>
      </c>
      <c r="L60" s="201">
        <v>163.713870386246</v>
      </c>
      <c r="M60" s="201">
        <v>157.17506954801</v>
      </c>
      <c r="N60" s="201">
        <v>157.17506954801</v>
      </c>
      <c r="O60" s="201">
        <v>157.17506954801</v>
      </c>
      <c r="P60" s="296">
        <f t="shared" si="118"/>
        <v>2080.64179104478</v>
      </c>
      <c r="Q60" s="312">
        <f t="shared" si="119"/>
        <v>1.79603646473368</v>
      </c>
      <c r="R60" s="313">
        <f t="shared" si="120"/>
        <v>0.0714805979727285</v>
      </c>
      <c r="V60" s="201">
        <f t="shared" si="105"/>
        <v>369.00776340432</v>
      </c>
      <c r="W60" s="201">
        <f t="shared" si="106"/>
        <v>561.383866221439</v>
      </c>
      <c r="X60" s="201">
        <f t="shared" si="107"/>
        <v>762.988695987298</v>
      </c>
      <c r="Y60" s="201">
        <f t="shared" si="108"/>
        <v>959.838016955367</v>
      </c>
      <c r="Z60" s="201">
        <f t="shared" si="109"/>
        <v>1134.28098355325</v>
      </c>
      <c r="AA60" s="331">
        <f t="shared" si="110"/>
        <v>1289.84184778387</v>
      </c>
      <c r="AB60" s="331">
        <f t="shared" si="111"/>
        <v>1445.4027120145</v>
      </c>
      <c r="AC60" s="331">
        <f t="shared" si="112"/>
        <v>1609.11658240075</v>
      </c>
      <c r="AD60" s="331">
        <f t="shared" si="113"/>
        <v>1766.29165194876</v>
      </c>
      <c r="AE60" s="331">
        <f t="shared" si="114"/>
        <v>1923.46672149677</v>
      </c>
      <c r="AF60" s="331">
        <f t="shared" si="115"/>
        <v>2080.64179104478</v>
      </c>
      <c r="AH60" s="295">
        <f t="shared" si="121"/>
        <v>2.43481088320623</v>
      </c>
      <c r="AI60" s="295">
        <f t="shared" si="116"/>
        <v>2.24956668839135</v>
      </c>
      <c r="AJ60" s="295">
        <f t="shared" si="116"/>
        <v>2.13756452987535</v>
      </c>
      <c r="AK60" s="295">
        <f t="shared" si="116"/>
        <v>2.12709785405063</v>
      </c>
      <c r="AL60" s="295">
        <f t="shared" si="116"/>
        <v>2.04218936083649</v>
      </c>
      <c r="AM60" s="295">
        <f t="shared" si="116"/>
        <v>1.95864452436135</v>
      </c>
      <c r="AN60" s="295">
        <f t="shared" si="116"/>
        <v>1.95892514384872</v>
      </c>
      <c r="AO60" s="295">
        <f t="shared" si="116"/>
        <v>1.8548830175812</v>
      </c>
      <c r="AP60" s="295">
        <f t="shared" si="116"/>
        <v>1.81937557304345</v>
      </c>
      <c r="AQ60" s="295">
        <f t="shared" si="116"/>
        <v>1.80532109319482</v>
      </c>
      <c r="AR60" s="295">
        <f t="shared" si="116"/>
        <v>1.79603646473368</v>
      </c>
      <c r="AT60" s="332">
        <f t="shared" si="122"/>
        <v>0.0198927853203959</v>
      </c>
      <c r="AU60" s="332">
        <f t="shared" si="117"/>
        <v>0.0183793113069853</v>
      </c>
      <c r="AV60" s="332">
        <f t="shared" si="117"/>
        <v>0.0174642361731639</v>
      </c>
      <c r="AW60" s="332">
        <f t="shared" si="117"/>
        <v>0.0173787217964065</v>
      </c>
      <c r="AX60" s="332">
        <f t="shared" si="117"/>
        <v>0.0166850061411015</v>
      </c>
      <c r="AY60" s="332">
        <f t="shared" si="117"/>
        <v>0.0160024317744061</v>
      </c>
      <c r="AZ60" s="332">
        <f t="shared" si="117"/>
        <v>0.0160047244794608</v>
      </c>
      <c r="BA60" s="332">
        <f t="shared" si="117"/>
        <v>0.0151546840527514</v>
      </c>
      <c r="BB60" s="332">
        <f t="shared" si="117"/>
        <v>0.0148645826833443</v>
      </c>
      <c r="BC60" s="332">
        <f t="shared" si="117"/>
        <v>0.0147497553871682</v>
      </c>
      <c r="BD60" s="332">
        <f t="shared" si="117"/>
        <v>0.0146738985220495</v>
      </c>
    </row>
    <row r="61" spans="2:56">
      <c r="B61" s="198"/>
      <c r="C61" s="25" t="s">
        <v>29</v>
      </c>
      <c r="D61" s="201">
        <v>263.441504558577</v>
      </c>
      <c r="E61" s="201">
        <v>267.189796239753</v>
      </c>
      <c r="F61" s="311">
        <v>275.529339717732</v>
      </c>
      <c r="G61" s="201">
        <v>268.574222959666</v>
      </c>
      <c r="H61" s="201">
        <v>267.96380420008</v>
      </c>
      <c r="I61" s="201">
        <v>200.07935296256</v>
      </c>
      <c r="J61" s="201">
        <v>209.768803776132</v>
      </c>
      <c r="K61" s="201">
        <v>165.609609141327</v>
      </c>
      <c r="L61" s="201">
        <v>207.805339768218</v>
      </c>
      <c r="M61" s="201">
        <v>201.265769796231</v>
      </c>
      <c r="N61" s="201">
        <v>213.629782328744</v>
      </c>
      <c r="O61" s="201">
        <v>216.102913356951</v>
      </c>
      <c r="P61" s="296">
        <f t="shared" si="118"/>
        <v>2756.96023880597</v>
      </c>
      <c r="Q61" s="312">
        <f t="shared" si="119"/>
        <v>2.37984315321764</v>
      </c>
      <c r="R61" s="313">
        <f t="shared" si="120"/>
        <v>0.0947155667568951</v>
      </c>
      <c r="V61" s="201">
        <f t="shared" si="105"/>
        <v>530.631300798329</v>
      </c>
      <c r="W61" s="201">
        <f t="shared" si="106"/>
        <v>806.160640516061</v>
      </c>
      <c r="X61" s="201">
        <f t="shared" si="107"/>
        <v>1074.73486347573</v>
      </c>
      <c r="Y61" s="201">
        <f t="shared" si="108"/>
        <v>1342.69866767581</v>
      </c>
      <c r="Z61" s="201">
        <f t="shared" si="109"/>
        <v>1542.77802063837</v>
      </c>
      <c r="AA61" s="331">
        <f t="shared" si="110"/>
        <v>1752.5468244145</v>
      </c>
      <c r="AB61" s="331">
        <f t="shared" si="111"/>
        <v>1918.15643355583</v>
      </c>
      <c r="AC61" s="331">
        <f t="shared" si="112"/>
        <v>2125.96177332404</v>
      </c>
      <c r="AD61" s="331">
        <f t="shared" si="113"/>
        <v>2327.22754312027</v>
      </c>
      <c r="AE61" s="331">
        <f t="shared" si="114"/>
        <v>2540.85732544902</v>
      </c>
      <c r="AF61" s="331">
        <f t="shared" si="115"/>
        <v>2756.96023880597</v>
      </c>
      <c r="AH61" s="295">
        <f t="shared" si="121"/>
        <v>3.50124575763471</v>
      </c>
      <c r="AI61" s="295">
        <f t="shared" si="116"/>
        <v>3.23043149530383</v>
      </c>
      <c r="AJ61" s="295">
        <f t="shared" si="116"/>
        <v>3.01094254117808</v>
      </c>
      <c r="AK61" s="295">
        <f t="shared" si="116"/>
        <v>2.97555567105929</v>
      </c>
      <c r="AL61" s="295">
        <f t="shared" si="116"/>
        <v>2.77765818660765</v>
      </c>
      <c r="AM61" s="295">
        <f t="shared" si="116"/>
        <v>2.66126909064397</v>
      </c>
      <c r="AN61" s="295">
        <f t="shared" si="116"/>
        <v>2.59963872787448</v>
      </c>
      <c r="AO61" s="295">
        <f t="shared" si="116"/>
        <v>2.4506679208303</v>
      </c>
      <c r="AP61" s="295">
        <f t="shared" si="116"/>
        <v>2.39716976536431</v>
      </c>
      <c r="AQ61" s="295">
        <f t="shared" si="116"/>
        <v>2.38478954336273</v>
      </c>
      <c r="AR61" s="295">
        <f t="shared" si="116"/>
        <v>2.37984315321764</v>
      </c>
      <c r="AT61" s="332">
        <f t="shared" si="122"/>
        <v>0.0286057248597713</v>
      </c>
      <c r="AU61" s="332">
        <f t="shared" si="117"/>
        <v>0.0263931300256479</v>
      </c>
      <c r="AV61" s="332">
        <f t="shared" si="117"/>
        <v>0.0245998709784104</v>
      </c>
      <c r="AW61" s="332">
        <f t="shared" si="117"/>
        <v>0.0243107547208443</v>
      </c>
      <c r="AX61" s="332">
        <f t="shared" si="117"/>
        <v>0.0226939013542046</v>
      </c>
      <c r="AY61" s="332">
        <f t="shared" si="117"/>
        <v>0.0217429842560391</v>
      </c>
      <c r="AZ61" s="332">
        <f t="shared" si="117"/>
        <v>0.021239454563344</v>
      </c>
      <c r="BA61" s="332">
        <f t="shared" si="117"/>
        <v>0.0200223397952213</v>
      </c>
      <c r="BB61" s="332">
        <f t="shared" si="117"/>
        <v>0.0195852515067376</v>
      </c>
      <c r="BC61" s="332">
        <f t="shared" si="117"/>
        <v>0.019484103158751</v>
      </c>
      <c r="BD61" s="332">
        <f t="shared" si="117"/>
        <v>0.0194436903784624</v>
      </c>
    </row>
    <row r="62" spans="2:56">
      <c r="B62" s="198" t="s">
        <v>30</v>
      </c>
      <c r="C62" s="25" t="s">
        <v>31</v>
      </c>
      <c r="D62" s="201">
        <v>454.20493990583</v>
      </c>
      <c r="E62" s="201">
        <v>472.925127395737</v>
      </c>
      <c r="F62" s="311">
        <v>634.235750347673</v>
      </c>
      <c r="G62" s="201">
        <v>553.623577062207</v>
      </c>
      <c r="H62" s="201">
        <v>551.226240207783</v>
      </c>
      <c r="I62" s="201">
        <v>576.595430022516</v>
      </c>
      <c r="J62" s="201">
        <v>469.368128567954</v>
      </c>
      <c r="K62" s="201">
        <v>477.162443926357</v>
      </c>
      <c r="L62" s="201">
        <v>601.770727729674</v>
      </c>
      <c r="M62" s="201">
        <v>499.57136776138</v>
      </c>
      <c r="N62" s="201">
        <v>489.731276853526</v>
      </c>
      <c r="O62" s="201">
        <v>500.527423055185</v>
      </c>
      <c r="P62" s="296">
        <f t="shared" si="118"/>
        <v>6280.94243283582</v>
      </c>
      <c r="Q62" s="312">
        <f t="shared" si="119"/>
        <v>5.42178941652502</v>
      </c>
      <c r="R62" s="313">
        <f t="shared" si="120"/>
        <v>0.215782227802867</v>
      </c>
      <c r="V62" s="201">
        <f t="shared" si="105"/>
        <v>927.130067301567</v>
      </c>
      <c r="W62" s="201">
        <f t="shared" si="106"/>
        <v>1561.36581764924</v>
      </c>
      <c r="X62" s="201">
        <f t="shared" si="107"/>
        <v>2114.98939471145</v>
      </c>
      <c r="Y62" s="201">
        <f t="shared" si="108"/>
        <v>2666.21563491923</v>
      </c>
      <c r="Z62" s="201">
        <f t="shared" si="109"/>
        <v>3242.81106494174</v>
      </c>
      <c r="AA62" s="331">
        <f t="shared" si="110"/>
        <v>3712.1791935097</v>
      </c>
      <c r="AB62" s="331">
        <f t="shared" si="111"/>
        <v>4189.34163743606</v>
      </c>
      <c r="AC62" s="331">
        <f t="shared" si="112"/>
        <v>4791.11236516573</v>
      </c>
      <c r="AD62" s="331">
        <f t="shared" si="113"/>
        <v>5290.68373292711</v>
      </c>
      <c r="AE62" s="331">
        <f t="shared" si="114"/>
        <v>5780.41500978064</v>
      </c>
      <c r="AF62" s="331">
        <f t="shared" si="115"/>
        <v>6280.94243283582</v>
      </c>
      <c r="AH62" s="295">
        <f t="shared" si="121"/>
        <v>6.11744955495739</v>
      </c>
      <c r="AI62" s="295">
        <f t="shared" si="116"/>
        <v>6.2566752326138</v>
      </c>
      <c r="AJ62" s="295">
        <f t="shared" si="116"/>
        <v>5.92528609529097</v>
      </c>
      <c r="AK62" s="295">
        <f t="shared" si="116"/>
        <v>5.90860275930979</v>
      </c>
      <c r="AL62" s="295">
        <f t="shared" si="116"/>
        <v>5.83844246006969</v>
      </c>
      <c r="AM62" s="295">
        <f t="shared" si="116"/>
        <v>5.63700074029092</v>
      </c>
      <c r="AN62" s="295">
        <f t="shared" si="116"/>
        <v>5.6777302280747</v>
      </c>
      <c r="AO62" s="295">
        <f t="shared" si="116"/>
        <v>5.5228769988873</v>
      </c>
      <c r="AP62" s="295">
        <f t="shared" si="116"/>
        <v>5.44968931816316</v>
      </c>
      <c r="AQ62" s="295">
        <f t="shared" si="116"/>
        <v>5.42536298026327</v>
      </c>
      <c r="AR62" s="295">
        <f t="shared" si="116"/>
        <v>5.42178941652502</v>
      </c>
      <c r="AT62" s="332">
        <f t="shared" si="122"/>
        <v>0.0499805186285637</v>
      </c>
      <c r="AU62" s="332">
        <f t="shared" si="117"/>
        <v>0.0511180141670503</v>
      </c>
      <c r="AV62" s="332">
        <f t="shared" si="117"/>
        <v>0.0484105131402792</v>
      </c>
      <c r="AW62" s="332">
        <f t="shared" si="117"/>
        <v>0.0482742076787788</v>
      </c>
      <c r="AX62" s="332">
        <f t="shared" si="117"/>
        <v>0.0477009870724374</v>
      </c>
      <c r="AY62" s="332">
        <f t="shared" si="117"/>
        <v>0.0460551767494387</v>
      </c>
      <c r="AZ62" s="332">
        <f t="shared" si="117"/>
        <v>0.0463879430280359</v>
      </c>
      <c r="BA62" s="332">
        <f t="shared" si="117"/>
        <v>0.0451227679519583</v>
      </c>
      <c r="BB62" s="332">
        <f t="shared" si="117"/>
        <v>0.0445248131659069</v>
      </c>
      <c r="BC62" s="332">
        <f t="shared" si="117"/>
        <v>0.0443260631846202</v>
      </c>
      <c r="BD62" s="332">
        <f t="shared" si="117"/>
        <v>0.0442968666105602</v>
      </c>
    </row>
    <row r="63" spans="2:56">
      <c r="B63" s="198"/>
      <c r="C63" s="25" t="s">
        <v>32</v>
      </c>
      <c r="D63" s="201">
        <v>34.2528109281932</v>
      </c>
      <c r="E63" s="201">
        <v>34.3512032951389</v>
      </c>
      <c r="F63" s="311">
        <v>42.2275425087538</v>
      </c>
      <c r="G63" s="201">
        <v>46.8780303935154</v>
      </c>
      <c r="H63" s="201">
        <v>45.7052112753355</v>
      </c>
      <c r="I63" s="201">
        <v>44.3243274913821</v>
      </c>
      <c r="J63" s="201">
        <v>45.1286725532678</v>
      </c>
      <c r="K63" s="201">
        <v>35.4911605561655</v>
      </c>
      <c r="L63" s="201">
        <v>55.1185953355612</v>
      </c>
      <c r="M63" s="201">
        <v>48.7772266294527</v>
      </c>
      <c r="N63" s="201">
        <v>43.6316561493071</v>
      </c>
      <c r="O63" s="201">
        <v>43.2419061675088</v>
      </c>
      <c r="P63" s="296">
        <f t="shared" si="118"/>
        <v>519.128343283582</v>
      </c>
      <c r="Q63" s="312">
        <f t="shared" si="119"/>
        <v>0.448118190467526</v>
      </c>
      <c r="R63" s="313">
        <f t="shared" si="120"/>
        <v>0.0178346914698224</v>
      </c>
      <c r="V63" s="201">
        <f t="shared" si="105"/>
        <v>68.6040142233321</v>
      </c>
      <c r="W63" s="201">
        <f t="shared" si="106"/>
        <v>110.831556732086</v>
      </c>
      <c r="X63" s="201">
        <f t="shared" si="107"/>
        <v>157.709587125601</v>
      </c>
      <c r="Y63" s="201">
        <f t="shared" si="108"/>
        <v>203.414798400937</v>
      </c>
      <c r="Z63" s="201">
        <f t="shared" si="109"/>
        <v>247.739125892319</v>
      </c>
      <c r="AA63" s="331">
        <f t="shared" si="110"/>
        <v>292.867798445587</v>
      </c>
      <c r="AB63" s="331">
        <f t="shared" si="111"/>
        <v>328.358959001752</v>
      </c>
      <c r="AC63" s="331">
        <f t="shared" si="112"/>
        <v>383.477554337313</v>
      </c>
      <c r="AD63" s="331">
        <f t="shared" si="113"/>
        <v>432.254780966766</v>
      </c>
      <c r="AE63" s="331">
        <f t="shared" si="114"/>
        <v>475.886437116073</v>
      </c>
      <c r="AF63" s="331">
        <f t="shared" si="115"/>
        <v>519.128343283582</v>
      </c>
      <c r="AH63" s="295">
        <f t="shared" si="121"/>
        <v>0.452667442336657</v>
      </c>
      <c r="AI63" s="295">
        <f t="shared" si="116"/>
        <v>0.44412209372029</v>
      </c>
      <c r="AJ63" s="295">
        <f t="shared" si="116"/>
        <v>0.44183409431086</v>
      </c>
      <c r="AK63" s="295">
        <f t="shared" si="116"/>
        <v>0.450787709506711</v>
      </c>
      <c r="AL63" s="295">
        <f t="shared" si="116"/>
        <v>0.446036047942327</v>
      </c>
      <c r="AM63" s="295">
        <f t="shared" si="116"/>
        <v>0.444724220083863</v>
      </c>
      <c r="AN63" s="295">
        <f t="shared" si="116"/>
        <v>0.445018274595621</v>
      </c>
      <c r="AO63" s="295">
        <f t="shared" si="116"/>
        <v>0.442047525296527</v>
      </c>
      <c r="AP63" s="295">
        <f t="shared" si="116"/>
        <v>0.445245715199131</v>
      </c>
      <c r="AQ63" s="295">
        <f t="shared" si="116"/>
        <v>0.446655932899342</v>
      </c>
      <c r="AR63" s="295">
        <f t="shared" si="116"/>
        <v>0.448118190467526</v>
      </c>
      <c r="AT63" s="332">
        <f t="shared" si="122"/>
        <v>0.00369836372674579</v>
      </c>
      <c r="AU63" s="332">
        <f t="shared" si="117"/>
        <v>0.00362854689346078</v>
      </c>
      <c r="AV63" s="332">
        <f t="shared" si="117"/>
        <v>0.00360985358081834</v>
      </c>
      <c r="AW63" s="332">
        <f t="shared" si="117"/>
        <v>0.00368300601584359</v>
      </c>
      <c r="AX63" s="332">
        <f t="shared" si="117"/>
        <v>0.00364418419848297</v>
      </c>
      <c r="AY63" s="332">
        <f t="shared" si="117"/>
        <v>0.00363346635992486</v>
      </c>
      <c r="AZ63" s="332">
        <f t="shared" si="117"/>
        <v>0.00363586883122777</v>
      </c>
      <c r="BA63" s="332">
        <f t="shared" si="117"/>
        <v>0.00361159734531681</v>
      </c>
      <c r="BB63" s="332">
        <f t="shared" si="117"/>
        <v>0.0036377270564928</v>
      </c>
      <c r="BC63" s="332">
        <f t="shared" si="117"/>
        <v>0.00364924875543</v>
      </c>
      <c r="BD63" s="332">
        <f t="shared" si="117"/>
        <v>0.00366119562821903</v>
      </c>
    </row>
    <row r="64" spans="2:56">
      <c r="B64" s="198"/>
      <c r="C64" s="25" t="s">
        <v>33</v>
      </c>
      <c r="D64" s="201">
        <v>38.3001391042674</v>
      </c>
      <c r="E64" s="201">
        <v>21.6159152600624</v>
      </c>
      <c r="F64" s="311">
        <v>28.2133598124615</v>
      </c>
      <c r="G64" s="201">
        <v>32.1963302733338</v>
      </c>
      <c r="H64" s="201">
        <v>36.0925414353732</v>
      </c>
      <c r="I64" s="201">
        <v>34.094902458399</v>
      </c>
      <c r="J64" s="201">
        <v>30.165922776367</v>
      </c>
      <c r="K64" s="201">
        <v>27.0631467432286</v>
      </c>
      <c r="L64" s="201">
        <v>28.4296582828362</v>
      </c>
      <c r="M64" s="201">
        <v>27.0748390759541</v>
      </c>
      <c r="N64" s="201">
        <v>27.1648841145416</v>
      </c>
      <c r="O64" s="201">
        <v>27.981569618399</v>
      </c>
      <c r="P64" s="296">
        <f t="shared" si="118"/>
        <v>358.393208955224</v>
      </c>
      <c r="Q64" s="312">
        <f t="shared" si="119"/>
        <v>0.309369577582731</v>
      </c>
      <c r="R64" s="313">
        <f t="shared" si="120"/>
        <v>0.0123126244006762</v>
      </c>
      <c r="V64" s="201">
        <f t="shared" si="105"/>
        <v>59.9160543643299</v>
      </c>
      <c r="W64" s="201">
        <f t="shared" si="106"/>
        <v>88.1294141767913</v>
      </c>
      <c r="X64" s="201">
        <f t="shared" si="107"/>
        <v>120.325744450125</v>
      </c>
      <c r="Y64" s="201">
        <f t="shared" si="108"/>
        <v>156.418285885498</v>
      </c>
      <c r="Z64" s="201">
        <f t="shared" si="109"/>
        <v>190.513188343897</v>
      </c>
      <c r="AA64" s="331">
        <f t="shared" si="110"/>
        <v>220.679111120264</v>
      </c>
      <c r="AB64" s="331">
        <f t="shared" si="111"/>
        <v>247.742257863493</v>
      </c>
      <c r="AC64" s="331">
        <f t="shared" si="112"/>
        <v>276.171916146329</v>
      </c>
      <c r="AD64" s="331">
        <f t="shared" si="113"/>
        <v>303.246755222283</v>
      </c>
      <c r="AE64" s="331">
        <f t="shared" si="114"/>
        <v>330.411639336825</v>
      </c>
      <c r="AF64" s="331">
        <f t="shared" si="115"/>
        <v>358.393208955224</v>
      </c>
      <c r="AH64" s="295">
        <f t="shared" si="121"/>
        <v>0.395341983862821</v>
      </c>
      <c r="AI64" s="295">
        <f t="shared" si="116"/>
        <v>0.35315050240748</v>
      </c>
      <c r="AJ64" s="295">
        <f t="shared" si="116"/>
        <v>0.337100726026635</v>
      </c>
      <c r="AK64" s="295">
        <f t="shared" si="116"/>
        <v>0.346638697742676</v>
      </c>
      <c r="AL64" s="295">
        <f t="shared" si="116"/>
        <v>0.343004962594158</v>
      </c>
      <c r="AM64" s="295">
        <f t="shared" si="116"/>
        <v>0.335104597032008</v>
      </c>
      <c r="AN64" s="295">
        <f t="shared" si="116"/>
        <v>0.33576008546868</v>
      </c>
      <c r="AO64" s="295">
        <f t="shared" si="116"/>
        <v>0.318352692897119</v>
      </c>
      <c r="AP64" s="295">
        <f t="shared" si="116"/>
        <v>0.312360497456574</v>
      </c>
      <c r="AQ64" s="295">
        <f t="shared" si="116"/>
        <v>0.310116673850056</v>
      </c>
      <c r="AR64" s="295">
        <f t="shared" si="116"/>
        <v>0.309369577582731</v>
      </c>
      <c r="AT64" s="332">
        <f t="shared" si="122"/>
        <v>0.00323000577472628</v>
      </c>
      <c r="AU64" s="332">
        <f t="shared" si="117"/>
        <v>0.00288529477941672</v>
      </c>
      <c r="AV64" s="332">
        <f t="shared" si="117"/>
        <v>0.00275416559883573</v>
      </c>
      <c r="AW64" s="332">
        <f t="shared" si="117"/>
        <v>0.00283209231792833</v>
      </c>
      <c r="AX64" s="332">
        <f t="shared" si="117"/>
        <v>0.00280240413404545</v>
      </c>
      <c r="AY64" s="332">
        <f t="shared" si="117"/>
        <v>0.00273785691308284</v>
      </c>
      <c r="AZ64" s="332">
        <f t="shared" si="117"/>
        <v>0.0027432123560212</v>
      </c>
      <c r="BA64" s="332">
        <f t="shared" si="117"/>
        <v>0.00260099123905382</v>
      </c>
      <c r="BB64" s="332">
        <f t="shared" si="117"/>
        <v>0.00255203406610918</v>
      </c>
      <c r="BC64" s="332">
        <f t="shared" si="117"/>
        <v>0.00253370167667838</v>
      </c>
      <c r="BD64" s="332">
        <f t="shared" si="117"/>
        <v>0.00252759778345116</v>
      </c>
    </row>
    <row r="65" spans="2:56">
      <c r="B65" s="198"/>
      <c r="C65" s="25" t="s">
        <v>34</v>
      </c>
      <c r="D65" s="201">
        <v>-57.7705574336449</v>
      </c>
      <c r="E65" s="201">
        <v>-57.0807663537581</v>
      </c>
      <c r="F65" s="311">
        <v>-72.3533229323026</v>
      </c>
      <c r="G65" s="201">
        <v>-81.1785660815963</v>
      </c>
      <c r="H65" s="201">
        <v>-82.4157603377949</v>
      </c>
      <c r="I65" s="201">
        <v>-80.418617545117</v>
      </c>
      <c r="J65" s="201">
        <v>-83.1394917805521</v>
      </c>
      <c r="K65" s="201">
        <v>-66.792603585382</v>
      </c>
      <c r="L65" s="201">
        <v>-101.458169371597</v>
      </c>
      <c r="M65" s="201">
        <v>-93.0150841601925</v>
      </c>
      <c r="N65" s="201">
        <v>-83.4679614981603</v>
      </c>
      <c r="O65" s="201">
        <v>-83.495412352738</v>
      </c>
      <c r="P65" s="296">
        <f t="shared" si="118"/>
        <v>-942.586313432836</v>
      </c>
      <c r="Q65" s="312">
        <f t="shared" si="119"/>
        <v>-0.813652497691196</v>
      </c>
      <c r="R65" s="313">
        <f t="shared" si="120"/>
        <v>-0.0323826204083194</v>
      </c>
      <c r="V65" s="201">
        <f t="shared" si="105"/>
        <v>-114.851323787403</v>
      </c>
      <c r="W65" s="201">
        <f t="shared" si="106"/>
        <v>-187.204646719706</v>
      </c>
      <c r="X65" s="201">
        <f t="shared" si="107"/>
        <v>-268.383212801302</v>
      </c>
      <c r="Y65" s="201">
        <f t="shared" si="108"/>
        <v>-350.798973139097</v>
      </c>
      <c r="Z65" s="201">
        <f t="shared" si="109"/>
        <v>-431.217590684214</v>
      </c>
      <c r="AA65" s="331">
        <f t="shared" si="110"/>
        <v>-514.357082464766</v>
      </c>
      <c r="AB65" s="331">
        <f t="shared" si="111"/>
        <v>-581.149686050148</v>
      </c>
      <c r="AC65" s="331">
        <f t="shared" si="112"/>
        <v>-682.607855421745</v>
      </c>
      <c r="AD65" s="331">
        <f t="shared" si="113"/>
        <v>-775.622939581937</v>
      </c>
      <c r="AE65" s="331">
        <f t="shared" si="114"/>
        <v>-859.090901080098</v>
      </c>
      <c r="AF65" s="331">
        <f t="shared" si="115"/>
        <v>-942.586313432836</v>
      </c>
      <c r="AH65" s="295">
        <f t="shared" si="121"/>
        <v>-0.757819430486642</v>
      </c>
      <c r="AI65" s="295">
        <f t="shared" si="116"/>
        <v>-0.750162878757556</v>
      </c>
      <c r="AJ65" s="295">
        <f t="shared" si="116"/>
        <v>-0.751893755589273</v>
      </c>
      <c r="AK65" s="295">
        <f t="shared" si="116"/>
        <v>-0.777405905773822</v>
      </c>
      <c r="AL65" s="295">
        <f t="shared" si="116"/>
        <v>-0.776375508952105</v>
      </c>
      <c r="AM65" s="295">
        <f t="shared" si="116"/>
        <v>-0.781059077023294</v>
      </c>
      <c r="AN65" s="295">
        <f t="shared" si="116"/>
        <v>-0.787620448530061</v>
      </c>
      <c r="AO65" s="295">
        <f t="shared" si="116"/>
        <v>-0.786865123719163</v>
      </c>
      <c r="AP65" s="295">
        <f t="shared" si="116"/>
        <v>-0.798933419976595</v>
      </c>
      <c r="AQ65" s="295">
        <f t="shared" si="116"/>
        <v>-0.806322723111511</v>
      </c>
      <c r="AR65" s="295">
        <f t="shared" si="116"/>
        <v>-0.813652497691196</v>
      </c>
      <c r="AT65" s="332">
        <f t="shared" si="122"/>
        <v>-0.006191503145593</v>
      </c>
      <c r="AU65" s="332">
        <f t="shared" si="117"/>
        <v>-0.00612894792173896</v>
      </c>
      <c r="AV65" s="332">
        <f t="shared" si="117"/>
        <v>-0.006143089455879</v>
      </c>
      <c r="AW65" s="332">
        <f t="shared" si="117"/>
        <v>-0.00635152770879769</v>
      </c>
      <c r="AX65" s="332">
        <f t="shared" si="117"/>
        <v>-0.0063431092057794</v>
      </c>
      <c r="AY65" s="332">
        <f t="shared" si="117"/>
        <v>-0.00638137468866197</v>
      </c>
      <c r="AZ65" s="332">
        <f t="shared" si="117"/>
        <v>-0.00643498211899331</v>
      </c>
      <c r="BA65" s="332">
        <f t="shared" si="117"/>
        <v>-0.00642881099727951</v>
      </c>
      <c r="BB65" s="332">
        <f t="shared" si="117"/>
        <v>-0.00652741086320252</v>
      </c>
      <c r="BC65" s="332">
        <f t="shared" si="117"/>
        <v>-0.0065877826242884</v>
      </c>
      <c r="BD65" s="332">
        <f t="shared" si="117"/>
        <v>-0.00664766802777754</v>
      </c>
    </row>
    <row r="66" spans="2:56">
      <c r="B66" s="198"/>
      <c r="C66" s="25" t="s">
        <v>35</v>
      </c>
      <c r="D66" s="201">
        <v>39.3476509764621</v>
      </c>
      <c r="E66" s="201">
        <v>39.3100615347447</v>
      </c>
      <c r="F66" s="311">
        <v>53.3853569127204</v>
      </c>
      <c r="G66" s="201">
        <v>60.9881948612436</v>
      </c>
      <c r="H66" s="201">
        <v>67.2105098261673</v>
      </c>
      <c r="I66" s="201">
        <v>67.1879178090965</v>
      </c>
      <c r="J66" s="201">
        <v>72.0386654205674</v>
      </c>
      <c r="K66" s="201">
        <v>58.9251249013377</v>
      </c>
      <c r="L66" s="201">
        <v>90.989090068661</v>
      </c>
      <c r="M66" s="201">
        <v>91.8227763908801</v>
      </c>
      <c r="N66" s="201">
        <v>82.7507633360464</v>
      </c>
      <c r="O66" s="201">
        <v>84.7738730366997</v>
      </c>
      <c r="P66" s="296">
        <f t="shared" si="118"/>
        <v>808.729985074627</v>
      </c>
      <c r="Q66" s="312">
        <f t="shared" si="119"/>
        <v>0.698106012082066</v>
      </c>
      <c r="R66" s="313">
        <f t="shared" si="120"/>
        <v>0.027783976646255</v>
      </c>
      <c r="V66" s="201">
        <f t="shared" si="105"/>
        <v>78.6577125112068</v>
      </c>
      <c r="W66" s="201">
        <f t="shared" si="106"/>
        <v>132.043069423927</v>
      </c>
      <c r="X66" s="201">
        <f t="shared" si="107"/>
        <v>193.031264285171</v>
      </c>
      <c r="Y66" s="201">
        <f t="shared" si="108"/>
        <v>260.241774111338</v>
      </c>
      <c r="Z66" s="201">
        <f t="shared" si="109"/>
        <v>327.429691920435</v>
      </c>
      <c r="AA66" s="331">
        <f t="shared" si="110"/>
        <v>399.468357341002</v>
      </c>
      <c r="AB66" s="331">
        <f t="shared" si="111"/>
        <v>458.39348224234</v>
      </c>
      <c r="AC66" s="331">
        <f t="shared" si="112"/>
        <v>549.382572311001</v>
      </c>
      <c r="AD66" s="331">
        <f t="shared" si="113"/>
        <v>641.205348701881</v>
      </c>
      <c r="AE66" s="331">
        <f t="shared" si="114"/>
        <v>723.956112037927</v>
      </c>
      <c r="AF66" s="331">
        <f t="shared" si="115"/>
        <v>808.729985074627</v>
      </c>
      <c r="AH66" s="295">
        <f t="shared" si="121"/>
        <v>0.519004404415604</v>
      </c>
      <c r="AI66" s="295">
        <f t="shared" si="116"/>
        <v>0.529120461562829</v>
      </c>
      <c r="AJ66" s="295">
        <f t="shared" si="116"/>
        <v>0.54079016617547</v>
      </c>
      <c r="AK66" s="295">
        <f t="shared" si="116"/>
        <v>0.576722019203263</v>
      </c>
      <c r="AL66" s="295">
        <f t="shared" si="116"/>
        <v>0.589513042145162</v>
      </c>
      <c r="AM66" s="295">
        <f t="shared" si="116"/>
        <v>0.606598795120406</v>
      </c>
      <c r="AN66" s="295">
        <f t="shared" si="116"/>
        <v>0.621251441329719</v>
      </c>
      <c r="AO66" s="295">
        <f t="shared" si="116"/>
        <v>0.63329184142418</v>
      </c>
      <c r="AP66" s="295">
        <f t="shared" si="116"/>
        <v>0.660476058665566</v>
      </c>
      <c r="AQ66" s="295">
        <f t="shared" si="116"/>
        <v>0.679488355583478</v>
      </c>
      <c r="AR66" s="295">
        <f t="shared" si="116"/>
        <v>0.698106012082066</v>
      </c>
      <c r="AT66" s="332">
        <f t="shared" si="122"/>
        <v>0.00424034707113844</v>
      </c>
      <c r="AU66" s="332">
        <f t="shared" si="117"/>
        <v>0.00432299683852145</v>
      </c>
      <c r="AV66" s="332">
        <f t="shared" si="117"/>
        <v>0.00441834014843224</v>
      </c>
      <c r="AW66" s="332">
        <f t="shared" si="117"/>
        <v>0.00471190900151074</v>
      </c>
      <c r="AX66" s="332">
        <f t="shared" si="117"/>
        <v>0.00481641365736162</v>
      </c>
      <c r="AY66" s="332">
        <f t="shared" si="117"/>
        <v>0.00495600692857547</v>
      </c>
      <c r="AZ66" s="332">
        <f t="shared" si="117"/>
        <v>0.00507572133737331</v>
      </c>
      <c r="BA66" s="332">
        <f t="shared" si="117"/>
        <v>0.00517409328728647</v>
      </c>
      <c r="BB66" s="332">
        <f t="shared" si="117"/>
        <v>0.00539619258929624</v>
      </c>
      <c r="BC66" s="332">
        <f t="shared" si="117"/>
        <v>0.0055515260255168</v>
      </c>
      <c r="BD66" s="332">
        <f t="shared" si="117"/>
        <v>0.00570363518785454</v>
      </c>
    </row>
    <row r="67" spans="2:56">
      <c r="B67" s="336" t="s">
        <v>36</v>
      </c>
      <c r="C67" s="337" t="s">
        <v>37</v>
      </c>
      <c r="D67" s="339">
        <v>479.744093743181</v>
      </c>
      <c r="E67" s="339">
        <v>478.940002215965</v>
      </c>
      <c r="F67" s="339">
        <v>480.762476492147</v>
      </c>
      <c r="G67" s="339">
        <v>479.911224742563</v>
      </c>
      <c r="H67" s="339">
        <v>479.924800056616</v>
      </c>
      <c r="I67" s="339">
        <v>356.410659044543</v>
      </c>
      <c r="J67" s="339">
        <v>355.31076615057</v>
      </c>
      <c r="K67" s="339">
        <v>355.695598757783</v>
      </c>
      <c r="L67" s="339">
        <v>356.699761697472</v>
      </c>
      <c r="M67" s="339">
        <v>355.849711155379</v>
      </c>
      <c r="N67" s="339">
        <v>355.731972832303</v>
      </c>
      <c r="O67" s="339">
        <v>356.387709230883</v>
      </c>
      <c r="P67" s="344">
        <f t="shared" si="118"/>
        <v>4891.3687761194</v>
      </c>
      <c r="Q67" s="312">
        <f t="shared" si="119"/>
        <v>4.2222917573711</v>
      </c>
      <c r="R67" s="313">
        <f t="shared" si="120"/>
        <v>0.168043325154293</v>
      </c>
      <c r="V67" s="201">
        <f t="shared" si="105"/>
        <v>958.684095959145</v>
      </c>
      <c r="W67" s="201">
        <f t="shared" si="106"/>
        <v>1439.44657245129</v>
      </c>
      <c r="X67" s="201">
        <f t="shared" si="107"/>
        <v>1919.35779719385</v>
      </c>
      <c r="Y67" s="201">
        <f t="shared" si="108"/>
        <v>2399.28259725047</v>
      </c>
      <c r="Z67" s="201">
        <f t="shared" si="109"/>
        <v>2755.69325629501</v>
      </c>
      <c r="AA67" s="331">
        <f t="shared" si="110"/>
        <v>3111.00402244558</v>
      </c>
      <c r="AB67" s="331">
        <f t="shared" si="111"/>
        <v>3466.69962120337</v>
      </c>
      <c r="AC67" s="331">
        <f t="shared" si="112"/>
        <v>3823.39938290084</v>
      </c>
      <c r="AD67" s="331">
        <f t="shared" si="113"/>
        <v>4179.24909405622</v>
      </c>
      <c r="AE67" s="331">
        <f t="shared" si="114"/>
        <v>4534.98106688852</v>
      </c>
      <c r="AF67" s="331">
        <f t="shared" si="115"/>
        <v>4891.3687761194</v>
      </c>
      <c r="AH67" s="295">
        <f t="shared" si="121"/>
        <v>6.32565138701557</v>
      </c>
      <c r="AI67" s="295">
        <f t="shared" si="116"/>
        <v>5.76812276580148</v>
      </c>
      <c r="AJ67" s="295">
        <f t="shared" si="116"/>
        <v>5.37721091937328</v>
      </c>
      <c r="AK67" s="295">
        <f t="shared" si="116"/>
        <v>5.31705222518791</v>
      </c>
      <c r="AL67" s="295">
        <f t="shared" si="116"/>
        <v>4.96142272623259</v>
      </c>
      <c r="AM67" s="295">
        <f t="shared" si="116"/>
        <v>4.72410707118736</v>
      </c>
      <c r="AN67" s="295">
        <f t="shared" si="116"/>
        <v>4.69834807815</v>
      </c>
      <c r="AO67" s="295">
        <f t="shared" si="116"/>
        <v>4.40736156866413</v>
      </c>
      <c r="AP67" s="295">
        <f t="shared" si="116"/>
        <v>4.30485175367314</v>
      </c>
      <c r="AQ67" s="295">
        <f t="shared" si="116"/>
        <v>4.25642767082661</v>
      </c>
      <c r="AR67" s="295">
        <f t="shared" si="116"/>
        <v>4.2222917573711</v>
      </c>
      <c r="AT67" s="332">
        <f t="shared" si="122"/>
        <v>0.0516815601250567</v>
      </c>
      <c r="AU67" s="332">
        <f t="shared" si="117"/>
        <v>0.0471264641838132</v>
      </c>
      <c r="AV67" s="332">
        <f t="shared" si="117"/>
        <v>0.0439326533240737</v>
      </c>
      <c r="AW67" s="332">
        <f t="shared" si="117"/>
        <v>0.0434411473936383</v>
      </c>
      <c r="AX67" s="332">
        <f t="shared" si="117"/>
        <v>0.0405355988251177</v>
      </c>
      <c r="AY67" s="332">
        <f t="shared" si="117"/>
        <v>0.0385966928461994</v>
      </c>
      <c r="AZ67" s="332">
        <f t="shared" si="117"/>
        <v>0.0383862378486075</v>
      </c>
      <c r="BA67" s="332">
        <f t="shared" si="117"/>
        <v>0.0360088326036009</v>
      </c>
      <c r="BB67" s="332">
        <f t="shared" si="117"/>
        <v>0.0351713113994226</v>
      </c>
      <c r="BC67" s="332">
        <f t="shared" si="117"/>
        <v>0.0347756790769917</v>
      </c>
      <c r="BD67" s="332">
        <f t="shared" si="117"/>
        <v>0.0344967833308088</v>
      </c>
    </row>
    <row r="68" spans="2:56">
      <c r="B68" s="336"/>
      <c r="C68" s="337" t="s">
        <v>38</v>
      </c>
      <c r="D68" s="338"/>
      <c r="E68" s="338"/>
      <c r="F68" s="336"/>
      <c r="G68" s="336"/>
      <c r="H68" s="336"/>
      <c r="I68" s="336"/>
      <c r="J68" s="336"/>
      <c r="K68" s="336"/>
      <c r="L68" s="336"/>
      <c r="M68" s="336"/>
      <c r="N68" s="336"/>
      <c r="O68" s="336"/>
      <c r="P68" s="344">
        <f t="shared" si="118"/>
        <v>0</v>
      </c>
      <c r="V68" s="201">
        <f t="shared" si="105"/>
        <v>0</v>
      </c>
      <c r="W68" s="201">
        <f t="shared" si="106"/>
        <v>0</v>
      </c>
      <c r="X68" s="201">
        <f t="shared" si="107"/>
        <v>0</v>
      </c>
      <c r="Y68" s="201">
        <f t="shared" si="108"/>
        <v>0</v>
      </c>
      <c r="Z68" s="201">
        <f t="shared" si="109"/>
        <v>0</v>
      </c>
      <c r="AA68" s="331">
        <f t="shared" si="110"/>
        <v>0</v>
      </c>
      <c r="AB68" s="331">
        <f t="shared" si="111"/>
        <v>0</v>
      </c>
      <c r="AC68" s="331">
        <f t="shared" si="112"/>
        <v>0</v>
      </c>
      <c r="AD68" s="331">
        <f t="shared" si="113"/>
        <v>0</v>
      </c>
      <c r="AE68" s="331">
        <f t="shared" si="114"/>
        <v>0</v>
      </c>
      <c r="AF68" s="331">
        <f t="shared" si="115"/>
        <v>0</v>
      </c>
      <c r="AH68" s="295">
        <f t="shared" si="121"/>
        <v>0</v>
      </c>
      <c r="AI68" s="295">
        <f t="shared" si="116"/>
        <v>0</v>
      </c>
      <c r="AJ68" s="295">
        <f t="shared" si="116"/>
        <v>0</v>
      </c>
      <c r="AK68" s="295">
        <f t="shared" si="116"/>
        <v>0</v>
      </c>
      <c r="AL68" s="295">
        <f t="shared" si="116"/>
        <v>0</v>
      </c>
      <c r="AM68" s="295">
        <f t="shared" si="116"/>
        <v>0</v>
      </c>
      <c r="AN68" s="295">
        <f t="shared" si="116"/>
        <v>0</v>
      </c>
      <c r="AO68" s="295">
        <f t="shared" si="116"/>
        <v>0</v>
      </c>
      <c r="AP68" s="295">
        <f t="shared" si="116"/>
        <v>0</v>
      </c>
      <c r="AQ68" s="295">
        <f t="shared" si="116"/>
        <v>0</v>
      </c>
      <c r="AR68" s="295">
        <f t="shared" si="116"/>
        <v>0</v>
      </c>
      <c r="AT68" s="332">
        <f t="shared" si="122"/>
        <v>0</v>
      </c>
      <c r="AU68" s="332">
        <f t="shared" si="117"/>
        <v>0</v>
      </c>
      <c r="AV68" s="332">
        <f t="shared" si="117"/>
        <v>0</v>
      </c>
      <c r="AW68" s="332">
        <f t="shared" si="117"/>
        <v>0</v>
      </c>
      <c r="AX68" s="332">
        <f t="shared" si="117"/>
        <v>0</v>
      </c>
      <c r="AY68" s="332">
        <f t="shared" si="117"/>
        <v>0</v>
      </c>
      <c r="AZ68" s="332">
        <f t="shared" si="117"/>
        <v>0</v>
      </c>
      <c r="BA68" s="332">
        <f t="shared" si="117"/>
        <v>0</v>
      </c>
      <c r="BB68" s="332">
        <f t="shared" si="117"/>
        <v>0</v>
      </c>
      <c r="BC68" s="332">
        <f t="shared" si="117"/>
        <v>0</v>
      </c>
      <c r="BD68" s="332">
        <f t="shared" si="117"/>
        <v>0</v>
      </c>
    </row>
    <row r="69" spans="2:56">
      <c r="B69" s="336"/>
      <c r="C69" s="337" t="s">
        <v>39</v>
      </c>
      <c r="D69" s="338"/>
      <c r="E69" s="338"/>
      <c r="F69" s="336"/>
      <c r="G69" s="336"/>
      <c r="H69" s="336"/>
      <c r="I69" s="336"/>
      <c r="J69" s="336"/>
      <c r="K69" s="336"/>
      <c r="L69" s="336"/>
      <c r="M69" s="336"/>
      <c r="N69" s="336"/>
      <c r="O69" s="336"/>
      <c r="P69" s="344">
        <f t="shared" si="118"/>
        <v>0</v>
      </c>
      <c r="V69" s="201">
        <f t="shared" si="105"/>
        <v>0</v>
      </c>
      <c r="W69" s="201">
        <f t="shared" si="106"/>
        <v>0</v>
      </c>
      <c r="X69" s="201">
        <f t="shared" si="107"/>
        <v>0</v>
      </c>
      <c r="Y69" s="201">
        <f t="shared" si="108"/>
        <v>0</v>
      </c>
      <c r="Z69" s="201">
        <f t="shared" si="109"/>
        <v>0</v>
      </c>
      <c r="AA69" s="331">
        <f t="shared" si="110"/>
        <v>0</v>
      </c>
      <c r="AB69" s="331">
        <f t="shared" si="111"/>
        <v>0</v>
      </c>
      <c r="AC69" s="331">
        <f t="shared" si="112"/>
        <v>0</v>
      </c>
      <c r="AD69" s="331">
        <f t="shared" si="113"/>
        <v>0</v>
      </c>
      <c r="AE69" s="331">
        <f t="shared" si="114"/>
        <v>0</v>
      </c>
      <c r="AF69" s="331">
        <f t="shared" si="115"/>
        <v>0</v>
      </c>
      <c r="AH69" s="295">
        <f t="shared" si="121"/>
        <v>0</v>
      </c>
      <c r="AI69" s="295">
        <f t="shared" si="116"/>
        <v>0</v>
      </c>
      <c r="AJ69" s="295">
        <f t="shared" si="116"/>
        <v>0</v>
      </c>
      <c r="AK69" s="295">
        <f t="shared" si="116"/>
        <v>0</v>
      </c>
      <c r="AL69" s="295">
        <f t="shared" si="116"/>
        <v>0</v>
      </c>
      <c r="AM69" s="295">
        <f t="shared" si="116"/>
        <v>0</v>
      </c>
      <c r="AN69" s="295">
        <f t="shared" si="116"/>
        <v>0</v>
      </c>
      <c r="AO69" s="295">
        <f t="shared" si="116"/>
        <v>0</v>
      </c>
      <c r="AP69" s="295">
        <f t="shared" si="116"/>
        <v>0</v>
      </c>
      <c r="AQ69" s="295">
        <f t="shared" si="116"/>
        <v>0</v>
      </c>
      <c r="AR69" s="295">
        <f t="shared" si="116"/>
        <v>0</v>
      </c>
      <c r="AT69" s="332">
        <f t="shared" si="122"/>
        <v>0</v>
      </c>
      <c r="AU69" s="332">
        <f t="shared" si="117"/>
        <v>0</v>
      </c>
      <c r="AV69" s="332">
        <f t="shared" si="117"/>
        <v>0</v>
      </c>
      <c r="AW69" s="332">
        <f t="shared" si="117"/>
        <v>0</v>
      </c>
      <c r="AX69" s="332">
        <f t="shared" si="117"/>
        <v>0</v>
      </c>
      <c r="AY69" s="332">
        <f t="shared" si="117"/>
        <v>0</v>
      </c>
      <c r="AZ69" s="332">
        <f t="shared" si="117"/>
        <v>0</v>
      </c>
      <c r="BA69" s="332">
        <f t="shared" si="117"/>
        <v>0</v>
      </c>
      <c r="BB69" s="332">
        <f t="shared" si="117"/>
        <v>0</v>
      </c>
      <c r="BC69" s="332">
        <f t="shared" si="117"/>
        <v>0</v>
      </c>
      <c r="BD69" s="332">
        <f t="shared" si="117"/>
        <v>0</v>
      </c>
    </row>
    <row r="70" spans="2:56">
      <c r="B70" s="336"/>
      <c r="C70" s="337" t="s">
        <v>40</v>
      </c>
      <c r="D70" s="338"/>
      <c r="E70" s="338"/>
      <c r="F70" s="336"/>
      <c r="G70" s="336"/>
      <c r="H70" s="336"/>
      <c r="I70" s="336"/>
      <c r="J70" s="336"/>
      <c r="K70" s="336"/>
      <c r="L70" s="336"/>
      <c r="M70" s="336"/>
      <c r="N70" s="336"/>
      <c r="O70" s="336"/>
      <c r="P70" s="344">
        <f t="shared" si="118"/>
        <v>0</v>
      </c>
      <c r="V70" s="201">
        <f t="shared" si="105"/>
        <v>0</v>
      </c>
      <c r="W70" s="201">
        <f t="shared" si="106"/>
        <v>0</v>
      </c>
      <c r="X70" s="201">
        <f t="shared" si="107"/>
        <v>0</v>
      </c>
      <c r="Y70" s="201">
        <f t="shared" si="108"/>
        <v>0</v>
      </c>
      <c r="Z70" s="201">
        <f t="shared" si="109"/>
        <v>0</v>
      </c>
      <c r="AA70" s="331">
        <f t="shared" si="110"/>
        <v>0</v>
      </c>
      <c r="AB70" s="331">
        <f t="shared" si="111"/>
        <v>0</v>
      </c>
      <c r="AC70" s="331">
        <f t="shared" si="112"/>
        <v>0</v>
      </c>
      <c r="AD70" s="331">
        <f t="shared" si="113"/>
        <v>0</v>
      </c>
      <c r="AE70" s="331">
        <f t="shared" si="114"/>
        <v>0</v>
      </c>
      <c r="AF70" s="331">
        <f t="shared" si="115"/>
        <v>0</v>
      </c>
      <c r="AH70" s="295">
        <f t="shared" si="121"/>
        <v>0</v>
      </c>
      <c r="AI70" s="295">
        <f t="shared" si="116"/>
        <v>0</v>
      </c>
      <c r="AJ70" s="295">
        <f t="shared" si="116"/>
        <v>0</v>
      </c>
      <c r="AK70" s="295">
        <f t="shared" si="116"/>
        <v>0</v>
      </c>
      <c r="AL70" s="295">
        <f t="shared" si="116"/>
        <v>0</v>
      </c>
      <c r="AM70" s="295">
        <f t="shared" si="116"/>
        <v>0</v>
      </c>
      <c r="AN70" s="295">
        <f t="shared" si="116"/>
        <v>0</v>
      </c>
      <c r="AO70" s="295">
        <f t="shared" si="116"/>
        <v>0</v>
      </c>
      <c r="AP70" s="295">
        <f t="shared" si="116"/>
        <v>0</v>
      </c>
      <c r="AQ70" s="295">
        <f t="shared" si="116"/>
        <v>0</v>
      </c>
      <c r="AR70" s="295">
        <f t="shared" si="116"/>
        <v>0</v>
      </c>
      <c r="AT70" s="332">
        <f t="shared" si="122"/>
        <v>0</v>
      </c>
      <c r="AU70" s="332">
        <f t="shared" si="117"/>
        <v>0</v>
      </c>
      <c r="AV70" s="332">
        <f t="shared" si="117"/>
        <v>0</v>
      </c>
      <c r="AW70" s="332">
        <f t="shared" si="117"/>
        <v>0</v>
      </c>
      <c r="AX70" s="332">
        <f t="shared" si="117"/>
        <v>0</v>
      </c>
      <c r="AY70" s="332">
        <f t="shared" si="117"/>
        <v>0</v>
      </c>
      <c r="AZ70" s="332">
        <f t="shared" si="117"/>
        <v>0</v>
      </c>
      <c r="BA70" s="332">
        <f t="shared" si="117"/>
        <v>0</v>
      </c>
      <c r="BB70" s="332">
        <f t="shared" si="117"/>
        <v>0</v>
      </c>
      <c r="BC70" s="332">
        <f t="shared" si="117"/>
        <v>0</v>
      </c>
      <c r="BD70" s="332">
        <f t="shared" si="117"/>
        <v>0</v>
      </c>
    </row>
    <row r="71" spans="2:56">
      <c r="B71" s="293" t="s">
        <v>15</v>
      </c>
      <c r="C71" s="293"/>
      <c r="D71" s="296">
        <f>SUM(D55:D67)</f>
        <v>2556.96934236738</v>
      </c>
      <c r="E71" s="296">
        <f t="shared" ref="E71:P71" si="123">SUM(E55:E67)</f>
        <v>2395.12944203501</v>
      </c>
      <c r="F71" s="296">
        <f t="shared" si="123"/>
        <v>2714.71894905571</v>
      </c>
      <c r="G71" s="296">
        <f t="shared" si="123"/>
        <v>2584.59505322087</v>
      </c>
      <c r="H71" s="296">
        <f t="shared" si="123"/>
        <v>2585.71784677428</v>
      </c>
      <c r="I71" s="296">
        <f t="shared" si="123"/>
        <v>2350.14396352629</v>
      </c>
      <c r="J71" s="296">
        <f t="shared" si="123"/>
        <v>2183.55020005604</v>
      </c>
      <c r="K71" s="296">
        <f t="shared" si="123"/>
        <v>2193.78687165316</v>
      </c>
      <c r="L71" s="296">
        <f t="shared" si="123"/>
        <v>2410.0259765333</v>
      </c>
      <c r="M71" s="296">
        <f t="shared" si="123"/>
        <v>2335.31734112287</v>
      </c>
      <c r="N71" s="296">
        <f t="shared" si="123"/>
        <v>2322.88579446955</v>
      </c>
      <c r="O71" s="296">
        <f t="shared" si="123"/>
        <v>2474.94301023032</v>
      </c>
      <c r="P71" s="296">
        <f t="shared" si="123"/>
        <v>29107.7837910448</v>
      </c>
      <c r="V71" s="303">
        <f t="shared" ref="V71:AF71" si="124">SUM(V55:V67)</f>
        <v>4952.09878440239</v>
      </c>
      <c r="W71" s="303">
        <f t="shared" si="124"/>
        <v>7666.81773345811</v>
      </c>
      <c r="X71" s="303">
        <f t="shared" si="124"/>
        <v>10251.412786679</v>
      </c>
      <c r="Y71" s="303">
        <f t="shared" si="124"/>
        <v>12837.1306334533</v>
      </c>
      <c r="Z71" s="303">
        <f t="shared" si="124"/>
        <v>15187.2745969795</v>
      </c>
      <c r="AA71" s="303">
        <f t="shared" si="124"/>
        <v>17370.8247970356</v>
      </c>
      <c r="AB71" s="303">
        <f t="shared" si="124"/>
        <v>19564.6116686887</v>
      </c>
      <c r="AC71" s="303">
        <f t="shared" si="124"/>
        <v>21974.637645222</v>
      </c>
      <c r="AD71" s="303">
        <f t="shared" si="124"/>
        <v>24309.9549863449</v>
      </c>
      <c r="AE71" s="303">
        <f t="shared" si="124"/>
        <v>26632.8407808145</v>
      </c>
      <c r="AF71" s="303">
        <f t="shared" si="124"/>
        <v>29107.7837910448</v>
      </c>
      <c r="AH71" s="295">
        <f t="shared" si="121"/>
        <v>32.6752583841008</v>
      </c>
      <c r="AI71" s="295">
        <f t="shared" ref="AI71" si="125">W71/W$54*1000</f>
        <v>30.7223253408432</v>
      </c>
      <c r="AJ71" s="295">
        <f t="shared" ref="AJ71" si="126">X71/X$54*1000</f>
        <v>28.720027530107</v>
      </c>
      <c r="AK71" s="295">
        <f t="shared" ref="AK71" si="127">Y71/Y$54*1000</f>
        <v>28.4483762262312</v>
      </c>
      <c r="AL71" s="295">
        <f t="shared" ref="AL71" si="128">Z71/Z$54*1000</f>
        <v>27.3435692317573</v>
      </c>
      <c r="AM71" s="295">
        <f t="shared" ref="AM71" si="129">AA71/AA$54*1000</f>
        <v>26.3778624726828</v>
      </c>
      <c r="AN71" s="295">
        <f t="shared" ref="AN71" si="130">AB71/AB$54*1000</f>
        <v>26.5155236038093</v>
      </c>
      <c r="AO71" s="295">
        <f t="shared" ref="AO71" si="131">AC71/AC$54*1000</f>
        <v>25.3309068040365</v>
      </c>
      <c r="AP71" s="295">
        <f t="shared" ref="AP71" si="132">AD71/AD$54*1000</f>
        <v>25.0405635078124</v>
      </c>
      <c r="AQ71" s="295">
        <f t="shared" ref="AQ71" si="133">AE71/AE$54*1000</f>
        <v>24.9969644371538</v>
      </c>
      <c r="AR71" s="295">
        <f t="shared" ref="AR71" si="134">AF71/AF$54*1000</f>
        <v>25.1262092885528</v>
      </c>
      <c r="AT71" s="332">
        <f t="shared" si="122"/>
        <v>0.266961966042899</v>
      </c>
      <c r="AU71" s="332">
        <f>AI71/AU$53</f>
        <v>0.251006197961449</v>
      </c>
      <c r="AV71" s="332">
        <f t="shared" ref="AV71" si="135">AJ71/AV$53</f>
        <v>0.234647112017154</v>
      </c>
      <c r="AW71" s="332">
        <f t="shared" ref="AW71" si="136">AK71/AW$53</f>
        <v>0.232427678422833</v>
      </c>
      <c r="AX71" s="332">
        <f t="shared" ref="AX71" si="137">AL71/AX$53</f>
        <v>0.223401232667587</v>
      </c>
      <c r="AY71" s="332">
        <f t="shared" ref="AY71" si="138">AM71/AY$53</f>
        <v>0.215511257567991</v>
      </c>
      <c r="AZ71" s="332">
        <f t="shared" ref="AZ71" si="139">AN71/AZ$53</f>
        <v>0.21663597051689</v>
      </c>
      <c r="BA71" s="332">
        <f t="shared" ref="BA71" si="140">AO71/BA$53</f>
        <v>0.206957466183205</v>
      </c>
      <c r="BB71" s="332">
        <f t="shared" ref="BB71" si="141">AP71/BB$53</f>
        <v>0.20458531609104</v>
      </c>
      <c r="BC71" s="332">
        <f t="shared" ref="BC71:BD71" si="142">AQ71/BC$53</f>
        <v>0.204229104872024</v>
      </c>
      <c r="BD71" s="332">
        <f t="shared" si="142"/>
        <v>0.205285055500626</v>
      </c>
    </row>
    <row r="72" spans="2:52">
      <c r="B72" s="293" t="s">
        <v>16</v>
      </c>
      <c r="C72" s="293"/>
      <c r="D72" s="294">
        <f>D71/D54*1000</f>
        <v>33.5957080852369</v>
      </c>
      <c r="E72" s="294">
        <f t="shared" ref="E72:P72" si="143">E71/E54*1000</f>
        <v>31.7466955004972</v>
      </c>
      <c r="F72" s="294">
        <f t="shared" si="143"/>
        <v>27.7020617881743</v>
      </c>
      <c r="G72" s="294">
        <f t="shared" si="143"/>
        <v>24.0671476494387</v>
      </c>
      <c r="H72" s="294">
        <f t="shared" si="143"/>
        <v>27.4201256285713</v>
      </c>
      <c r="I72" s="294">
        <f t="shared" si="143"/>
        <v>22.5582780307953</v>
      </c>
      <c r="J72" s="294">
        <f t="shared" si="143"/>
        <v>21.1760789035053</v>
      </c>
      <c r="K72" s="294">
        <f t="shared" si="143"/>
        <v>27.6584700840067</v>
      </c>
      <c r="L72" s="294">
        <f t="shared" si="143"/>
        <v>18.5889946357314</v>
      </c>
      <c r="M72" s="294">
        <f t="shared" si="143"/>
        <v>22.6027617220564</v>
      </c>
      <c r="N72" s="294">
        <f t="shared" si="143"/>
        <v>24.5496279271776</v>
      </c>
      <c r="O72" s="294">
        <f t="shared" si="143"/>
        <v>26.6065685898766</v>
      </c>
      <c r="P72" s="294">
        <f t="shared" si="143"/>
        <v>25.1262092885528</v>
      </c>
      <c r="V72" s="292">
        <f>V71/V54*1000</f>
        <v>32.6752583841008</v>
      </c>
      <c r="W72" s="292">
        <f t="shared" ref="W72" si="144">W71/W54*1000</f>
        <v>30.7223253408432</v>
      </c>
      <c r="X72" s="292">
        <f t="shared" ref="X72" si="145">X71/X54*1000</f>
        <v>28.720027530107</v>
      </c>
      <c r="Y72" s="292">
        <f t="shared" ref="Y72" si="146">Y71/Y54*1000</f>
        <v>28.4483762262312</v>
      </c>
      <c r="Z72" s="292">
        <f t="shared" ref="Z72" si="147">Z71/Z54*1000</f>
        <v>27.3435692317573</v>
      </c>
      <c r="AA72" s="292">
        <f t="shared" ref="AA72" si="148">AA71/AA54*1000</f>
        <v>26.3778624726828</v>
      </c>
      <c r="AB72" s="292">
        <f t="shared" ref="AB72" si="149">AB71/AB54*1000</f>
        <v>26.5155236038093</v>
      </c>
      <c r="AC72" s="292">
        <f t="shared" ref="AC72" si="150">AC71/AC54*1000</f>
        <v>25.3309068040365</v>
      </c>
      <c r="AD72" s="292">
        <f t="shared" ref="AD72" si="151">AD71/AD54*1000</f>
        <v>25.0405635078124</v>
      </c>
      <c r="AE72" s="292">
        <f t="shared" ref="AE72" si="152">AE71/AE54*1000</f>
        <v>24.9969644371538</v>
      </c>
      <c r="AF72" s="292">
        <f t="shared" ref="AF72" si="153">AF71/AF54*1000</f>
        <v>25.1262092885528</v>
      </c>
      <c r="AZ72" s="349">
        <f>AZ48-AZ71</f>
        <v>0.0481890261172253</v>
      </c>
    </row>
    <row r="73" spans="2:44">
      <c r="B73" s="293" t="s">
        <v>42</v>
      </c>
      <c r="C73" s="293"/>
      <c r="D73" s="201">
        <v>528.881430000001</v>
      </c>
      <c r="E73" s="201">
        <v>528.881430000002</v>
      </c>
      <c r="F73" s="201">
        <v>528.881429999999</v>
      </c>
      <c r="G73" s="201">
        <v>528.88143</v>
      </c>
      <c r="H73" s="201">
        <v>528.881429999999</v>
      </c>
      <c r="I73" s="201">
        <v>528.88143</v>
      </c>
      <c r="J73" s="201">
        <v>528.881430000001</v>
      </c>
      <c r="K73" s="201">
        <v>528.881429999995</v>
      </c>
      <c r="L73" s="201">
        <v>528.881430000001</v>
      </c>
      <c r="M73" s="201">
        <v>528.881429999999</v>
      </c>
      <c r="N73" s="201">
        <v>528.881429999996</v>
      </c>
      <c r="O73" s="201">
        <v>373.110058827069</v>
      </c>
      <c r="P73" s="201">
        <f>SUM(D73:O73)</f>
        <v>6190.80578882706</v>
      </c>
      <c r="Q73" s="312">
        <f>P73/$P$54*1000</f>
        <v>5.34398231866453</v>
      </c>
      <c r="V73" s="201">
        <f>D73+E73</f>
        <v>1057.76286</v>
      </c>
      <c r="W73" s="201">
        <f t="shared" ref="W73" si="154">V73+F73</f>
        <v>1586.64429</v>
      </c>
      <c r="X73" s="201">
        <f t="shared" ref="X73" si="155">W73+G73</f>
        <v>2115.52572</v>
      </c>
      <c r="Y73" s="201">
        <f t="shared" ref="Y73" si="156">X73+H73</f>
        <v>2644.40715</v>
      </c>
      <c r="Z73" s="201">
        <f t="shared" ref="Z73" si="157">Y73+I73</f>
        <v>3173.28858</v>
      </c>
      <c r="AA73" s="331">
        <f t="shared" ref="AA73" si="158">Z73+J73</f>
        <v>3702.17001</v>
      </c>
      <c r="AB73" s="331">
        <f t="shared" ref="AB73" si="159">AA73+K73</f>
        <v>4231.05144</v>
      </c>
      <c r="AC73" s="331">
        <f t="shared" ref="AC73" si="160">AB73+L73</f>
        <v>4759.93287</v>
      </c>
      <c r="AD73" s="331">
        <f t="shared" ref="AD73" si="161">AC73+M73</f>
        <v>5288.8143</v>
      </c>
      <c r="AE73" s="331">
        <f t="shared" ref="AE73:AF73" si="162">AD73+N73</f>
        <v>5817.69572999999</v>
      </c>
      <c r="AF73" s="331">
        <f t="shared" si="162"/>
        <v>6190.80578882706</v>
      </c>
      <c r="AH73" s="295">
        <f>V73/V$54*1000</f>
        <v>6.9793992939857</v>
      </c>
      <c r="AI73" s="295">
        <f t="shared" ref="AI73" si="163">W73/W$54*1000</f>
        <v>6.35797064339297</v>
      </c>
      <c r="AJ73" s="295">
        <f t="shared" ref="AJ73" si="164">X73/X$54*1000</f>
        <v>5.92678864692682</v>
      </c>
      <c r="AK73" s="295">
        <f t="shared" ref="AK73" si="165">Y73/Y$54*1000</f>
        <v>5.86027295714283</v>
      </c>
      <c r="AL73" s="295">
        <f t="shared" ref="AL73" si="166">Z73/Z$54*1000</f>
        <v>5.71327234689175</v>
      </c>
      <c r="AM73" s="295">
        <f t="shared" ref="AM73" si="167">AA73/AA$54*1000</f>
        <v>5.6218016424261</v>
      </c>
      <c r="AN73" s="295">
        <f t="shared" ref="AN73" si="168">AB73/AB$54*1000</f>
        <v>5.73425868226142</v>
      </c>
      <c r="AO73" s="295">
        <f t="shared" ref="AO73" si="169">AC73/AC$54*1000</f>
        <v>5.48693534201034</v>
      </c>
      <c r="AP73" s="295">
        <f t="shared" ref="AP73" si="170">AD73/AD$54*1000</f>
        <v>5.44776370151922</v>
      </c>
      <c r="AQ73" s="295">
        <f t="shared" ref="AQ73" si="171">AE73/AE$54*1000</f>
        <v>5.46035379649591</v>
      </c>
      <c r="AR73" s="295">
        <f t="shared" ref="AR73" si="172">AF73/AF$54*1000</f>
        <v>5.34398231866453</v>
      </c>
    </row>
    <row r="74" spans="4:16">
      <c r="D74" s="313">
        <f t="shared" ref="D74:P74" si="173">D72/D53</f>
        <v>0.274482183908367</v>
      </c>
      <c r="E74" s="313">
        <f t="shared" si="173"/>
        <v>0.259375462209102</v>
      </c>
      <c r="F74" s="313">
        <f t="shared" si="173"/>
        <v>0.226330172862882</v>
      </c>
      <c r="G74" s="313">
        <f t="shared" si="173"/>
        <v>0.196632356445732</v>
      </c>
      <c r="H74" s="313">
        <f t="shared" si="173"/>
        <v>0.224026710390407</v>
      </c>
      <c r="I74" s="313">
        <f t="shared" si="173"/>
        <v>0.184304655921979</v>
      </c>
      <c r="J74" s="313">
        <f t="shared" si="173"/>
        <v>0.173011873103047</v>
      </c>
      <c r="K74" s="313">
        <f t="shared" si="173"/>
        <v>0.225974021829249</v>
      </c>
      <c r="L74" s="313">
        <f t="shared" si="173"/>
        <v>0.151874990440181</v>
      </c>
      <c r="M74" s="313">
        <f t="shared" si="173"/>
        <v>0.184668094629527</v>
      </c>
      <c r="N74" s="313">
        <f t="shared" si="173"/>
        <v>0.200574295695546</v>
      </c>
      <c r="O74" s="313">
        <f t="shared" si="173"/>
        <v>0.217379822277545</v>
      </c>
      <c r="P74" s="313">
        <f t="shared" si="173"/>
        <v>0.205285055500626</v>
      </c>
    </row>
    <row r="76" ht="14" customHeight="1" spans="3:20">
      <c r="C76" s="296" t="s">
        <v>64</v>
      </c>
      <c r="D76" s="296"/>
      <c r="E76" s="296"/>
      <c r="F76" s="296"/>
      <c r="G76" s="296"/>
      <c r="H76" s="296"/>
      <c r="I76" s="296"/>
      <c r="J76" s="296"/>
      <c r="K76" s="296"/>
      <c r="L76" s="296"/>
      <c r="M76" s="296"/>
      <c r="N76" s="296"/>
      <c r="O76" s="296"/>
      <c r="P76" s="296"/>
      <c r="Q76" s="282">
        <f>P75/P57</f>
        <v>0</v>
      </c>
      <c r="R76" s="295"/>
      <c r="S76" s="317"/>
      <c r="T76" s="317"/>
    </row>
    <row r="77" spans="1:22">
      <c r="A77" s="25" t="s">
        <v>45</v>
      </c>
      <c r="C77" s="285" t="s">
        <v>2</v>
      </c>
      <c r="D77" s="297" t="s">
        <v>46</v>
      </c>
      <c r="E77" s="297" t="s">
        <v>47</v>
      </c>
      <c r="F77" s="297" t="s">
        <v>48</v>
      </c>
      <c r="G77" s="297" t="s">
        <v>49</v>
      </c>
      <c r="H77" s="297" t="s">
        <v>50</v>
      </c>
      <c r="I77" s="297" t="s">
        <v>51</v>
      </c>
      <c r="J77" s="297" t="s">
        <v>52</v>
      </c>
      <c r="K77" s="297" t="s">
        <v>53</v>
      </c>
      <c r="L77" s="297" t="s">
        <v>54</v>
      </c>
      <c r="M77" s="297" t="s">
        <v>55</v>
      </c>
      <c r="N77" s="297" t="s">
        <v>56</v>
      </c>
      <c r="O77" s="297" t="s">
        <v>57</v>
      </c>
      <c r="P77" s="304" t="s">
        <v>15</v>
      </c>
      <c r="Q77" s="205" t="s">
        <v>16</v>
      </c>
      <c r="R77" s="205" t="s">
        <v>17</v>
      </c>
      <c r="S77" s="205" t="s">
        <v>18</v>
      </c>
      <c r="T77" s="205" t="s">
        <v>19</v>
      </c>
      <c r="U77" s="198"/>
      <c r="V77" s="313"/>
    </row>
    <row r="78" spans="1:56">
      <c r="A78" s="25">
        <v>125</v>
      </c>
      <c r="B78" s="283" t="s">
        <v>20</v>
      </c>
      <c r="C78" s="283"/>
      <c r="D78" s="296">
        <v>125</v>
      </c>
      <c r="E78" s="296">
        <v>116</v>
      </c>
      <c r="F78" s="296">
        <v>117</v>
      </c>
      <c r="G78" s="296">
        <v>115.563747723</v>
      </c>
      <c r="H78" s="296"/>
      <c r="I78" s="296"/>
      <c r="J78" s="296"/>
      <c r="K78" s="296"/>
      <c r="L78" s="296"/>
      <c r="M78" s="296"/>
      <c r="N78" s="296"/>
      <c r="O78" s="296"/>
      <c r="P78" s="296"/>
      <c r="Q78" s="198"/>
      <c r="R78" s="198"/>
      <c r="S78" s="198"/>
      <c r="AT78" s="331">
        <f>$P$53</f>
        <v>122.39668020294</v>
      </c>
      <c r="AU78" s="331">
        <f t="shared" ref="AU78:BD78" si="174">$P$53</f>
        <v>122.39668020294</v>
      </c>
      <c r="AV78" s="331">
        <f t="shared" si="174"/>
        <v>122.39668020294</v>
      </c>
      <c r="AW78" s="331">
        <f t="shared" si="174"/>
        <v>122.39668020294</v>
      </c>
      <c r="AX78" s="331">
        <f t="shared" si="174"/>
        <v>122.39668020294</v>
      </c>
      <c r="AY78" s="331">
        <f t="shared" si="174"/>
        <v>122.39668020294</v>
      </c>
      <c r="AZ78" s="331">
        <f t="shared" si="174"/>
        <v>122.39668020294</v>
      </c>
      <c r="BA78" s="331">
        <f t="shared" si="174"/>
        <v>122.39668020294</v>
      </c>
      <c r="BB78" s="331">
        <f t="shared" si="174"/>
        <v>122.39668020294</v>
      </c>
      <c r="BC78" s="331">
        <f t="shared" si="174"/>
        <v>122.39668020294</v>
      </c>
      <c r="BD78" s="331">
        <f t="shared" si="174"/>
        <v>122.39668020294</v>
      </c>
    </row>
    <row r="79" s="281" customFormat="1" spans="1:32">
      <c r="A79" s="350">
        <f>SUM(D79:F79)</f>
        <v>311281</v>
      </c>
      <c r="C79" s="248" t="s">
        <v>21</v>
      </c>
      <c r="D79" s="306">
        <v>97611</v>
      </c>
      <c r="E79" s="306">
        <v>106294</v>
      </c>
      <c r="F79" s="306">
        <v>107376</v>
      </c>
      <c r="G79" s="306">
        <v>110370</v>
      </c>
      <c r="H79" s="306"/>
      <c r="I79" s="306"/>
      <c r="J79" s="306"/>
      <c r="K79" s="306"/>
      <c r="L79" s="306"/>
      <c r="M79" s="306"/>
      <c r="N79" s="306"/>
      <c r="O79" s="306"/>
      <c r="P79" s="296">
        <f>SUM(D79:O79)</f>
        <v>421651</v>
      </c>
      <c r="Q79" s="323"/>
      <c r="R79" s="323"/>
      <c r="S79" s="323"/>
      <c r="T79" s="323"/>
      <c r="U79" s="346"/>
      <c r="V79" s="348">
        <f>D79+E79</f>
        <v>203905</v>
      </c>
      <c r="W79" s="348">
        <f>V79+F79</f>
        <v>311281</v>
      </c>
      <c r="X79" s="198">
        <f t="shared" ref="X79:X95" si="175">W79+G79</f>
        <v>421651</v>
      </c>
      <c r="Y79" s="198">
        <f t="shared" ref="Y79:Y95" si="176">X79+H79</f>
        <v>421651</v>
      </c>
      <c r="Z79" s="198">
        <f t="shared" ref="Z79:Z95" si="177">Y79+I79</f>
        <v>421651</v>
      </c>
      <c r="AA79" s="25">
        <f t="shared" ref="AA79:AA95" si="178">Z79+J79</f>
        <v>421651</v>
      </c>
      <c r="AB79" s="25">
        <f t="shared" ref="AB79:AB95" si="179">AA79+K79</f>
        <v>421651</v>
      </c>
      <c r="AC79" s="25">
        <f t="shared" ref="AC79:AC95" si="180">AB79+L79</f>
        <v>421651</v>
      </c>
      <c r="AD79" s="25">
        <f t="shared" ref="AD79:AD95" si="181">AC79+M79</f>
        <v>421651</v>
      </c>
      <c r="AE79" s="25">
        <f t="shared" ref="AE79:AE95" si="182">AD79+N79</f>
        <v>421651</v>
      </c>
      <c r="AF79" s="25">
        <f t="shared" ref="AF79:AF95" si="183">AE79+O79</f>
        <v>421651</v>
      </c>
    </row>
    <row r="80" spans="1:56">
      <c r="A80" s="350">
        <f t="shared" ref="A80:A96" si="184">SUM(D80:F80)</f>
        <v>2230.11264</v>
      </c>
      <c r="B80" s="198" t="s">
        <v>22</v>
      </c>
      <c r="C80" s="25" t="s">
        <v>65</v>
      </c>
      <c r="D80" s="201">
        <f>415.478390812441+D98</f>
        <v>818.33241</v>
      </c>
      <c r="E80" s="201">
        <f>362.675055365863+E98</f>
        <v>613.15617</v>
      </c>
      <c r="F80" s="311">
        <f>409.48744019919+F98</f>
        <v>798.62406</v>
      </c>
      <c r="G80" s="201">
        <v>466.69395</v>
      </c>
      <c r="H80" s="201"/>
      <c r="I80" s="201"/>
      <c r="J80" s="201"/>
      <c r="K80" s="201"/>
      <c r="L80" s="201"/>
      <c r="M80" s="201"/>
      <c r="N80" s="201"/>
      <c r="O80" s="201"/>
      <c r="P80" s="296">
        <f>SUM(D80:O80)</f>
        <v>2696.80659</v>
      </c>
      <c r="Q80" s="312">
        <f>P80/$P$79*1000</f>
        <v>6.39582638248219</v>
      </c>
      <c r="R80" s="313">
        <f>P80/$P$71</f>
        <v>0.0926489838374329</v>
      </c>
      <c r="T80" s="347">
        <f t="shared" ref="T80:T92" si="185">Q80-Q32</f>
        <v>-2.30794796629247</v>
      </c>
      <c r="U80" s="348"/>
      <c r="V80" s="201">
        <f t="shared" ref="V80:V95" si="186">D80+E80</f>
        <v>1431.48858</v>
      </c>
      <c r="W80" s="201">
        <f t="shared" ref="W80:W95" si="187">V80+F80</f>
        <v>2230.11264</v>
      </c>
      <c r="X80" s="201">
        <f t="shared" si="175"/>
        <v>2696.80659</v>
      </c>
      <c r="Y80" s="201">
        <f t="shared" si="176"/>
        <v>2696.80659</v>
      </c>
      <c r="Z80" s="201">
        <f t="shared" si="177"/>
        <v>2696.80659</v>
      </c>
      <c r="AA80" s="331">
        <f t="shared" si="178"/>
        <v>2696.80659</v>
      </c>
      <c r="AB80" s="331">
        <f t="shared" si="179"/>
        <v>2696.80659</v>
      </c>
      <c r="AC80" s="331">
        <f t="shared" si="180"/>
        <v>2696.80659</v>
      </c>
      <c r="AD80" s="331">
        <f t="shared" si="181"/>
        <v>2696.80659</v>
      </c>
      <c r="AE80" s="331">
        <f t="shared" si="182"/>
        <v>2696.80659</v>
      </c>
      <c r="AF80" s="331">
        <f t="shared" si="183"/>
        <v>2696.80659</v>
      </c>
      <c r="AH80" s="295">
        <f>V80/V$54*1000</f>
        <v>9.44534050344759</v>
      </c>
      <c r="AI80" s="295">
        <f t="shared" ref="AI80:AI96" si="188">W80/W$54*1000</f>
        <v>8.93646470475091</v>
      </c>
      <c r="AJ80" s="295">
        <f t="shared" ref="AJ80:AJ96" si="189">X80/X$54*1000</f>
        <v>7.55528639026399</v>
      </c>
      <c r="AK80" s="295">
        <f t="shared" ref="AK80:AK96" si="190">Y80/Y$54*1000</f>
        <v>5.9763954011475</v>
      </c>
      <c r="AL80" s="295">
        <f t="shared" ref="AL80:AL96" si="191">Z80/Z$54*1000</f>
        <v>4.85540162110388</v>
      </c>
      <c r="AM80" s="295">
        <f t="shared" ref="AM80:AM96" si="192">AA80/AA$54*1000</f>
        <v>4.09514195080618</v>
      </c>
      <c r="AN80" s="295">
        <f t="shared" ref="AN80:AN96" si="193">AB80/AB$54*1000</f>
        <v>3.65492758062221</v>
      </c>
      <c r="AO80" s="295">
        <f t="shared" ref="AO80:AO96" si="194">AC80/AC$54*1000</f>
        <v>3.108700016023</v>
      </c>
      <c r="AP80" s="295">
        <f t="shared" ref="AP80:AP96" si="195">AD80/AD$54*1000</f>
        <v>2.77785609735245</v>
      </c>
      <c r="AQ80" s="295">
        <f t="shared" ref="AQ80:AQ96" si="196">AE80/AE$54*1000</f>
        <v>2.53115989311488</v>
      </c>
      <c r="AR80" s="295">
        <f t="shared" ref="AR80:AR96" si="197">AF80/AF$54*1000</f>
        <v>2.32791775827109</v>
      </c>
      <c r="AT80" s="332">
        <f>AH80/AT$53</f>
        <v>0.0771699076133988</v>
      </c>
      <c r="AU80" s="332">
        <f t="shared" ref="AU80:AU96" si="198">AI80/AU$53</f>
        <v>0.0730123128334348</v>
      </c>
      <c r="AV80" s="332">
        <f t="shared" ref="AV80:AV96" si="199">AJ80/AV$53</f>
        <v>0.061727870214592</v>
      </c>
      <c r="AW80" s="332">
        <f t="shared" ref="AW80:AW96" si="200">AK80/AW$53</f>
        <v>0.0488280841542298</v>
      </c>
      <c r="AX80" s="332">
        <f t="shared" ref="AX80:AX96" si="201">AL80/AX$53</f>
        <v>0.039669389831925</v>
      </c>
      <c r="AY80" s="332">
        <f t="shared" ref="AY80:AY96" si="202">AM80/AY$53</f>
        <v>0.0334579495458229</v>
      </c>
      <c r="AZ80" s="332">
        <f t="shared" ref="AZ80:AZ96" si="203">AN80/AZ$53</f>
        <v>0.0298613293641801</v>
      </c>
      <c r="BA80" s="332">
        <f t="shared" ref="BA80:BA96" si="204">AO80/BA$53</f>
        <v>0.0253985648211097</v>
      </c>
      <c r="BB80" s="332">
        <f t="shared" ref="BB80:BB96" si="205">AP80/BB$53</f>
        <v>0.0226955183159104</v>
      </c>
      <c r="BC80" s="332">
        <f t="shared" ref="BC80:BC96" si="206">AQ80/BC$53</f>
        <v>0.0206799717845132</v>
      </c>
      <c r="BD80" s="332">
        <f t="shared" ref="BD80:BD96" si="207">AR80/BD$53</f>
        <v>0.019019451789144</v>
      </c>
    </row>
    <row r="81" spans="1:56">
      <c r="A81" s="350">
        <f t="shared" si="184"/>
        <v>216.13543</v>
      </c>
      <c r="B81" s="198"/>
      <c r="C81" s="25" t="s">
        <v>24</v>
      </c>
      <c r="D81" s="201">
        <v>71.9181</v>
      </c>
      <c r="E81" s="201">
        <v>101.48011</v>
      </c>
      <c r="F81" s="311">
        <v>42.73722</v>
      </c>
      <c r="G81" s="201">
        <v>80.12026</v>
      </c>
      <c r="H81" s="201"/>
      <c r="I81" s="201"/>
      <c r="J81" s="201"/>
      <c r="K81" s="201"/>
      <c r="L81" s="201"/>
      <c r="M81" s="201"/>
      <c r="N81" s="201"/>
      <c r="O81" s="201"/>
      <c r="P81" s="296">
        <f t="shared" ref="P81:P90" si="208">SUM(D81:O81)</f>
        <v>296.25569</v>
      </c>
      <c r="Q81" s="312">
        <f t="shared" ref="Q81:Q92" si="209">P81/$P$79*1000</f>
        <v>0.702608768863349</v>
      </c>
      <c r="R81" s="313">
        <f t="shared" ref="R81:R89" si="210">P81/$P$71</f>
        <v>0.0101778854799363</v>
      </c>
      <c r="T81" s="347">
        <f t="shared" si="185"/>
        <v>-0.345491143905764</v>
      </c>
      <c r="V81" s="201">
        <f t="shared" si="186"/>
        <v>173.39821</v>
      </c>
      <c r="W81" s="201">
        <f t="shared" si="187"/>
        <v>216.13543</v>
      </c>
      <c r="X81" s="201">
        <f t="shared" si="175"/>
        <v>296.25569</v>
      </c>
      <c r="Y81" s="201">
        <f t="shared" si="176"/>
        <v>296.25569</v>
      </c>
      <c r="Z81" s="201">
        <f t="shared" si="177"/>
        <v>296.25569</v>
      </c>
      <c r="AA81" s="331">
        <f t="shared" si="178"/>
        <v>296.25569</v>
      </c>
      <c r="AB81" s="331">
        <f t="shared" si="179"/>
        <v>296.25569</v>
      </c>
      <c r="AC81" s="331">
        <f t="shared" si="180"/>
        <v>296.25569</v>
      </c>
      <c r="AD81" s="331">
        <f t="shared" si="181"/>
        <v>296.25569</v>
      </c>
      <c r="AE81" s="331">
        <f t="shared" si="182"/>
        <v>296.25569</v>
      </c>
      <c r="AF81" s="331">
        <f t="shared" si="183"/>
        <v>296.25569</v>
      </c>
      <c r="AH81" s="295">
        <f t="shared" ref="AH81:AH84" si="211">V81/V$54*1000</f>
        <v>1.14412728052522</v>
      </c>
      <c r="AI81" s="295">
        <f t="shared" si="188"/>
        <v>0.866093760017952</v>
      </c>
      <c r="AJ81" s="295">
        <f t="shared" si="189"/>
        <v>0.829980389025699</v>
      </c>
      <c r="AK81" s="295">
        <f t="shared" si="190"/>
        <v>0.656532489146646</v>
      </c>
      <c r="AL81" s="295">
        <f t="shared" si="191"/>
        <v>0.533386547934551</v>
      </c>
      <c r="AM81" s="295">
        <f t="shared" si="192"/>
        <v>0.449868785096684</v>
      </c>
      <c r="AN81" s="295">
        <f t="shared" si="193"/>
        <v>0.401509361595435</v>
      </c>
      <c r="AO81" s="295">
        <f t="shared" si="194"/>
        <v>0.341503937162177</v>
      </c>
      <c r="AP81" s="295">
        <f t="shared" si="195"/>
        <v>0.305159323584217</v>
      </c>
      <c r="AQ81" s="295">
        <f t="shared" si="196"/>
        <v>0.27805869483398</v>
      </c>
      <c r="AR81" s="295">
        <f t="shared" si="197"/>
        <v>0.255731680683803</v>
      </c>
      <c r="AT81" s="332">
        <f t="shared" ref="AT81:AT96" si="212">AH81/AT$53</f>
        <v>0.00934769863552019</v>
      </c>
      <c r="AU81" s="332">
        <f t="shared" si="198"/>
        <v>0.00707612133418917</v>
      </c>
      <c r="AV81" s="332">
        <f t="shared" si="199"/>
        <v>0.00678106945098143</v>
      </c>
      <c r="AW81" s="332">
        <f t="shared" si="200"/>
        <v>0.00536397301019997</v>
      </c>
      <c r="AX81" s="332">
        <f t="shared" si="201"/>
        <v>0.00435785143069378</v>
      </c>
      <c r="AY81" s="332">
        <f t="shared" si="202"/>
        <v>0.00367549825984478</v>
      </c>
      <c r="AZ81" s="332">
        <f t="shared" si="203"/>
        <v>0.00328039421436687</v>
      </c>
      <c r="BA81" s="332">
        <f t="shared" si="204"/>
        <v>0.00279014052175228</v>
      </c>
      <c r="BB81" s="332">
        <f t="shared" si="205"/>
        <v>0.00249319935049094</v>
      </c>
      <c r="BC81" s="332">
        <f t="shared" si="206"/>
        <v>0.00227178297951337</v>
      </c>
      <c r="BD81" s="332">
        <f t="shared" si="207"/>
        <v>0.00208936778562774</v>
      </c>
    </row>
    <row r="82" spans="1:56">
      <c r="A82" s="350">
        <f t="shared" si="184"/>
        <v>25</v>
      </c>
      <c r="B82" s="198"/>
      <c r="C82" s="25" t="s">
        <v>25</v>
      </c>
      <c r="D82" s="201">
        <v>12.5</v>
      </c>
      <c r="E82" s="201">
        <v>0</v>
      </c>
      <c r="F82" s="311">
        <v>12.5</v>
      </c>
      <c r="G82" s="201">
        <v>12.5</v>
      </c>
      <c r="H82" s="201"/>
      <c r="I82" s="201"/>
      <c r="J82" s="201"/>
      <c r="K82" s="201"/>
      <c r="L82" s="201"/>
      <c r="M82" s="201"/>
      <c r="N82" s="201"/>
      <c r="O82" s="201"/>
      <c r="P82" s="296">
        <f t="shared" si="208"/>
        <v>37.5</v>
      </c>
      <c r="Q82" s="312">
        <f t="shared" si="209"/>
        <v>0.0889361106697245</v>
      </c>
      <c r="R82" s="313">
        <f t="shared" si="210"/>
        <v>0.00128831518982002</v>
      </c>
      <c r="T82" s="347">
        <f t="shared" si="185"/>
        <v>1.29764347108599</v>
      </c>
      <c r="V82" s="201">
        <f t="shared" si="186"/>
        <v>12.5</v>
      </c>
      <c r="W82" s="201">
        <f t="shared" si="187"/>
        <v>25</v>
      </c>
      <c r="X82" s="201">
        <f t="shared" si="175"/>
        <v>37.5</v>
      </c>
      <c r="Y82" s="201">
        <f t="shared" si="176"/>
        <v>37.5</v>
      </c>
      <c r="Z82" s="201">
        <f t="shared" si="177"/>
        <v>37.5</v>
      </c>
      <c r="AA82" s="331">
        <f t="shared" si="178"/>
        <v>37.5</v>
      </c>
      <c r="AB82" s="331">
        <f t="shared" si="179"/>
        <v>37.5</v>
      </c>
      <c r="AC82" s="331">
        <f t="shared" si="180"/>
        <v>37.5</v>
      </c>
      <c r="AD82" s="331">
        <f t="shared" si="181"/>
        <v>37.5</v>
      </c>
      <c r="AE82" s="331">
        <f t="shared" si="182"/>
        <v>37.5</v>
      </c>
      <c r="AF82" s="331">
        <f t="shared" si="183"/>
        <v>37.5</v>
      </c>
      <c r="AH82" s="295">
        <f t="shared" si="211"/>
        <v>0.0824783082049421</v>
      </c>
      <c r="AI82" s="295">
        <f t="shared" si="188"/>
        <v>0.100179521702892</v>
      </c>
      <c r="AJ82" s="295">
        <f t="shared" si="189"/>
        <v>0.105058790899387</v>
      </c>
      <c r="AK82" s="295">
        <f t="shared" si="190"/>
        <v>0.0831037822193364</v>
      </c>
      <c r="AL82" s="295">
        <f t="shared" si="191"/>
        <v>0.0675159877859077</v>
      </c>
      <c r="AM82" s="295">
        <f t="shared" si="192"/>
        <v>0.0569443221196043</v>
      </c>
      <c r="AN82" s="295">
        <f t="shared" si="193"/>
        <v>0.0508229936776196</v>
      </c>
      <c r="AO82" s="295">
        <f t="shared" si="194"/>
        <v>0.0432275162160822</v>
      </c>
      <c r="AP82" s="295">
        <f t="shared" si="195"/>
        <v>0.0386270205794465</v>
      </c>
      <c r="AQ82" s="295">
        <f t="shared" si="196"/>
        <v>0.0351966271306865</v>
      </c>
      <c r="AR82" s="295">
        <f t="shared" si="197"/>
        <v>0.0323704770890395</v>
      </c>
      <c r="AT82" s="332">
        <f t="shared" si="212"/>
        <v>0.000673860664097988</v>
      </c>
      <c r="AU82" s="332">
        <f t="shared" si="198"/>
        <v>0.000818482343939304</v>
      </c>
      <c r="AV82" s="332">
        <f t="shared" si="199"/>
        <v>0.00085834673559115</v>
      </c>
      <c r="AW82" s="332">
        <f t="shared" si="200"/>
        <v>0.000678970884517016</v>
      </c>
      <c r="AX82" s="332">
        <f t="shared" si="201"/>
        <v>0.000551616168624532</v>
      </c>
      <c r="AY82" s="332">
        <f t="shared" si="202"/>
        <v>0.0004652440084583</v>
      </c>
      <c r="AZ82" s="332">
        <f t="shared" si="203"/>
        <v>0.000415231798716702</v>
      </c>
      <c r="BA82" s="332">
        <f t="shared" si="204"/>
        <v>0.000353175561170522</v>
      </c>
      <c r="BB82" s="332">
        <f t="shared" si="205"/>
        <v>0.00031558879305714</v>
      </c>
      <c r="BC82" s="332">
        <f t="shared" si="206"/>
        <v>0.000287561942630541</v>
      </c>
      <c r="BD82" s="332">
        <f t="shared" si="207"/>
        <v>0.000264471855244502</v>
      </c>
    </row>
    <row r="83" spans="1:56">
      <c r="A83" s="350">
        <f t="shared" si="184"/>
        <v>94.72341</v>
      </c>
      <c r="B83" s="198"/>
      <c r="C83" s="25" t="s">
        <v>26</v>
      </c>
      <c r="D83" s="201">
        <v>34.59988</v>
      </c>
      <c r="E83" s="201">
        <v>27.20591</v>
      </c>
      <c r="F83" s="311">
        <v>32.91762</v>
      </c>
      <c r="G83" s="201">
        <v>28.54195</v>
      </c>
      <c r="H83" s="201"/>
      <c r="I83" s="201"/>
      <c r="J83" s="201"/>
      <c r="K83" s="201"/>
      <c r="L83" s="201"/>
      <c r="M83" s="201"/>
      <c r="N83" s="201"/>
      <c r="O83" s="201"/>
      <c r="P83" s="296">
        <f t="shared" si="208"/>
        <v>123.26536</v>
      </c>
      <c r="Q83" s="312">
        <f t="shared" si="209"/>
        <v>0.292339778632091</v>
      </c>
      <c r="R83" s="313">
        <f t="shared" si="210"/>
        <v>0.00423479028444355</v>
      </c>
      <c r="T83" s="347">
        <f t="shared" si="185"/>
        <v>-0.0505728549580989</v>
      </c>
      <c r="V83" s="201">
        <f t="shared" si="186"/>
        <v>61.80579</v>
      </c>
      <c r="W83" s="201">
        <f t="shared" si="187"/>
        <v>94.72341</v>
      </c>
      <c r="X83" s="201">
        <f t="shared" si="175"/>
        <v>123.26536</v>
      </c>
      <c r="Y83" s="201">
        <f t="shared" si="176"/>
        <v>123.26536</v>
      </c>
      <c r="Z83" s="201">
        <f t="shared" si="177"/>
        <v>123.26536</v>
      </c>
      <c r="AA83" s="331">
        <f t="shared" si="178"/>
        <v>123.26536</v>
      </c>
      <c r="AB83" s="331">
        <f t="shared" si="179"/>
        <v>123.26536</v>
      </c>
      <c r="AC83" s="331">
        <f t="shared" si="180"/>
        <v>123.26536</v>
      </c>
      <c r="AD83" s="331">
        <f t="shared" si="181"/>
        <v>123.26536</v>
      </c>
      <c r="AE83" s="331">
        <f t="shared" si="182"/>
        <v>123.26536</v>
      </c>
      <c r="AF83" s="331">
        <f t="shared" si="183"/>
        <v>123.26536</v>
      </c>
      <c r="AH83" s="295">
        <f t="shared" si="211"/>
        <v>0.407810959717594</v>
      </c>
      <c r="AI83" s="295">
        <f t="shared" si="188"/>
        <v>0.379573836314676</v>
      </c>
      <c r="AJ83" s="295">
        <f t="shared" si="189"/>
        <v>0.345336258170072</v>
      </c>
      <c r="AK83" s="295">
        <f t="shared" si="190"/>
        <v>0.273168470203416</v>
      </c>
      <c r="AL83" s="295">
        <f t="shared" si="191"/>
        <v>0.221930201071614</v>
      </c>
      <c r="AM83" s="295">
        <f t="shared" si="192"/>
        <v>0.187180329760773</v>
      </c>
      <c r="AN83" s="295">
        <f t="shared" si="193"/>
        <v>0.167059056318653</v>
      </c>
      <c r="AO83" s="295">
        <f t="shared" si="194"/>
        <v>0.142092142620832</v>
      </c>
      <c r="AP83" s="295">
        <f t="shared" si="195"/>
        <v>0.126969962598744</v>
      </c>
      <c r="AQ83" s="295">
        <f t="shared" si="196"/>
        <v>0.115693997707996</v>
      </c>
      <c r="AR83" s="295">
        <f t="shared" si="197"/>
        <v>0.106404226980059</v>
      </c>
      <c r="AT83" s="332">
        <f t="shared" si="212"/>
        <v>0.00333187925556006</v>
      </c>
      <c r="AU83" s="332">
        <f t="shared" si="198"/>
        <v>0.00310117754570895</v>
      </c>
      <c r="AV83" s="332">
        <f t="shared" si="199"/>
        <v>0.00282145118313248</v>
      </c>
      <c r="AW83" s="332">
        <f t="shared" si="200"/>
        <v>0.00223182908025356</v>
      </c>
      <c r="AX83" s="332">
        <f t="shared" si="201"/>
        <v>0.0018132044161953</v>
      </c>
      <c r="AY83" s="332">
        <f t="shared" si="202"/>
        <v>0.00152929253841214</v>
      </c>
      <c r="AZ83" s="332">
        <f t="shared" si="203"/>
        <v>0.00136489859072698</v>
      </c>
      <c r="BA83" s="332">
        <f t="shared" si="204"/>
        <v>0.00116091500509031</v>
      </c>
      <c r="BB83" s="332">
        <f t="shared" si="205"/>
        <v>0.0010373644316841</v>
      </c>
      <c r="BC83" s="332">
        <f t="shared" si="206"/>
        <v>0.000945238036817414</v>
      </c>
      <c r="BD83" s="332">
        <f t="shared" si="207"/>
        <v>0.000869339158575505</v>
      </c>
    </row>
    <row r="84" spans="1:56">
      <c r="A84" s="350">
        <f t="shared" si="184"/>
        <v>1000.16886</v>
      </c>
      <c r="B84" s="198"/>
      <c r="C84" s="25" t="s">
        <v>27</v>
      </c>
      <c r="D84" s="201">
        <v>327.62548</v>
      </c>
      <c r="E84" s="201">
        <v>309.61298</v>
      </c>
      <c r="F84" s="311">
        <v>362.9304</v>
      </c>
      <c r="G84" s="201">
        <v>338.494118358663</v>
      </c>
      <c r="H84" s="201"/>
      <c r="I84" s="201"/>
      <c r="J84" s="201"/>
      <c r="K84" s="201"/>
      <c r="L84" s="201"/>
      <c r="M84" s="201"/>
      <c r="N84" s="201"/>
      <c r="O84" s="201"/>
      <c r="P84" s="296">
        <f t="shared" si="208"/>
        <v>1338.66297835866</v>
      </c>
      <c r="Q84" s="312">
        <f t="shared" si="209"/>
        <v>3.17481276780717</v>
      </c>
      <c r="R84" s="313">
        <f t="shared" si="210"/>
        <v>0.0459898626418447</v>
      </c>
      <c r="T84" s="347">
        <f t="shared" si="185"/>
        <v>-1.16938064234788</v>
      </c>
      <c r="V84" s="201">
        <f t="shared" si="186"/>
        <v>637.23846</v>
      </c>
      <c r="W84" s="201">
        <f t="shared" si="187"/>
        <v>1000.16886</v>
      </c>
      <c r="X84" s="201">
        <f t="shared" si="175"/>
        <v>1338.66297835866</v>
      </c>
      <c r="Y84" s="201">
        <f t="shared" si="176"/>
        <v>1338.66297835866</v>
      </c>
      <c r="Z84" s="201">
        <f t="shared" si="177"/>
        <v>1338.66297835866</v>
      </c>
      <c r="AA84" s="331">
        <f t="shared" si="178"/>
        <v>1338.66297835866</v>
      </c>
      <c r="AB84" s="331">
        <f t="shared" si="179"/>
        <v>1338.66297835866</v>
      </c>
      <c r="AC84" s="331">
        <f t="shared" si="180"/>
        <v>1338.66297835866</v>
      </c>
      <c r="AD84" s="331">
        <f t="shared" si="181"/>
        <v>1338.66297835866</v>
      </c>
      <c r="AE84" s="331">
        <f t="shared" si="182"/>
        <v>1338.66297835866</v>
      </c>
      <c r="AF84" s="331">
        <f t="shared" si="183"/>
        <v>1338.66297835866</v>
      </c>
      <c r="AH84" s="295">
        <f t="shared" si="211"/>
        <v>4.20466800831381</v>
      </c>
      <c r="AI84" s="295">
        <f t="shared" si="188"/>
        <v>4.00785752067705</v>
      </c>
      <c r="AJ84" s="295">
        <f t="shared" si="189"/>
        <v>3.75035503808357</v>
      </c>
      <c r="AK84" s="295">
        <f t="shared" si="190"/>
        <v>2.96661217649617</v>
      </c>
      <c r="AL84" s="295">
        <f t="shared" si="191"/>
        <v>2.41016408790161</v>
      </c>
      <c r="AM84" s="295">
        <f t="shared" si="192"/>
        <v>2.03278015597986</v>
      </c>
      <c r="AN84" s="295">
        <f t="shared" si="193"/>
        <v>1.81426293561562</v>
      </c>
      <c r="AO84" s="295">
        <f t="shared" si="194"/>
        <v>1.54312201612981</v>
      </c>
      <c r="AP84" s="295">
        <f t="shared" si="195"/>
        <v>1.37889499770675</v>
      </c>
      <c r="AQ84" s="295">
        <f t="shared" si="196"/>
        <v>1.25643791207851</v>
      </c>
      <c r="AR84" s="295">
        <f t="shared" si="197"/>
        <v>1.15555091389079</v>
      </c>
      <c r="AT84" s="332">
        <f t="shared" si="212"/>
        <v>0.0343527945475503</v>
      </c>
      <c r="AU84" s="332">
        <f t="shared" si="198"/>
        <v>0.0327448221147161</v>
      </c>
      <c r="AV84" s="332">
        <f t="shared" si="199"/>
        <v>0.0306409866008236</v>
      </c>
      <c r="AW84" s="332">
        <f t="shared" si="200"/>
        <v>0.0242376849729697</v>
      </c>
      <c r="AX84" s="332">
        <f t="shared" si="201"/>
        <v>0.0196914171520456</v>
      </c>
      <c r="AY84" s="332">
        <f t="shared" si="202"/>
        <v>0.0166081314673683</v>
      </c>
      <c r="AZ84" s="332">
        <f t="shared" si="203"/>
        <v>0.014822811636782</v>
      </c>
      <c r="BA84" s="332">
        <f t="shared" si="204"/>
        <v>0.0126075479626673</v>
      </c>
      <c r="BB84" s="332">
        <f t="shared" si="205"/>
        <v>0.011265787564013</v>
      </c>
      <c r="BC84" s="332">
        <f t="shared" si="206"/>
        <v>0.0102652940422508</v>
      </c>
      <c r="BD84" s="332">
        <f t="shared" si="207"/>
        <v>0.00944103150489724</v>
      </c>
    </row>
    <row r="85" spans="1:56">
      <c r="A85" s="350">
        <f t="shared" si="184"/>
        <v>484.38819</v>
      </c>
      <c r="B85" s="198"/>
      <c r="C85" s="25" t="s">
        <v>28</v>
      </c>
      <c r="D85" s="201">
        <v>170.39671</v>
      </c>
      <c r="E85" s="201">
        <v>155.42297</v>
      </c>
      <c r="F85" s="311">
        <v>158.56851</v>
      </c>
      <c r="G85" s="201">
        <v>79.74634</v>
      </c>
      <c r="H85" s="201"/>
      <c r="I85" s="201"/>
      <c r="J85" s="201"/>
      <c r="K85" s="201"/>
      <c r="L85" s="201"/>
      <c r="M85" s="201"/>
      <c r="N85" s="201"/>
      <c r="O85" s="201"/>
      <c r="P85" s="296">
        <f t="shared" si="208"/>
        <v>564.13453</v>
      </c>
      <c r="Q85" s="312">
        <f t="shared" si="209"/>
        <v>1.33791815980515</v>
      </c>
      <c r="R85" s="313">
        <f t="shared" si="210"/>
        <v>0.0193808822426928</v>
      </c>
      <c r="T85" s="347">
        <f t="shared" si="185"/>
        <v>-0.51181139581361</v>
      </c>
      <c r="V85" s="201">
        <f t="shared" si="186"/>
        <v>325.81968</v>
      </c>
      <c r="W85" s="201">
        <f t="shared" si="187"/>
        <v>484.38819</v>
      </c>
      <c r="X85" s="201">
        <f t="shared" si="175"/>
        <v>564.13453</v>
      </c>
      <c r="Y85" s="201">
        <f t="shared" si="176"/>
        <v>564.13453</v>
      </c>
      <c r="Z85" s="201">
        <f t="shared" si="177"/>
        <v>564.13453</v>
      </c>
      <c r="AA85" s="331">
        <f t="shared" si="178"/>
        <v>564.13453</v>
      </c>
      <c r="AB85" s="331">
        <f t="shared" si="179"/>
        <v>564.13453</v>
      </c>
      <c r="AC85" s="331">
        <f t="shared" si="180"/>
        <v>564.13453</v>
      </c>
      <c r="AD85" s="331">
        <f t="shared" si="181"/>
        <v>564.13453</v>
      </c>
      <c r="AE85" s="331">
        <f t="shared" si="182"/>
        <v>564.13453</v>
      </c>
      <c r="AF85" s="331">
        <f t="shared" si="183"/>
        <v>564.13453</v>
      </c>
      <c r="AH85" s="295">
        <f t="shared" ref="AH85:AH96" si="213">V85/V$54*1000</f>
        <v>2.14984447890205</v>
      </c>
      <c r="AI85" s="295">
        <f t="shared" si="188"/>
        <v>1.94103108770917</v>
      </c>
      <c r="AJ85" s="295">
        <f t="shared" si="189"/>
        <v>1.58046111003718</v>
      </c>
      <c r="AK85" s="295">
        <f t="shared" si="190"/>
        <v>1.2501790166274</v>
      </c>
      <c r="AL85" s="295">
        <f t="shared" si="191"/>
        <v>1.0156826676557</v>
      </c>
      <c r="AM85" s="295">
        <f t="shared" si="192"/>
        <v>0.856646890536309</v>
      </c>
      <c r="AN85" s="295">
        <f t="shared" si="193"/>
        <v>0.764560150707117</v>
      </c>
      <c r="AO85" s="295">
        <f t="shared" si="194"/>
        <v>0.650296921163385</v>
      </c>
      <c r="AP85" s="295">
        <f t="shared" si="195"/>
        <v>0.581088962663637</v>
      </c>
      <c r="AQ85" s="295">
        <f t="shared" si="196"/>
        <v>0.529483538772135</v>
      </c>
      <c r="AR85" s="295">
        <f t="shared" si="197"/>
        <v>0.486968103426696</v>
      </c>
      <c r="AT85" s="332">
        <f t="shared" si="212"/>
        <v>0.0175645652752795</v>
      </c>
      <c r="AU85" s="332">
        <f t="shared" si="198"/>
        <v>0.0158585272451087</v>
      </c>
      <c r="AV85" s="332">
        <f t="shared" si="199"/>
        <v>0.0129126141935933</v>
      </c>
      <c r="AW85" s="332">
        <f t="shared" si="200"/>
        <v>0.0102141578885518</v>
      </c>
      <c r="AX85" s="332">
        <f t="shared" si="201"/>
        <v>0.00829828608073069</v>
      </c>
      <c r="AY85" s="332">
        <f t="shared" si="202"/>
        <v>0.00699893893458504</v>
      </c>
      <c r="AZ85" s="332">
        <f t="shared" si="203"/>
        <v>0.00624657588293603</v>
      </c>
      <c r="BA85" s="332">
        <f t="shared" si="204"/>
        <v>0.00531302744555784</v>
      </c>
      <c r="BB85" s="332">
        <f t="shared" si="205"/>
        <v>0.00474758761185485</v>
      </c>
      <c r="BC85" s="332">
        <f t="shared" si="206"/>
        <v>0.00432596323604713</v>
      </c>
      <c r="BD85" s="332">
        <f t="shared" si="207"/>
        <v>0.00397860548684227</v>
      </c>
    </row>
    <row r="86" spans="1:56">
      <c r="A86" s="350">
        <f t="shared" si="184"/>
        <v>586.70041</v>
      </c>
      <c r="B86" s="198"/>
      <c r="C86" s="25" t="s">
        <v>29</v>
      </c>
      <c r="D86" s="201">
        <v>161.25072</v>
      </c>
      <c r="E86" s="201">
        <v>302.85213</v>
      </c>
      <c r="F86" s="311">
        <v>122.59756</v>
      </c>
      <c r="G86" s="201">
        <v>204.70201</v>
      </c>
      <c r="H86" s="201"/>
      <c r="I86" s="201"/>
      <c r="J86" s="201"/>
      <c r="K86" s="201"/>
      <c r="L86" s="201"/>
      <c r="M86" s="201"/>
      <c r="N86" s="201"/>
      <c r="O86" s="201"/>
      <c r="P86" s="296">
        <f t="shared" si="208"/>
        <v>791.40242</v>
      </c>
      <c r="Q86" s="312">
        <f t="shared" si="209"/>
        <v>1.87691341891754</v>
      </c>
      <c r="R86" s="313">
        <f t="shared" si="210"/>
        <v>0.0271886869052353</v>
      </c>
      <c r="T86" s="347">
        <f t="shared" si="185"/>
        <v>0.0525010535098365</v>
      </c>
      <c r="V86" s="201">
        <f t="shared" si="186"/>
        <v>464.10285</v>
      </c>
      <c r="W86" s="201">
        <f t="shared" si="187"/>
        <v>586.70041</v>
      </c>
      <c r="X86" s="201">
        <f t="shared" si="175"/>
        <v>791.40242</v>
      </c>
      <c r="Y86" s="201">
        <f t="shared" si="176"/>
        <v>791.40242</v>
      </c>
      <c r="Z86" s="201">
        <f t="shared" si="177"/>
        <v>791.40242</v>
      </c>
      <c r="AA86" s="331">
        <f t="shared" si="178"/>
        <v>791.40242</v>
      </c>
      <c r="AB86" s="331">
        <f t="shared" si="179"/>
        <v>791.40242</v>
      </c>
      <c r="AC86" s="331">
        <f t="shared" si="180"/>
        <v>791.40242</v>
      </c>
      <c r="AD86" s="331">
        <f t="shared" si="181"/>
        <v>791.40242</v>
      </c>
      <c r="AE86" s="331">
        <f t="shared" si="182"/>
        <v>791.40242</v>
      </c>
      <c r="AF86" s="331">
        <f t="shared" si="183"/>
        <v>791.40242</v>
      </c>
      <c r="AH86" s="295">
        <f t="shared" si="213"/>
        <v>3.06227343208736</v>
      </c>
      <c r="AI86" s="295">
        <f t="shared" si="188"/>
        <v>2.35101465826762</v>
      </c>
      <c r="AJ86" s="295">
        <f t="shared" si="189"/>
        <v>2.21716750293464</v>
      </c>
      <c r="AK86" s="295">
        <f t="shared" si="190"/>
        <v>1.75382758292095</v>
      </c>
      <c r="AL86" s="295">
        <f t="shared" si="191"/>
        <v>1.42486176326554</v>
      </c>
      <c r="AM86" s="295">
        <f t="shared" si="192"/>
        <v>1.20175664881905</v>
      </c>
      <c r="AN86" s="295">
        <f t="shared" si="193"/>
        <v>1.07257173834968</v>
      </c>
      <c r="AO86" s="295">
        <f t="shared" si="194"/>
        <v>0.912276291839913</v>
      </c>
      <c r="AP86" s="295">
        <f t="shared" si="195"/>
        <v>0.815187135039034</v>
      </c>
      <c r="AQ86" s="295">
        <f t="shared" si="196"/>
        <v>0.742791890321678</v>
      </c>
      <c r="AR86" s="295">
        <f t="shared" si="197"/>
        <v>0.683148637461878</v>
      </c>
      <c r="AT86" s="332">
        <f t="shared" si="212"/>
        <v>0.0250192523768615</v>
      </c>
      <c r="AU86" s="332">
        <f t="shared" si="198"/>
        <v>0.019208157070678</v>
      </c>
      <c r="AV86" s="332">
        <f t="shared" si="199"/>
        <v>0.0181146048998916</v>
      </c>
      <c r="AW86" s="332">
        <f t="shared" si="200"/>
        <v>0.0143290453631015</v>
      </c>
      <c r="AX86" s="332">
        <f t="shared" si="201"/>
        <v>0.0116413432202822</v>
      </c>
      <c r="AY86" s="332">
        <f t="shared" si="202"/>
        <v>0.00981853957825064</v>
      </c>
      <c r="AZ86" s="332">
        <f t="shared" si="203"/>
        <v>0.00876307867640935</v>
      </c>
      <c r="BA86" s="332">
        <f t="shared" si="204"/>
        <v>0.00745343983453892</v>
      </c>
      <c r="BB86" s="332">
        <f t="shared" si="205"/>
        <v>0.00666020625467466</v>
      </c>
      <c r="BC86" s="332">
        <f t="shared" si="206"/>
        <v>0.00606872579460564</v>
      </c>
      <c r="BD86" s="332">
        <f t="shared" si="207"/>
        <v>0.00558143110033037</v>
      </c>
    </row>
    <row r="87" spans="1:56">
      <c r="A87" s="350">
        <f t="shared" si="184"/>
        <v>2018.79453</v>
      </c>
      <c r="B87" s="198" t="s">
        <v>30</v>
      </c>
      <c r="C87" s="25" t="s">
        <v>31</v>
      </c>
      <c r="D87" s="201">
        <v>590.41207</v>
      </c>
      <c r="E87" s="201">
        <v>617.89438</v>
      </c>
      <c r="F87" s="311">
        <v>810.48808</v>
      </c>
      <c r="G87" s="201">
        <v>662.674591344985</v>
      </c>
      <c r="H87" s="201"/>
      <c r="I87" s="201"/>
      <c r="J87" s="201"/>
      <c r="K87" s="201"/>
      <c r="L87" s="201"/>
      <c r="M87" s="201"/>
      <c r="N87" s="201"/>
      <c r="O87" s="201"/>
      <c r="P87" s="296">
        <f t="shared" si="208"/>
        <v>2681.46912134499</v>
      </c>
      <c r="Q87" s="312">
        <f t="shared" si="209"/>
        <v>6.35945158755697</v>
      </c>
      <c r="R87" s="313">
        <f t="shared" si="210"/>
        <v>0.0921220640016558</v>
      </c>
      <c r="T87" s="347">
        <f t="shared" si="185"/>
        <v>-0.0763716181494924</v>
      </c>
      <c r="V87" s="201">
        <f t="shared" si="186"/>
        <v>1208.30645</v>
      </c>
      <c r="W87" s="201">
        <f t="shared" si="187"/>
        <v>2018.79453</v>
      </c>
      <c r="X87" s="201">
        <f t="shared" si="175"/>
        <v>2681.46912134499</v>
      </c>
      <c r="Y87" s="201">
        <f t="shared" si="176"/>
        <v>2681.46912134499</v>
      </c>
      <c r="Z87" s="201">
        <f t="shared" si="177"/>
        <v>2681.46912134499</v>
      </c>
      <c r="AA87" s="331">
        <f t="shared" si="178"/>
        <v>2681.46912134499</v>
      </c>
      <c r="AB87" s="331">
        <f t="shared" si="179"/>
        <v>2681.46912134499</v>
      </c>
      <c r="AC87" s="331">
        <f t="shared" si="180"/>
        <v>2681.46912134499</v>
      </c>
      <c r="AD87" s="331">
        <f t="shared" si="181"/>
        <v>2681.46912134499</v>
      </c>
      <c r="AE87" s="331">
        <f t="shared" si="182"/>
        <v>2681.46912134499</v>
      </c>
      <c r="AF87" s="331">
        <f t="shared" si="183"/>
        <v>2681.46912134499</v>
      </c>
      <c r="AH87" s="295">
        <f t="shared" si="213"/>
        <v>7.97272574312956</v>
      </c>
      <c r="AI87" s="295">
        <f t="shared" si="188"/>
        <v>8.08967481727255</v>
      </c>
      <c r="AJ87" s="295">
        <f t="shared" si="189"/>
        <v>7.51231743260124</v>
      </c>
      <c r="AK87" s="295">
        <f t="shared" si="190"/>
        <v>5.94240602368344</v>
      </c>
      <c r="AL87" s="295">
        <f t="shared" si="191"/>
        <v>4.82778763853378</v>
      </c>
      <c r="AM87" s="295">
        <f t="shared" si="192"/>
        <v>4.0718517706571</v>
      </c>
      <c r="AN87" s="295">
        <f t="shared" si="193"/>
        <v>3.63414101868929</v>
      </c>
      <c r="AO87" s="295">
        <f t="shared" si="194"/>
        <v>3.09101999802304</v>
      </c>
      <c r="AP87" s="295">
        <f t="shared" si="195"/>
        <v>2.76205767822248</v>
      </c>
      <c r="AQ87" s="295">
        <f t="shared" si="196"/>
        <v>2.51676450203811</v>
      </c>
      <c r="AR87" s="295">
        <f t="shared" si="197"/>
        <v>2.31467826019906</v>
      </c>
      <c r="AT87" s="332">
        <f t="shared" si="212"/>
        <v>0.0651384149464706</v>
      </c>
      <c r="AU87" s="332">
        <f t="shared" si="198"/>
        <v>0.0660939071538498</v>
      </c>
      <c r="AV87" s="332">
        <f t="shared" si="199"/>
        <v>0.0613768071171983</v>
      </c>
      <c r="AW87" s="332">
        <f t="shared" si="200"/>
        <v>0.0485503856299912</v>
      </c>
      <c r="AX87" s="332">
        <f t="shared" si="201"/>
        <v>0.0394437792800349</v>
      </c>
      <c r="AY87" s="332">
        <f t="shared" si="202"/>
        <v>0.0332676651352452</v>
      </c>
      <c r="AZ87" s="332">
        <f t="shared" si="203"/>
        <v>0.0296914999055832</v>
      </c>
      <c r="BA87" s="332">
        <f t="shared" si="204"/>
        <v>0.0252541163117985</v>
      </c>
      <c r="BB87" s="332">
        <f t="shared" si="205"/>
        <v>0.0225664427633401</v>
      </c>
      <c r="BC87" s="332">
        <f t="shared" si="206"/>
        <v>0.0205623591903407</v>
      </c>
      <c r="BD87" s="332">
        <f t="shared" si="207"/>
        <v>0.0189112830214121</v>
      </c>
    </row>
    <row r="88" spans="1:56">
      <c r="A88" s="350">
        <f t="shared" si="184"/>
        <v>155.37869</v>
      </c>
      <c r="B88" s="198"/>
      <c r="C88" s="25" t="s">
        <v>66</v>
      </c>
      <c r="D88" s="201">
        <v>47.50766</v>
      </c>
      <c r="E88" s="201">
        <v>53.14224</v>
      </c>
      <c r="F88" s="311">
        <v>54.72879</v>
      </c>
      <c r="G88" s="201">
        <v>59.13461</v>
      </c>
      <c r="H88" s="201"/>
      <c r="I88" s="201"/>
      <c r="J88" s="201"/>
      <c r="K88" s="201"/>
      <c r="L88" s="201"/>
      <c r="M88" s="201"/>
      <c r="N88" s="201"/>
      <c r="O88" s="201"/>
      <c r="P88" s="296">
        <f t="shared" si="208"/>
        <v>214.5133</v>
      </c>
      <c r="Q88" s="312">
        <f t="shared" si="209"/>
        <v>0.508746095704741</v>
      </c>
      <c r="R88" s="313">
        <f t="shared" si="210"/>
        <v>0.00736961980822451</v>
      </c>
      <c r="T88" s="347">
        <f t="shared" si="185"/>
        <v>0.0685998169514748</v>
      </c>
      <c r="V88" s="201">
        <f t="shared" si="186"/>
        <v>100.6499</v>
      </c>
      <c r="W88" s="201">
        <f t="shared" si="187"/>
        <v>155.37869</v>
      </c>
      <c r="X88" s="201">
        <f t="shared" si="175"/>
        <v>214.5133</v>
      </c>
      <c r="Y88" s="201">
        <f t="shared" si="176"/>
        <v>214.5133</v>
      </c>
      <c r="Z88" s="201">
        <f t="shared" si="177"/>
        <v>214.5133</v>
      </c>
      <c r="AA88" s="331">
        <f t="shared" si="178"/>
        <v>214.5133</v>
      </c>
      <c r="AB88" s="331">
        <f t="shared" si="179"/>
        <v>214.5133</v>
      </c>
      <c r="AC88" s="331">
        <f t="shared" si="180"/>
        <v>214.5133</v>
      </c>
      <c r="AD88" s="331">
        <f t="shared" si="181"/>
        <v>214.5133</v>
      </c>
      <c r="AE88" s="331">
        <f t="shared" si="182"/>
        <v>214.5133</v>
      </c>
      <c r="AF88" s="331">
        <f t="shared" si="183"/>
        <v>214.5133</v>
      </c>
      <c r="AH88" s="295">
        <f t="shared" si="213"/>
        <v>0.664114677839728</v>
      </c>
      <c r="AI88" s="295">
        <f t="shared" si="188"/>
        <v>0.622630513880874</v>
      </c>
      <c r="AJ88" s="295">
        <f t="shared" si="189"/>
        <v>0.600973544795668</v>
      </c>
      <c r="AK88" s="295">
        <f t="shared" si="190"/>
        <v>0.475383108436031</v>
      </c>
      <c r="AL88" s="295">
        <f t="shared" si="191"/>
        <v>0.386215395805727</v>
      </c>
      <c r="AM88" s="295">
        <f t="shared" si="192"/>
        <v>0.325741718777048</v>
      </c>
      <c r="AN88" s="295">
        <f t="shared" si="193"/>
        <v>0.290725549057742</v>
      </c>
      <c r="AO88" s="295">
        <f t="shared" si="194"/>
        <v>0.247276724115075</v>
      </c>
      <c r="AP88" s="295">
        <f t="shared" si="195"/>
        <v>0.220960257431066</v>
      </c>
      <c r="AQ88" s="295">
        <f t="shared" si="196"/>
        <v>0.201337190257949</v>
      </c>
      <c r="AR88" s="295">
        <f t="shared" si="197"/>
        <v>0.185170609678514</v>
      </c>
      <c r="AT88" s="332">
        <f t="shared" si="212"/>
        <v>0.00542592067643169</v>
      </c>
      <c r="AU88" s="332">
        <f t="shared" si="198"/>
        <v>0.00508698857557674</v>
      </c>
      <c r="AV88" s="332">
        <f t="shared" si="199"/>
        <v>0.00491004775455693</v>
      </c>
      <c r="AW88" s="332">
        <f t="shared" si="200"/>
        <v>0.0038839542677777</v>
      </c>
      <c r="AX88" s="332">
        <f t="shared" si="201"/>
        <v>0.00315544012440012</v>
      </c>
      <c r="AY88" s="332">
        <f t="shared" si="202"/>
        <v>0.00266136073492314</v>
      </c>
      <c r="AZ88" s="332">
        <f t="shared" si="203"/>
        <v>0.00237527315753748</v>
      </c>
      <c r="BA88" s="332">
        <f t="shared" si="204"/>
        <v>0.00202028946949442</v>
      </c>
      <c r="BB88" s="332">
        <f t="shared" si="205"/>
        <v>0.00180527982511211</v>
      </c>
      <c r="BC88" s="332">
        <f t="shared" si="206"/>
        <v>0.00164495630048235</v>
      </c>
      <c r="BD88" s="332">
        <f t="shared" si="207"/>
        <v>0.00151287281134988</v>
      </c>
    </row>
    <row r="89" spans="1:56">
      <c r="A89" s="350">
        <f t="shared" si="184"/>
        <v>40.42829</v>
      </c>
      <c r="B89" s="198"/>
      <c r="C89" s="25" t="s">
        <v>33</v>
      </c>
      <c r="D89" s="201">
        <v>9.05877</v>
      </c>
      <c r="E89" s="201">
        <v>26.81478</v>
      </c>
      <c r="F89" s="311">
        <v>4.55474</v>
      </c>
      <c r="G89" s="201">
        <v>11.92993</v>
      </c>
      <c r="H89" s="201"/>
      <c r="I89" s="201"/>
      <c r="J89" s="201"/>
      <c r="K89" s="201"/>
      <c r="L89" s="201"/>
      <c r="M89" s="201"/>
      <c r="N89" s="201"/>
      <c r="O89" s="201"/>
      <c r="P89" s="296">
        <f t="shared" si="208"/>
        <v>52.35822</v>
      </c>
      <c r="Q89" s="312">
        <f t="shared" si="209"/>
        <v>0.124174305290394</v>
      </c>
      <c r="R89" s="313">
        <f t="shared" si="210"/>
        <v>0.00179877040367836</v>
      </c>
      <c r="T89" s="347">
        <f t="shared" si="185"/>
        <v>0.178128259979963</v>
      </c>
      <c r="V89" s="201">
        <f t="shared" si="186"/>
        <v>35.87355</v>
      </c>
      <c r="W89" s="201">
        <f t="shared" si="187"/>
        <v>40.42829</v>
      </c>
      <c r="X89" s="201">
        <f t="shared" si="175"/>
        <v>52.35822</v>
      </c>
      <c r="Y89" s="201">
        <f t="shared" si="176"/>
        <v>52.35822</v>
      </c>
      <c r="Z89" s="201">
        <f t="shared" si="177"/>
        <v>52.35822</v>
      </c>
      <c r="AA89" s="331">
        <f t="shared" si="178"/>
        <v>52.35822</v>
      </c>
      <c r="AB89" s="331">
        <f t="shared" si="179"/>
        <v>52.35822</v>
      </c>
      <c r="AC89" s="331">
        <f t="shared" si="180"/>
        <v>52.35822</v>
      </c>
      <c r="AD89" s="331">
        <f t="shared" si="181"/>
        <v>52.35822</v>
      </c>
      <c r="AE89" s="331">
        <f t="shared" si="182"/>
        <v>52.35822</v>
      </c>
      <c r="AF89" s="331">
        <f t="shared" si="183"/>
        <v>52.35822</v>
      </c>
      <c r="AH89" s="295">
        <f t="shared" si="213"/>
        <v>0.236703177064432</v>
      </c>
      <c r="AI89" s="295">
        <f t="shared" si="188"/>
        <v>0.162003470218632</v>
      </c>
      <c r="AJ89" s="295">
        <f t="shared" si="189"/>
        <v>0.14668510098251</v>
      </c>
      <c r="AK89" s="295">
        <f t="shared" si="190"/>
        <v>0.116031096327256</v>
      </c>
      <c r="AL89" s="295">
        <f t="shared" si="191"/>
        <v>0.0942671184536498</v>
      </c>
      <c r="AM89" s="295">
        <f t="shared" si="192"/>
        <v>0.0795067558743763</v>
      </c>
      <c r="AN89" s="295">
        <f t="shared" si="193"/>
        <v>0.0709600395741711</v>
      </c>
      <c r="AO89" s="295">
        <f t="shared" si="194"/>
        <v>0.0603550881092054</v>
      </c>
      <c r="AP89" s="295">
        <f t="shared" si="195"/>
        <v>0.0539317877718183</v>
      </c>
      <c r="AQ89" s="295">
        <f t="shared" si="196"/>
        <v>0.0491422065751054</v>
      </c>
      <c r="AR89" s="295">
        <f t="shared" si="197"/>
        <v>0.0451962816248771</v>
      </c>
      <c r="AT89" s="332">
        <f t="shared" si="212"/>
        <v>0.00193390193812419</v>
      </c>
      <c r="AU89" s="332">
        <f t="shared" si="198"/>
        <v>0.00132359366242632</v>
      </c>
      <c r="AV89" s="332">
        <f t="shared" si="199"/>
        <v>0.00119844019248969</v>
      </c>
      <c r="AW89" s="332">
        <f t="shared" si="200"/>
        <v>0.00094799218520364</v>
      </c>
      <c r="AX89" s="332">
        <f t="shared" si="201"/>
        <v>0.000770177085664008</v>
      </c>
      <c r="AY89" s="332">
        <f t="shared" si="202"/>
        <v>0.00064958261729444</v>
      </c>
      <c r="AZ89" s="332">
        <f t="shared" si="203"/>
        <v>0.000579754609818794</v>
      </c>
      <c r="BA89" s="332">
        <f t="shared" si="204"/>
        <v>0.000493110499477058</v>
      </c>
      <c r="BB89" s="332">
        <f t="shared" si="205"/>
        <v>0.000440631132171205</v>
      </c>
      <c r="BC89" s="332">
        <f t="shared" si="206"/>
        <v>0.00040149950549006</v>
      </c>
      <c r="BD89" s="332">
        <f t="shared" si="207"/>
        <v>0.000369260682151995</v>
      </c>
    </row>
    <row r="90" spans="1:56">
      <c r="A90" s="350">
        <f t="shared" si="184"/>
        <v>-229.1995</v>
      </c>
      <c r="B90" s="198"/>
      <c r="C90" s="25" t="s">
        <v>67</v>
      </c>
      <c r="D90" s="201">
        <v>-65.75498</v>
      </c>
      <c r="E90" s="201">
        <v>-85.73821</v>
      </c>
      <c r="F90" s="311">
        <v>-77.70631</v>
      </c>
      <c r="G90" s="201">
        <v>-84.25962</v>
      </c>
      <c r="H90" s="201"/>
      <c r="I90" s="201"/>
      <c r="J90" s="201"/>
      <c r="K90" s="201"/>
      <c r="L90" s="201"/>
      <c r="M90" s="201"/>
      <c r="N90" s="201"/>
      <c r="O90" s="201"/>
      <c r="P90" s="296">
        <f t="shared" si="208"/>
        <v>-313.45912</v>
      </c>
      <c r="Q90" s="312">
        <f t="shared" si="209"/>
        <v>-0.743408932980119</v>
      </c>
      <c r="R90" s="313">
        <f t="shared" ref="R90" si="214">P90/$P$71</f>
        <v>-0.0107689105515631</v>
      </c>
      <c r="T90" s="347">
        <f t="shared" si="185"/>
        <v>0.0972799619744239</v>
      </c>
      <c r="V90" s="201">
        <f t="shared" ref="V90" si="215">D90+E90</f>
        <v>-151.49319</v>
      </c>
      <c r="W90" s="201">
        <f t="shared" ref="W90" si="216">V90+F90</f>
        <v>-229.1995</v>
      </c>
      <c r="X90" s="201">
        <f t="shared" ref="X90" si="217">W90+G90</f>
        <v>-313.45912</v>
      </c>
      <c r="Y90" s="201">
        <f t="shared" ref="Y90" si="218">X90+H90</f>
        <v>-313.45912</v>
      </c>
      <c r="Z90" s="201">
        <f t="shared" ref="Z90" si="219">Y90+I90</f>
        <v>-313.45912</v>
      </c>
      <c r="AA90" s="331">
        <f t="shared" ref="AA90" si="220">Z90+J90</f>
        <v>-313.45912</v>
      </c>
      <c r="AB90" s="331">
        <f t="shared" ref="AB90" si="221">AA90+K90</f>
        <v>-313.45912</v>
      </c>
      <c r="AC90" s="331">
        <f t="shared" ref="AC90" si="222">AB90+L90</f>
        <v>-313.45912</v>
      </c>
      <c r="AD90" s="331">
        <f t="shared" ref="AD90" si="223">AC90+M90</f>
        <v>-313.45912</v>
      </c>
      <c r="AE90" s="331">
        <f t="shared" ref="AE90" si="224">AD90+N90</f>
        <v>-313.45912</v>
      </c>
      <c r="AF90" s="331">
        <f t="shared" ref="AF90" si="225">AE90+O90</f>
        <v>-313.45912</v>
      </c>
      <c r="AH90" s="295">
        <f t="shared" ref="AH90" si="226">V90/V$54*1000</f>
        <v>-0.999592161261588</v>
      </c>
      <c r="AI90" s="295">
        <f t="shared" ref="AI90" si="227">W90/W$54*1000</f>
        <v>-0.918443851381676</v>
      </c>
      <c r="AJ90" s="295">
        <f t="shared" ref="AJ90" si="228">X90/X$54*1000</f>
        <v>-0.878176963828959</v>
      </c>
      <c r="AK90" s="295">
        <f t="shared" ref="AK90" si="229">Y90/Y$54*1000</f>
        <v>-0.694657025150529</v>
      </c>
      <c r="AL90" s="295">
        <f t="shared" ref="AL90" si="230">Z90/Z$54*1000</f>
        <v>-0.56436005646137</v>
      </c>
      <c r="AM90" s="295">
        <f t="shared" ref="AM90" si="231">AA90/AA$54*1000</f>
        <v>-0.475992456016206</v>
      </c>
      <c r="AN90" s="295">
        <f t="shared" ref="AN90" si="232">AB90/AB$54*1000</f>
        <v>-0.424824823305392</v>
      </c>
      <c r="AO90" s="295">
        <f t="shared" ref="AO90" si="233">AC90/AC$54*1000</f>
        <v>-0.361334911810103</v>
      </c>
      <c r="AP90" s="295">
        <f t="shared" ref="AP90" si="234">AD90/AD$54*1000</f>
        <v>-0.322879783441472</v>
      </c>
      <c r="AQ90" s="295">
        <f t="shared" ref="AQ90" si="235">AE90/AE$54*1000</f>
        <v>-0.294205433796083</v>
      </c>
      <c r="AR90" s="295">
        <f t="shared" ref="AR90" si="236">AF90/AF$54*1000</f>
        <v>-0.27058190032828</v>
      </c>
      <c r="AT90" s="332">
        <f t="shared" ref="AT90" si="237">AH90/AT$53</f>
        <v>-0.00816682412957782</v>
      </c>
      <c r="AU90" s="332">
        <f t="shared" ref="AU90" si="238">AI90/AU$53</f>
        <v>-0.00750382975958866</v>
      </c>
      <c r="AV90" s="332">
        <f t="shared" ref="AV90" si="239">AJ90/AV$53</f>
        <v>-0.00717484299715399</v>
      </c>
      <c r="AW90" s="332">
        <f t="shared" ref="AW90" si="240">AK90/AW$53</f>
        <v>-0.00567545642576868</v>
      </c>
      <c r="AX90" s="332">
        <f t="shared" ref="AX90" si="241">AL90/AX$53</f>
        <v>-0.00461090983452846</v>
      </c>
      <c r="AY90" s="332">
        <f t="shared" ref="AY90" si="242">AM90/AY$53</f>
        <v>-0.00388893273270963</v>
      </c>
      <c r="AZ90" s="332">
        <f t="shared" ref="AZ90" si="243">AN90/AZ$53</f>
        <v>-0.00347088517924678</v>
      </c>
      <c r="BA90" s="332">
        <f t="shared" ref="BA90" si="244">AO90/BA$53</f>
        <v>-0.00295216268293382</v>
      </c>
      <c r="BB90" s="332">
        <f t="shared" ref="BB90" si="245">AP90/BB$53</f>
        <v>-0.00263797827609475</v>
      </c>
      <c r="BC90" s="332">
        <f t="shared" ref="BC90" si="246">AQ90/BC$53</f>
        <v>-0.00240370435953227</v>
      </c>
      <c r="BD90" s="332">
        <f t="shared" ref="BD90" si="247">AR90/BD$53</f>
        <v>-0.00221069640025891</v>
      </c>
    </row>
    <row r="91" spans="1:56">
      <c r="A91" s="350">
        <f t="shared" si="184"/>
        <v>110.6043</v>
      </c>
      <c r="B91" s="198"/>
      <c r="C91" s="25" t="s">
        <v>35</v>
      </c>
      <c r="D91" s="201">
        <v>38.54558</v>
      </c>
      <c r="E91" s="201">
        <v>45.86664</v>
      </c>
      <c r="F91" s="311">
        <v>26.19208</v>
      </c>
      <c r="G91" s="201">
        <v>34.37261</v>
      </c>
      <c r="H91" s="201"/>
      <c r="I91" s="201"/>
      <c r="J91" s="201"/>
      <c r="K91" s="201"/>
      <c r="L91" s="201"/>
      <c r="M91" s="201"/>
      <c r="N91" s="201"/>
      <c r="O91" s="201"/>
      <c r="P91" s="296">
        <f t="shared" ref="P91" si="248">SUM(D91:O91)</f>
        <v>144.97691</v>
      </c>
      <c r="Q91" s="312">
        <f t="shared" si="209"/>
        <v>0.343831533661725</v>
      </c>
      <c r="R91" s="313">
        <f t="shared" ref="R91:R92" si="249">P91/$P$71</f>
        <v>0.0049806921420312</v>
      </c>
      <c r="T91" s="347">
        <f t="shared" si="185"/>
        <v>-0.192350053558664</v>
      </c>
      <c r="V91" s="201">
        <f t="shared" ref="V91" si="250">D91+E91</f>
        <v>84.41222</v>
      </c>
      <c r="W91" s="201">
        <f t="shared" ref="W91" si="251">V91+F91</f>
        <v>110.6043</v>
      </c>
      <c r="X91" s="201">
        <f t="shared" ref="X91" si="252">W91+G91</f>
        <v>144.97691</v>
      </c>
      <c r="Y91" s="201">
        <f t="shared" ref="Y91" si="253">X91+H91</f>
        <v>144.97691</v>
      </c>
      <c r="Z91" s="201">
        <f t="shared" ref="Z91" si="254">Y91+I91</f>
        <v>144.97691</v>
      </c>
      <c r="AA91" s="331">
        <f t="shared" ref="AA91" si="255">Z91+J91</f>
        <v>144.97691</v>
      </c>
      <c r="AB91" s="331">
        <f t="shared" ref="AB91" si="256">AA91+K91</f>
        <v>144.97691</v>
      </c>
      <c r="AC91" s="331">
        <f t="shared" ref="AC91" si="257">AB91+L91</f>
        <v>144.97691</v>
      </c>
      <c r="AD91" s="331">
        <f t="shared" ref="AD91" si="258">AC91+M91</f>
        <v>144.97691</v>
      </c>
      <c r="AE91" s="331">
        <f t="shared" ref="AE91" si="259">AD91+N91</f>
        <v>144.97691</v>
      </c>
      <c r="AF91" s="331">
        <f t="shared" ref="AF91" si="260">AE91+O91</f>
        <v>144.97691</v>
      </c>
      <c r="AH91" s="295">
        <f t="shared" ref="AH91" si="261">V91/V$54*1000</f>
        <v>0.55697416779387</v>
      </c>
      <c r="AI91" s="295">
        <f t="shared" ref="AI91" si="262">W91/W$54*1000</f>
        <v>0.443211434891325</v>
      </c>
      <c r="AJ91" s="295">
        <f t="shared" ref="AJ91" si="263">X91/X$54*1000</f>
        <v>0.406162636611448</v>
      </c>
      <c r="AK91" s="295">
        <f t="shared" ref="AK91" si="264">Y91/Y$54*1000</f>
        <v>0.321283454812595</v>
      </c>
      <c r="AL91" s="295">
        <f t="shared" ref="AL91" si="265">Z91/Z$54*1000</f>
        <v>0.26102024759463</v>
      </c>
      <c r="AM91" s="295">
        <f t="shared" ref="AM91" si="266">AA91/AA$54*1000</f>
        <v>0.22014964967853</v>
      </c>
      <c r="AN91" s="295">
        <f t="shared" ref="AN91" si="267">AB91/AB$54*1000</f>
        <v>0.196484282142155</v>
      </c>
      <c r="AO91" s="295">
        <f t="shared" ref="AO91" si="268">AC91/AC$54*1000</f>
        <v>0.167119779412867</v>
      </c>
      <c r="AP91" s="295">
        <f t="shared" ref="AP91" si="269">AD91/AD$54*1000</f>
        <v>0.149334028963055</v>
      </c>
      <c r="AQ91" s="295">
        <f t="shared" ref="AQ91" si="270">AE91/AE$54*1000</f>
        <v>0.136071953168776</v>
      </c>
      <c r="AR91" s="295">
        <f t="shared" ref="AR91" si="271">AF91/AF$54*1000</f>
        <v>0.125145913162527</v>
      </c>
      <c r="AT91" s="332">
        <f t="shared" ref="AT91" si="272">AH91/AT$53</f>
        <v>0.00455056597017484</v>
      </c>
      <c r="AU91" s="332">
        <f t="shared" ref="AU91" si="273">AI91/AU$53</f>
        <v>0.00362110666855064</v>
      </c>
      <c r="AV91" s="332">
        <f t="shared" ref="AV91" si="274">AJ91/AV$53</f>
        <v>0.00331841219825578</v>
      </c>
      <c r="AW91" s="332">
        <f t="shared" ref="AW91" si="275">AK91/AW$53</f>
        <v>0.00262493602179317</v>
      </c>
      <c r="AX91" s="332">
        <f t="shared" ref="AX91" si="276">AL91/AX$53</f>
        <v>0.00213257620355263</v>
      </c>
      <c r="AY91" s="332">
        <f t="shared" ref="AY91" si="277">AM91/AY$53</f>
        <v>0.00179865703312795</v>
      </c>
      <c r="AZ91" s="332">
        <f t="shared" ref="AZ91" si="278">AN91/AZ$53</f>
        <v>0.00160530728297838</v>
      </c>
      <c r="BA91" s="332">
        <f t="shared" ref="BA91" si="279">AO91/BA$53</f>
        <v>0.00136539470789382</v>
      </c>
      <c r="BB91" s="332">
        <f t="shared" ref="BB91" si="280">AP91/BB$53</f>
        <v>0.0012200823479481</v>
      </c>
      <c r="BC91" s="332">
        <f t="shared" ref="BC91" si="281">AQ91/BC$53</f>
        <v>0.00111172911669795</v>
      </c>
      <c r="BD91" s="332">
        <f t="shared" ref="BD91" si="282">AR91/BD$53</f>
        <v>0.00102246166280841</v>
      </c>
    </row>
    <row r="92" spans="1:56">
      <c r="A92" s="350">
        <f t="shared" si="184"/>
        <v>704.87437</v>
      </c>
      <c r="B92" s="336" t="s">
        <v>36</v>
      </c>
      <c r="C92" s="337" t="s">
        <v>37</v>
      </c>
      <c r="D92" s="201">
        <v>277.38785</v>
      </c>
      <c r="E92" s="201">
        <v>184</v>
      </c>
      <c r="F92" s="311">
        <v>243.48652</v>
      </c>
      <c r="G92" s="201">
        <v>195.35993</v>
      </c>
      <c r="H92" s="339"/>
      <c r="I92" s="339"/>
      <c r="J92" s="339"/>
      <c r="K92" s="339"/>
      <c r="L92" s="339"/>
      <c r="M92" s="339"/>
      <c r="N92" s="339"/>
      <c r="O92" s="339"/>
      <c r="P92" s="344">
        <f t="shared" ref="P92:P95" si="283">SUM(D92:O92)</f>
        <v>900.2343</v>
      </c>
      <c r="Q92" s="312">
        <f t="shared" si="209"/>
        <v>2.13502232889285</v>
      </c>
      <c r="R92" s="313">
        <f t="shared" si="249"/>
        <v>0.0309276139489865</v>
      </c>
      <c r="T92" s="347">
        <f t="shared" si="185"/>
        <v>-1.987027415618</v>
      </c>
      <c r="V92" s="201">
        <f t="shared" si="186"/>
        <v>461.38785</v>
      </c>
      <c r="W92" s="201">
        <f t="shared" si="187"/>
        <v>704.87437</v>
      </c>
      <c r="X92" s="201">
        <f t="shared" si="175"/>
        <v>900.2343</v>
      </c>
      <c r="Y92" s="201">
        <f t="shared" si="176"/>
        <v>900.2343</v>
      </c>
      <c r="Z92" s="201">
        <f t="shared" si="177"/>
        <v>900.2343</v>
      </c>
      <c r="AA92" s="331">
        <f t="shared" si="178"/>
        <v>900.2343</v>
      </c>
      <c r="AB92" s="331">
        <f t="shared" si="179"/>
        <v>900.2343</v>
      </c>
      <c r="AC92" s="331">
        <f t="shared" si="180"/>
        <v>900.2343</v>
      </c>
      <c r="AD92" s="331">
        <f t="shared" si="181"/>
        <v>900.2343</v>
      </c>
      <c r="AE92" s="331">
        <f t="shared" si="182"/>
        <v>900.2343</v>
      </c>
      <c r="AF92" s="331">
        <f t="shared" si="183"/>
        <v>900.2343</v>
      </c>
      <c r="AH92" s="295">
        <f t="shared" si="213"/>
        <v>3.04435914354525</v>
      </c>
      <c r="AI92" s="295">
        <f t="shared" si="188"/>
        <v>2.82455908988908</v>
      </c>
      <c r="AJ92" s="295">
        <f t="shared" si="189"/>
        <v>2.52206738891084</v>
      </c>
      <c r="AK92" s="295">
        <f t="shared" si="190"/>
        <v>1.99501000569538</v>
      </c>
      <c r="AL92" s="295">
        <f t="shared" si="191"/>
        <v>1.62080554675347</v>
      </c>
      <c r="AM92" s="295">
        <f t="shared" si="192"/>
        <v>1.36701951899511</v>
      </c>
      <c r="AN92" s="295">
        <f t="shared" si="193"/>
        <v>1.22006939032737</v>
      </c>
      <c r="AO92" s="295">
        <f t="shared" si="194"/>
        <v>1.03773047470729</v>
      </c>
      <c r="AP92" s="295">
        <f t="shared" si="195"/>
        <v>0.927289835531297</v>
      </c>
      <c r="AQ92" s="295">
        <f t="shared" si="196"/>
        <v>0.844938959662788</v>
      </c>
      <c r="AR92" s="295">
        <f t="shared" si="197"/>
        <v>0.777093700877801</v>
      </c>
      <c r="AT92" s="332">
        <f t="shared" si="212"/>
        <v>0.0248728898406194</v>
      </c>
      <c r="AU92" s="332">
        <f t="shared" si="198"/>
        <v>0.0230770890616136</v>
      </c>
      <c r="AV92" s="332">
        <f t="shared" si="199"/>
        <v>0.0206056846045916</v>
      </c>
      <c r="AW92" s="332">
        <f t="shared" si="200"/>
        <v>0.0162995434384948</v>
      </c>
      <c r="AX92" s="332">
        <f t="shared" si="201"/>
        <v>0.0132422345448103</v>
      </c>
      <c r="AY92" s="332">
        <f t="shared" si="202"/>
        <v>0.011168763047564</v>
      </c>
      <c r="AZ92" s="332">
        <f t="shared" si="203"/>
        <v>0.00996815753747922</v>
      </c>
      <c r="BA92" s="332">
        <f t="shared" si="204"/>
        <v>0.00847842010899874</v>
      </c>
      <c r="BB92" s="332">
        <f t="shared" si="205"/>
        <v>0.00757610283215038</v>
      </c>
      <c r="BC92" s="332">
        <f t="shared" si="206"/>
        <v>0.00690328331015055</v>
      </c>
      <c r="BD92" s="332">
        <f t="shared" si="207"/>
        <v>0.00634897694601962</v>
      </c>
    </row>
    <row r="93" spans="1:56">
      <c r="A93" s="350">
        <f t="shared" si="184"/>
        <v>284.99285</v>
      </c>
      <c r="B93" s="336"/>
      <c r="C93" s="362" t="s">
        <v>38</v>
      </c>
      <c r="D93" s="201">
        <v>94.62519</v>
      </c>
      <c r="E93" s="201">
        <v>95.18383</v>
      </c>
      <c r="F93" s="311">
        <v>95.18383</v>
      </c>
      <c r="G93" s="201">
        <v>95.18383</v>
      </c>
      <c r="H93" s="336"/>
      <c r="I93" s="336"/>
      <c r="J93" s="336"/>
      <c r="K93" s="336"/>
      <c r="L93" s="336"/>
      <c r="M93" s="336"/>
      <c r="N93" s="336"/>
      <c r="O93" s="336"/>
      <c r="P93" s="344">
        <f t="shared" si="283"/>
        <v>380.17668</v>
      </c>
      <c r="V93" s="201">
        <f t="shared" si="186"/>
        <v>189.80902</v>
      </c>
      <c r="W93" s="201">
        <f t="shared" si="187"/>
        <v>284.99285</v>
      </c>
      <c r="X93" s="201">
        <f t="shared" si="175"/>
        <v>380.17668</v>
      </c>
      <c r="Y93" s="201">
        <f t="shared" si="176"/>
        <v>380.17668</v>
      </c>
      <c r="Z93" s="201">
        <f t="shared" si="177"/>
        <v>380.17668</v>
      </c>
      <c r="AA93" s="331">
        <f t="shared" si="178"/>
        <v>380.17668</v>
      </c>
      <c r="AB93" s="331">
        <f t="shared" si="179"/>
        <v>380.17668</v>
      </c>
      <c r="AC93" s="331">
        <f t="shared" si="180"/>
        <v>380.17668</v>
      </c>
      <c r="AD93" s="331">
        <f t="shared" si="181"/>
        <v>380.17668</v>
      </c>
      <c r="AE93" s="331">
        <f t="shared" si="182"/>
        <v>380.17668</v>
      </c>
      <c r="AF93" s="331">
        <f t="shared" si="183"/>
        <v>380.17668</v>
      </c>
      <c r="AH93" s="295">
        <f t="shared" si="213"/>
        <v>1.25241014813104</v>
      </c>
      <c r="AI93" s="295">
        <f t="shared" si="188"/>
        <v>1.14201789606976</v>
      </c>
      <c r="AJ93" s="295">
        <f t="shared" si="189"/>
        <v>1.06509072877182</v>
      </c>
      <c r="AK93" s="295">
        <f t="shared" si="190"/>
        <v>0.842509867189076</v>
      </c>
      <c r="AL93" s="295">
        <f t="shared" si="191"/>
        <v>0.684480108889785</v>
      </c>
      <c r="AM93" s="295">
        <f t="shared" si="192"/>
        <v>0.57730408875418</v>
      </c>
      <c r="AN93" s="295">
        <f t="shared" si="193"/>
        <v>0.515245786773824</v>
      </c>
      <c r="AO93" s="295">
        <f t="shared" si="194"/>
        <v>0.438242495991368</v>
      </c>
      <c r="AP93" s="295">
        <f t="shared" si="195"/>
        <v>0.391602465124951</v>
      </c>
      <c r="AQ93" s="295">
        <f t="shared" si="196"/>
        <v>0.356824982659795</v>
      </c>
      <c r="AR93" s="295">
        <f t="shared" si="197"/>
        <v>0.328173346926056</v>
      </c>
      <c r="AT93" s="332">
        <f t="shared" si="212"/>
        <v>0.0102323865815191</v>
      </c>
      <c r="AU93" s="332">
        <f t="shared" si="198"/>
        <v>0.0093304646349577</v>
      </c>
      <c r="AV93" s="332">
        <f t="shared" si="199"/>
        <v>0.00870195765935683</v>
      </c>
      <c r="AW93" s="332">
        <f t="shared" si="200"/>
        <v>0.00688343724512913</v>
      </c>
      <c r="AX93" s="332">
        <f t="shared" si="201"/>
        <v>0.00559230942991985</v>
      </c>
      <c r="AY93" s="332">
        <f t="shared" si="202"/>
        <v>0.00471666460068182</v>
      </c>
      <c r="AZ93" s="332">
        <f t="shared" si="203"/>
        <v>0.0042096385777745</v>
      </c>
      <c r="BA93" s="332">
        <f t="shared" si="204"/>
        <v>0.0035805096614119</v>
      </c>
      <c r="BB93" s="332">
        <f t="shared" si="205"/>
        <v>0.00319945332239121</v>
      </c>
      <c r="BC93" s="332">
        <f t="shared" si="206"/>
        <v>0.00291531585716346</v>
      </c>
      <c r="BD93" s="332">
        <f t="shared" si="207"/>
        <v>0.00268122751680788</v>
      </c>
    </row>
    <row r="94" spans="1:56">
      <c r="A94" s="350">
        <f t="shared" si="184"/>
        <v>7.51242</v>
      </c>
      <c r="B94" s="336"/>
      <c r="C94" s="362" t="s">
        <v>39</v>
      </c>
      <c r="D94" s="201">
        <v>4.97102</v>
      </c>
      <c r="E94" s="201">
        <v>2.44438</v>
      </c>
      <c r="F94" s="311">
        <v>0.09702</v>
      </c>
      <c r="G94" s="201">
        <v>11.05664</v>
      </c>
      <c r="H94" s="336"/>
      <c r="I94" s="336"/>
      <c r="J94" s="336"/>
      <c r="K94" s="336"/>
      <c r="L94" s="336"/>
      <c r="M94" s="336"/>
      <c r="N94" s="336"/>
      <c r="O94" s="336"/>
      <c r="P94" s="344">
        <f t="shared" si="283"/>
        <v>18.56906</v>
      </c>
      <c r="V94" s="201">
        <f t="shared" si="186"/>
        <v>7.4154</v>
      </c>
      <c r="W94" s="201">
        <f t="shared" si="187"/>
        <v>7.51242</v>
      </c>
      <c r="X94" s="201">
        <f t="shared" si="175"/>
        <v>18.56906</v>
      </c>
      <c r="Y94" s="201">
        <f t="shared" si="176"/>
        <v>18.56906</v>
      </c>
      <c r="Z94" s="201">
        <f t="shared" si="177"/>
        <v>18.56906</v>
      </c>
      <c r="AA94" s="331">
        <f t="shared" si="178"/>
        <v>18.56906</v>
      </c>
      <c r="AB94" s="331">
        <f t="shared" si="179"/>
        <v>18.56906</v>
      </c>
      <c r="AC94" s="331">
        <f t="shared" si="180"/>
        <v>18.56906</v>
      </c>
      <c r="AD94" s="331">
        <f t="shared" si="181"/>
        <v>18.56906</v>
      </c>
      <c r="AE94" s="331">
        <f t="shared" si="182"/>
        <v>18.56906</v>
      </c>
      <c r="AF94" s="331">
        <f t="shared" si="183"/>
        <v>18.56906</v>
      </c>
      <c r="AH94" s="295">
        <f t="shared" si="213"/>
        <v>0.0489287717330342</v>
      </c>
      <c r="AI94" s="295">
        <f t="shared" si="188"/>
        <v>0.0301036256972495</v>
      </c>
      <c r="AJ94" s="295">
        <f t="shared" si="189"/>
        <v>0.0520224797796847</v>
      </c>
      <c r="AK94" s="295">
        <f t="shared" si="190"/>
        <v>0.0411509098202077</v>
      </c>
      <c r="AL94" s="295">
        <f t="shared" si="191"/>
        <v>0.033432224750821</v>
      </c>
      <c r="AM94" s="295">
        <f t="shared" si="192"/>
        <v>0.0281974009092869</v>
      </c>
      <c r="AN94" s="295">
        <f t="shared" si="193"/>
        <v>0.0251662725061157</v>
      </c>
      <c r="AO94" s="295">
        <f t="shared" si="194"/>
        <v>0.0214051824604641</v>
      </c>
      <c r="AP94" s="295">
        <f t="shared" si="195"/>
        <v>0.0191271323402927</v>
      </c>
      <c r="AQ94" s="295">
        <f t="shared" si="196"/>
        <v>0.0174284874929959</v>
      </c>
      <c r="AR94" s="295">
        <f t="shared" si="197"/>
        <v>0.0160290488345333</v>
      </c>
      <c r="AT94" s="332">
        <f t="shared" si="212"/>
        <v>0.000399755709484178</v>
      </c>
      <c r="AU94" s="332">
        <f t="shared" si="198"/>
        <v>0.00024595132521026</v>
      </c>
      <c r="AV94" s="332">
        <f t="shared" si="199"/>
        <v>0.000425031787573232</v>
      </c>
      <c r="AW94" s="332">
        <f t="shared" si="200"/>
        <v>0.000336209362475988</v>
      </c>
      <c r="AX94" s="332">
        <f t="shared" si="201"/>
        <v>0.000273146499524241</v>
      </c>
      <c r="AY94" s="332">
        <f t="shared" si="202"/>
        <v>0.000230377170872071</v>
      </c>
      <c r="AZ94" s="332">
        <f t="shared" si="203"/>
        <v>0.000205612378247423</v>
      </c>
      <c r="BA94" s="332">
        <f t="shared" si="204"/>
        <v>0.000174883684957576</v>
      </c>
      <c r="BB94" s="332">
        <f t="shared" si="205"/>
        <v>0.000156271659562816</v>
      </c>
      <c r="BC94" s="332">
        <f t="shared" si="206"/>
        <v>0.000142393465771282</v>
      </c>
      <c r="BD94" s="332">
        <f t="shared" si="207"/>
        <v>0.000130959833289239</v>
      </c>
    </row>
    <row r="95" spans="1:56">
      <c r="A95" s="350">
        <f t="shared" si="184"/>
        <v>387.10799</v>
      </c>
      <c r="B95" s="336"/>
      <c r="C95" s="362" t="s">
        <v>40</v>
      </c>
      <c r="D95" s="339">
        <v>177.79164</v>
      </c>
      <c r="E95" s="339">
        <v>61.11068</v>
      </c>
      <c r="F95" s="311">
        <v>148.20567</v>
      </c>
      <c r="G95" s="201">
        <f>G92-G93-G94</f>
        <v>89.1194600000003</v>
      </c>
      <c r="H95" s="336"/>
      <c r="I95" s="336"/>
      <c r="J95" s="336"/>
      <c r="K95" s="336"/>
      <c r="L95" s="336"/>
      <c r="M95" s="336"/>
      <c r="N95" s="336"/>
      <c r="O95" s="336"/>
      <c r="P95" s="344">
        <f t="shared" si="283"/>
        <v>476.22745</v>
      </c>
      <c r="V95" s="201">
        <f t="shared" si="186"/>
        <v>238.90232</v>
      </c>
      <c r="W95" s="201">
        <f t="shared" si="187"/>
        <v>387.10799</v>
      </c>
      <c r="X95" s="201">
        <f t="shared" si="175"/>
        <v>476.22745</v>
      </c>
      <c r="Y95" s="201">
        <f t="shared" si="176"/>
        <v>476.22745</v>
      </c>
      <c r="Z95" s="201">
        <f t="shared" si="177"/>
        <v>476.22745</v>
      </c>
      <c r="AA95" s="331">
        <f t="shared" si="178"/>
        <v>476.22745</v>
      </c>
      <c r="AB95" s="331">
        <f t="shared" si="179"/>
        <v>476.22745</v>
      </c>
      <c r="AC95" s="331">
        <f t="shared" si="180"/>
        <v>476.22745</v>
      </c>
      <c r="AD95" s="331">
        <f t="shared" si="181"/>
        <v>476.22745</v>
      </c>
      <c r="AE95" s="331">
        <f t="shared" si="182"/>
        <v>476.22745</v>
      </c>
      <c r="AF95" s="331">
        <f t="shared" si="183"/>
        <v>476.22745</v>
      </c>
      <c r="AH95" s="295">
        <f t="shared" si="213"/>
        <v>1.57634073438686</v>
      </c>
      <c r="AI95" s="295">
        <f t="shared" si="188"/>
        <v>1.55121173142271</v>
      </c>
      <c r="AJ95" s="295">
        <f t="shared" si="189"/>
        <v>1.33418346906929</v>
      </c>
      <c r="AK95" s="295">
        <f t="shared" si="190"/>
        <v>1.0553680611112</v>
      </c>
      <c r="AL95" s="295">
        <f t="shared" si="191"/>
        <v>0.85741244526704</v>
      </c>
      <c r="AM95" s="295">
        <f t="shared" si="192"/>
        <v>0.723158648399941</v>
      </c>
      <c r="AN95" s="295">
        <f t="shared" si="193"/>
        <v>0.645421458145571</v>
      </c>
      <c r="AO95" s="295">
        <f t="shared" si="194"/>
        <v>0.548963461797827</v>
      </c>
      <c r="AP95" s="295">
        <f t="shared" si="195"/>
        <v>0.490539933643929</v>
      </c>
      <c r="AQ95" s="295">
        <f t="shared" si="196"/>
        <v>0.446975999654604</v>
      </c>
      <c r="AR95" s="295">
        <f t="shared" si="197"/>
        <v>0.411085593583913</v>
      </c>
      <c r="AT95" s="332">
        <f t="shared" si="212"/>
        <v>0.01287895008078</v>
      </c>
      <c r="AU95" s="332">
        <f t="shared" si="198"/>
        <v>0.0126736422005133</v>
      </c>
      <c r="AV95" s="332">
        <f t="shared" si="199"/>
        <v>0.0109004873895039</v>
      </c>
      <c r="AW95" s="332">
        <f t="shared" si="200"/>
        <v>0.00862252194554088</v>
      </c>
      <c r="AX95" s="332">
        <f t="shared" si="201"/>
        <v>0.00700519363634215</v>
      </c>
      <c r="AY95" s="332">
        <f t="shared" si="202"/>
        <v>0.00590831914068999</v>
      </c>
      <c r="AZ95" s="332">
        <f t="shared" si="203"/>
        <v>0.00527319415098048</v>
      </c>
      <c r="BA95" s="332">
        <f t="shared" si="204"/>
        <v>0.00448511725062819</v>
      </c>
      <c r="BB95" s="332">
        <f t="shared" si="205"/>
        <v>0.00400778789776479</v>
      </c>
      <c r="BC95" s="332">
        <f t="shared" si="206"/>
        <v>0.00365186375082637</v>
      </c>
      <c r="BD95" s="332">
        <f t="shared" si="207"/>
        <v>0.00335863352586289</v>
      </c>
    </row>
    <row r="96" spans="1:56">
      <c r="A96" s="350">
        <f t="shared" si="184"/>
        <v>7438.10962</v>
      </c>
      <c r="B96" s="293" t="s">
        <v>15</v>
      </c>
      <c r="C96" s="293"/>
      <c r="D96" s="296">
        <f>SUM(D80:D92)</f>
        <v>2493.78025</v>
      </c>
      <c r="E96" s="296">
        <f t="shared" ref="E96:P96" si="284">SUM(E80:E92)</f>
        <v>2351.7101</v>
      </c>
      <c r="F96" s="296">
        <f t="shared" si="284"/>
        <v>2592.61927</v>
      </c>
      <c r="G96" s="296">
        <f t="shared" si="284"/>
        <v>2090.01067970365</v>
      </c>
      <c r="H96" s="296">
        <f t="shared" si="284"/>
        <v>0</v>
      </c>
      <c r="I96" s="296">
        <f t="shared" si="284"/>
        <v>0</v>
      </c>
      <c r="J96" s="296">
        <f t="shared" si="284"/>
        <v>0</v>
      </c>
      <c r="K96" s="296">
        <f t="shared" si="284"/>
        <v>0</v>
      </c>
      <c r="L96" s="296">
        <f t="shared" si="284"/>
        <v>0</v>
      </c>
      <c r="M96" s="296">
        <f t="shared" si="284"/>
        <v>0</v>
      </c>
      <c r="N96" s="296">
        <f t="shared" si="284"/>
        <v>0</v>
      </c>
      <c r="O96" s="296">
        <f t="shared" si="284"/>
        <v>0</v>
      </c>
      <c r="P96" s="296">
        <f t="shared" si="284"/>
        <v>9528.12029970365</v>
      </c>
      <c r="V96" s="303">
        <f t="shared" ref="V96:AF96" si="285">SUM(V80:V92)</f>
        <v>4845.49035</v>
      </c>
      <c r="W96" s="303">
        <f t="shared" si="285"/>
        <v>7438.10962</v>
      </c>
      <c r="X96" s="303">
        <f t="shared" si="285"/>
        <v>9528.12029970365</v>
      </c>
      <c r="Y96" s="303">
        <f t="shared" si="285"/>
        <v>9528.12029970365</v>
      </c>
      <c r="Z96" s="303">
        <f t="shared" si="285"/>
        <v>9528.12029970365</v>
      </c>
      <c r="AA96" s="303">
        <f t="shared" si="285"/>
        <v>9528.12029970365</v>
      </c>
      <c r="AB96" s="303">
        <f t="shared" si="285"/>
        <v>9528.12029970365</v>
      </c>
      <c r="AC96" s="303">
        <f t="shared" si="285"/>
        <v>9528.12029970365</v>
      </c>
      <c r="AD96" s="303">
        <f t="shared" si="285"/>
        <v>9528.12029970365</v>
      </c>
      <c r="AE96" s="303">
        <f t="shared" si="285"/>
        <v>9528.12029970365</v>
      </c>
      <c r="AF96" s="303">
        <f t="shared" si="285"/>
        <v>9528.12029970365</v>
      </c>
      <c r="AH96" s="295">
        <f t="shared" si="213"/>
        <v>31.9718277193098</v>
      </c>
      <c r="AI96" s="295">
        <f t="shared" si="188"/>
        <v>29.8058505642111</v>
      </c>
      <c r="AJ96" s="295">
        <f t="shared" si="189"/>
        <v>26.6936746194873</v>
      </c>
      <c r="AK96" s="295">
        <f t="shared" si="190"/>
        <v>21.1152755825656</v>
      </c>
      <c r="AL96" s="295">
        <f t="shared" si="191"/>
        <v>17.1546787673987</v>
      </c>
      <c r="AM96" s="295">
        <f t="shared" si="192"/>
        <v>14.4685960410844</v>
      </c>
      <c r="AN96" s="295">
        <f t="shared" si="193"/>
        <v>12.9132692733717</v>
      </c>
      <c r="AO96" s="295">
        <f t="shared" si="194"/>
        <v>10.9833859937126</v>
      </c>
      <c r="AP96" s="295">
        <f t="shared" si="195"/>
        <v>9.81447730400253</v>
      </c>
      <c r="AQ96" s="295">
        <f t="shared" si="196"/>
        <v>8.94287193186651</v>
      </c>
      <c r="AR96" s="295">
        <f t="shared" si="197"/>
        <v>8.22479466301785</v>
      </c>
      <c r="AT96" s="332">
        <f t="shared" si="212"/>
        <v>0.261214827610511</v>
      </c>
      <c r="AU96" s="332">
        <f t="shared" si="198"/>
        <v>0.243518455850203</v>
      </c>
      <c r="AV96" s="332">
        <f t="shared" si="199"/>
        <v>0.218091492148544</v>
      </c>
      <c r="AW96" s="332">
        <f t="shared" si="200"/>
        <v>0.172515100471315</v>
      </c>
      <c r="AX96" s="332">
        <f t="shared" si="201"/>
        <v>0.140156405704431</v>
      </c>
      <c r="AY96" s="332">
        <f t="shared" si="202"/>
        <v>0.118210690168187</v>
      </c>
      <c r="AZ96" s="332">
        <f t="shared" si="203"/>
        <v>0.105503427478268</v>
      </c>
      <c r="BA96" s="332">
        <f t="shared" si="204"/>
        <v>0.0897359795666156</v>
      </c>
      <c r="BB96" s="332">
        <f t="shared" si="205"/>
        <v>0.0801858129463122</v>
      </c>
      <c r="BC96" s="332">
        <f t="shared" si="206"/>
        <v>0.0730646608800074</v>
      </c>
      <c r="BD96" s="332">
        <f t="shared" si="207"/>
        <v>0.0671978574041447</v>
      </c>
    </row>
    <row r="97" spans="1:52">
      <c r="A97" s="292">
        <f>A96/A79*1000</f>
        <v>23.8951610281386</v>
      </c>
      <c r="B97" s="293" t="s">
        <v>16</v>
      </c>
      <c r="C97" s="293"/>
      <c r="D97" s="294">
        <f>D96/D79*1000</f>
        <v>25.5481477497413</v>
      </c>
      <c r="E97" s="294">
        <f t="shared" ref="E97:P97" si="286">E96/E79*1000</f>
        <v>22.1245799386607</v>
      </c>
      <c r="F97" s="363">
        <f t="shared" si="286"/>
        <v>24.1452398115035</v>
      </c>
      <c r="G97" s="294">
        <f t="shared" si="286"/>
        <v>18.9364019181267</v>
      </c>
      <c r="H97" s="294" t="e">
        <f t="shared" si="286"/>
        <v>#DIV/0!</v>
      </c>
      <c r="I97" s="294" t="e">
        <f t="shared" si="286"/>
        <v>#DIV/0!</v>
      </c>
      <c r="J97" s="294" t="e">
        <f t="shared" si="286"/>
        <v>#DIV/0!</v>
      </c>
      <c r="K97" s="294" t="e">
        <f t="shared" si="286"/>
        <v>#DIV/0!</v>
      </c>
      <c r="L97" s="294" t="e">
        <f t="shared" si="286"/>
        <v>#DIV/0!</v>
      </c>
      <c r="M97" s="294" t="e">
        <f t="shared" si="286"/>
        <v>#DIV/0!</v>
      </c>
      <c r="N97" s="294" t="e">
        <f t="shared" si="286"/>
        <v>#DIV/0!</v>
      </c>
      <c r="O97" s="294" t="e">
        <f t="shared" si="286"/>
        <v>#DIV/0!</v>
      </c>
      <c r="P97" s="294">
        <f t="shared" si="286"/>
        <v>22.5971723053038</v>
      </c>
      <c r="V97" s="292">
        <f t="shared" ref="V97:AF97" si="287">V96/V79*1000</f>
        <v>23.7634699982835</v>
      </c>
      <c r="W97" s="292">
        <f t="shared" si="287"/>
        <v>23.8951610281386</v>
      </c>
      <c r="X97" s="292">
        <f t="shared" si="287"/>
        <v>22.5971723053038</v>
      </c>
      <c r="Y97" s="292">
        <f t="shared" si="287"/>
        <v>22.5971723053038</v>
      </c>
      <c r="Z97" s="292">
        <f t="shared" si="287"/>
        <v>22.5971723053038</v>
      </c>
      <c r="AA97" s="292">
        <f t="shared" si="287"/>
        <v>22.5971723053038</v>
      </c>
      <c r="AB97" s="292">
        <f t="shared" si="287"/>
        <v>22.5971723053038</v>
      </c>
      <c r="AC97" s="292">
        <f t="shared" si="287"/>
        <v>22.5971723053038</v>
      </c>
      <c r="AD97" s="292">
        <f t="shared" si="287"/>
        <v>22.5971723053038</v>
      </c>
      <c r="AE97" s="292">
        <f t="shared" si="287"/>
        <v>22.5971723053038</v>
      </c>
      <c r="AF97" s="292">
        <f t="shared" si="287"/>
        <v>22.5971723053038</v>
      </c>
      <c r="AZ97" s="349">
        <f>AZ74-AZ96</f>
        <v>-0.105503427478268</v>
      </c>
    </row>
    <row r="98" spans="1:44">
      <c r="A98" s="350">
        <f>SUM(D98:F98)</f>
        <v>1042.47175362251</v>
      </c>
      <c r="B98" s="293" t="s">
        <v>42</v>
      </c>
      <c r="C98" s="293"/>
      <c r="D98" s="201">
        <v>402.854019187559</v>
      </c>
      <c r="E98" s="201">
        <v>250.481114634137</v>
      </c>
      <c r="F98" s="201">
        <v>389.13661980081</v>
      </c>
      <c r="G98" s="201">
        <v>232.965395712605</v>
      </c>
      <c r="H98" s="201"/>
      <c r="I98" s="201"/>
      <c r="J98" s="201"/>
      <c r="K98" s="201"/>
      <c r="L98" s="201"/>
      <c r="M98" s="201"/>
      <c r="N98" s="201"/>
      <c r="O98" s="201"/>
      <c r="P98" s="201"/>
      <c r="Q98" s="312">
        <f>P98/$P$54*1000</f>
        <v>0</v>
      </c>
      <c r="V98" s="201">
        <f>D98+E98</f>
        <v>653.335133821696</v>
      </c>
      <c r="W98" s="201">
        <f t="shared" ref="W98" si="288">V98+F98</f>
        <v>1042.47175362251</v>
      </c>
      <c r="X98" s="201">
        <f t="shared" ref="X98" si="289">W98+G98</f>
        <v>1275.43714933511</v>
      </c>
      <c r="Y98" s="201">
        <f t="shared" ref="Y98" si="290">X98+H98</f>
        <v>1275.43714933511</v>
      </c>
      <c r="Z98" s="201">
        <f t="shared" ref="Z98" si="291">Y98+I98</f>
        <v>1275.43714933511</v>
      </c>
      <c r="AA98" s="331">
        <f t="shared" ref="AA98" si="292">Z98+J98</f>
        <v>1275.43714933511</v>
      </c>
      <c r="AB98" s="331">
        <f t="shared" ref="AB98" si="293">AA98+K98</f>
        <v>1275.43714933511</v>
      </c>
      <c r="AC98" s="331">
        <f t="shared" ref="AC98" si="294">AB98+L98</f>
        <v>1275.43714933511</v>
      </c>
      <c r="AD98" s="331">
        <f t="shared" ref="AD98" si="295">AC98+M98</f>
        <v>1275.43714933511</v>
      </c>
      <c r="AE98" s="331">
        <f t="shared" ref="AE98:AF98" si="296">AD98+N98</f>
        <v>1275.43714933511</v>
      </c>
      <c r="AF98" s="331">
        <f t="shared" si="296"/>
        <v>1275.43714933511</v>
      </c>
      <c r="AH98" s="295">
        <f>V98/V$54*1000</f>
        <v>4.31087812227703</v>
      </c>
      <c r="AI98" s="295">
        <f t="shared" ref="AI98" si="297">W98/W$54*1000</f>
        <v>4.17737286666709</v>
      </c>
      <c r="AJ98" s="295">
        <f t="shared" ref="AJ98" si="298">X98/X$54*1000</f>
        <v>3.57322359406155</v>
      </c>
      <c r="AK98" s="295">
        <f t="shared" ref="AK98" si="299">Y98/Y$54*1000</f>
        <v>2.82649736247457</v>
      </c>
      <c r="AL98" s="295">
        <f t="shared" ref="AL98" si="300">Z98/Z$54*1000</f>
        <v>2.29633063989873</v>
      </c>
      <c r="AM98" s="295">
        <f t="shared" ref="AM98" si="301">AA98/AA$54*1000</f>
        <v>1.93677077000129</v>
      </c>
      <c r="AN98" s="295">
        <f t="shared" ref="AN98" si="302">AB98/AB$54*1000</f>
        <v>1.72857424471625</v>
      </c>
      <c r="AO98" s="295">
        <f t="shared" ref="AO98" si="303">AC98/AC$54*1000</f>
        <v>1.47023946814606</v>
      </c>
      <c r="AP98" s="295">
        <f t="shared" ref="AP98" si="304">AD98/AD$54*1000</f>
        <v>1.31376898707088</v>
      </c>
      <c r="AQ98" s="295">
        <f t="shared" ref="AQ98" si="305">AE98/AE$54*1000</f>
        <v>1.19709562063396</v>
      </c>
      <c r="AR98" s="295">
        <f t="shared" ref="AR98" si="306">AF98/AF$54*1000</f>
        <v>1.10097357389499</v>
      </c>
    </row>
    <row r="99" spans="1:15">
      <c r="A99" s="301">
        <f>A97/A78</f>
        <v>0.191161288225108</v>
      </c>
      <c r="D99" s="355"/>
      <c r="E99" s="355"/>
      <c r="F99" s="355"/>
      <c r="G99" s="355"/>
      <c r="H99" s="355"/>
      <c r="I99" s="355"/>
      <c r="J99" s="355"/>
      <c r="K99" s="355"/>
      <c r="L99" s="355"/>
      <c r="M99" s="355"/>
      <c r="N99" s="355"/>
      <c r="O99" s="355"/>
    </row>
    <row r="101" ht="14" customHeight="1" spans="3:20">
      <c r="C101" s="296" t="s">
        <v>69</v>
      </c>
      <c r="D101" s="296"/>
      <c r="E101" s="296"/>
      <c r="F101" s="296"/>
      <c r="G101" s="296"/>
      <c r="H101" s="296"/>
      <c r="I101" s="296"/>
      <c r="J101" s="296"/>
      <c r="K101" s="296"/>
      <c r="L101" s="296"/>
      <c r="M101" s="296"/>
      <c r="N101" s="296"/>
      <c r="O101" s="296"/>
      <c r="P101" s="296"/>
      <c r="Q101" s="282">
        <f>P99/P80</f>
        <v>0</v>
      </c>
      <c r="R101" s="295"/>
      <c r="S101" s="317"/>
      <c r="T101" s="317"/>
    </row>
    <row r="102" spans="1:22">
      <c r="A102" s="25" t="s">
        <v>45</v>
      </c>
      <c r="C102" s="285" t="s">
        <v>2</v>
      </c>
      <c r="D102" s="297" t="s">
        <v>46</v>
      </c>
      <c r="E102" s="297" t="s">
        <v>47</v>
      </c>
      <c r="F102" s="297" t="s">
        <v>48</v>
      </c>
      <c r="G102" s="297" t="s">
        <v>49</v>
      </c>
      <c r="H102" s="297" t="s">
        <v>50</v>
      </c>
      <c r="I102" s="297" t="s">
        <v>51</v>
      </c>
      <c r="J102" s="297" t="s">
        <v>52</v>
      </c>
      <c r="K102" s="297" t="s">
        <v>53</v>
      </c>
      <c r="L102" s="297" t="s">
        <v>54</v>
      </c>
      <c r="M102" s="297" t="s">
        <v>55</v>
      </c>
      <c r="N102" s="297" t="s">
        <v>56</v>
      </c>
      <c r="O102" s="297" t="s">
        <v>57</v>
      </c>
      <c r="P102" s="304" t="s">
        <v>15</v>
      </c>
      <c r="Q102" s="205" t="s">
        <v>16</v>
      </c>
      <c r="R102" s="205" t="s">
        <v>17</v>
      </c>
      <c r="S102" s="205" t="s">
        <v>18</v>
      </c>
      <c r="T102" s="205" t="s">
        <v>19</v>
      </c>
      <c r="U102" s="198"/>
      <c r="V102" s="313"/>
    </row>
    <row r="103" spans="1:56">
      <c r="A103" s="25">
        <v>125</v>
      </c>
      <c r="B103" s="283" t="s">
        <v>20</v>
      </c>
      <c r="C103" s="283"/>
      <c r="D103" s="296">
        <v>121</v>
      </c>
      <c r="E103" s="296">
        <v>121</v>
      </c>
      <c r="F103" s="296">
        <v>121</v>
      </c>
      <c r="G103" s="296">
        <v>121</v>
      </c>
      <c r="H103" s="296">
        <v>121</v>
      </c>
      <c r="I103" s="296">
        <v>121</v>
      </c>
      <c r="J103" s="296">
        <v>121</v>
      </c>
      <c r="K103" s="296">
        <v>121</v>
      </c>
      <c r="L103" s="296">
        <v>121</v>
      </c>
      <c r="M103" s="296">
        <v>121</v>
      </c>
      <c r="N103" s="296">
        <v>121</v>
      </c>
      <c r="O103" s="296">
        <v>121</v>
      </c>
      <c r="P103" s="296">
        <f>AVERAGE(D103:O103)</f>
        <v>121</v>
      </c>
      <c r="Q103" s="296">
        <f>P103</f>
        <v>121</v>
      </c>
      <c r="AT103" s="331">
        <f>$P$53</f>
        <v>122.39668020294</v>
      </c>
      <c r="AU103" s="331">
        <f t="shared" ref="AU103:BD103" si="307">$P$53</f>
        <v>122.39668020294</v>
      </c>
      <c r="AV103" s="331">
        <f t="shared" si="307"/>
        <v>122.39668020294</v>
      </c>
      <c r="AW103" s="331">
        <f t="shared" si="307"/>
        <v>122.39668020294</v>
      </c>
      <c r="AX103" s="331">
        <f t="shared" si="307"/>
        <v>122.39668020294</v>
      </c>
      <c r="AY103" s="331">
        <f t="shared" si="307"/>
        <v>122.39668020294</v>
      </c>
      <c r="AZ103" s="331">
        <f t="shared" si="307"/>
        <v>122.39668020294</v>
      </c>
      <c r="BA103" s="331">
        <f t="shared" si="307"/>
        <v>122.39668020294</v>
      </c>
      <c r="BB103" s="331">
        <f t="shared" si="307"/>
        <v>122.39668020294</v>
      </c>
      <c r="BC103" s="331">
        <f t="shared" si="307"/>
        <v>122.39668020294</v>
      </c>
      <c r="BD103" s="331">
        <f t="shared" si="307"/>
        <v>122.39668020294</v>
      </c>
    </row>
    <row r="104" s="281" customFormat="1" spans="1:32">
      <c r="A104" s="350">
        <f>SUM(D104:F104)</f>
        <v>339612</v>
      </c>
      <c r="C104" s="248" t="s">
        <v>21</v>
      </c>
      <c r="D104" s="364">
        <v>116704</v>
      </c>
      <c r="E104" s="364">
        <v>116204</v>
      </c>
      <c r="F104" s="364">
        <v>106704</v>
      </c>
      <c r="G104" s="364">
        <v>104704</v>
      </c>
      <c r="H104" s="364">
        <v>71805</v>
      </c>
      <c r="I104" s="364">
        <v>110105</v>
      </c>
      <c r="J104" s="364">
        <v>86206</v>
      </c>
      <c r="K104" s="364">
        <v>81605</v>
      </c>
      <c r="L104" s="364">
        <v>117305</v>
      </c>
      <c r="M104" s="364">
        <v>121005</v>
      </c>
      <c r="N104" s="364">
        <v>130155</v>
      </c>
      <c r="O104" s="364">
        <v>91305</v>
      </c>
      <c r="P104" s="296">
        <f>SUM(D104:O104)</f>
        <v>1253807</v>
      </c>
      <c r="Q104" s="359">
        <f>P104/12</f>
        <v>104483.916666667</v>
      </c>
      <c r="R104" s="323"/>
      <c r="S104" s="323"/>
      <c r="T104" s="323"/>
      <c r="U104" s="346"/>
      <c r="V104" s="198">
        <f t="shared" ref="V104:V120" si="308">D104+E104</f>
        <v>232908</v>
      </c>
      <c r="W104" s="198">
        <f t="shared" ref="W104:W120" si="309">V104+F104</f>
        <v>339612</v>
      </c>
      <c r="X104" s="198">
        <f t="shared" ref="X104:X120" si="310">W104+G104</f>
        <v>444316</v>
      </c>
      <c r="Y104" s="198">
        <f t="shared" ref="Y104:Y120" si="311">X104+H104</f>
        <v>516121</v>
      </c>
      <c r="Z104" s="198">
        <f t="shared" ref="Z104:Z120" si="312">Y104+I104</f>
        <v>626226</v>
      </c>
      <c r="AA104" s="25">
        <f t="shared" ref="AA104:AA120" si="313">Z104+J104</f>
        <v>712432</v>
      </c>
      <c r="AB104" s="25">
        <f t="shared" ref="AB104:AB120" si="314">AA104+K104</f>
        <v>794037</v>
      </c>
      <c r="AC104" s="25">
        <f t="shared" ref="AC104:AC120" si="315">AB104+L104</f>
        <v>911342</v>
      </c>
      <c r="AD104" s="25">
        <f t="shared" ref="AD104:AD120" si="316">AC104+M104</f>
        <v>1032347</v>
      </c>
      <c r="AE104" s="25">
        <f t="shared" ref="AE104:AE120" si="317">AD104+N104</f>
        <v>1162502</v>
      </c>
      <c r="AF104" s="25">
        <f t="shared" ref="AF104:AF120" si="318">AE104+O104</f>
        <v>1253807</v>
      </c>
    </row>
    <row r="105" ht="13.8" spans="1:56">
      <c r="A105" s="350">
        <f t="shared" ref="A105:A121" si="319">SUM(D105:F105)</f>
        <v>2422.55390996754</v>
      </c>
      <c r="B105" s="198" t="s">
        <v>22</v>
      </c>
      <c r="C105" s="92" t="s">
        <v>70</v>
      </c>
      <c r="D105" s="201">
        <f>SUMIFS('CK P&amp;L by account 2026'!E:E,'CK P&amp;L by account 2026'!$R:$R,厨电!$C105)</f>
        <v>815.666929390723</v>
      </c>
      <c r="E105" s="201">
        <f>SUMIFS('CK P&amp;L by account 2026'!F:F,'CK P&amp;L by account 2026'!$R:$R,厨电!$C105)</f>
        <v>779.636352947654</v>
      </c>
      <c r="F105" s="201">
        <f>SUMIFS('CK P&amp;L by account 2026'!G:G,'CK P&amp;L by account 2026'!$R:$R,厨电!$C105)</f>
        <v>827.250627629163</v>
      </c>
      <c r="G105" s="201">
        <f>SUMIFS('CK P&amp;L by account 2026'!H:H,'CK P&amp;L by account 2026'!$R:$R,厨电!$C105)</f>
        <v>815.980523836223</v>
      </c>
      <c r="H105" s="201">
        <f>SUMIFS('CK P&amp;L by account 2026'!I:I,'CK P&amp;L by account 2026'!$R:$R,厨电!$C105)</f>
        <v>827.905069940232</v>
      </c>
      <c r="I105" s="201">
        <f>SUMIFS('CK P&amp;L by account 2026'!J:J,'CK P&amp;L by account 2026'!$R:$R,厨电!$C105)</f>
        <v>821.887930151596</v>
      </c>
      <c r="J105" s="201">
        <f>SUMIFS('CK P&amp;L by account 2026'!K:K,'CK P&amp;L by account 2026'!$R:$R,厨电!$C105)</f>
        <v>883.901340734594</v>
      </c>
      <c r="K105" s="201">
        <f>SUMIFS('CK P&amp;L by account 2026'!L:L,'CK P&amp;L by account 2026'!$R:$R,厨电!$C105)</f>
        <v>893.888305322527</v>
      </c>
      <c r="L105" s="201">
        <f>SUMIFS('CK P&amp;L by account 2026'!M:M,'CK P&amp;L by account 2026'!$R:$R,厨电!$C105)</f>
        <v>882.383289996215</v>
      </c>
      <c r="M105" s="201">
        <f>SUMIFS('CK P&amp;L by account 2026'!N:N,'CK P&amp;L by account 2026'!$R:$R,厨电!$C105)</f>
        <v>898.047247240008</v>
      </c>
      <c r="N105" s="201">
        <f>SUMIFS('CK P&amp;L by account 2026'!O:O,'CK P&amp;L by account 2026'!$R:$R,厨电!$C105)</f>
        <v>885.695190044731</v>
      </c>
      <c r="O105" s="201">
        <f>SUMIFS('CK P&amp;L by account 2026'!P:P,'CK P&amp;L by account 2026'!$R:$R,厨电!$C105)</f>
        <v>896.873425346731</v>
      </c>
      <c r="P105" s="296">
        <f>SUM(D105:O105)</f>
        <v>10229.1162325804</v>
      </c>
      <c r="Q105" s="312">
        <f>P105/$P$104*1000</f>
        <v>8.15844562407165</v>
      </c>
      <c r="R105" s="313">
        <f>P105/$P$121</f>
        <v>0.321873838645905</v>
      </c>
      <c r="U105" s="348"/>
      <c r="V105" s="201">
        <f t="shared" si="308"/>
        <v>1595.30328233838</v>
      </c>
      <c r="W105" s="201">
        <f t="shared" si="309"/>
        <v>2422.55390996754</v>
      </c>
      <c r="X105" s="201">
        <f t="shared" si="310"/>
        <v>3238.53443380376</v>
      </c>
      <c r="Y105" s="201">
        <f t="shared" si="311"/>
        <v>4066.439503744</v>
      </c>
      <c r="Z105" s="201">
        <f t="shared" si="312"/>
        <v>4888.32743389559</v>
      </c>
      <c r="AA105" s="331">
        <f t="shared" si="313"/>
        <v>5772.22877463019</v>
      </c>
      <c r="AB105" s="331">
        <f t="shared" si="314"/>
        <v>6666.11707995271</v>
      </c>
      <c r="AC105" s="331">
        <f t="shared" si="315"/>
        <v>7548.50036994893</v>
      </c>
      <c r="AD105" s="331">
        <f t="shared" si="316"/>
        <v>8446.54761718894</v>
      </c>
      <c r="AE105" s="331">
        <f t="shared" si="317"/>
        <v>9332.24280723367</v>
      </c>
      <c r="AF105" s="331">
        <f t="shared" si="318"/>
        <v>10229.1162325804</v>
      </c>
      <c r="AH105" s="295">
        <f>V105/V$54*1000</f>
        <v>10.5262332640848</v>
      </c>
      <c r="AI105" s="295">
        <f t="shared" ref="AI105:AI121" si="320">W105/W$54*1000</f>
        <v>9.70761168000072</v>
      </c>
      <c r="AJ105" s="295">
        <f t="shared" ref="AJ105:AJ121" si="321">X105/X$54*1000</f>
        <v>9.07297365070547</v>
      </c>
      <c r="AK105" s="295">
        <f t="shared" ref="AK105:AK121" si="322">Y105/Y$54*1000</f>
        <v>9.01164007805993</v>
      </c>
      <c r="AL105" s="295">
        <f t="shared" ref="AL105:AL121" si="323">Z105/Z$54*1000</f>
        <v>8.80107347521099</v>
      </c>
      <c r="AM105" s="295">
        <f t="shared" ref="AM105:AM121" si="324">AA105/AA$54*1000</f>
        <v>8.76521745841574</v>
      </c>
      <c r="AN105" s="295">
        <f t="shared" ref="AN105:AN121" si="325">AB105/AB$54*1000</f>
        <v>9.03445403223223</v>
      </c>
      <c r="AO105" s="295">
        <f t="shared" ref="AO105:AO121" si="326">AC105/AC$54*1000</f>
        <v>8.70141125730854</v>
      </c>
      <c r="AP105" s="295">
        <f t="shared" ref="AP105:AP121" si="327">AD105/AD$54*1000</f>
        <v>8.70039916358485</v>
      </c>
      <c r="AQ105" s="295">
        <f t="shared" ref="AQ105:AQ121" si="328">AE105/AE$54*1000</f>
        <v>8.75902587677958</v>
      </c>
      <c r="AR105" s="295">
        <f t="shared" ref="AR105:AR121" si="329">AF105/AF$54*1000</f>
        <v>8.82990327060976</v>
      </c>
      <c r="AT105" s="332">
        <f>AH105/AT$53</f>
        <v>0.0860009703419391</v>
      </c>
      <c r="AU105" s="332">
        <f t="shared" ref="AU105:AU121" si="330">AI105/AU$53</f>
        <v>0.0793127041019823</v>
      </c>
      <c r="AV105" s="332">
        <f t="shared" ref="AV105:AV121" si="331">AJ105/AV$53</f>
        <v>0.0741276122494665</v>
      </c>
      <c r="AW105" s="332">
        <f t="shared" ref="AW105:AW121" si="332">AK105/AW$53</f>
        <v>0.0736265073784532</v>
      </c>
      <c r="AX105" s="332">
        <f t="shared" ref="AX105:AX121" si="333">AL105/AX$53</f>
        <v>0.071906145335138</v>
      </c>
      <c r="AY105" s="332">
        <f t="shared" ref="AY105:AY121" si="334">AM105/AY$53</f>
        <v>0.0716131960759276</v>
      </c>
      <c r="AZ105" s="332">
        <f t="shared" ref="AZ105:AZ121" si="335">AN105/AZ$53</f>
        <v>0.0738129009483971</v>
      </c>
      <c r="BA105" s="332">
        <f t="shared" ref="BA105:BA121" si="336">AO105/BA$53</f>
        <v>0.0710918894440696</v>
      </c>
      <c r="BB105" s="332">
        <f t="shared" ref="BB105:BB121" si="337">AP105/BB$53</f>
        <v>0.0710836204802218</v>
      </c>
      <c r="BC105" s="332">
        <f t="shared" ref="BC105:BC121" si="338">AQ105/BC$53</f>
        <v>0.0715626098866136</v>
      </c>
      <c r="BD105" s="332">
        <f t="shared" ref="BD105:BD121" si="339">AR105/BD$53</f>
        <v>0.0721416892677918</v>
      </c>
    </row>
    <row r="106" spans="1:56">
      <c r="A106" s="350">
        <f t="shared" si="319"/>
        <v>305.014281391323</v>
      </c>
      <c r="B106" s="198"/>
      <c r="C106" s="25" t="s">
        <v>24</v>
      </c>
      <c r="D106" s="201">
        <f>SUMIFS('CK P&amp;L by account 2026'!E:E,'CK P&amp;L by account 2026'!$R:$R,厨电!$C106)</f>
        <v>97.6617447357137</v>
      </c>
      <c r="E106" s="201">
        <f>SUMIFS('CK P&amp;L by account 2026'!F:F,'CK P&amp;L by account 2026'!$R:$R,厨电!$C106)</f>
        <v>114.994339184101</v>
      </c>
      <c r="F106" s="201">
        <f>SUMIFS('CK P&amp;L by account 2026'!G:G,'CK P&amp;L by account 2026'!$R:$R,厨电!$C106)</f>
        <v>92.3581974715091</v>
      </c>
      <c r="G106" s="201">
        <f>SUMIFS('CK P&amp;L by account 2026'!H:H,'CK P&amp;L by account 2026'!$R:$R,厨电!$C106)</f>
        <v>92.4707709078908</v>
      </c>
      <c r="H106" s="201">
        <f>SUMIFS('CK P&amp;L by account 2026'!I:I,'CK P&amp;L by account 2026'!$R:$R,厨电!$C106)</f>
        <v>88.2342041982986</v>
      </c>
      <c r="I106" s="201">
        <f>SUMIFS('CK P&amp;L by account 2026'!J:J,'CK P&amp;L by account 2026'!$R:$R,厨电!$C106)</f>
        <v>92.9151125106389</v>
      </c>
      <c r="J106" s="201">
        <f>SUMIFS('CK P&amp;L by account 2026'!K:K,'CK P&amp;L by account 2026'!$R:$R,厨电!$C106)</f>
        <v>95.5793055580503</v>
      </c>
      <c r="K106" s="201">
        <f>SUMIFS('CK P&amp;L by account 2026'!L:L,'CK P&amp;L by account 2026'!$R:$R,厨电!$C106)</f>
        <v>89.8271602758436</v>
      </c>
      <c r="L106" s="201">
        <f>SUMIFS('CK P&amp;L by account 2026'!M:M,'CK P&amp;L by account 2026'!$R:$R,厨电!$C106)</f>
        <v>87.125258292112</v>
      </c>
      <c r="M106" s="201">
        <f>SUMIFS('CK P&amp;L by account 2026'!N:N,'CK P&amp;L by account 2026'!$R:$R,厨电!$C106)</f>
        <v>100.708271048759</v>
      </c>
      <c r="N106" s="201">
        <f>SUMIFS('CK P&amp;L by account 2026'!O:O,'CK P&amp;L by account 2026'!$R:$R,厨电!$C106)</f>
        <v>92.4665050360775</v>
      </c>
      <c r="O106" s="201">
        <f>SUMIFS('CK P&amp;L by account 2026'!P:P,'CK P&amp;L by account 2026'!$R:$R,厨电!$C106)</f>
        <v>85.5350491755061</v>
      </c>
      <c r="P106" s="296">
        <f t="shared" ref="P106:P116" si="340">SUM(D106:O106)</f>
        <v>1129.8759183945</v>
      </c>
      <c r="Q106" s="312">
        <f t="shared" ref="Q106:Q117" si="341">P106/$P$104*1000</f>
        <v>0.901156173473668</v>
      </c>
      <c r="R106" s="313">
        <f t="shared" ref="R106:R117" si="342">P106/$P$121</f>
        <v>0.0355531690889256</v>
      </c>
      <c r="V106" s="201">
        <f t="shared" si="308"/>
        <v>212.656083919814</v>
      </c>
      <c r="W106" s="201">
        <f t="shared" si="309"/>
        <v>305.014281391323</v>
      </c>
      <c r="X106" s="201">
        <f t="shared" si="310"/>
        <v>397.485052299214</v>
      </c>
      <c r="Y106" s="201">
        <f t="shared" si="311"/>
        <v>485.719256497513</v>
      </c>
      <c r="Z106" s="201">
        <f t="shared" si="312"/>
        <v>578.634369008152</v>
      </c>
      <c r="AA106" s="331">
        <f t="shared" si="313"/>
        <v>674.213674566202</v>
      </c>
      <c r="AB106" s="331">
        <f t="shared" si="314"/>
        <v>764.040834842046</v>
      </c>
      <c r="AC106" s="331">
        <f t="shared" si="315"/>
        <v>851.166093134158</v>
      </c>
      <c r="AD106" s="331">
        <f t="shared" si="316"/>
        <v>951.874364182916</v>
      </c>
      <c r="AE106" s="331">
        <f t="shared" si="317"/>
        <v>1044.34086921899</v>
      </c>
      <c r="AF106" s="331">
        <f t="shared" si="318"/>
        <v>1129.8759183945</v>
      </c>
      <c r="AH106" s="295">
        <f t="shared" ref="AH106:AH109" si="343">V106/V$54*1000</f>
        <v>1.40316112249556</v>
      </c>
      <c r="AI106" s="295">
        <f t="shared" si="320"/>
        <v>1.22224739289336</v>
      </c>
      <c r="AJ106" s="295">
        <f t="shared" si="321"/>
        <v>1.11358130653694</v>
      </c>
      <c r="AK106" s="295">
        <f t="shared" si="322"/>
        <v>1.07640286164553</v>
      </c>
      <c r="AL106" s="295">
        <f t="shared" si="323"/>
        <v>1.04178855974562</v>
      </c>
      <c r="AM106" s="295">
        <f t="shared" si="324"/>
        <v>1.02380375098506</v>
      </c>
      <c r="AN106" s="295">
        <f t="shared" si="325"/>
        <v>1.03548913382988</v>
      </c>
      <c r="AO106" s="295">
        <f t="shared" si="326"/>
        <v>0.981167895827631</v>
      </c>
      <c r="AP106" s="295">
        <f t="shared" si="327"/>
        <v>0.980481884115762</v>
      </c>
      <c r="AQ106" s="295">
        <f t="shared" si="328"/>
        <v>0.980194031233012</v>
      </c>
      <c r="AR106" s="295">
        <f t="shared" si="329"/>
        <v>0.975323267462577</v>
      </c>
      <c r="AT106" s="332">
        <f t="shared" ref="AT106:AT121" si="344">AH106/AT$53</f>
        <v>0.0114640455947747</v>
      </c>
      <c r="AU106" s="332">
        <f t="shared" si="330"/>
        <v>0.00998595215872531</v>
      </c>
      <c r="AV106" s="332">
        <f t="shared" si="331"/>
        <v>0.00909813325566155</v>
      </c>
      <c r="AW106" s="332">
        <f t="shared" si="332"/>
        <v>0.00879437955229503</v>
      </c>
      <c r="AX106" s="332">
        <f t="shared" si="333"/>
        <v>0.00851157529778</v>
      </c>
      <c r="AY106" s="332">
        <f t="shared" si="334"/>
        <v>0.00836463660033545</v>
      </c>
      <c r="AZ106" s="332">
        <f t="shared" si="335"/>
        <v>0.00846010800385261</v>
      </c>
      <c r="BA106" s="332">
        <f t="shared" si="336"/>
        <v>0.00801629500245273</v>
      </c>
      <c r="BB106" s="332">
        <f t="shared" si="337"/>
        <v>0.00801069017958717</v>
      </c>
      <c r="BC106" s="332">
        <f t="shared" si="338"/>
        <v>0.00800833837656218</v>
      </c>
      <c r="BD106" s="332">
        <f t="shared" si="339"/>
        <v>0.00796854347557011</v>
      </c>
    </row>
    <row r="107" spans="1:56">
      <c r="A107" s="350">
        <f t="shared" si="319"/>
        <v>37.5</v>
      </c>
      <c r="B107" s="198"/>
      <c r="C107" s="25" t="s">
        <v>25</v>
      </c>
      <c r="D107" s="201">
        <f>SUMIFS('CK P&amp;L by account 2026'!E:E,'CK P&amp;L by account 2026'!$R:$R,厨电!$C107)</f>
        <v>12.5</v>
      </c>
      <c r="E107" s="201">
        <f>SUMIFS('CK P&amp;L by account 2026'!F:F,'CK P&amp;L by account 2026'!$R:$R,厨电!$C107)</f>
        <v>12.5</v>
      </c>
      <c r="F107" s="201">
        <f>SUMIFS('CK P&amp;L by account 2026'!G:G,'CK P&amp;L by account 2026'!$R:$R,厨电!$C107)</f>
        <v>12.5</v>
      </c>
      <c r="G107" s="201">
        <f>SUMIFS('CK P&amp;L by account 2026'!H:H,'CK P&amp;L by account 2026'!$R:$R,厨电!$C107)</f>
        <v>12.5</v>
      </c>
      <c r="H107" s="201">
        <f>SUMIFS('CK P&amp;L by account 2026'!I:I,'CK P&amp;L by account 2026'!$R:$R,厨电!$C107)</f>
        <v>12.5</v>
      </c>
      <c r="I107" s="201">
        <f>SUMIFS('CK P&amp;L by account 2026'!J:J,'CK P&amp;L by account 2026'!$R:$R,厨电!$C107)</f>
        <v>12.5</v>
      </c>
      <c r="J107" s="201">
        <f>SUMIFS('CK P&amp;L by account 2026'!K:K,'CK P&amp;L by account 2026'!$R:$R,厨电!$C107)</f>
        <v>12.5</v>
      </c>
      <c r="K107" s="201">
        <f>SUMIFS('CK P&amp;L by account 2026'!L:L,'CK P&amp;L by account 2026'!$R:$R,厨电!$C107)</f>
        <v>12.5</v>
      </c>
      <c r="L107" s="201">
        <f>SUMIFS('CK P&amp;L by account 2026'!M:M,'CK P&amp;L by account 2026'!$R:$R,厨电!$C107)</f>
        <v>12.5</v>
      </c>
      <c r="M107" s="201">
        <f>SUMIFS('CK P&amp;L by account 2026'!N:N,'CK P&amp;L by account 2026'!$R:$R,厨电!$C107)</f>
        <v>12.5</v>
      </c>
      <c r="N107" s="201">
        <f>SUMIFS('CK P&amp;L by account 2026'!O:O,'CK P&amp;L by account 2026'!$R:$R,厨电!$C107)</f>
        <v>12.5</v>
      </c>
      <c r="O107" s="201">
        <f>SUMIFS('CK P&amp;L by account 2026'!P:P,'CK P&amp;L by account 2026'!$R:$R,厨电!$C107)</f>
        <v>12.5</v>
      </c>
      <c r="P107" s="296">
        <f t="shared" si="340"/>
        <v>150</v>
      </c>
      <c r="Q107" s="312">
        <f t="shared" si="341"/>
        <v>0.119635637701815</v>
      </c>
      <c r="R107" s="313">
        <f t="shared" si="342"/>
        <v>0.00471996550817434</v>
      </c>
      <c r="V107" s="201">
        <f t="shared" si="308"/>
        <v>25</v>
      </c>
      <c r="W107" s="201">
        <f t="shared" si="309"/>
        <v>37.5</v>
      </c>
      <c r="X107" s="201">
        <f t="shared" si="310"/>
        <v>50</v>
      </c>
      <c r="Y107" s="201">
        <f t="shared" si="311"/>
        <v>62.5</v>
      </c>
      <c r="Z107" s="201">
        <f t="shared" si="312"/>
        <v>75</v>
      </c>
      <c r="AA107" s="331">
        <f t="shared" si="313"/>
        <v>87.5</v>
      </c>
      <c r="AB107" s="331">
        <f t="shared" si="314"/>
        <v>100</v>
      </c>
      <c r="AC107" s="331">
        <f t="shared" si="315"/>
        <v>112.5</v>
      </c>
      <c r="AD107" s="331">
        <f t="shared" si="316"/>
        <v>125</v>
      </c>
      <c r="AE107" s="331">
        <f t="shared" si="317"/>
        <v>137.5</v>
      </c>
      <c r="AF107" s="331">
        <f t="shared" si="318"/>
        <v>150</v>
      </c>
      <c r="AH107" s="295">
        <f t="shared" si="343"/>
        <v>0.164956616409884</v>
      </c>
      <c r="AI107" s="295">
        <f t="shared" si="320"/>
        <v>0.150269282554337</v>
      </c>
      <c r="AJ107" s="295">
        <f t="shared" si="321"/>
        <v>0.14007838786585</v>
      </c>
      <c r="AK107" s="295">
        <f t="shared" si="322"/>
        <v>0.138506303698894</v>
      </c>
      <c r="AL107" s="295">
        <f t="shared" si="323"/>
        <v>0.135031975571815</v>
      </c>
      <c r="AM107" s="295">
        <f t="shared" si="324"/>
        <v>0.132870084945743</v>
      </c>
      <c r="AN107" s="295">
        <f t="shared" si="325"/>
        <v>0.135527983140319</v>
      </c>
      <c r="AO107" s="295">
        <f t="shared" si="326"/>
        <v>0.129682548648247</v>
      </c>
      <c r="AP107" s="295">
        <f t="shared" si="327"/>
        <v>0.128756735264822</v>
      </c>
      <c r="AQ107" s="295">
        <f t="shared" si="328"/>
        <v>0.129054299479184</v>
      </c>
      <c r="AR107" s="295">
        <f t="shared" si="329"/>
        <v>0.129481908356158</v>
      </c>
      <c r="AT107" s="332">
        <f t="shared" si="344"/>
        <v>0.00134772132819598</v>
      </c>
      <c r="AU107" s="332">
        <f t="shared" si="330"/>
        <v>0.00122772351590896</v>
      </c>
      <c r="AV107" s="332">
        <f t="shared" si="331"/>
        <v>0.00114446231412153</v>
      </c>
      <c r="AW107" s="332">
        <f t="shared" si="332"/>
        <v>0.00113161814086169</v>
      </c>
      <c r="AX107" s="332">
        <f t="shared" si="333"/>
        <v>0.00110323233724906</v>
      </c>
      <c r="AY107" s="332">
        <f t="shared" si="334"/>
        <v>0.00108556935306937</v>
      </c>
      <c r="AZ107" s="332">
        <f t="shared" si="335"/>
        <v>0.00110728479657787</v>
      </c>
      <c r="BA107" s="332">
        <f t="shared" si="336"/>
        <v>0.00105952668351157</v>
      </c>
      <c r="BB107" s="332">
        <f t="shared" si="337"/>
        <v>0.0010519626435238</v>
      </c>
      <c r="BC107" s="332">
        <f t="shared" si="338"/>
        <v>0.00105439378964532</v>
      </c>
      <c r="BD107" s="332">
        <f t="shared" si="339"/>
        <v>0.00105788742097801</v>
      </c>
    </row>
    <row r="108" spans="1:56">
      <c r="A108" s="350">
        <f t="shared" si="319"/>
        <v>97.6652901656365</v>
      </c>
      <c r="B108" s="198"/>
      <c r="C108" s="25" t="s">
        <v>26</v>
      </c>
      <c r="D108" s="201">
        <f>SUMIFS('CK P&amp;L by account 2026'!E:E,'CK P&amp;L by account 2026'!$R:$R,厨电!$C108)</f>
        <v>32.9004364138743</v>
      </c>
      <c r="E108" s="201">
        <f>SUMIFS('CK P&amp;L by account 2026'!F:F,'CK P&amp;L by account 2026'!$R:$R,厨电!$C108)</f>
        <v>32.6037790899268</v>
      </c>
      <c r="F108" s="201">
        <f>SUMIFS('CK P&amp;L by account 2026'!G:G,'CK P&amp;L by account 2026'!$R:$R,厨电!$C108)</f>
        <v>32.1610746618354</v>
      </c>
      <c r="G108" s="201">
        <f>SUMIFS('CK P&amp;L by account 2026'!H:H,'CK P&amp;L by account 2026'!$R:$R,厨电!$C108)</f>
        <v>28.4991363037167</v>
      </c>
      <c r="H108" s="201">
        <f>SUMIFS('CK P&amp;L by account 2026'!I:I,'CK P&amp;L by account 2026'!$R:$R,厨电!$C108)</f>
        <v>26.8340304934761</v>
      </c>
      <c r="I108" s="201">
        <f>SUMIFS('CK P&amp;L by account 2026'!J:J,'CK P&amp;L by account 2026'!$R:$R,厨电!$C108)</f>
        <v>27.2532991159048</v>
      </c>
      <c r="J108" s="201">
        <f>SUMIFS('CK P&amp;L by account 2026'!K:K,'CK P&amp;L by account 2026'!$R:$R,厨电!$C108)</f>
        <v>31.4702527968799</v>
      </c>
      <c r="K108" s="201">
        <f>SUMIFS('CK P&amp;L by account 2026'!L:L,'CK P&amp;L by account 2026'!$R:$R,厨电!$C108)</f>
        <v>26.876367017101</v>
      </c>
      <c r="L108" s="201">
        <f>SUMIFS('CK P&amp;L by account 2026'!M:M,'CK P&amp;L by account 2026'!$R:$R,厨电!$C108)</f>
        <v>26.9342333142595</v>
      </c>
      <c r="M108" s="201">
        <f>SUMIFS('CK P&amp;L by account 2026'!N:N,'CK P&amp;L by account 2026'!$R:$R,厨电!$C108)</f>
        <v>33.8275904114051</v>
      </c>
      <c r="N108" s="201">
        <f>SUMIFS('CK P&amp;L by account 2026'!O:O,'CK P&amp;L by account 2026'!$R:$R,厨电!$C108)</f>
        <v>34.5691365252196</v>
      </c>
      <c r="O108" s="201">
        <f>SUMIFS('CK P&amp;L by account 2026'!P:P,'CK P&amp;L by account 2026'!$R:$R,厨电!$C108)</f>
        <v>35.6941383035586</v>
      </c>
      <c r="P108" s="296">
        <f t="shared" si="340"/>
        <v>369.623474447158</v>
      </c>
      <c r="Q108" s="312">
        <f t="shared" si="341"/>
        <v>0.294800933833643</v>
      </c>
      <c r="R108" s="313">
        <f t="shared" si="342"/>
        <v>0.0116307336693476</v>
      </c>
      <c r="V108" s="201">
        <f t="shared" si="308"/>
        <v>65.5042155038011</v>
      </c>
      <c r="W108" s="201">
        <f t="shared" si="309"/>
        <v>97.6652901656365</v>
      </c>
      <c r="X108" s="201">
        <f t="shared" si="310"/>
        <v>126.164426469353</v>
      </c>
      <c r="Y108" s="201">
        <f t="shared" si="311"/>
        <v>152.998456962829</v>
      </c>
      <c r="Z108" s="201">
        <f t="shared" si="312"/>
        <v>180.251756078734</v>
      </c>
      <c r="AA108" s="331">
        <f t="shared" si="313"/>
        <v>211.722008875614</v>
      </c>
      <c r="AB108" s="331">
        <f t="shared" si="314"/>
        <v>238.598375892715</v>
      </c>
      <c r="AC108" s="331">
        <f t="shared" si="315"/>
        <v>265.532609206974</v>
      </c>
      <c r="AD108" s="331">
        <f t="shared" si="316"/>
        <v>299.36019961838</v>
      </c>
      <c r="AE108" s="331">
        <f t="shared" si="317"/>
        <v>333.929336143599</v>
      </c>
      <c r="AF108" s="331">
        <f t="shared" si="318"/>
        <v>369.623474447158</v>
      </c>
      <c r="AH108" s="295">
        <f t="shared" si="343"/>
        <v>0.432214150003636</v>
      </c>
      <c r="AI108" s="295">
        <f t="shared" si="320"/>
        <v>0.391362482230704</v>
      </c>
      <c r="AJ108" s="295">
        <f t="shared" si="321"/>
        <v>0.353458189316931</v>
      </c>
      <c r="AK108" s="295">
        <f t="shared" si="322"/>
        <v>0.339060011928893</v>
      </c>
      <c r="AL108" s="295">
        <f t="shared" si="323"/>
        <v>0.324530009648006</v>
      </c>
      <c r="AM108" s="295">
        <f t="shared" si="324"/>
        <v>0.321503100619272</v>
      </c>
      <c r="AN108" s="295">
        <f t="shared" si="325"/>
        <v>0.323367566652954</v>
      </c>
      <c r="AO108" s="295">
        <f t="shared" si="326"/>
        <v>0.306088404543817</v>
      </c>
      <c r="AP108" s="295">
        <f t="shared" si="327"/>
        <v>0.308357135768703</v>
      </c>
      <c r="AQ108" s="295">
        <f t="shared" si="328"/>
        <v>0.313418302193172</v>
      </c>
      <c r="AR108" s="295">
        <f t="shared" si="329"/>
        <v>0.319063685631011</v>
      </c>
      <c r="AT108" s="332">
        <f t="shared" si="344"/>
        <v>0.00353125713284873</v>
      </c>
      <c r="AU108" s="332">
        <f t="shared" si="330"/>
        <v>0.0031974926246513</v>
      </c>
      <c r="AV108" s="332">
        <f t="shared" si="331"/>
        <v>0.00288780862953864</v>
      </c>
      <c r="AW108" s="332">
        <f t="shared" si="332"/>
        <v>0.00277017327076775</v>
      </c>
      <c r="AX108" s="332">
        <f t="shared" si="333"/>
        <v>0.00265146088202653</v>
      </c>
      <c r="AY108" s="332">
        <f t="shared" si="334"/>
        <v>0.00262673056235025</v>
      </c>
      <c r="AZ108" s="332">
        <f t="shared" si="335"/>
        <v>0.00264196354114175</v>
      </c>
      <c r="BA108" s="332">
        <f t="shared" si="336"/>
        <v>0.00250079008708657</v>
      </c>
      <c r="BB108" s="332">
        <f t="shared" si="337"/>
        <v>0.0025193259756509</v>
      </c>
      <c r="BC108" s="332">
        <f t="shared" si="338"/>
        <v>0.00256067649607414</v>
      </c>
      <c r="BD108" s="332">
        <f t="shared" si="339"/>
        <v>0.00260680016077223</v>
      </c>
    </row>
    <row r="109" spans="1:56">
      <c r="A109" s="350">
        <f t="shared" si="319"/>
        <v>1002.49765696314</v>
      </c>
      <c r="B109" s="198"/>
      <c r="C109" s="25" t="s">
        <v>27</v>
      </c>
      <c r="D109" s="201">
        <f>SUMIFS('CK P&amp;L by account 2026'!E:E,'CK P&amp;L by account 2026'!$R:$R,厨电!$C109)</f>
        <v>315.6973211924</v>
      </c>
      <c r="E109" s="201">
        <f>SUMIFS('CK P&amp;L by account 2026'!F:F,'CK P&amp;L by account 2026'!$R:$R,厨电!$C109)</f>
        <v>339.101897296021</v>
      </c>
      <c r="F109" s="201">
        <f>SUMIFS('CK P&amp;L by account 2026'!G:G,'CK P&amp;L by account 2026'!$R:$R,厨电!$C109)</f>
        <v>347.698438474716</v>
      </c>
      <c r="G109" s="201">
        <f>SUMIFS('CK P&amp;L by account 2026'!H:H,'CK P&amp;L by account 2026'!$R:$R,厨电!$C109)</f>
        <v>323.528532202514</v>
      </c>
      <c r="H109" s="201">
        <f>SUMIFS('CK P&amp;L by account 2026'!I:I,'CK P&amp;L by account 2026'!$R:$R,厨电!$C109)</f>
        <v>359.870748438375</v>
      </c>
      <c r="I109" s="201">
        <f>SUMIFS('CK P&amp;L by account 2026'!J:J,'CK P&amp;L by account 2026'!$R:$R,厨电!$C109)</f>
        <v>346.446854954914</v>
      </c>
      <c r="J109" s="201">
        <f>SUMIFS('CK P&amp;L by account 2026'!K:K,'CK P&amp;L by account 2026'!$R:$R,厨电!$C109)</f>
        <v>316.996309568973</v>
      </c>
      <c r="K109" s="201">
        <f>SUMIFS('CK P&amp;L by account 2026'!L:L,'CK P&amp;L by account 2026'!$R:$R,厨电!$C109)</f>
        <v>318.05357031316</v>
      </c>
      <c r="L109" s="201">
        <f>SUMIFS('CK P&amp;L by account 2026'!M:M,'CK P&amp;L by account 2026'!$R:$R,厨电!$C109)</f>
        <v>384.747158963545</v>
      </c>
      <c r="M109" s="201">
        <f>SUMIFS('CK P&amp;L by account 2026'!N:N,'CK P&amp;L by account 2026'!$R:$R,厨电!$C109)</f>
        <v>428.41312864185</v>
      </c>
      <c r="N109" s="201">
        <f>SUMIFS('CK P&amp;L by account 2026'!O:O,'CK P&amp;L by account 2026'!$R:$R,厨电!$C109)</f>
        <v>357.446600575077</v>
      </c>
      <c r="O109" s="201">
        <f>SUMIFS('CK P&amp;L by account 2026'!P:P,'CK P&amp;L by account 2026'!$R:$R,厨电!$C109)</f>
        <v>467.298734623367</v>
      </c>
      <c r="P109" s="296">
        <f t="shared" si="340"/>
        <v>4305.29929524491</v>
      </c>
      <c r="Q109" s="312">
        <f t="shared" si="341"/>
        <v>3.43378151122534</v>
      </c>
      <c r="R109" s="313">
        <f t="shared" si="342"/>
        <v>0.135472427839488</v>
      </c>
      <c r="V109" s="201">
        <f t="shared" si="308"/>
        <v>654.799218488421</v>
      </c>
      <c r="W109" s="201">
        <f t="shared" si="309"/>
        <v>1002.49765696314</v>
      </c>
      <c r="X109" s="201">
        <f t="shared" si="310"/>
        <v>1326.02618916565</v>
      </c>
      <c r="Y109" s="201">
        <f t="shared" si="311"/>
        <v>1685.89693760403</v>
      </c>
      <c r="Z109" s="201">
        <f t="shared" si="312"/>
        <v>2032.34379255894</v>
      </c>
      <c r="AA109" s="331">
        <f t="shared" si="313"/>
        <v>2349.34010212791</v>
      </c>
      <c r="AB109" s="331">
        <f t="shared" si="314"/>
        <v>2667.39367244107</v>
      </c>
      <c r="AC109" s="331">
        <f t="shared" si="315"/>
        <v>3052.14083140462</v>
      </c>
      <c r="AD109" s="331">
        <f t="shared" si="316"/>
        <v>3480.55396004647</v>
      </c>
      <c r="AE109" s="331">
        <f t="shared" si="317"/>
        <v>3838.00056062154</v>
      </c>
      <c r="AF109" s="331">
        <f t="shared" si="318"/>
        <v>4305.29929524491</v>
      </c>
      <c r="AH109" s="295">
        <f t="shared" si="343"/>
        <v>4.32053854038746</v>
      </c>
      <c r="AI109" s="295">
        <f t="shared" si="320"/>
        <v>4.01718943131346</v>
      </c>
      <c r="AJ109" s="295">
        <f t="shared" si="321"/>
        <v>3.71495221692441</v>
      </c>
      <c r="AK109" s="295">
        <f t="shared" si="322"/>
        <v>3.73611765191709</v>
      </c>
      <c r="AL109" s="295">
        <f t="shared" si="323"/>
        <v>3.65908529800466</v>
      </c>
      <c r="AM109" s="295">
        <f t="shared" si="324"/>
        <v>3.56750878784203</v>
      </c>
      <c r="AN109" s="295">
        <f t="shared" si="325"/>
        <v>3.61506484667187</v>
      </c>
      <c r="AO109" s="295">
        <f t="shared" si="326"/>
        <v>3.5183057942216</v>
      </c>
      <c r="AP109" s="295">
        <f t="shared" si="327"/>
        <v>3.58515811846904</v>
      </c>
      <c r="AQ109" s="295">
        <f t="shared" si="328"/>
        <v>3.60225799092166</v>
      </c>
      <c r="AR109" s="295">
        <f t="shared" si="329"/>
        <v>3.71638912528489</v>
      </c>
      <c r="AT109" s="332">
        <f t="shared" si="344"/>
        <v>0.0352994748977161</v>
      </c>
      <c r="AU109" s="332">
        <f t="shared" si="330"/>
        <v>0.0328210652825939</v>
      </c>
      <c r="AV109" s="332">
        <f t="shared" si="331"/>
        <v>0.0303517400207656</v>
      </c>
      <c r="AW109" s="332">
        <f t="shared" si="332"/>
        <v>0.0305246649314542</v>
      </c>
      <c r="AX109" s="332">
        <f t="shared" si="333"/>
        <v>0.029895298564779</v>
      </c>
      <c r="AY109" s="332">
        <f t="shared" si="334"/>
        <v>0.0291471041692219</v>
      </c>
      <c r="AZ109" s="332">
        <f t="shared" si="335"/>
        <v>0.0295356445998201</v>
      </c>
      <c r="BA109" s="332">
        <f t="shared" si="336"/>
        <v>0.0287451080240744</v>
      </c>
      <c r="BB109" s="332">
        <f t="shared" si="337"/>
        <v>0.0292913019579017</v>
      </c>
      <c r="BC109" s="332">
        <f t="shared" si="338"/>
        <v>0.0294310105874517</v>
      </c>
      <c r="BD109" s="332">
        <f t="shared" si="339"/>
        <v>0.0303634797865672</v>
      </c>
    </row>
    <row r="110" spans="1:56">
      <c r="A110" s="350">
        <f t="shared" si="319"/>
        <v>465.560727313547</v>
      </c>
      <c r="B110" s="198"/>
      <c r="C110" s="25" t="s">
        <v>28</v>
      </c>
      <c r="D110" s="201">
        <f>SUMIFS('CK P&amp;L by account 2026'!E:E,'CK P&amp;L by account 2026'!$R:$R,厨电!$C110)</f>
        <v>154.321809807644</v>
      </c>
      <c r="E110" s="201">
        <f>SUMIFS('CK P&amp;L by account 2026'!F:F,'CK P&amp;L by account 2026'!$R:$R,厨电!$C110)</f>
        <v>162.618341610195</v>
      </c>
      <c r="F110" s="201">
        <f>SUMIFS('CK P&amp;L by account 2026'!G:G,'CK P&amp;L by account 2026'!$R:$R,厨电!$C110)</f>
        <v>148.620575895709</v>
      </c>
      <c r="G110" s="201">
        <f>SUMIFS('CK P&amp;L by account 2026'!H:H,'CK P&amp;L by account 2026'!$R:$R,厨电!$C110)</f>
        <v>150.272649072884</v>
      </c>
      <c r="H110" s="201">
        <f>SUMIFS('CK P&amp;L by account 2026'!I:I,'CK P&amp;L by account 2026'!$R:$R,厨电!$C110)</f>
        <v>158.685826034591</v>
      </c>
      <c r="I110" s="201">
        <f>SUMIFS('CK P&amp;L by account 2026'!J:J,'CK P&amp;L by account 2026'!$R:$R,厨电!$C110)</f>
        <v>149.346272830449</v>
      </c>
      <c r="J110" s="201">
        <f>SUMIFS('CK P&amp;L by account 2026'!K:K,'CK P&amp;L by account 2026'!$R:$R,厨电!$C110)</f>
        <v>139.745182665872</v>
      </c>
      <c r="K110" s="201">
        <f>SUMIFS('CK P&amp;L by account 2026'!L:L,'CK P&amp;L by account 2026'!$R:$R,厨电!$C110)</f>
        <v>138.636093914555</v>
      </c>
      <c r="L110" s="201">
        <f>SUMIFS('CK P&amp;L by account 2026'!M:M,'CK P&amp;L by account 2026'!$R:$R,厨电!$C110)</f>
        <v>145.541781640263</v>
      </c>
      <c r="M110" s="201">
        <f>SUMIFS('CK P&amp;L by account 2026'!N:N,'CK P&amp;L by account 2026'!$R:$R,厨电!$C110)</f>
        <v>136.74217005024</v>
      </c>
      <c r="N110" s="201">
        <f>SUMIFS('CK P&amp;L by account 2026'!O:O,'CK P&amp;L by account 2026'!$R:$R,厨电!$C110)</f>
        <v>134.390339115715</v>
      </c>
      <c r="O110" s="201">
        <f>SUMIFS('CK P&amp;L by account 2026'!P:P,'CK P&amp;L by account 2026'!$R:$R,厨电!$C110)</f>
        <v>132.078957361882</v>
      </c>
      <c r="P110" s="296">
        <f t="shared" si="340"/>
        <v>1751</v>
      </c>
      <c r="Q110" s="312">
        <f t="shared" si="341"/>
        <v>1.39654667743919</v>
      </c>
      <c r="R110" s="313">
        <f t="shared" si="342"/>
        <v>0.0550977306987551</v>
      </c>
      <c r="V110" s="201">
        <f t="shared" si="308"/>
        <v>316.940151417839</v>
      </c>
      <c r="W110" s="201">
        <f t="shared" si="309"/>
        <v>465.560727313547</v>
      </c>
      <c r="X110" s="201">
        <f t="shared" si="310"/>
        <v>615.833376386431</v>
      </c>
      <c r="Y110" s="201">
        <f t="shared" si="311"/>
        <v>774.519202421023</v>
      </c>
      <c r="Z110" s="201">
        <f t="shared" si="312"/>
        <v>923.865475251472</v>
      </c>
      <c r="AA110" s="331">
        <f t="shared" si="313"/>
        <v>1063.61065791734</v>
      </c>
      <c r="AB110" s="331">
        <f t="shared" si="314"/>
        <v>1202.2467518319</v>
      </c>
      <c r="AC110" s="331">
        <f t="shared" si="315"/>
        <v>1347.78853347216</v>
      </c>
      <c r="AD110" s="331">
        <f t="shared" si="316"/>
        <v>1484.5307035224</v>
      </c>
      <c r="AE110" s="331">
        <f t="shared" si="317"/>
        <v>1618.92104263812</v>
      </c>
      <c r="AF110" s="331">
        <f t="shared" si="318"/>
        <v>1751</v>
      </c>
      <c r="AH110" s="295">
        <f t="shared" ref="AH110:AH121" si="345">V110/V$54*1000</f>
        <v>2.09125499929292</v>
      </c>
      <c r="AI110" s="295">
        <f t="shared" si="320"/>
        <v>1.86558603943686</v>
      </c>
      <c r="AJ110" s="295">
        <f t="shared" si="321"/>
        <v>1.72529893116389</v>
      </c>
      <c r="AK110" s="295">
        <f t="shared" si="322"/>
        <v>1.71641266993842</v>
      </c>
      <c r="AL110" s="295">
        <f t="shared" si="323"/>
        <v>1.663351737144</v>
      </c>
      <c r="AM110" s="295">
        <f t="shared" si="324"/>
        <v>1.61510901104772</v>
      </c>
      <c r="AN110" s="295">
        <f t="shared" si="325"/>
        <v>1.62938077512777</v>
      </c>
      <c r="AO110" s="295">
        <f t="shared" si="326"/>
        <v>1.55364135164047</v>
      </c>
      <c r="AP110" s="295">
        <f t="shared" si="327"/>
        <v>1.52914661428747</v>
      </c>
      <c r="AQ110" s="295">
        <f t="shared" si="328"/>
        <v>1.51948160778016</v>
      </c>
      <c r="AR110" s="295">
        <f t="shared" si="329"/>
        <v>1.51148547687755</v>
      </c>
      <c r="AT110" s="332">
        <f t="shared" si="344"/>
        <v>0.0170858800730993</v>
      </c>
      <c r="AU110" s="332">
        <f t="shared" si="330"/>
        <v>0.0152421294135072</v>
      </c>
      <c r="AV110" s="332">
        <f t="shared" si="331"/>
        <v>0.0140959618210498</v>
      </c>
      <c r="AW110" s="332">
        <f t="shared" si="332"/>
        <v>0.0140233596784857</v>
      </c>
      <c r="AX110" s="332">
        <f t="shared" si="333"/>
        <v>0.0135898435675386</v>
      </c>
      <c r="AY110" s="332">
        <f t="shared" si="334"/>
        <v>0.0131956929580916</v>
      </c>
      <c r="AZ110" s="332">
        <f t="shared" si="335"/>
        <v>0.0133122955003859</v>
      </c>
      <c r="BA110" s="332">
        <f t="shared" si="336"/>
        <v>0.012693492577286</v>
      </c>
      <c r="BB110" s="332">
        <f t="shared" si="337"/>
        <v>0.0124933667461574</v>
      </c>
      <c r="BC110" s="332">
        <f t="shared" si="338"/>
        <v>0.0124144021329728</v>
      </c>
      <c r="BD110" s="332">
        <f t="shared" si="339"/>
        <v>0.0123490724942166</v>
      </c>
    </row>
    <row r="111" spans="1:56">
      <c r="A111" s="350">
        <f t="shared" si="319"/>
        <v>739.234270788546</v>
      </c>
      <c r="B111" s="198"/>
      <c r="C111" s="25" t="s">
        <v>29</v>
      </c>
      <c r="D111" s="201">
        <f>SUMIFS('CK P&amp;L by account 2026'!E:E,'CK P&amp;L by account 2026'!$R:$R,厨电!$C111)</f>
        <v>323.555417302835</v>
      </c>
      <c r="E111" s="201">
        <f>SUMIFS('CK P&amp;L by account 2026'!F:F,'CK P&amp;L by account 2026'!$R:$R,厨电!$C111)</f>
        <v>218.310580064111</v>
      </c>
      <c r="F111" s="201">
        <f>SUMIFS('CK P&amp;L by account 2026'!G:G,'CK P&amp;L by account 2026'!$R:$R,厨电!$C111)</f>
        <v>197.3682734216</v>
      </c>
      <c r="G111" s="201">
        <f>SUMIFS('CK P&amp;L by account 2026'!H:H,'CK P&amp;L by account 2026'!$R:$R,厨电!$C111)</f>
        <v>156.090921657542</v>
      </c>
      <c r="H111" s="201">
        <f>SUMIFS('CK P&amp;L by account 2026'!I:I,'CK P&amp;L by account 2026'!$R:$R,厨电!$C111)</f>
        <v>144.195783921404</v>
      </c>
      <c r="I111" s="201">
        <f>SUMIFS('CK P&amp;L by account 2026'!J:J,'CK P&amp;L by account 2026'!$R:$R,厨电!$C111)</f>
        <v>168.660338042415</v>
      </c>
      <c r="J111" s="201">
        <f>SUMIFS('CK P&amp;L by account 2026'!K:K,'CK P&amp;L by account 2026'!$R:$R,厨电!$C111)</f>
        <v>176.425766633519</v>
      </c>
      <c r="K111" s="201">
        <f>SUMIFS('CK P&amp;L by account 2026'!L:L,'CK P&amp;L by account 2026'!$R:$R,厨电!$C111)</f>
        <v>185.379495506074</v>
      </c>
      <c r="L111" s="201">
        <f>SUMIFS('CK P&amp;L by account 2026'!M:M,'CK P&amp;L by account 2026'!$R:$R,厨电!$C111)</f>
        <v>183.359332121515</v>
      </c>
      <c r="M111" s="201">
        <f>SUMIFS('CK P&amp;L by account 2026'!N:N,'CK P&amp;L by account 2026'!$R:$R,厨电!$C111)</f>
        <v>190.875735979874</v>
      </c>
      <c r="N111" s="201">
        <f>SUMIFS('CK P&amp;L by account 2026'!O:O,'CK P&amp;L by account 2026'!$R:$R,厨电!$C111)</f>
        <v>197.445465274599</v>
      </c>
      <c r="O111" s="201">
        <f>SUMIFS('CK P&amp;L by account 2026'!P:P,'CK P&amp;L by account 2026'!$R:$R,厨电!$C111)</f>
        <v>187.749369247322</v>
      </c>
      <c r="P111" s="296">
        <f t="shared" si="340"/>
        <v>2329.41647917281</v>
      </c>
      <c r="Q111" s="312">
        <f t="shared" si="341"/>
        <v>1.85787483972638</v>
      </c>
      <c r="R111" s="313">
        <f t="shared" si="342"/>
        <v>0.0732984362391238</v>
      </c>
      <c r="V111" s="201">
        <f t="shared" si="308"/>
        <v>541.865997366946</v>
      </c>
      <c r="W111" s="201">
        <f t="shared" si="309"/>
        <v>739.234270788546</v>
      </c>
      <c r="X111" s="201">
        <f t="shared" si="310"/>
        <v>895.325192446088</v>
      </c>
      <c r="Y111" s="201">
        <f t="shared" si="311"/>
        <v>1039.52097636749</v>
      </c>
      <c r="Z111" s="201">
        <f t="shared" si="312"/>
        <v>1208.18131440991</v>
      </c>
      <c r="AA111" s="331">
        <f t="shared" si="313"/>
        <v>1384.60708104343</v>
      </c>
      <c r="AB111" s="331">
        <f t="shared" si="314"/>
        <v>1569.9865765495</v>
      </c>
      <c r="AC111" s="331">
        <f t="shared" si="315"/>
        <v>1753.34590867102</v>
      </c>
      <c r="AD111" s="331">
        <f t="shared" si="316"/>
        <v>1944.22164465089</v>
      </c>
      <c r="AE111" s="331">
        <f t="shared" si="317"/>
        <v>2141.66710992549</v>
      </c>
      <c r="AF111" s="331">
        <f t="shared" si="318"/>
        <v>2329.41647917281</v>
      </c>
      <c r="AH111" s="295">
        <f t="shared" si="345"/>
        <v>3.57537525892875</v>
      </c>
      <c r="AI111" s="295">
        <f t="shared" si="320"/>
        <v>2.9622454269593</v>
      </c>
      <c r="AJ111" s="295">
        <f t="shared" si="321"/>
        <v>2.50831419147059</v>
      </c>
      <c r="AK111" s="295">
        <f t="shared" si="322"/>
        <v>2.30368332886603</v>
      </c>
      <c r="AL111" s="295">
        <f t="shared" si="323"/>
        <v>2.1752414631163</v>
      </c>
      <c r="AM111" s="295">
        <f t="shared" si="324"/>
        <v>2.10254697685392</v>
      </c>
      <c r="AN111" s="295">
        <f t="shared" si="325"/>
        <v>2.12777114277128</v>
      </c>
      <c r="AO111" s="295">
        <f t="shared" si="326"/>
        <v>2.02114103198607</v>
      </c>
      <c r="AP111" s="295">
        <f t="shared" si="327"/>
        <v>2.00265305277161</v>
      </c>
      <c r="AQ111" s="295">
        <f t="shared" si="328"/>
        <v>2.0101188988294</v>
      </c>
      <c r="AR111" s="295">
        <f t="shared" si="329"/>
        <v>2.01078194053052</v>
      </c>
      <c r="AT111" s="332">
        <f t="shared" si="344"/>
        <v>0.0292113744670247</v>
      </c>
      <c r="AU111" s="332">
        <f t="shared" si="330"/>
        <v>0.0242020079470109</v>
      </c>
      <c r="AV111" s="332">
        <f t="shared" si="331"/>
        <v>0.0204933188327631</v>
      </c>
      <c r="AW111" s="332">
        <f t="shared" si="332"/>
        <v>0.0188214527146194</v>
      </c>
      <c r="AX111" s="332">
        <f t="shared" si="333"/>
        <v>0.0177720626042278</v>
      </c>
      <c r="AY111" s="332">
        <f t="shared" si="334"/>
        <v>0.0171781372939837</v>
      </c>
      <c r="AZ111" s="332">
        <f t="shared" si="335"/>
        <v>0.017384222670446</v>
      </c>
      <c r="BA111" s="332">
        <f t="shared" si="336"/>
        <v>0.0165130380058913</v>
      </c>
      <c r="BB111" s="332">
        <f t="shared" si="337"/>
        <v>0.0163619883272251</v>
      </c>
      <c r="BC111" s="332">
        <f t="shared" si="338"/>
        <v>0.0164229854559496</v>
      </c>
      <c r="BD111" s="332">
        <f t="shared" si="339"/>
        <v>0.0164284026102387</v>
      </c>
    </row>
    <row r="112" spans="1:56">
      <c r="A112" s="350">
        <f t="shared" si="319"/>
        <v>1921.87098443598</v>
      </c>
      <c r="B112" s="198" t="s">
        <v>30</v>
      </c>
      <c r="C112" s="25" t="s">
        <v>31</v>
      </c>
      <c r="D112" s="201">
        <f>SUMIFS('CK P&amp;L by account 2026'!E:E,'CK P&amp;L by account 2026'!$R:$R,厨电!$C112)</f>
        <v>577.726348855934</v>
      </c>
      <c r="E112" s="201">
        <f>SUMIFS('CK P&amp;L by account 2026'!F:F,'CK P&amp;L by account 2026'!$R:$R,厨电!$C112)</f>
        <v>672.735851134323</v>
      </c>
      <c r="F112" s="201">
        <f>SUMIFS('CK P&amp;L by account 2026'!G:G,'CK P&amp;L by account 2026'!$R:$R,厨电!$C112)</f>
        <v>671.408784445722</v>
      </c>
      <c r="G112" s="201">
        <f>SUMIFS('CK P&amp;L by account 2026'!H:H,'CK P&amp;L by account 2026'!$R:$R,厨电!$C112)</f>
        <v>568.246378806799</v>
      </c>
      <c r="H112" s="201">
        <f>SUMIFS('CK P&amp;L by account 2026'!I:I,'CK P&amp;L by account 2026'!$R:$R,厨电!$C112)</f>
        <v>647.445920870611</v>
      </c>
      <c r="I112" s="201">
        <f>SUMIFS('CK P&amp;L by account 2026'!J:J,'CK P&amp;L by account 2026'!$R:$R,厨电!$C112)</f>
        <v>607.679846417101</v>
      </c>
      <c r="J112" s="201">
        <f>SUMIFS('CK P&amp;L by account 2026'!K:K,'CK P&amp;L by account 2026'!$R:$R,厨电!$C112)</f>
        <v>551.802770308128</v>
      </c>
      <c r="K112" s="201">
        <f>SUMIFS('CK P&amp;L by account 2026'!L:L,'CK P&amp;L by account 2026'!$R:$R,厨电!$C112)</f>
        <v>555.508945691336</v>
      </c>
      <c r="L112" s="201">
        <f>SUMIFS('CK P&amp;L by account 2026'!M:M,'CK P&amp;L by account 2026'!$R:$R,厨电!$C112)</f>
        <v>765.838529106112</v>
      </c>
      <c r="M112" s="201">
        <f>SUMIFS('CK P&amp;L by account 2026'!N:N,'CK P&amp;L by account 2026'!$R:$R,厨电!$C112)</f>
        <v>657.773634401352</v>
      </c>
      <c r="N112" s="201">
        <f>SUMIFS('CK P&amp;L by account 2026'!O:O,'CK P&amp;L by account 2026'!$R:$R,厨电!$C112)</f>
        <v>795.488779945273</v>
      </c>
      <c r="O112" s="201">
        <f>SUMIFS('CK P&amp;L by account 2026'!P:P,'CK P&amp;L by account 2026'!$R:$R,厨电!$C112)</f>
        <v>797.24444973551</v>
      </c>
      <c r="P112" s="296">
        <f t="shared" si="340"/>
        <v>7868.9002397182</v>
      </c>
      <c r="Q112" s="312">
        <f t="shared" si="341"/>
        <v>6.2760059879377</v>
      </c>
      <c r="R112" s="313">
        <f t="shared" si="342"/>
        <v>0.247606251458231</v>
      </c>
      <c r="V112" s="201">
        <f t="shared" si="308"/>
        <v>1250.46219999026</v>
      </c>
      <c r="W112" s="201">
        <f t="shared" si="309"/>
        <v>1921.87098443598</v>
      </c>
      <c r="X112" s="201">
        <f t="shared" si="310"/>
        <v>2490.11736324278</v>
      </c>
      <c r="Y112" s="201">
        <f t="shared" si="311"/>
        <v>3137.56328411339</v>
      </c>
      <c r="Z112" s="201">
        <f t="shared" si="312"/>
        <v>3745.24313053049</v>
      </c>
      <c r="AA112" s="331">
        <f t="shared" si="313"/>
        <v>4297.04590083862</v>
      </c>
      <c r="AB112" s="331">
        <f t="shared" si="314"/>
        <v>4852.55484652995</v>
      </c>
      <c r="AC112" s="331">
        <f t="shared" si="315"/>
        <v>5618.39337563607</v>
      </c>
      <c r="AD112" s="331">
        <f t="shared" si="316"/>
        <v>6276.16701003742</v>
      </c>
      <c r="AE112" s="331">
        <f t="shared" si="317"/>
        <v>7071.65578998269</v>
      </c>
      <c r="AF112" s="331">
        <f t="shared" si="318"/>
        <v>7868.9002397182</v>
      </c>
      <c r="AH112" s="295">
        <f t="shared" si="345"/>
        <v>8.25088053835411</v>
      </c>
      <c r="AI112" s="295">
        <f t="shared" si="320"/>
        <v>7.70128463981847</v>
      </c>
      <c r="AJ112" s="295">
        <f t="shared" si="321"/>
        <v>6.97623251679618</v>
      </c>
      <c r="AK112" s="295">
        <f t="shared" si="322"/>
        <v>6.95315668966253</v>
      </c>
      <c r="AL112" s="295">
        <f t="shared" si="323"/>
        <v>6.74303438549737</v>
      </c>
      <c r="AM112" s="295">
        <f t="shared" si="324"/>
        <v>6.52512975840212</v>
      </c>
      <c r="AN112" s="295">
        <f t="shared" si="325"/>
        <v>6.57656971427984</v>
      </c>
      <c r="AO112" s="295">
        <f t="shared" si="326"/>
        <v>6.47651175343032</v>
      </c>
      <c r="AP112" s="295">
        <f t="shared" si="327"/>
        <v>6.46479019351356</v>
      </c>
      <c r="AQ112" s="295">
        <f t="shared" si="328"/>
        <v>6.63729152097549</v>
      </c>
      <c r="AR112" s="295">
        <f t="shared" si="329"/>
        <v>6.79253479801962</v>
      </c>
      <c r="AT112" s="332">
        <f t="shared" si="344"/>
        <v>0.0674109830811893</v>
      </c>
      <c r="AU112" s="332">
        <f t="shared" si="330"/>
        <v>0.0629206987236039</v>
      </c>
      <c r="AV112" s="332">
        <f t="shared" si="331"/>
        <v>0.0569969095994208</v>
      </c>
      <c r="AW112" s="332">
        <f t="shared" si="332"/>
        <v>0.0568083764864688</v>
      </c>
      <c r="AX112" s="332">
        <f t="shared" si="333"/>
        <v>0.0550916444328153</v>
      </c>
      <c r="AY112" s="332">
        <f t="shared" si="334"/>
        <v>0.0533113295849457</v>
      </c>
      <c r="AZ112" s="332">
        <f t="shared" si="335"/>
        <v>0.0537316020612288</v>
      </c>
      <c r="BA112" s="332">
        <f t="shared" si="336"/>
        <v>0.0529141128884537</v>
      </c>
      <c r="BB112" s="332">
        <f t="shared" si="337"/>
        <v>0.0528183459126066</v>
      </c>
      <c r="BC112" s="332">
        <f t="shared" si="338"/>
        <v>0.0542277087088517</v>
      </c>
      <c r="BD112" s="332">
        <f t="shared" si="339"/>
        <v>0.0554960705368581</v>
      </c>
    </row>
    <row r="113" spans="1:56">
      <c r="A113" s="350">
        <f t="shared" si="319"/>
        <v>190.669676746141</v>
      </c>
      <c r="B113" s="198"/>
      <c r="C113" s="25" t="s">
        <v>66</v>
      </c>
      <c r="D113" s="201">
        <f>SUMIFS('CK P&amp;L by account 2026'!E:E,'CK P&amp;L by account 2026'!$R:$R,厨电!$C113)</f>
        <v>57.711166346792</v>
      </c>
      <c r="E113" s="201">
        <f>SUMIFS('CK P&amp;L by account 2026'!F:F,'CK P&amp;L by account 2026'!$R:$R,厨电!$C113)</f>
        <v>70.4974906683187</v>
      </c>
      <c r="F113" s="201">
        <f>SUMIFS('CK P&amp;L by account 2026'!G:G,'CK P&amp;L by account 2026'!$R:$R,厨电!$C113)</f>
        <v>62.4610197310306</v>
      </c>
      <c r="G113" s="201">
        <f>SUMIFS('CK P&amp;L by account 2026'!H:H,'CK P&amp;L by account 2026'!$R:$R,厨电!$C113)</f>
        <v>59.5121822232476</v>
      </c>
      <c r="H113" s="201">
        <f>SUMIFS('CK P&amp;L by account 2026'!I:I,'CK P&amp;L by account 2026'!$R:$R,厨电!$C113)</f>
        <v>40.486032926229</v>
      </c>
      <c r="I113" s="201">
        <f>SUMIFS('CK P&amp;L by account 2026'!J:J,'CK P&amp;L by account 2026'!$R:$R,厨电!$C113)</f>
        <v>62.9866066710495</v>
      </c>
      <c r="J113" s="201">
        <f>SUMIFS('CK P&amp;L by account 2026'!K:K,'CK P&amp;L by account 2026'!$R:$R,厨电!$C113)</f>
        <v>49.0119568226701</v>
      </c>
      <c r="K113" s="201">
        <f>SUMIFS('CK P&amp;L by account 2026'!L:L,'CK P&amp;L by account 2026'!$R:$R,厨电!$C113)</f>
        <v>46.241393132178</v>
      </c>
      <c r="L113" s="201">
        <f>SUMIFS('CK P&amp;L by account 2026'!M:M,'CK P&amp;L by account 2026'!$R:$R,厨电!$C113)</f>
        <v>67.7192945656517</v>
      </c>
      <c r="M113" s="201">
        <f>SUMIFS('CK P&amp;L by account 2026'!N:N,'CK P&amp;L by account 2026'!$R:$R,厨电!$C113)</f>
        <v>68.459882806192</v>
      </c>
      <c r="N113" s="201">
        <f>SUMIFS('CK P&amp;L by account 2026'!O:O,'CK P&amp;L by account 2026'!$R:$R,厨电!$C113)</f>
        <v>72.7487237764565</v>
      </c>
      <c r="O113" s="201">
        <f>SUMIFS('CK P&amp;L by account 2026'!P:P,'CK P&amp;L by account 2026'!$R:$R,厨电!$C113)</f>
        <v>50.0455481493154</v>
      </c>
      <c r="P113" s="296">
        <f t="shared" si="340"/>
        <v>707.881297819131</v>
      </c>
      <c r="Q113" s="312">
        <f t="shared" si="341"/>
        <v>0.564585536545203</v>
      </c>
      <c r="R113" s="313">
        <f t="shared" si="342"/>
        <v>0.0222745020639199</v>
      </c>
      <c r="V113" s="201">
        <f t="shared" si="308"/>
        <v>128.208657015111</v>
      </c>
      <c r="W113" s="201">
        <f t="shared" si="309"/>
        <v>190.669676746141</v>
      </c>
      <c r="X113" s="201">
        <f t="shared" si="310"/>
        <v>250.181858969389</v>
      </c>
      <c r="Y113" s="201">
        <f t="shared" si="311"/>
        <v>290.667891895618</v>
      </c>
      <c r="Z113" s="201">
        <f t="shared" si="312"/>
        <v>353.654498566667</v>
      </c>
      <c r="AA113" s="331">
        <f t="shared" si="313"/>
        <v>402.666455389338</v>
      </c>
      <c r="AB113" s="331">
        <f t="shared" si="314"/>
        <v>448.907848521515</v>
      </c>
      <c r="AC113" s="331">
        <f t="shared" si="315"/>
        <v>516.627143087167</v>
      </c>
      <c r="AD113" s="331">
        <f t="shared" si="316"/>
        <v>585.087025893359</v>
      </c>
      <c r="AE113" s="331">
        <f t="shared" si="317"/>
        <v>657.835749669816</v>
      </c>
      <c r="AF113" s="331">
        <f t="shared" si="318"/>
        <v>707.881297819131</v>
      </c>
      <c r="AH113" s="295">
        <f t="shared" si="345"/>
        <v>0.845954650226721</v>
      </c>
      <c r="AI113" s="295">
        <f t="shared" si="320"/>
        <v>0.764047880786935</v>
      </c>
      <c r="AJ113" s="295">
        <f t="shared" si="321"/>
        <v>0.700901429554267</v>
      </c>
      <c r="AK113" s="295">
        <f t="shared" si="322"/>
        <v>0.644149364966588</v>
      </c>
      <c r="AL113" s="295">
        <f t="shared" si="323"/>
        <v>0.636728874817558</v>
      </c>
      <c r="AM113" s="295">
        <f t="shared" si="324"/>
        <v>0.611455155798659</v>
      </c>
      <c r="AN113" s="295">
        <f t="shared" si="325"/>
        <v>0.608395753259808</v>
      </c>
      <c r="AO113" s="295">
        <f t="shared" si="326"/>
        <v>0.595533552145834</v>
      </c>
      <c r="AP113" s="295">
        <f t="shared" si="327"/>
        <v>0.602671162398665</v>
      </c>
      <c r="AQ113" s="295">
        <f t="shared" si="328"/>
        <v>0.617429322516376</v>
      </c>
      <c r="AR113" s="295">
        <f t="shared" si="329"/>
        <v>0.611052142208367</v>
      </c>
      <c r="AT113" s="332">
        <f t="shared" si="344"/>
        <v>0.00691158166074509</v>
      </c>
      <c r="AU113" s="332">
        <f t="shared" si="330"/>
        <v>0.00624239055765325</v>
      </c>
      <c r="AV113" s="332">
        <f t="shared" si="331"/>
        <v>0.00572647418534668</v>
      </c>
      <c r="AW113" s="332">
        <f t="shared" si="332"/>
        <v>0.00526280095096171</v>
      </c>
      <c r="AX113" s="332">
        <f t="shared" si="333"/>
        <v>0.005202174387098</v>
      </c>
      <c r="AY113" s="332">
        <f t="shared" si="334"/>
        <v>0.00499568415405415</v>
      </c>
      <c r="AZ113" s="332">
        <f t="shared" si="335"/>
        <v>0.00497068835732356</v>
      </c>
      <c r="BA113" s="332">
        <f t="shared" si="336"/>
        <v>0.00486560216468624</v>
      </c>
      <c r="BB113" s="332">
        <f t="shared" si="337"/>
        <v>0.00492391755560205</v>
      </c>
      <c r="BC113" s="332">
        <f t="shared" si="338"/>
        <v>0.00504449402951655</v>
      </c>
      <c r="BD113" s="332">
        <f t="shared" si="339"/>
        <v>0.00499239147005631</v>
      </c>
    </row>
    <row r="114" spans="1:56">
      <c r="A114" s="350">
        <f t="shared" si="319"/>
        <v>107.053388143785</v>
      </c>
      <c r="B114" s="198"/>
      <c r="C114" s="25" t="s">
        <v>33</v>
      </c>
      <c r="D114" s="201">
        <f>SUMIFS('CK P&amp;L by account 2026'!E:E,'CK P&amp;L by account 2026'!$R:$R,厨电!$C114)</f>
        <v>41.2010853976622</v>
      </c>
      <c r="E114" s="201">
        <f>SUMIFS('CK P&amp;L by account 2026'!F:F,'CK P&amp;L by account 2026'!$R:$R,厨电!$C114)</f>
        <v>32.2345972632191</v>
      </c>
      <c r="F114" s="201">
        <f>SUMIFS('CK P&amp;L by account 2026'!G:G,'CK P&amp;L by account 2026'!$R:$R,厨电!$C114)</f>
        <v>33.6177054829041</v>
      </c>
      <c r="G114" s="201">
        <f>SUMIFS('CK P&amp;L by account 2026'!H:H,'CK P&amp;L by account 2026'!$R:$R,厨电!$C114)</f>
        <v>32.6064898858705</v>
      </c>
      <c r="H114" s="201">
        <f>SUMIFS('CK P&amp;L by account 2026'!I:I,'CK P&amp;L by account 2026'!$R:$R,厨电!$C114)</f>
        <v>33.9416691718126</v>
      </c>
      <c r="I114" s="201">
        <f>SUMIFS('CK P&amp;L by account 2026'!J:J,'CK P&amp;L by account 2026'!$R:$R,厨电!$C114)</f>
        <v>31.5212629020943</v>
      </c>
      <c r="J114" s="201">
        <f>SUMIFS('CK P&amp;L by account 2026'!K:K,'CK P&amp;L by account 2026'!$R:$R,厨电!$C114)</f>
        <v>33.8386487948939</v>
      </c>
      <c r="K114" s="201">
        <f>SUMIFS('CK P&amp;L by account 2026'!L:L,'CK P&amp;L by account 2026'!$R:$R,厨电!$C114)</f>
        <v>30.1710893642987</v>
      </c>
      <c r="L114" s="201">
        <f>SUMIFS('CK P&amp;L by account 2026'!M:M,'CK P&amp;L by account 2026'!$R:$R,厨电!$C114)</f>
        <v>28.7567802126095</v>
      </c>
      <c r="M114" s="201">
        <f>SUMIFS('CK P&amp;L by account 2026'!N:N,'CK P&amp;L by account 2026'!$R:$R,厨电!$C114)</f>
        <v>25.7683055452965</v>
      </c>
      <c r="N114" s="201">
        <f>SUMIFS('CK P&amp;L by account 2026'!O:O,'CK P&amp;L by account 2026'!$R:$R,厨电!$C114)</f>
        <v>26.7231140811858</v>
      </c>
      <c r="O114" s="201">
        <f>SUMIFS('CK P&amp;L by account 2026'!P:P,'CK P&amp;L by account 2026'!$R:$R,厨电!$C114)</f>
        <v>26.6746798775107</v>
      </c>
      <c r="P114" s="296">
        <f t="shared" si="340"/>
        <v>377.055427979358</v>
      </c>
      <c r="Q114" s="312">
        <f t="shared" si="341"/>
        <v>0.300728443834943</v>
      </c>
      <c r="R114" s="313">
        <f t="shared" si="342"/>
        <v>0.0118645907648832</v>
      </c>
      <c r="V114" s="201">
        <f t="shared" si="308"/>
        <v>73.4356826608813</v>
      </c>
      <c r="W114" s="201">
        <f t="shared" si="309"/>
        <v>107.053388143785</v>
      </c>
      <c r="X114" s="201">
        <f t="shared" si="310"/>
        <v>139.659878029656</v>
      </c>
      <c r="Y114" s="201">
        <f t="shared" si="311"/>
        <v>173.601547201468</v>
      </c>
      <c r="Z114" s="201">
        <f t="shared" si="312"/>
        <v>205.122810103563</v>
      </c>
      <c r="AA114" s="331">
        <f t="shared" si="313"/>
        <v>238.961458898457</v>
      </c>
      <c r="AB114" s="331">
        <f t="shared" si="314"/>
        <v>269.132548262755</v>
      </c>
      <c r="AC114" s="331">
        <f t="shared" si="315"/>
        <v>297.889328475365</v>
      </c>
      <c r="AD114" s="331">
        <f t="shared" si="316"/>
        <v>323.657634020661</v>
      </c>
      <c r="AE114" s="331">
        <f t="shared" si="317"/>
        <v>350.380748101847</v>
      </c>
      <c r="AF114" s="331">
        <f t="shared" si="318"/>
        <v>377.055427979358</v>
      </c>
      <c r="AH114" s="295">
        <f t="shared" si="345"/>
        <v>0.484548069419559</v>
      </c>
      <c r="AI114" s="295">
        <f t="shared" si="320"/>
        <v>0.428982288836737</v>
      </c>
      <c r="AJ114" s="295">
        <f t="shared" si="321"/>
        <v>0.391266611278708</v>
      </c>
      <c r="AK114" s="295">
        <f t="shared" si="322"/>
        <v>0.384718537908551</v>
      </c>
      <c r="AL114" s="295">
        <f t="shared" si="323"/>
        <v>0.369308510441686</v>
      </c>
      <c r="AM114" s="295">
        <f t="shared" si="324"/>
        <v>0.362866621058248</v>
      </c>
      <c r="AN114" s="295">
        <f t="shared" si="325"/>
        <v>0.364749914634658</v>
      </c>
      <c r="AO114" s="295">
        <f t="shared" si="326"/>
        <v>0.343387087393778</v>
      </c>
      <c r="AP114" s="295">
        <f t="shared" si="327"/>
        <v>0.333384802400295</v>
      </c>
      <c r="AQ114" s="295">
        <f t="shared" si="328"/>
        <v>0.328859214525645</v>
      </c>
      <c r="AR114" s="295">
        <f t="shared" si="329"/>
        <v>0.325479042472101</v>
      </c>
      <c r="AT114" s="332">
        <f t="shared" si="344"/>
        <v>0.00395883343090805</v>
      </c>
      <c r="AU114" s="332">
        <f t="shared" si="330"/>
        <v>0.00350485232218278</v>
      </c>
      <c r="AV114" s="332">
        <f t="shared" si="331"/>
        <v>0.00319670934399502</v>
      </c>
      <c r="AW114" s="332">
        <f t="shared" si="332"/>
        <v>0.00314321056151743</v>
      </c>
      <c r="AX114" s="332">
        <f t="shared" si="333"/>
        <v>0.00301730822951532</v>
      </c>
      <c r="AY114" s="332">
        <f t="shared" si="334"/>
        <v>0.00296467698679897</v>
      </c>
      <c r="AZ114" s="332">
        <f t="shared" si="335"/>
        <v>0.00298006378955609</v>
      </c>
      <c r="BA114" s="332">
        <f t="shared" si="336"/>
        <v>0.00280552615335992</v>
      </c>
      <c r="BB114" s="332">
        <f t="shared" si="337"/>
        <v>0.00272380592224827</v>
      </c>
      <c r="BC114" s="332">
        <f t="shared" si="338"/>
        <v>0.00268683116225359</v>
      </c>
      <c r="BD114" s="332">
        <f t="shared" si="339"/>
        <v>0.00265921462847228</v>
      </c>
    </row>
    <row r="115" spans="1:56">
      <c r="A115" s="350">
        <f t="shared" si="319"/>
        <v>-252.816465253287</v>
      </c>
      <c r="B115" s="198"/>
      <c r="C115" s="25" t="s">
        <v>67</v>
      </c>
      <c r="D115" s="201">
        <f>SUMIFS('CK P&amp;L by account 2026'!E:E,'CK P&amp;L by account 2026'!$R:$R,厨电!$C115)</f>
        <v>-86.744226252433</v>
      </c>
      <c r="E115" s="201">
        <f>SUMIFS('CK P&amp;L by account 2026'!F:F,'CK P&amp;L by account 2026'!$R:$R,厨电!$C115)</f>
        <v>-87.0987213016729</v>
      </c>
      <c r="F115" s="201">
        <f>SUMIFS('CK P&amp;L by account 2026'!G:G,'CK P&amp;L by account 2026'!$R:$R,厨电!$C115)</f>
        <v>-78.9735176991816</v>
      </c>
      <c r="G115" s="201">
        <f>SUMIFS('CK P&amp;L by account 2026'!H:H,'CK P&amp;L by account 2026'!$R:$R,厨电!$C115)</f>
        <v>-70.0492177918793</v>
      </c>
      <c r="H115" s="201">
        <f>SUMIFS('CK P&amp;L by account 2026'!I:I,'CK P&amp;L by account 2026'!$R:$R,厨电!$C115)</f>
        <v>-48.1632716185249</v>
      </c>
      <c r="I115" s="201">
        <f>SUMIFS('CK P&amp;L by account 2026'!J:J,'CK P&amp;L by account 2026'!$R:$R,厨电!$C115)</f>
        <v>-73.7839660259257</v>
      </c>
      <c r="J115" s="201">
        <f>SUMIFS('CK P&amp;L by account 2026'!K:K,'CK P&amp;L by account 2026'!$R:$R,厨电!$C115)</f>
        <v>-57.9731331742127</v>
      </c>
      <c r="K115" s="201">
        <f>SUMIFS('CK P&amp;L by account 2026'!L:L,'CK P&amp;L by account 2026'!$R:$R,厨电!$C115)</f>
        <v>-60.8417190031558</v>
      </c>
      <c r="L115" s="201">
        <f>SUMIFS('CK P&amp;L by account 2026'!M:M,'CK P&amp;L by account 2026'!$R:$R,厨电!$C115)</f>
        <v>-95.2253698152689</v>
      </c>
      <c r="M115" s="201">
        <f>SUMIFS('CK P&amp;L by account 2026'!N:N,'CK P&amp;L by account 2026'!$R:$R,厨电!$C115)</f>
        <v>-113.247971233584</v>
      </c>
      <c r="N115" s="201">
        <f>SUMIFS('CK P&amp;L by account 2026'!O:O,'CK P&amp;L by account 2026'!$R:$R,厨电!$C115)</f>
        <v>-119.413864470724</v>
      </c>
      <c r="O115" s="201">
        <f>SUMIFS('CK P&amp;L by account 2026'!P:P,'CK P&amp;L by account 2026'!$R:$R,厨电!$C115)</f>
        <v>-83.5489520580217</v>
      </c>
      <c r="P115" s="296">
        <f t="shared" si="340"/>
        <v>-975.063930444584</v>
      </c>
      <c r="Q115" s="312">
        <f t="shared" si="341"/>
        <v>-0.777682634125176</v>
      </c>
      <c r="R115" s="313">
        <f t="shared" si="342"/>
        <v>-0.0306817874664223</v>
      </c>
      <c r="V115" s="201">
        <f t="shared" si="308"/>
        <v>-173.842947554106</v>
      </c>
      <c r="W115" s="201">
        <f t="shared" si="309"/>
        <v>-252.816465253287</v>
      </c>
      <c r="X115" s="201">
        <f t="shared" si="310"/>
        <v>-322.865683045167</v>
      </c>
      <c r="Y115" s="201">
        <f t="shared" si="311"/>
        <v>-371.028954663692</v>
      </c>
      <c r="Z115" s="201">
        <f t="shared" si="312"/>
        <v>-444.812920689617</v>
      </c>
      <c r="AA115" s="331">
        <f t="shared" si="313"/>
        <v>-502.78605386383</v>
      </c>
      <c r="AB115" s="331">
        <f t="shared" si="314"/>
        <v>-563.627772866986</v>
      </c>
      <c r="AC115" s="331">
        <f t="shared" si="315"/>
        <v>-658.853142682255</v>
      </c>
      <c r="AD115" s="331">
        <f t="shared" si="316"/>
        <v>-772.101113915839</v>
      </c>
      <c r="AE115" s="331">
        <f t="shared" si="317"/>
        <v>-891.514978386562</v>
      </c>
      <c r="AF115" s="331">
        <f t="shared" si="318"/>
        <v>-975.063930444584</v>
      </c>
      <c r="AH115" s="295">
        <f t="shared" si="345"/>
        <v>-1.14706177660985</v>
      </c>
      <c r="AI115" s="295">
        <f t="shared" si="320"/>
        <v>-1.0130813027076</v>
      </c>
      <c r="AJ115" s="295">
        <f t="shared" si="321"/>
        <v>-0.904530087563467</v>
      </c>
      <c r="AK115" s="295">
        <f t="shared" si="322"/>
        <v>-0.822237585211719</v>
      </c>
      <c r="AL115" s="295">
        <f t="shared" si="323"/>
        <v>-0.800852899207844</v>
      </c>
      <c r="AM115" s="295">
        <f t="shared" si="324"/>
        <v>-0.763488293559112</v>
      </c>
      <c r="AN115" s="295">
        <f t="shared" si="325"/>
        <v>-0.763873352985324</v>
      </c>
      <c r="AO115" s="295">
        <f t="shared" si="326"/>
        <v>-0.759482264248371</v>
      </c>
      <c r="AP115" s="295">
        <f t="shared" si="327"/>
        <v>-0.795305749777085</v>
      </c>
      <c r="AQ115" s="295">
        <f t="shared" si="328"/>
        <v>-0.836755207351836</v>
      </c>
      <c r="AR115" s="295">
        <f t="shared" si="329"/>
        <v>-0.84168758988814</v>
      </c>
      <c r="AT115" s="332">
        <f t="shared" si="344"/>
        <v>-0.00937167392700492</v>
      </c>
      <c r="AU115" s="332">
        <f t="shared" si="330"/>
        <v>-0.00827703252267841</v>
      </c>
      <c r="AV115" s="332">
        <f t="shared" si="331"/>
        <v>-0.00739015213536602</v>
      </c>
      <c r="AW115" s="332">
        <f t="shared" si="332"/>
        <v>-0.00671780953411815</v>
      </c>
      <c r="AX115" s="332">
        <f t="shared" si="333"/>
        <v>-0.00654309330841318</v>
      </c>
      <c r="AY115" s="332">
        <f t="shared" si="334"/>
        <v>-0.00623781864257437</v>
      </c>
      <c r="AZ115" s="332">
        <f t="shared" si="335"/>
        <v>-0.00624096463824659</v>
      </c>
      <c r="BA115" s="332">
        <f t="shared" si="336"/>
        <v>-0.00620508875722047</v>
      </c>
      <c r="BB115" s="332">
        <f t="shared" si="337"/>
        <v>-0.00649777223090061</v>
      </c>
      <c r="BC115" s="332">
        <f t="shared" si="338"/>
        <v>-0.00683642077517506</v>
      </c>
      <c r="BD115" s="332">
        <f t="shared" si="339"/>
        <v>-0.00687671911111134</v>
      </c>
    </row>
    <row r="116" spans="1:56">
      <c r="A116" s="350">
        <f t="shared" si="319"/>
        <v>237.59969443329</v>
      </c>
      <c r="B116" s="198"/>
      <c r="C116" s="25" t="s">
        <v>35</v>
      </c>
      <c r="D116" s="201">
        <f>SUMIFS('CK P&amp;L by account 2026'!E:E,'CK P&amp;L by account 2026'!$R:$R,厨电!$C116)</f>
        <v>71.3501313834296</v>
      </c>
      <c r="E116" s="201">
        <f>SUMIFS('CK P&amp;L by account 2026'!F:F,'CK P&amp;L by account 2026'!$R:$R,厨电!$C116)</f>
        <v>87.0308340407231</v>
      </c>
      <c r="F116" s="201">
        <f>SUMIFS('CK P&amp;L by account 2026'!G:G,'CK P&amp;L by account 2026'!$R:$R,厨电!$C116)</f>
        <v>79.2187290091371</v>
      </c>
      <c r="G116" s="201">
        <f>SUMIFS('CK P&amp;L by account 2026'!H:H,'CK P&amp;L by account 2026'!$R:$R,厨电!$C116)</f>
        <v>79.1163887841866</v>
      </c>
      <c r="H116" s="201">
        <f>SUMIFS('CK P&amp;L by account 2026'!I:I,'CK P&amp;L by account 2026'!$R:$R,厨电!$C116)</f>
        <v>54.8247106333608</v>
      </c>
      <c r="I116" s="201">
        <f>SUMIFS('CK P&amp;L by account 2026'!J:J,'CK P&amp;L by account 2026'!$R:$R,厨电!$C116)</f>
        <v>86.6716122133891</v>
      </c>
      <c r="J116" s="201">
        <f>SUMIFS('CK P&amp;L by account 2026'!K:K,'CK P&amp;L by account 2026'!$R:$R,厨电!$C116)</f>
        <v>67.521588763853</v>
      </c>
      <c r="K116" s="201">
        <f>SUMIFS('CK P&amp;L by account 2026'!L:L,'CK P&amp;L by account 2026'!$R:$R,厨电!$C116)</f>
        <v>64.3518070482148</v>
      </c>
      <c r="L116" s="201">
        <f>SUMIFS('CK P&amp;L by account 2026'!M:M,'CK P&amp;L by account 2026'!$R:$R,厨电!$C116)</f>
        <v>94.1783999271486</v>
      </c>
      <c r="M116" s="201">
        <f>SUMIFS('CK P&amp;L by account 2026'!N:N,'CK P&amp;L by account 2026'!$R:$R,厨电!$C116)</f>
        <v>95.8851918402363</v>
      </c>
      <c r="N116" s="201">
        <f>SUMIFS('CK P&amp;L by account 2026'!O:O,'CK P&amp;L by account 2026'!$R:$R,厨电!$C116)</f>
        <v>101.365719052366</v>
      </c>
      <c r="O116" s="201">
        <f>SUMIFS('CK P&amp;L by account 2026'!P:P,'CK P&amp;L by account 2026'!$R:$R,厨电!$C116)</f>
        <v>70.3840663183832</v>
      </c>
      <c r="P116" s="296">
        <f t="shared" si="340"/>
        <v>951.899179014428</v>
      </c>
      <c r="Q116" s="312">
        <f t="shared" si="341"/>
        <v>0.759207102061504</v>
      </c>
      <c r="R116" s="313">
        <f t="shared" si="342"/>
        <v>0.0299528752813838</v>
      </c>
      <c r="V116" s="201">
        <f t="shared" si="308"/>
        <v>158.380965424153</v>
      </c>
      <c r="W116" s="201">
        <f t="shared" si="309"/>
        <v>237.59969443329</v>
      </c>
      <c r="X116" s="201">
        <f t="shared" si="310"/>
        <v>316.716083217476</v>
      </c>
      <c r="Y116" s="201">
        <f t="shared" si="311"/>
        <v>371.540793850837</v>
      </c>
      <c r="Z116" s="201">
        <f t="shared" si="312"/>
        <v>458.212406064226</v>
      </c>
      <c r="AA116" s="331">
        <f t="shared" si="313"/>
        <v>525.733994828079</v>
      </c>
      <c r="AB116" s="331">
        <f t="shared" si="314"/>
        <v>590.085801876294</v>
      </c>
      <c r="AC116" s="331">
        <f t="shared" si="315"/>
        <v>684.264201803443</v>
      </c>
      <c r="AD116" s="331">
        <f t="shared" si="316"/>
        <v>780.149393643679</v>
      </c>
      <c r="AE116" s="331">
        <f t="shared" si="317"/>
        <v>881.515112696045</v>
      </c>
      <c r="AF116" s="331">
        <f t="shared" si="318"/>
        <v>951.899179014428</v>
      </c>
      <c r="AH116" s="295">
        <f t="shared" si="345"/>
        <v>1.04503952640396</v>
      </c>
      <c r="AI116" s="295">
        <f t="shared" si="320"/>
        <v>0.952104949803206</v>
      </c>
      <c r="AJ116" s="295">
        <f t="shared" si="321"/>
        <v>0.887301566965808</v>
      </c>
      <c r="AK116" s="295">
        <f t="shared" si="322"/>
        <v>0.823371872474115</v>
      </c>
      <c r="AL116" s="295">
        <f t="shared" si="323"/>
        <v>0.824977685631565</v>
      </c>
      <c r="AM116" s="295">
        <f t="shared" si="324"/>
        <v>0.798335092019108</v>
      </c>
      <c r="AN116" s="295">
        <f t="shared" si="325"/>
        <v>0.799731386080319</v>
      </c>
      <c r="AO116" s="295">
        <f t="shared" si="326"/>
        <v>0.788774450121144</v>
      </c>
      <c r="AP116" s="295">
        <f t="shared" si="327"/>
        <v>0.803595911555123</v>
      </c>
      <c r="AQ116" s="295">
        <f t="shared" si="328"/>
        <v>0.82736956617674</v>
      </c>
      <c r="AR116" s="295">
        <f t="shared" si="329"/>
        <v>0.821691481742989</v>
      </c>
      <c r="AT116" s="332">
        <f t="shared" si="344"/>
        <v>0.008538136203296</v>
      </c>
      <c r="AU116" s="332">
        <f t="shared" si="330"/>
        <v>0.00777884619276086</v>
      </c>
      <c r="AV116" s="332">
        <f t="shared" si="331"/>
        <v>0.00724939243037162</v>
      </c>
      <c r="AW116" s="332">
        <f t="shared" si="332"/>
        <v>0.00672707683826819</v>
      </c>
      <c r="AX116" s="332">
        <f t="shared" si="333"/>
        <v>0.00674019658265004</v>
      </c>
      <c r="AY116" s="332">
        <f t="shared" si="334"/>
        <v>0.00652252243030962</v>
      </c>
      <c r="AZ116" s="332">
        <f t="shared" si="335"/>
        <v>0.00653393037094082</v>
      </c>
      <c r="BA116" s="332">
        <f t="shared" si="336"/>
        <v>0.00644441049228881</v>
      </c>
      <c r="BB116" s="332">
        <f t="shared" si="337"/>
        <v>0.00656550414784715</v>
      </c>
      <c r="BC116" s="332">
        <f t="shared" si="338"/>
        <v>0.00675973862040147</v>
      </c>
      <c r="BD116" s="332">
        <f t="shared" si="339"/>
        <v>0.00671334778345771</v>
      </c>
    </row>
    <row r="117" spans="1:56">
      <c r="A117" s="350">
        <f t="shared" si="319"/>
        <v>645.52026936469</v>
      </c>
      <c r="B117" s="336" t="s">
        <v>36</v>
      </c>
      <c r="C117" s="337" t="s">
        <v>37</v>
      </c>
      <c r="D117" s="339">
        <v>215.093523121563</v>
      </c>
      <c r="E117" s="339">
        <v>215.213373121563</v>
      </c>
      <c r="F117" s="339">
        <v>215.213373121563</v>
      </c>
      <c r="G117" s="339">
        <v>215.213373121563</v>
      </c>
      <c r="H117" s="339">
        <v>215.297953121563</v>
      </c>
      <c r="I117" s="339">
        <v>214.891713121563</v>
      </c>
      <c r="J117" s="339">
        <v>215.674173121564</v>
      </c>
      <c r="K117" s="339">
        <v>215.645443121563</v>
      </c>
      <c r="L117" s="339">
        <v>215.674173121564</v>
      </c>
      <c r="M117" s="339">
        <v>215.616713121564</v>
      </c>
      <c r="N117" s="339">
        <v>215.692373121563</v>
      </c>
      <c r="O117" s="339">
        <v>215.663453121563</v>
      </c>
      <c r="P117" s="344">
        <f t="shared" ref="P117:P120" si="346">SUM(D117:O117)</f>
        <v>2584.88963745876</v>
      </c>
      <c r="Q117" s="366">
        <f t="shared" si="341"/>
        <v>2.06163280110796</v>
      </c>
      <c r="R117" s="367">
        <f t="shared" si="342"/>
        <v>0.0813372662082842</v>
      </c>
      <c r="V117" s="201">
        <f t="shared" si="308"/>
        <v>430.306896243127</v>
      </c>
      <c r="W117" s="201">
        <f t="shared" si="309"/>
        <v>645.52026936469</v>
      </c>
      <c r="X117" s="201">
        <f t="shared" si="310"/>
        <v>860.733642486254</v>
      </c>
      <c r="Y117" s="201">
        <f t="shared" si="311"/>
        <v>1076.03159560782</v>
      </c>
      <c r="Z117" s="201">
        <f t="shared" si="312"/>
        <v>1290.92330872938</v>
      </c>
      <c r="AA117" s="331">
        <f t="shared" si="313"/>
        <v>1506.59748185094</v>
      </c>
      <c r="AB117" s="331">
        <f t="shared" si="314"/>
        <v>1722.24292497251</v>
      </c>
      <c r="AC117" s="331">
        <f t="shared" si="315"/>
        <v>1937.91709809407</v>
      </c>
      <c r="AD117" s="331">
        <f t="shared" si="316"/>
        <v>2153.53381121564</v>
      </c>
      <c r="AE117" s="331">
        <f t="shared" si="317"/>
        <v>2369.2261843372</v>
      </c>
      <c r="AF117" s="331">
        <f t="shared" si="318"/>
        <v>2584.88963745876</v>
      </c>
      <c r="AH117" s="295">
        <f t="shared" si="345"/>
        <v>2.83927878488421</v>
      </c>
      <c r="AI117" s="295">
        <f t="shared" si="320"/>
        <v>2.58671647337906</v>
      </c>
      <c r="AJ117" s="295">
        <f t="shared" si="321"/>
        <v>2.4114036204275</v>
      </c>
      <c r="AK117" s="295">
        <f t="shared" si="322"/>
        <v>2.38459454353379</v>
      </c>
      <c r="AL117" s="295">
        <f t="shared" si="323"/>
        <v>2.32421232919244</v>
      </c>
      <c r="AM117" s="295">
        <f t="shared" si="324"/>
        <v>2.28779126162946</v>
      </c>
      <c r="AN117" s="295">
        <f t="shared" si="325"/>
        <v>2.33412110099208</v>
      </c>
      <c r="AO117" s="295">
        <f t="shared" si="326"/>
        <v>2.23390247422092</v>
      </c>
      <c r="AP117" s="295">
        <f t="shared" si="327"/>
        <v>2.21825586251627</v>
      </c>
      <c r="AQ117" s="295">
        <f t="shared" si="328"/>
        <v>2.22370054929001</v>
      </c>
      <c r="AR117" s="295">
        <f t="shared" si="329"/>
        <v>2.23130962098812</v>
      </c>
      <c r="AT117" s="332">
        <f t="shared" si="344"/>
        <v>0.023197351269467</v>
      </c>
      <c r="AU117" s="332">
        <f t="shared" si="330"/>
        <v>0.0211338777251977</v>
      </c>
      <c r="AV117" s="332">
        <f t="shared" si="331"/>
        <v>0.0197015443264415</v>
      </c>
      <c r="AW117" s="332">
        <f t="shared" si="332"/>
        <v>0.0194825099796825</v>
      </c>
      <c r="AX117" s="332">
        <f t="shared" si="333"/>
        <v>0.0189891778546508</v>
      </c>
      <c r="AY117" s="332">
        <f t="shared" si="334"/>
        <v>0.018691612042387</v>
      </c>
      <c r="AZ117" s="332">
        <f t="shared" si="335"/>
        <v>0.0190701340683586</v>
      </c>
      <c r="BA117" s="332">
        <f t="shared" si="336"/>
        <v>0.018251332229902</v>
      </c>
      <c r="BB117" s="332">
        <f t="shared" si="337"/>
        <v>0.0181234969677143</v>
      </c>
      <c r="BC117" s="332">
        <f t="shared" si="338"/>
        <v>0.0181679809093107</v>
      </c>
      <c r="BD117" s="332">
        <f t="shared" si="339"/>
        <v>0.0182301482138935</v>
      </c>
    </row>
    <row r="118" spans="1:56">
      <c r="A118" s="350">
        <f t="shared" si="319"/>
        <v>284.9097</v>
      </c>
      <c r="B118" s="336"/>
      <c r="C118" s="337" t="s">
        <v>38</v>
      </c>
      <c r="D118" s="339">
        <v>94.9699</v>
      </c>
      <c r="E118" s="339">
        <v>94.9699</v>
      </c>
      <c r="F118" s="339">
        <v>94.9699</v>
      </c>
      <c r="G118" s="339">
        <v>94.9699</v>
      </c>
      <c r="H118" s="339">
        <v>94.9699</v>
      </c>
      <c r="I118" s="339">
        <v>94.9699</v>
      </c>
      <c r="J118" s="339">
        <v>94.9699</v>
      </c>
      <c r="K118" s="339">
        <v>94.9699</v>
      </c>
      <c r="L118" s="339">
        <v>94.9699</v>
      </c>
      <c r="M118" s="339">
        <v>94.9699</v>
      </c>
      <c r="N118" s="339">
        <v>94.9699</v>
      </c>
      <c r="O118" s="339">
        <v>94.9699</v>
      </c>
      <c r="P118" s="344">
        <f t="shared" si="346"/>
        <v>1139.6388</v>
      </c>
      <c r="Q118" s="336"/>
      <c r="R118" s="336"/>
      <c r="S118" s="198"/>
      <c r="V118" s="201">
        <f t="shared" si="308"/>
        <v>189.9398</v>
      </c>
      <c r="W118" s="201">
        <f t="shared" si="309"/>
        <v>284.9097</v>
      </c>
      <c r="X118" s="201">
        <f t="shared" si="310"/>
        <v>379.8796</v>
      </c>
      <c r="Y118" s="201">
        <f t="shared" si="311"/>
        <v>474.8495</v>
      </c>
      <c r="Z118" s="201">
        <f t="shared" si="312"/>
        <v>569.8194</v>
      </c>
      <c r="AA118" s="331">
        <f t="shared" si="313"/>
        <v>664.7893</v>
      </c>
      <c r="AB118" s="331">
        <f t="shared" si="314"/>
        <v>759.7592</v>
      </c>
      <c r="AC118" s="331">
        <f t="shared" si="315"/>
        <v>854.7291</v>
      </c>
      <c r="AD118" s="331">
        <f t="shared" si="316"/>
        <v>949.699</v>
      </c>
      <c r="AE118" s="331">
        <f t="shared" si="317"/>
        <v>1044.6689</v>
      </c>
      <c r="AF118" s="331">
        <f t="shared" si="318"/>
        <v>1139.6388</v>
      </c>
      <c r="AH118" s="295">
        <f t="shared" si="345"/>
        <v>1.2532730691828</v>
      </c>
      <c r="AI118" s="295">
        <f t="shared" si="320"/>
        <v>1.14168469898057</v>
      </c>
      <c r="AJ118" s="295">
        <f t="shared" si="321"/>
        <v>1.06425843902248</v>
      </c>
      <c r="AK118" s="295">
        <f t="shared" si="322"/>
        <v>1.05231438493229</v>
      </c>
      <c r="AL118" s="295">
        <f t="shared" si="323"/>
        <v>1.02591785734862</v>
      </c>
      <c r="AM118" s="295">
        <f t="shared" si="324"/>
        <v>1.0094926944231</v>
      </c>
      <c r="AN118" s="295">
        <f t="shared" si="325"/>
        <v>1.02968632048302</v>
      </c>
      <c r="AO118" s="295">
        <f t="shared" si="326"/>
        <v>0.98527509414953</v>
      </c>
      <c r="AP118" s="295">
        <f t="shared" si="327"/>
        <v>0.978241141794127</v>
      </c>
      <c r="AQ118" s="295">
        <f t="shared" si="328"/>
        <v>0.980501913288651</v>
      </c>
      <c r="AR118" s="295">
        <f t="shared" si="329"/>
        <v>0.98375071107148</v>
      </c>
      <c r="AT118" s="332">
        <f t="shared" si="344"/>
        <v>0.0102394367813311</v>
      </c>
      <c r="AU118" s="332">
        <f t="shared" si="330"/>
        <v>0.00932774236268176</v>
      </c>
      <c r="AV118" s="332">
        <f t="shared" si="331"/>
        <v>0.00869515772207125</v>
      </c>
      <c r="AW118" s="332">
        <f t="shared" si="332"/>
        <v>0.00859757293406567</v>
      </c>
      <c r="AX118" s="332">
        <f t="shared" si="333"/>
        <v>0.00838190917962478</v>
      </c>
      <c r="AY118" s="332">
        <f t="shared" si="334"/>
        <v>0.00824771303232499</v>
      </c>
      <c r="AZ118" s="332">
        <f t="shared" si="335"/>
        <v>0.00841269811220166</v>
      </c>
      <c r="BA118" s="332">
        <f t="shared" si="336"/>
        <v>0.00804985145443402</v>
      </c>
      <c r="BB118" s="332">
        <f t="shared" si="337"/>
        <v>0.00799238296473527</v>
      </c>
      <c r="BC118" s="332">
        <f t="shared" si="338"/>
        <v>0.00801085382105895</v>
      </c>
      <c r="BD118" s="332">
        <f t="shared" si="339"/>
        <v>0.00803739700652315</v>
      </c>
    </row>
    <row r="119" spans="1:56">
      <c r="A119" s="350">
        <f t="shared" si="319"/>
        <v>19.1755593646903</v>
      </c>
      <c r="B119" s="336"/>
      <c r="C119" s="337" t="s">
        <v>39</v>
      </c>
      <c r="D119" s="339">
        <v>6.39185312156346</v>
      </c>
      <c r="E119" s="339">
        <v>6.39185312156341</v>
      </c>
      <c r="F119" s="339">
        <v>6.39185312156344</v>
      </c>
      <c r="G119" s="339">
        <v>6.39185312156344</v>
      </c>
      <c r="H119" s="339">
        <v>6.39185312156343</v>
      </c>
      <c r="I119" s="339">
        <v>6.39185312156341</v>
      </c>
      <c r="J119" s="339">
        <v>6.39185312156353</v>
      </c>
      <c r="K119" s="339">
        <v>6.39185312156347</v>
      </c>
      <c r="L119" s="339">
        <v>6.39185312156353</v>
      </c>
      <c r="M119" s="339">
        <v>6.39185312156352</v>
      </c>
      <c r="N119" s="339">
        <v>6.39185312156345</v>
      </c>
      <c r="O119" s="339">
        <v>6.39185312156343</v>
      </c>
      <c r="P119" s="344">
        <f t="shared" si="346"/>
        <v>76.7022374587615</v>
      </c>
      <c r="Q119" s="336"/>
      <c r="R119" s="336"/>
      <c r="S119" s="198"/>
      <c r="V119" s="201">
        <f t="shared" si="308"/>
        <v>12.7837062431269</v>
      </c>
      <c r="W119" s="201">
        <f t="shared" si="309"/>
        <v>19.1755593646903</v>
      </c>
      <c r="X119" s="201">
        <f t="shared" si="310"/>
        <v>25.5674124862538</v>
      </c>
      <c r="Y119" s="201">
        <f t="shared" si="311"/>
        <v>31.9592656078172</v>
      </c>
      <c r="Z119" s="201">
        <f t="shared" si="312"/>
        <v>38.3511187293806</v>
      </c>
      <c r="AA119" s="331">
        <f t="shared" si="313"/>
        <v>44.7429718509441</v>
      </c>
      <c r="AB119" s="331">
        <f t="shared" si="314"/>
        <v>51.1348249725076</v>
      </c>
      <c r="AC119" s="331">
        <f t="shared" si="315"/>
        <v>57.5266780940711</v>
      </c>
      <c r="AD119" s="331">
        <f t="shared" si="316"/>
        <v>63.9185312156346</v>
      </c>
      <c r="AE119" s="331">
        <f t="shared" si="317"/>
        <v>70.3103843371981</v>
      </c>
      <c r="AF119" s="331">
        <f t="shared" si="318"/>
        <v>76.7022374587615</v>
      </c>
      <c r="AH119" s="295">
        <f t="shared" si="345"/>
        <v>0.0843502770817649</v>
      </c>
      <c r="AI119" s="295">
        <f t="shared" si="320"/>
        <v>0.0768399346216032</v>
      </c>
      <c r="AJ119" s="295">
        <f t="shared" si="321"/>
        <v>0.0716288384595124</v>
      </c>
      <c r="AK119" s="295">
        <f t="shared" si="322"/>
        <v>0.0708249559723191</v>
      </c>
      <c r="AL119" s="295">
        <f t="shared" si="323"/>
        <v>0.0690483643655668</v>
      </c>
      <c r="AM119" s="295">
        <f t="shared" si="324"/>
        <v>0.067942885377828</v>
      </c>
      <c r="AN119" s="295">
        <f t="shared" si="325"/>
        <v>0.0693019969675717</v>
      </c>
      <c r="AO119" s="295">
        <f t="shared" si="326"/>
        <v>0.0663129442711681</v>
      </c>
      <c r="AP119" s="295">
        <f t="shared" si="327"/>
        <v>0.0658395312179817</v>
      </c>
      <c r="AQ119" s="295">
        <f t="shared" si="328"/>
        <v>0.0659916901581765</v>
      </c>
      <c r="AR119" s="295">
        <f t="shared" si="329"/>
        <v>0.0662103472089842</v>
      </c>
      <c r="AT119" s="332">
        <f t="shared" si="344"/>
        <v>0.000689154942290166</v>
      </c>
      <c r="AU119" s="332">
        <f t="shared" si="330"/>
        <v>0.00062779427100636</v>
      </c>
      <c r="AV119" s="332">
        <f t="shared" si="331"/>
        <v>0.000585218801202355</v>
      </c>
      <c r="AW119" s="332">
        <f t="shared" si="332"/>
        <v>0.00057865095568677</v>
      </c>
      <c r="AX119" s="332">
        <f t="shared" si="333"/>
        <v>0.000564135924692411</v>
      </c>
      <c r="AY119" s="332">
        <f t="shared" si="334"/>
        <v>0.000555103988647203</v>
      </c>
      <c r="AZ119" s="332">
        <f t="shared" si="335"/>
        <v>0.000566208142677281</v>
      </c>
      <c r="BA119" s="332">
        <f t="shared" si="336"/>
        <v>0.000541787115150655</v>
      </c>
      <c r="BB119" s="332">
        <f t="shared" si="337"/>
        <v>0.00053791925654206</v>
      </c>
      <c r="BC119" s="332">
        <f t="shared" si="338"/>
        <v>0.000539162418856124</v>
      </c>
      <c r="BD119" s="332">
        <f t="shared" si="339"/>
        <v>0.00054094888112328</v>
      </c>
    </row>
    <row r="120" spans="1:56">
      <c r="A120" s="350">
        <f t="shared" si="319"/>
        <v>341.43501</v>
      </c>
      <c r="B120" s="336"/>
      <c r="C120" s="337" t="s">
        <v>40</v>
      </c>
      <c r="D120" s="339">
        <f>D117-D118-D119</f>
        <v>113.73177</v>
      </c>
      <c r="E120" s="339">
        <f t="shared" ref="E120:O120" si="347">E117-E118-E119</f>
        <v>113.85162</v>
      </c>
      <c r="F120" s="339">
        <f t="shared" si="347"/>
        <v>113.85162</v>
      </c>
      <c r="G120" s="339">
        <f t="shared" si="347"/>
        <v>113.85162</v>
      </c>
      <c r="H120" s="339">
        <f t="shared" si="347"/>
        <v>113.9362</v>
      </c>
      <c r="I120" s="339">
        <f t="shared" si="347"/>
        <v>113.52996</v>
      </c>
      <c r="J120" s="339">
        <f t="shared" si="347"/>
        <v>114.31242</v>
      </c>
      <c r="K120" s="339">
        <f t="shared" si="347"/>
        <v>114.28369</v>
      </c>
      <c r="L120" s="339">
        <f t="shared" si="347"/>
        <v>114.31242</v>
      </c>
      <c r="M120" s="339">
        <f t="shared" si="347"/>
        <v>114.25496</v>
      </c>
      <c r="N120" s="339">
        <f t="shared" si="347"/>
        <v>114.33062</v>
      </c>
      <c r="O120" s="339">
        <f t="shared" si="347"/>
        <v>114.3017</v>
      </c>
      <c r="P120" s="344">
        <f t="shared" si="346"/>
        <v>1368.5486</v>
      </c>
      <c r="Q120" s="336"/>
      <c r="R120" s="336"/>
      <c r="S120" s="198"/>
      <c r="V120" s="201">
        <f t="shared" si="308"/>
        <v>227.58339</v>
      </c>
      <c r="W120" s="201">
        <f t="shared" si="309"/>
        <v>341.43501</v>
      </c>
      <c r="X120" s="201">
        <f t="shared" si="310"/>
        <v>455.28663</v>
      </c>
      <c r="Y120" s="201">
        <f t="shared" si="311"/>
        <v>569.22283</v>
      </c>
      <c r="Z120" s="201">
        <f t="shared" si="312"/>
        <v>682.75279</v>
      </c>
      <c r="AA120" s="331">
        <f t="shared" si="313"/>
        <v>797.06521</v>
      </c>
      <c r="AB120" s="331">
        <f t="shared" si="314"/>
        <v>911.3489</v>
      </c>
      <c r="AC120" s="331">
        <f t="shared" si="315"/>
        <v>1025.66132</v>
      </c>
      <c r="AD120" s="331">
        <f t="shared" si="316"/>
        <v>1139.91628</v>
      </c>
      <c r="AE120" s="331">
        <f t="shared" si="317"/>
        <v>1254.2469</v>
      </c>
      <c r="AF120" s="331">
        <f t="shared" si="318"/>
        <v>1368.5486</v>
      </c>
      <c r="AH120" s="295">
        <f t="shared" si="345"/>
        <v>1.50165543861964</v>
      </c>
      <c r="AI120" s="295">
        <f t="shared" si="320"/>
        <v>1.36819183977688</v>
      </c>
      <c r="AJ120" s="295">
        <f t="shared" si="321"/>
        <v>1.27551634294551</v>
      </c>
      <c r="AK120" s="295">
        <f t="shared" si="322"/>
        <v>1.26145520262918</v>
      </c>
      <c r="AL120" s="295">
        <f t="shared" si="323"/>
        <v>1.22924610747825</v>
      </c>
      <c r="AM120" s="295">
        <f t="shared" si="324"/>
        <v>1.21035568182854</v>
      </c>
      <c r="AN120" s="295">
        <f t="shared" si="325"/>
        <v>1.23513278354148</v>
      </c>
      <c r="AO120" s="295">
        <f t="shared" si="326"/>
        <v>1.18231443580022</v>
      </c>
      <c r="AP120" s="295">
        <f t="shared" si="327"/>
        <v>1.17417518950416</v>
      </c>
      <c r="AQ120" s="295">
        <f t="shared" si="328"/>
        <v>1.17720694584318</v>
      </c>
      <c r="AR120" s="295">
        <f t="shared" si="329"/>
        <v>1.18134856270766</v>
      </c>
      <c r="AT120" s="332">
        <f t="shared" si="344"/>
        <v>0.0122687595458457</v>
      </c>
      <c r="AU120" s="332">
        <f t="shared" si="330"/>
        <v>0.0111783410915096</v>
      </c>
      <c r="AV120" s="332">
        <f t="shared" si="331"/>
        <v>0.0104211678031679</v>
      </c>
      <c r="AW120" s="332">
        <f t="shared" si="332"/>
        <v>0.0103062860899301</v>
      </c>
      <c r="AX120" s="332">
        <f t="shared" si="333"/>
        <v>0.0100431327503336</v>
      </c>
      <c r="AY120" s="332">
        <f t="shared" si="334"/>
        <v>0.00988879502141484</v>
      </c>
      <c r="AZ120" s="332">
        <f t="shared" si="335"/>
        <v>0.0100912278134797</v>
      </c>
      <c r="BA120" s="332">
        <f t="shared" si="336"/>
        <v>0.0096596936603173</v>
      </c>
      <c r="BB120" s="332">
        <f t="shared" si="337"/>
        <v>0.00959319474643693</v>
      </c>
      <c r="BC120" s="332">
        <f t="shared" si="338"/>
        <v>0.00961796466939558</v>
      </c>
      <c r="BD120" s="332">
        <f t="shared" si="339"/>
        <v>0.0096518023262471</v>
      </c>
    </row>
    <row r="121" spans="1:56">
      <c r="A121" s="350">
        <f t="shared" si="319"/>
        <v>7919.92368446033</v>
      </c>
      <c r="B121" s="293" t="s">
        <v>15</v>
      </c>
      <c r="C121" s="293"/>
      <c r="D121" s="296">
        <f>SUM(D105:D117)</f>
        <v>2628.64168769614</v>
      </c>
      <c r="E121" s="296">
        <f t="shared" ref="E121:P121" si="348">SUM(E105:E117)</f>
        <v>2650.37871511848</v>
      </c>
      <c r="F121" s="296">
        <f t="shared" si="348"/>
        <v>2640.90328164571</v>
      </c>
      <c r="G121" s="296">
        <f t="shared" si="348"/>
        <v>2463.98812901056</v>
      </c>
      <c r="H121" s="296">
        <f t="shared" si="348"/>
        <v>2562.05867813143</v>
      </c>
      <c r="I121" s="296">
        <f t="shared" si="348"/>
        <v>2548.97688290519</v>
      </c>
      <c r="J121" s="296">
        <f t="shared" si="348"/>
        <v>2516.49416259478</v>
      </c>
      <c r="K121" s="296">
        <f t="shared" si="348"/>
        <v>2516.2379517037</v>
      </c>
      <c r="L121" s="296">
        <f t="shared" si="348"/>
        <v>2799.53286144573</v>
      </c>
      <c r="M121" s="296">
        <f t="shared" si="348"/>
        <v>2751.36989985319</v>
      </c>
      <c r="N121" s="296">
        <f t="shared" si="348"/>
        <v>2807.11808207754</v>
      </c>
      <c r="O121" s="296">
        <f t="shared" si="348"/>
        <v>2894.19291920263</v>
      </c>
      <c r="P121" s="296">
        <f t="shared" si="348"/>
        <v>31779.8932513851</v>
      </c>
      <c r="V121" s="303">
        <f t="shared" ref="V121:AF121" si="349">SUM(V105:V117)</f>
        <v>5279.02040281462</v>
      </c>
      <c r="W121" s="303">
        <f t="shared" si="349"/>
        <v>7919.92368446033</v>
      </c>
      <c r="X121" s="303">
        <f t="shared" si="349"/>
        <v>10383.9118134709</v>
      </c>
      <c r="Y121" s="303">
        <f t="shared" si="349"/>
        <v>12945.9704916023</v>
      </c>
      <c r="Z121" s="303">
        <f t="shared" si="349"/>
        <v>15494.9473745075</v>
      </c>
      <c r="AA121" s="303">
        <f t="shared" si="349"/>
        <v>18011.4415371023</v>
      </c>
      <c r="AB121" s="303">
        <f t="shared" si="349"/>
        <v>20527.679488806</v>
      </c>
      <c r="AC121" s="303">
        <f t="shared" si="349"/>
        <v>23327.2123502517</v>
      </c>
      <c r="AD121" s="303">
        <f t="shared" si="349"/>
        <v>26078.5822501049</v>
      </c>
      <c r="AE121" s="303">
        <f t="shared" si="349"/>
        <v>28885.7003321824</v>
      </c>
      <c r="AF121" s="303">
        <f t="shared" si="349"/>
        <v>31779.8932513851</v>
      </c>
      <c r="AH121" s="295">
        <f t="shared" si="345"/>
        <v>34.8323737442817</v>
      </c>
      <c r="AI121" s="295">
        <f t="shared" si="320"/>
        <v>31.7365666653055</v>
      </c>
      <c r="AJ121" s="295">
        <f t="shared" si="321"/>
        <v>29.0912325314431</v>
      </c>
      <c r="AK121" s="295">
        <f t="shared" si="322"/>
        <v>28.6895763293886</v>
      </c>
      <c r="AL121" s="295">
        <f t="shared" si="323"/>
        <v>27.8975114048142</v>
      </c>
      <c r="AM121" s="295">
        <f t="shared" si="324"/>
        <v>27.350648766058</v>
      </c>
      <c r="AN121" s="295">
        <f t="shared" si="325"/>
        <v>27.8207499966877</v>
      </c>
      <c r="AO121" s="295">
        <f t="shared" si="326"/>
        <v>26.89006533724</v>
      </c>
      <c r="AP121" s="295">
        <f t="shared" si="327"/>
        <v>26.8623448868691</v>
      </c>
      <c r="AQ121" s="295">
        <f t="shared" si="328"/>
        <v>27.1114459733486</v>
      </c>
      <c r="AR121" s="295">
        <f t="shared" si="329"/>
        <v>27.4328081702955</v>
      </c>
      <c r="AT121" s="332">
        <f t="shared" si="344"/>
        <v>0.284585935554199</v>
      </c>
      <c r="AU121" s="332">
        <f t="shared" si="330"/>
        <v>0.2592927080431</v>
      </c>
      <c r="AV121" s="332">
        <f t="shared" si="331"/>
        <v>0.237679914873576</v>
      </c>
      <c r="AW121" s="332">
        <f t="shared" si="332"/>
        <v>0.234398320949718</v>
      </c>
      <c r="AX121" s="332">
        <f t="shared" si="333"/>
        <v>0.227927026767055</v>
      </c>
      <c r="AY121" s="332">
        <f t="shared" si="334"/>
        <v>0.223459073568901</v>
      </c>
      <c r="AZ121" s="332">
        <f t="shared" si="335"/>
        <v>0.227299874069783</v>
      </c>
      <c r="BA121" s="332">
        <f t="shared" si="336"/>
        <v>0.219696034995842</v>
      </c>
      <c r="BB121" s="332">
        <f t="shared" si="337"/>
        <v>0.219469554585386</v>
      </c>
      <c r="BC121" s="332">
        <f t="shared" si="338"/>
        <v>0.221504749380428</v>
      </c>
      <c r="BD121" s="332">
        <f t="shared" si="339"/>
        <v>0.224130328737761</v>
      </c>
    </row>
    <row r="122" spans="1:52">
      <c r="A122" s="292">
        <f>A121/A104*1000</f>
        <v>23.3205060023213</v>
      </c>
      <c r="B122" s="293" t="s">
        <v>16</v>
      </c>
      <c r="C122" s="293"/>
      <c r="D122" s="296">
        <f>D121/D104*1000</f>
        <v>22.5240067837961</v>
      </c>
      <c r="E122" s="296">
        <f t="shared" ref="E122:P122" si="350">E121/E104*1000</f>
        <v>22.8079817830581</v>
      </c>
      <c r="F122" s="296">
        <f t="shared" si="350"/>
        <v>24.7498058333868</v>
      </c>
      <c r="G122" s="296">
        <f t="shared" si="350"/>
        <v>23.5328939583068</v>
      </c>
      <c r="H122" s="296">
        <f t="shared" si="350"/>
        <v>35.6807837634068</v>
      </c>
      <c r="I122" s="296">
        <f t="shared" si="350"/>
        <v>23.1504189901021</v>
      </c>
      <c r="J122" s="296">
        <f t="shared" si="350"/>
        <v>29.1916358791126</v>
      </c>
      <c r="K122" s="296">
        <f t="shared" si="350"/>
        <v>30.8343600478365</v>
      </c>
      <c r="L122" s="296">
        <f t="shared" si="350"/>
        <v>23.8654180251969</v>
      </c>
      <c r="M122" s="296">
        <f t="shared" si="350"/>
        <v>22.7376546411569</v>
      </c>
      <c r="N122" s="296">
        <f t="shared" si="350"/>
        <v>21.5675009187318</v>
      </c>
      <c r="O122" s="296">
        <f t="shared" si="350"/>
        <v>31.6980769859551</v>
      </c>
      <c r="P122" s="365">
        <f t="shared" si="350"/>
        <v>25.3467186348338</v>
      </c>
      <c r="Q122" s="295">
        <f>SUM(Q105:Q117)</f>
        <v>25.3467186348338</v>
      </c>
      <c r="V122" s="292">
        <f>V121/V104*1000</f>
        <v>22.6656894688659</v>
      </c>
      <c r="W122" s="292">
        <f t="shared" ref="W122:AF122" si="351">W121/W104*1000</f>
        <v>23.3205060023213</v>
      </c>
      <c r="X122" s="292">
        <f t="shared" si="351"/>
        <v>23.3705556708984</v>
      </c>
      <c r="Y122" s="292">
        <f t="shared" si="351"/>
        <v>25.0832081849069</v>
      </c>
      <c r="Z122" s="292">
        <f t="shared" si="351"/>
        <v>24.7433791865996</v>
      </c>
      <c r="AA122" s="292">
        <f t="shared" si="351"/>
        <v>25.2816290356164</v>
      </c>
      <c r="AB122" s="292">
        <f t="shared" si="351"/>
        <v>25.852295911659</v>
      </c>
      <c r="AC122" s="292">
        <f t="shared" si="351"/>
        <v>25.5965514046886</v>
      </c>
      <c r="AD122" s="292">
        <f t="shared" si="351"/>
        <v>25.261450122977</v>
      </c>
      <c r="AE122" s="292">
        <f t="shared" si="351"/>
        <v>24.8478715152167</v>
      </c>
      <c r="AF122" s="292">
        <f t="shared" si="351"/>
        <v>25.3467186348338</v>
      </c>
      <c r="AZ122" s="349">
        <f>AZ98-AZ121</f>
        <v>-0.227299874069783</v>
      </c>
    </row>
    <row r="123" spans="1:44">
      <c r="A123" s="350">
        <f>SUM(D123:F123)</f>
        <v>1320</v>
      </c>
      <c r="B123" s="293" t="s">
        <v>42</v>
      </c>
      <c r="C123" s="293"/>
      <c r="D123" s="201">
        <v>440</v>
      </c>
      <c r="E123" s="201">
        <v>440</v>
      </c>
      <c r="F123" s="201">
        <v>440</v>
      </c>
      <c r="G123" s="201">
        <v>440</v>
      </c>
      <c r="H123" s="201">
        <v>440</v>
      </c>
      <c r="I123" s="201">
        <v>440</v>
      </c>
      <c r="J123" s="201">
        <v>440</v>
      </c>
      <c r="K123" s="201">
        <v>440</v>
      </c>
      <c r="L123" s="201">
        <v>440</v>
      </c>
      <c r="M123" s="201">
        <v>440</v>
      </c>
      <c r="N123" s="201">
        <v>440</v>
      </c>
      <c r="O123" s="201">
        <v>440</v>
      </c>
      <c r="P123" s="201"/>
      <c r="Q123" s="312"/>
      <c r="R123" s="198"/>
      <c r="S123" s="198"/>
      <c r="V123" s="201">
        <f>D123+E123</f>
        <v>880</v>
      </c>
      <c r="W123" s="201">
        <f t="shared" ref="W123" si="352">V123+F123</f>
        <v>1320</v>
      </c>
      <c r="X123" s="201">
        <f t="shared" ref="X123" si="353">W123+G123</f>
        <v>1760</v>
      </c>
      <c r="Y123" s="201">
        <f t="shared" ref="Y123" si="354">X123+H123</f>
        <v>2200</v>
      </c>
      <c r="Z123" s="201">
        <f t="shared" ref="Z123" si="355">Y123+I123</f>
        <v>2640</v>
      </c>
      <c r="AA123" s="331">
        <f t="shared" ref="AA123" si="356">Z123+J123</f>
        <v>3080</v>
      </c>
      <c r="AB123" s="331">
        <f t="shared" ref="AB123" si="357">AA123+K123</f>
        <v>3520</v>
      </c>
      <c r="AC123" s="331">
        <f t="shared" ref="AC123" si="358">AB123+L123</f>
        <v>3960</v>
      </c>
      <c r="AD123" s="331">
        <f t="shared" ref="AD123" si="359">AC123+M123</f>
        <v>4400</v>
      </c>
      <c r="AE123" s="331">
        <f t="shared" ref="AE123:AF123" si="360">AD123+N123</f>
        <v>4840</v>
      </c>
      <c r="AF123" s="331">
        <f t="shared" si="360"/>
        <v>5280</v>
      </c>
      <c r="AH123" s="295">
        <f>V123/V$54*1000</f>
        <v>5.80647289762792</v>
      </c>
      <c r="AI123" s="295">
        <f t="shared" ref="AI123" si="361">W123/W$54*1000</f>
        <v>5.28947874591268</v>
      </c>
      <c r="AJ123" s="295">
        <f t="shared" ref="AJ123" si="362">X123/X$54*1000</f>
        <v>4.93075925287791</v>
      </c>
      <c r="AK123" s="295">
        <f t="shared" ref="AK123" si="363">Y123/Y$54*1000</f>
        <v>4.87542189020107</v>
      </c>
      <c r="AL123" s="295">
        <f t="shared" ref="AL123" si="364">Z123/Z$54*1000</f>
        <v>4.7531255401279</v>
      </c>
      <c r="AM123" s="295">
        <f t="shared" ref="AM123" si="365">AA123/AA$54*1000</f>
        <v>4.67702699009017</v>
      </c>
      <c r="AN123" s="295">
        <f t="shared" ref="AN123" si="366">AB123/AB$54*1000</f>
        <v>4.77058500653922</v>
      </c>
      <c r="AO123" s="295">
        <f t="shared" ref="AO123" si="367">AC123/AC$54*1000</f>
        <v>4.56482571241829</v>
      </c>
      <c r="AP123" s="295">
        <f t="shared" ref="AP123" si="368">AD123/AD$54*1000</f>
        <v>4.53223708132172</v>
      </c>
      <c r="AQ123" s="295">
        <f t="shared" ref="AQ123" si="369">AE123/AE$54*1000</f>
        <v>4.54271134166727</v>
      </c>
      <c r="AR123" s="295">
        <f t="shared" ref="AR123" si="370">AF123/AF$54*1000</f>
        <v>4.55776317413677</v>
      </c>
    </row>
    <row r="124" ht="15" customHeight="1" spans="1:16">
      <c r="A124" s="301">
        <f>A122/A103</f>
        <v>0.18656404801857</v>
      </c>
      <c r="B124" s="293" t="s">
        <v>68</v>
      </c>
      <c r="C124" s="293"/>
      <c r="D124" s="279">
        <f>D122/D103</f>
        <v>0.186148816395009</v>
      </c>
      <c r="E124" s="279">
        <f t="shared" ref="E124:P124" si="371">E122/E103</f>
        <v>0.188495717215356</v>
      </c>
      <c r="F124" s="279">
        <f t="shared" si="371"/>
        <v>0.204543849862701</v>
      </c>
      <c r="G124" s="279">
        <f t="shared" si="371"/>
        <v>0.194486726928156</v>
      </c>
      <c r="H124" s="279">
        <f t="shared" si="371"/>
        <v>0.294882510441379</v>
      </c>
      <c r="I124" s="279">
        <f t="shared" si="371"/>
        <v>0.191325776777703</v>
      </c>
      <c r="J124" s="279">
        <f t="shared" si="371"/>
        <v>0.241253189083575</v>
      </c>
      <c r="K124" s="279">
        <f t="shared" si="371"/>
        <v>0.254829421882946</v>
      </c>
      <c r="L124" s="279">
        <f t="shared" si="371"/>
        <v>0.197234859712371</v>
      </c>
      <c r="M124" s="279">
        <f t="shared" si="371"/>
        <v>0.187914501166586</v>
      </c>
      <c r="N124" s="279">
        <f t="shared" si="371"/>
        <v>0.178243809245718</v>
      </c>
      <c r="O124" s="279">
        <f t="shared" si="371"/>
        <v>0.261967578396323</v>
      </c>
      <c r="P124" s="279">
        <f t="shared" si="371"/>
        <v>0.209477013511023</v>
      </c>
    </row>
  </sheetData>
  <mergeCells count="43">
    <mergeCell ref="C2:P2"/>
    <mergeCell ref="V2:AF2"/>
    <mergeCell ref="AH2:AR2"/>
    <mergeCell ref="AT2:BD2"/>
    <mergeCell ref="B4:C4"/>
    <mergeCell ref="B5:C5"/>
    <mergeCell ref="B26:C26"/>
    <mergeCell ref="C28:P28"/>
    <mergeCell ref="B30:C30"/>
    <mergeCell ref="B48:C48"/>
    <mergeCell ref="B49:C49"/>
    <mergeCell ref="B50:C50"/>
    <mergeCell ref="C51:P51"/>
    <mergeCell ref="B53:C53"/>
    <mergeCell ref="B71:C71"/>
    <mergeCell ref="B72:C72"/>
    <mergeCell ref="B73:C73"/>
    <mergeCell ref="C76:P76"/>
    <mergeCell ref="B78:C78"/>
    <mergeCell ref="B96:C96"/>
    <mergeCell ref="B97:C97"/>
    <mergeCell ref="B98:C98"/>
    <mergeCell ref="C101:P101"/>
    <mergeCell ref="B103:C103"/>
    <mergeCell ref="B121:C121"/>
    <mergeCell ref="B122:C122"/>
    <mergeCell ref="B123:C123"/>
    <mergeCell ref="B124:C124"/>
    <mergeCell ref="B6:B12"/>
    <mergeCell ref="B13:B17"/>
    <mergeCell ref="B18:B21"/>
    <mergeCell ref="B32:B38"/>
    <mergeCell ref="B39:B43"/>
    <mergeCell ref="B44:B47"/>
    <mergeCell ref="B55:B61"/>
    <mergeCell ref="B62:B66"/>
    <mergeCell ref="B67:B70"/>
    <mergeCell ref="B80:B86"/>
    <mergeCell ref="B87:B89"/>
    <mergeCell ref="B92:B95"/>
    <mergeCell ref="B105:B111"/>
    <mergeCell ref="B112:B116"/>
    <mergeCell ref="B117:B120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124"/>
  <sheetViews>
    <sheetView zoomScale="70" zoomScaleNormal="70" workbookViewId="0">
      <pane xSplit="3" ySplit="3" topLeftCell="D63" activePane="bottomRight" state="frozen"/>
      <selection/>
      <selection pane="topRight"/>
      <selection pane="bottomLeft"/>
      <selection pane="bottomRight" activeCell="A100" sqref="$A100:$XFD100"/>
    </sheetView>
  </sheetViews>
  <sheetFormatPr defaultColWidth="9.08333333333333" defaultRowHeight="13.2"/>
  <cols>
    <col min="1" max="1" width="9.08333333333333" style="25"/>
    <col min="2" max="2" width="8.75" style="25" customWidth="1"/>
    <col min="3" max="3" width="18.75" style="25" customWidth="1"/>
    <col min="4" max="4" width="14.25" style="198" customWidth="1"/>
    <col min="5" max="5" width="13.25" style="198" customWidth="1"/>
    <col min="6" max="6" width="14.0833333333333" style="198" customWidth="1"/>
    <col min="7" max="9" width="8.75" style="198" customWidth="1"/>
    <col min="10" max="12" width="7.41666666666667" style="198" customWidth="1"/>
    <col min="13" max="15" width="8.41666666666667" style="198" customWidth="1"/>
    <col min="16" max="16" width="9.75" style="198" customWidth="1"/>
    <col min="17" max="17" width="12.25" style="25" customWidth="1"/>
    <col min="18" max="20" width="9.08333333333333" style="198"/>
    <col min="21" max="21" width="58.75" style="198" customWidth="1"/>
    <col min="22" max="26" width="9.08333333333333" style="198" customWidth="1" outlineLevel="1"/>
    <col min="27" max="30" width="9.08333333333333" style="25" customWidth="1" outlineLevel="1"/>
    <col min="31" max="32" width="9.41666666666667" style="25" customWidth="1" outlineLevel="1"/>
    <col min="33" max="33" width="1.75" style="25" customWidth="1"/>
    <col min="34" max="44" width="9.08333333333333" style="25" customWidth="1" outlineLevel="1"/>
    <col min="45" max="45" width="1.66666666666667" style="25" customWidth="1"/>
    <col min="46" max="56" width="9.08333333333333" style="25" customWidth="1" outlineLevel="1"/>
    <col min="57" max="16384" width="9.08333333333333" style="25"/>
  </cols>
  <sheetData>
    <row r="1" spans="4:13">
      <c r="D1" s="282">
        <f>D49/D30</f>
        <v>0.146753455014773</v>
      </c>
      <c r="E1" s="282">
        <f t="shared" ref="E1:M1" si="0">E49/E30</f>
        <v>0.158185771516365</v>
      </c>
      <c r="F1" s="282">
        <f t="shared" si="0"/>
        <v>0.177814456236985</v>
      </c>
      <c r="G1" s="282">
        <f t="shared" si="0"/>
        <v>0.147301995800147</v>
      </c>
      <c r="H1" s="282">
        <f t="shared" si="0"/>
        <v>0.157310254080048</v>
      </c>
      <c r="I1" s="282">
        <f t="shared" si="0"/>
        <v>0.26181483314229</v>
      </c>
      <c r="J1" s="282">
        <f t="shared" si="0"/>
        <v>0.17144204529432</v>
      </c>
      <c r="K1" s="282">
        <f t="shared" si="0"/>
        <v>0.213330819136824</v>
      </c>
      <c r="L1" s="282">
        <f t="shared" si="0"/>
        <v>0.274650698295037</v>
      </c>
      <c r="M1" s="282">
        <f t="shared" si="0"/>
        <v>0.246487208990694</v>
      </c>
    </row>
    <row r="2" spans="3:56">
      <c r="C2" s="283" t="s">
        <v>85</v>
      </c>
      <c r="D2" s="283"/>
      <c r="E2" s="283"/>
      <c r="F2" s="283"/>
      <c r="G2" s="283"/>
      <c r="H2" s="283"/>
      <c r="I2" s="283"/>
      <c r="J2" s="283"/>
      <c r="K2" s="283"/>
      <c r="L2" s="283"/>
      <c r="M2" s="283"/>
      <c r="N2" s="283"/>
      <c r="O2" s="283"/>
      <c r="P2" s="283"/>
      <c r="V2" s="293" t="s">
        <v>71</v>
      </c>
      <c r="W2" s="293"/>
      <c r="X2" s="293"/>
      <c r="Y2" s="293"/>
      <c r="Z2" s="293"/>
      <c r="AA2" s="293"/>
      <c r="AB2" s="293"/>
      <c r="AC2" s="293"/>
      <c r="AD2" s="293"/>
      <c r="AE2" s="293"/>
      <c r="AF2" s="293"/>
      <c r="AH2" s="293" t="s">
        <v>16</v>
      </c>
      <c r="AI2" s="293"/>
      <c r="AJ2" s="293"/>
      <c r="AK2" s="293"/>
      <c r="AL2" s="293"/>
      <c r="AM2" s="293"/>
      <c r="AN2" s="293"/>
      <c r="AO2" s="293"/>
      <c r="AP2" s="293"/>
      <c r="AQ2" s="293"/>
      <c r="AR2" s="293"/>
      <c r="AT2" s="293" t="s">
        <v>18</v>
      </c>
      <c r="AU2" s="293"/>
      <c r="AV2" s="293"/>
      <c r="AW2" s="293"/>
      <c r="AX2" s="293"/>
      <c r="AY2" s="293"/>
      <c r="AZ2" s="293"/>
      <c r="BA2" s="293"/>
      <c r="BB2" s="293"/>
      <c r="BC2" s="293"/>
      <c r="BD2" s="293"/>
    </row>
    <row r="3" spans="2:56">
      <c r="B3" s="284" t="s">
        <v>1</v>
      </c>
      <c r="C3" s="285" t="s">
        <v>2</v>
      </c>
      <c r="D3" s="285" t="s">
        <v>3</v>
      </c>
      <c r="E3" s="285" t="s">
        <v>4</v>
      </c>
      <c r="F3" s="285" t="s">
        <v>5</v>
      </c>
      <c r="G3" s="285" t="s">
        <v>6</v>
      </c>
      <c r="H3" s="285" t="s">
        <v>7</v>
      </c>
      <c r="I3" s="285" t="s">
        <v>8</v>
      </c>
      <c r="J3" s="285" t="s">
        <v>9</v>
      </c>
      <c r="K3" s="285" t="s">
        <v>10</v>
      </c>
      <c r="L3" s="285" t="s">
        <v>11</v>
      </c>
      <c r="M3" s="285" t="s">
        <v>12</v>
      </c>
      <c r="N3" s="285" t="s">
        <v>13</v>
      </c>
      <c r="O3" s="285" t="s">
        <v>14</v>
      </c>
      <c r="P3" s="302" t="s">
        <v>15</v>
      </c>
      <c r="Q3" s="205" t="s">
        <v>16</v>
      </c>
      <c r="R3" s="205" t="s">
        <v>17</v>
      </c>
      <c r="S3" s="205" t="s">
        <v>18</v>
      </c>
      <c r="T3" s="205" t="s">
        <v>19</v>
      </c>
      <c r="U3" s="293" t="s">
        <v>72</v>
      </c>
      <c r="V3" s="293" t="s">
        <v>73</v>
      </c>
      <c r="W3" s="293" t="s">
        <v>74</v>
      </c>
      <c r="X3" s="293" t="s">
        <v>75</v>
      </c>
      <c r="Y3" s="293" t="s">
        <v>76</v>
      </c>
      <c r="Z3" s="293" t="s">
        <v>77</v>
      </c>
      <c r="AA3" s="293" t="s">
        <v>78</v>
      </c>
      <c r="AB3" s="293" t="s">
        <v>79</v>
      </c>
      <c r="AC3" s="293" t="s">
        <v>80</v>
      </c>
      <c r="AD3" s="293" t="s">
        <v>81</v>
      </c>
      <c r="AE3" s="293" t="s">
        <v>82</v>
      </c>
      <c r="AF3" s="293" t="s">
        <v>83</v>
      </c>
      <c r="AH3" s="293" t="s">
        <v>73</v>
      </c>
      <c r="AI3" s="293" t="s">
        <v>74</v>
      </c>
      <c r="AJ3" s="293" t="s">
        <v>75</v>
      </c>
      <c r="AK3" s="293" t="s">
        <v>76</v>
      </c>
      <c r="AL3" s="293" t="s">
        <v>77</v>
      </c>
      <c r="AM3" s="293" t="s">
        <v>78</v>
      </c>
      <c r="AN3" s="293" t="s">
        <v>79</v>
      </c>
      <c r="AO3" s="293" t="s">
        <v>80</v>
      </c>
      <c r="AP3" s="293" t="s">
        <v>81</v>
      </c>
      <c r="AQ3" s="293" t="s">
        <v>82</v>
      </c>
      <c r="AR3" s="293" t="s">
        <v>83</v>
      </c>
      <c r="AT3" s="293" t="s">
        <v>73</v>
      </c>
      <c r="AU3" s="293" t="s">
        <v>74</v>
      </c>
      <c r="AV3" s="293" t="s">
        <v>75</v>
      </c>
      <c r="AW3" s="293" t="s">
        <v>76</v>
      </c>
      <c r="AX3" s="293" t="s">
        <v>77</v>
      </c>
      <c r="AY3" s="293" t="s">
        <v>78</v>
      </c>
      <c r="AZ3" s="293" t="s">
        <v>79</v>
      </c>
      <c r="BA3" s="293" t="s">
        <v>80</v>
      </c>
      <c r="BB3" s="293" t="s">
        <v>81</v>
      </c>
      <c r="BC3" s="293" t="s">
        <v>82</v>
      </c>
      <c r="BD3" s="293" t="s">
        <v>83</v>
      </c>
    </row>
    <row r="4" spans="2:56">
      <c r="B4" s="283" t="s">
        <v>20</v>
      </c>
      <c r="C4" s="283"/>
      <c r="D4" s="286">
        <v>220.467848997768</v>
      </c>
      <c r="E4" s="286">
        <v>218.438816161507</v>
      </c>
      <c r="F4" s="286">
        <v>223.782364720498</v>
      </c>
      <c r="G4" s="286">
        <v>212.859200070016</v>
      </c>
      <c r="H4" s="286">
        <v>220.179260610881</v>
      </c>
      <c r="I4" s="286">
        <v>211.154154269739</v>
      </c>
      <c r="J4" s="286">
        <v>223.010020238191</v>
      </c>
      <c r="K4" s="286">
        <v>206.60212463159</v>
      </c>
      <c r="L4" s="286">
        <v>204.999035722667</v>
      </c>
      <c r="M4" s="286">
        <v>213.456361318854</v>
      </c>
      <c r="N4" s="286">
        <v>216.720721304467</v>
      </c>
      <c r="O4" s="286">
        <v>209.833253515718</v>
      </c>
      <c r="P4" s="296">
        <v>214.588627555015</v>
      </c>
      <c r="Q4" s="198"/>
      <c r="AT4" s="201">
        <f>$P$4</f>
        <v>214.588627555015</v>
      </c>
      <c r="AU4" s="201">
        <f t="shared" ref="AU4:BD4" si="1">$P$4</f>
        <v>214.588627555015</v>
      </c>
      <c r="AV4" s="201">
        <f t="shared" si="1"/>
        <v>214.588627555015</v>
      </c>
      <c r="AW4" s="201">
        <f t="shared" si="1"/>
        <v>214.588627555015</v>
      </c>
      <c r="AX4" s="201">
        <f t="shared" si="1"/>
        <v>214.588627555015</v>
      </c>
      <c r="AY4" s="201">
        <f t="shared" si="1"/>
        <v>214.588627555015</v>
      </c>
      <c r="AZ4" s="201">
        <f t="shared" si="1"/>
        <v>214.588627555015</v>
      </c>
      <c r="BA4" s="201">
        <f t="shared" si="1"/>
        <v>214.588627555015</v>
      </c>
      <c r="BB4" s="201">
        <f t="shared" si="1"/>
        <v>214.588627555015</v>
      </c>
      <c r="BC4" s="201">
        <f t="shared" si="1"/>
        <v>214.588627555015</v>
      </c>
      <c r="BD4" s="201">
        <f t="shared" si="1"/>
        <v>214.588627555015</v>
      </c>
    </row>
    <row r="5" spans="2:32">
      <c r="B5" s="287" t="s">
        <v>21</v>
      </c>
      <c r="C5" s="287"/>
      <c r="D5" s="288">
        <v>16045</v>
      </c>
      <c r="E5" s="288">
        <v>19752</v>
      </c>
      <c r="F5" s="288">
        <v>20037</v>
      </c>
      <c r="G5" s="288">
        <v>28043</v>
      </c>
      <c r="H5" s="288">
        <v>40794</v>
      </c>
      <c r="I5" s="288">
        <v>30976</v>
      </c>
      <c r="J5" s="288">
        <v>34477</v>
      </c>
      <c r="K5" s="288">
        <v>25578</v>
      </c>
      <c r="L5" s="288">
        <v>40104</v>
      </c>
      <c r="M5" s="288">
        <v>41187</v>
      </c>
      <c r="N5" s="288">
        <v>43110</v>
      </c>
      <c r="O5" s="288">
        <v>26153</v>
      </c>
      <c r="P5" s="296">
        <f>SUM(D5:O5)</f>
        <v>366256</v>
      </c>
      <c r="V5" s="288">
        <f t="shared" ref="V5:V21" si="2">D5+E5</f>
        <v>35797</v>
      </c>
      <c r="W5" s="198">
        <f t="shared" ref="W5:W21" si="3">V5+F5</f>
        <v>55834</v>
      </c>
      <c r="X5" s="198">
        <f t="shared" ref="X5:X21" si="4">W5+G5</f>
        <v>83877</v>
      </c>
      <c r="Y5" s="198">
        <f t="shared" ref="Y5:Y21" si="5">X5+H5</f>
        <v>124671</v>
      </c>
      <c r="Z5" s="198">
        <f t="shared" ref="Z5:Z21" si="6">Y5+I5</f>
        <v>155647</v>
      </c>
      <c r="AA5" s="25">
        <f t="shared" ref="AA5:AA21" si="7">Z5+J5</f>
        <v>190124</v>
      </c>
      <c r="AB5" s="25">
        <f t="shared" ref="AB5:AB21" si="8">AA5+K5</f>
        <v>215702</v>
      </c>
      <c r="AC5" s="25">
        <f t="shared" ref="AC5:AC21" si="9">AB5+L5</f>
        <v>255806</v>
      </c>
      <c r="AD5" s="25">
        <f t="shared" ref="AD5:AD21" si="10">AC5+M5</f>
        <v>296993</v>
      </c>
      <c r="AE5" s="25">
        <f t="shared" ref="AE5:AE21" si="11">AD5+N5</f>
        <v>340103</v>
      </c>
      <c r="AF5" s="25">
        <f t="shared" ref="AF5:AF21" si="12">AE5+O5</f>
        <v>366256</v>
      </c>
    </row>
    <row r="6" spans="2:56">
      <c r="B6" s="198" t="s">
        <v>22</v>
      </c>
      <c r="C6" s="25" t="s">
        <v>86</v>
      </c>
      <c r="D6" s="288">
        <v>693.493294785652</v>
      </c>
      <c r="E6" s="288">
        <v>717.40727875246</v>
      </c>
      <c r="F6" s="288">
        <v>723.686116846481</v>
      </c>
      <c r="G6" s="288">
        <v>743.401264823046</v>
      </c>
      <c r="H6" s="288">
        <v>743.25897510554</v>
      </c>
      <c r="I6" s="288">
        <v>752.020201073953</v>
      </c>
      <c r="J6" s="288">
        <v>754.218251491493</v>
      </c>
      <c r="K6" s="288">
        <v>753.715483331447</v>
      </c>
      <c r="L6" s="288">
        <v>717.306392294787</v>
      </c>
      <c r="M6" s="288">
        <v>760.202872032414</v>
      </c>
      <c r="N6" s="288">
        <v>767.919050369023</v>
      </c>
      <c r="O6" s="288">
        <v>770.300647901934</v>
      </c>
      <c r="P6" s="296">
        <f t="shared" ref="P6:P21" si="13">SUM(D6:O6)</f>
        <v>8896.92982880823</v>
      </c>
      <c r="Q6" s="312">
        <f>P6/$P$5*1000</f>
        <v>24.2915606264696</v>
      </c>
      <c r="R6" s="313">
        <f>P6/$P$22</f>
        <v>0.425418092106335</v>
      </c>
      <c r="S6" s="282">
        <f>Q6/$P$4</f>
        <v>0.113200596430684</v>
      </c>
      <c r="T6" s="282"/>
      <c r="V6" s="201">
        <f t="shared" si="2"/>
        <v>1410.90057353811</v>
      </c>
      <c r="W6" s="201">
        <f t="shared" si="3"/>
        <v>2134.58669038459</v>
      </c>
      <c r="X6" s="201">
        <f t="shared" si="4"/>
        <v>2877.98795520764</v>
      </c>
      <c r="Y6" s="201">
        <f t="shared" si="5"/>
        <v>3621.24693031318</v>
      </c>
      <c r="Z6" s="201">
        <f t="shared" si="6"/>
        <v>4373.26713138713</v>
      </c>
      <c r="AA6" s="331">
        <f t="shared" si="7"/>
        <v>5127.48538287863</v>
      </c>
      <c r="AB6" s="331">
        <f t="shared" si="8"/>
        <v>5881.20086621007</v>
      </c>
      <c r="AC6" s="331">
        <f t="shared" si="9"/>
        <v>6598.50725850486</v>
      </c>
      <c r="AD6" s="331">
        <f t="shared" si="10"/>
        <v>7358.71013053727</v>
      </c>
      <c r="AE6" s="331">
        <f t="shared" si="11"/>
        <v>8126.6291809063</v>
      </c>
      <c r="AF6" s="331">
        <f t="shared" si="12"/>
        <v>8896.92982880823</v>
      </c>
      <c r="AH6" s="295">
        <f>V6/V$5*1000</f>
        <v>39.4139333893374</v>
      </c>
      <c r="AI6" s="295">
        <f t="shared" ref="AI6:AR21" si="14">W6/W$5*1000</f>
        <v>38.2309469209548</v>
      </c>
      <c r="AJ6" s="295">
        <f t="shared" si="14"/>
        <v>34.3120039487302</v>
      </c>
      <c r="AK6" s="295">
        <f t="shared" si="14"/>
        <v>29.0464256347762</v>
      </c>
      <c r="AL6" s="295">
        <f t="shared" si="14"/>
        <v>28.0973429066229</v>
      </c>
      <c r="AM6" s="295">
        <f t="shared" si="14"/>
        <v>26.9691642448014</v>
      </c>
      <c r="AN6" s="295">
        <f t="shared" si="14"/>
        <v>27.2653979388697</v>
      </c>
      <c r="AO6" s="295">
        <f t="shared" si="14"/>
        <v>25.7949667267572</v>
      </c>
      <c r="AP6" s="295">
        <f t="shared" si="14"/>
        <v>24.7773857651099</v>
      </c>
      <c r="AQ6" s="295">
        <f t="shared" si="14"/>
        <v>23.8946118702461</v>
      </c>
      <c r="AR6" s="295">
        <f t="shared" si="14"/>
        <v>24.2915606264696</v>
      </c>
      <c r="AT6" s="282">
        <f>AH6/AT$4</f>
        <v>0.183672051209856</v>
      </c>
      <c r="AU6" s="282">
        <f t="shared" ref="AU6:BD21" si="15">AI6/AU$4</f>
        <v>0.178159240573704</v>
      </c>
      <c r="AV6" s="282">
        <f t="shared" si="15"/>
        <v>0.15989665593967</v>
      </c>
      <c r="AW6" s="282">
        <f t="shared" si="15"/>
        <v>0.135358643958564</v>
      </c>
      <c r="AX6" s="282">
        <f t="shared" si="15"/>
        <v>0.130935843277247</v>
      </c>
      <c r="AY6" s="282">
        <f t="shared" si="15"/>
        <v>0.125678441360492</v>
      </c>
      <c r="AZ6" s="282">
        <f t="shared" si="15"/>
        <v>0.1270589138368</v>
      </c>
      <c r="BA6" s="282">
        <f t="shared" si="15"/>
        <v>0.120206587929009</v>
      </c>
      <c r="BB6" s="282">
        <f t="shared" si="15"/>
        <v>0.115464580054493</v>
      </c>
      <c r="BC6" s="282">
        <f t="shared" si="15"/>
        <v>0.111350783788018</v>
      </c>
      <c r="BD6" s="282">
        <f t="shared" si="15"/>
        <v>0.113200596430684</v>
      </c>
    </row>
    <row r="7" spans="2:56">
      <c r="B7" s="198"/>
      <c r="C7" s="25" t="s">
        <v>24</v>
      </c>
      <c r="D7" s="288">
        <v>41.6783797784651</v>
      </c>
      <c r="E7" s="288">
        <v>55.1565478409351</v>
      </c>
      <c r="F7" s="288">
        <v>48.2973833310839</v>
      </c>
      <c r="G7" s="288">
        <v>51.9900186206857</v>
      </c>
      <c r="H7" s="288">
        <v>47.7035521578864</v>
      </c>
      <c r="I7" s="288">
        <v>45.9086911514343</v>
      </c>
      <c r="J7" s="288">
        <v>47.4650319775667</v>
      </c>
      <c r="K7" s="288">
        <v>47.1030032498154</v>
      </c>
      <c r="L7" s="288">
        <v>35.3600113710142</v>
      </c>
      <c r="M7" s="288">
        <v>26.5876617266293</v>
      </c>
      <c r="N7" s="288">
        <v>23.8611789633489</v>
      </c>
      <c r="O7" s="288">
        <v>-29.5516306571621</v>
      </c>
      <c r="P7" s="296">
        <f t="shared" si="13"/>
        <v>441.559829511703</v>
      </c>
      <c r="Q7" s="312">
        <f t="shared" ref="Q7:Q18" si="16">P7/$P$5*1000</f>
        <v>1.20560435736671</v>
      </c>
      <c r="R7" s="313">
        <f t="shared" ref="R7:R18" si="17">P7/$P$22</f>
        <v>0.0211137486566903</v>
      </c>
      <c r="S7" s="282">
        <f t="shared" ref="S7:S18" si="18">Q7/$P$4</f>
        <v>0.0056182117901734</v>
      </c>
      <c r="T7" s="282"/>
      <c r="V7" s="201">
        <f t="shared" si="2"/>
        <v>96.8349276194002</v>
      </c>
      <c r="W7" s="201">
        <f t="shared" si="3"/>
        <v>145.132310950484</v>
      </c>
      <c r="X7" s="201">
        <f t="shared" si="4"/>
        <v>197.12232957117</v>
      </c>
      <c r="Y7" s="201">
        <f t="shared" si="5"/>
        <v>244.825881729056</v>
      </c>
      <c r="Z7" s="201">
        <f t="shared" si="6"/>
        <v>290.73457288049</v>
      </c>
      <c r="AA7" s="331">
        <f t="shared" si="7"/>
        <v>338.199604858057</v>
      </c>
      <c r="AB7" s="331">
        <f t="shared" si="8"/>
        <v>385.302608107872</v>
      </c>
      <c r="AC7" s="331">
        <f t="shared" si="9"/>
        <v>420.662619478887</v>
      </c>
      <c r="AD7" s="331">
        <f t="shared" si="10"/>
        <v>447.250281205516</v>
      </c>
      <c r="AE7" s="331">
        <f t="shared" si="11"/>
        <v>471.111460168865</v>
      </c>
      <c r="AF7" s="331">
        <f t="shared" si="12"/>
        <v>441.559829511703</v>
      </c>
      <c r="AH7" s="295">
        <f t="shared" ref="AH7:AR22" si="19">V7/V$5*1000</f>
        <v>2.70511293179317</v>
      </c>
      <c r="AI7" s="295">
        <f t="shared" si="14"/>
        <v>2.59935363668166</v>
      </c>
      <c r="AJ7" s="295">
        <f t="shared" si="14"/>
        <v>2.35013566974462</v>
      </c>
      <c r="AK7" s="295">
        <f t="shared" si="14"/>
        <v>1.96377571150513</v>
      </c>
      <c r="AL7" s="295">
        <f t="shared" si="14"/>
        <v>1.86790990433796</v>
      </c>
      <c r="AM7" s="295">
        <f t="shared" si="14"/>
        <v>1.77883699510876</v>
      </c>
      <c r="AN7" s="295">
        <f t="shared" si="14"/>
        <v>1.78627276570395</v>
      </c>
      <c r="AO7" s="295">
        <f t="shared" si="14"/>
        <v>1.64445954934164</v>
      </c>
      <c r="AP7" s="295">
        <f t="shared" si="14"/>
        <v>1.5059286959811</v>
      </c>
      <c r="AQ7" s="295">
        <f t="shared" si="14"/>
        <v>1.38520230685664</v>
      </c>
      <c r="AR7" s="295">
        <f t="shared" si="14"/>
        <v>1.20560435736671</v>
      </c>
      <c r="AT7" s="282">
        <f t="shared" ref="AT7:AT22" si="20">AH7/AT$4</f>
        <v>0.012606040509298</v>
      </c>
      <c r="AU7" s="282">
        <f t="shared" si="15"/>
        <v>0.0121131938178562</v>
      </c>
      <c r="AV7" s="282">
        <f t="shared" si="15"/>
        <v>0.0109518183536642</v>
      </c>
      <c r="AW7" s="282">
        <f t="shared" si="15"/>
        <v>0.0091513503482456</v>
      </c>
      <c r="AX7" s="282">
        <f t="shared" si="15"/>
        <v>0.00870460809419677</v>
      </c>
      <c r="AY7" s="282">
        <f t="shared" si="15"/>
        <v>0.00828952128254191</v>
      </c>
      <c r="AZ7" s="282">
        <f t="shared" si="15"/>
        <v>0.00832417256243457</v>
      </c>
      <c r="BA7" s="282">
        <f t="shared" si="15"/>
        <v>0.00766331174246427</v>
      </c>
      <c r="BB7" s="282">
        <f t="shared" si="15"/>
        <v>0.00701774699404806</v>
      </c>
      <c r="BC7" s="282">
        <f t="shared" si="15"/>
        <v>0.00645515245909997</v>
      </c>
      <c r="BD7" s="282">
        <f t="shared" si="15"/>
        <v>0.0056182117901734</v>
      </c>
    </row>
    <row r="8" spans="2:56">
      <c r="B8" s="198"/>
      <c r="C8" s="25" t="s">
        <v>25</v>
      </c>
      <c r="D8" s="288">
        <v>2.41240443069797</v>
      </c>
      <c r="E8" s="288">
        <v>2.37992177823739</v>
      </c>
      <c r="F8" s="288">
        <v>2.27340830315683</v>
      </c>
      <c r="G8" s="288">
        <v>2.28194687051417</v>
      </c>
      <c r="H8" s="288">
        <v>2.27095623987034</v>
      </c>
      <c r="I8" s="288">
        <v>2.25760251178468</v>
      </c>
      <c r="J8" s="288">
        <v>24.3951903386569</v>
      </c>
      <c r="K8" s="288">
        <v>23.4663800397739</v>
      </c>
      <c r="L8" s="288">
        <v>34.4593520359995</v>
      </c>
      <c r="M8" s="288">
        <v>-3.00461516288759</v>
      </c>
      <c r="N8" s="288">
        <v>3.16149679032976</v>
      </c>
      <c r="O8" s="288">
        <v>-70.4560365248873</v>
      </c>
      <c r="P8" s="296">
        <f t="shared" si="13"/>
        <v>25.8980076512465</v>
      </c>
      <c r="Q8" s="312">
        <f t="shared" si="16"/>
        <v>0.070710125298279</v>
      </c>
      <c r="R8" s="313">
        <f t="shared" si="17"/>
        <v>0.00123834639772857</v>
      </c>
      <c r="S8" s="282">
        <f t="shared" si="18"/>
        <v>0.000329514784189347</v>
      </c>
      <c r="T8" s="282"/>
      <c r="U8" s="314" t="s">
        <v>87</v>
      </c>
      <c r="V8" s="201">
        <f t="shared" si="2"/>
        <v>4.79232620893537</v>
      </c>
      <c r="W8" s="201">
        <f t="shared" si="3"/>
        <v>7.0657345120922</v>
      </c>
      <c r="X8" s="201">
        <f t="shared" si="4"/>
        <v>9.34768138260637</v>
      </c>
      <c r="Y8" s="201">
        <f t="shared" si="5"/>
        <v>11.6186376224767</v>
      </c>
      <c r="Z8" s="201">
        <f t="shared" si="6"/>
        <v>13.8762401342614</v>
      </c>
      <c r="AA8" s="331">
        <f t="shared" si="7"/>
        <v>38.2714304729183</v>
      </c>
      <c r="AB8" s="331">
        <f t="shared" si="8"/>
        <v>61.7378105126921</v>
      </c>
      <c r="AC8" s="331">
        <f t="shared" si="9"/>
        <v>96.1971625486916</v>
      </c>
      <c r="AD8" s="331">
        <f t="shared" si="10"/>
        <v>93.192547385804</v>
      </c>
      <c r="AE8" s="331">
        <f t="shared" si="11"/>
        <v>96.3540441761338</v>
      </c>
      <c r="AF8" s="331">
        <f t="shared" si="12"/>
        <v>25.8980076512465</v>
      </c>
      <c r="AH8" s="295">
        <f t="shared" si="19"/>
        <v>0.13387507916684</v>
      </c>
      <c r="AI8" s="295">
        <f t="shared" si="14"/>
        <v>0.126548957840961</v>
      </c>
      <c r="AJ8" s="295">
        <f t="shared" si="14"/>
        <v>0.111445108702104</v>
      </c>
      <c r="AK8" s="295">
        <f t="shared" si="14"/>
        <v>0.0931943886106369</v>
      </c>
      <c r="AL8" s="295">
        <f t="shared" si="14"/>
        <v>0.089151992227678</v>
      </c>
      <c r="AM8" s="295">
        <f t="shared" si="14"/>
        <v>0.201297208521377</v>
      </c>
      <c r="AN8" s="295">
        <f t="shared" si="14"/>
        <v>0.286218071750341</v>
      </c>
      <c r="AO8" s="295">
        <f t="shared" si="14"/>
        <v>0.376055145495773</v>
      </c>
      <c r="AP8" s="295">
        <f t="shared" si="14"/>
        <v>0.31378701648121</v>
      </c>
      <c r="AQ8" s="295">
        <f t="shared" si="14"/>
        <v>0.283308421790263</v>
      </c>
      <c r="AR8" s="295">
        <f t="shared" si="14"/>
        <v>0.070710125298279</v>
      </c>
      <c r="AT8" s="282">
        <f t="shared" si="20"/>
        <v>0.000623868471932502</v>
      </c>
      <c r="AU8" s="282">
        <f t="shared" si="15"/>
        <v>0.000589728166319144</v>
      </c>
      <c r="AV8" s="282">
        <f t="shared" si="15"/>
        <v>0.00051934303309495</v>
      </c>
      <c r="AW8" s="282">
        <f t="shared" si="15"/>
        <v>0.000434293231996855</v>
      </c>
      <c r="AX8" s="282">
        <f t="shared" si="15"/>
        <v>0.000415455344691189</v>
      </c>
      <c r="AY8" s="282">
        <f t="shared" si="15"/>
        <v>0.000938060934612062</v>
      </c>
      <c r="AZ8" s="282">
        <f t="shared" si="15"/>
        <v>0.00133379888306039</v>
      </c>
      <c r="BA8" s="282">
        <f t="shared" si="15"/>
        <v>0.00175244676188332</v>
      </c>
      <c r="BB8" s="282">
        <f t="shared" si="15"/>
        <v>0.00146227234898906</v>
      </c>
      <c r="BC8" s="282">
        <f t="shared" si="15"/>
        <v>0.00132023968379979</v>
      </c>
      <c r="BD8" s="282">
        <f t="shared" si="15"/>
        <v>0.000329514784189347</v>
      </c>
    </row>
    <row r="9" spans="2:56">
      <c r="B9" s="198"/>
      <c r="C9" s="25" t="s">
        <v>26</v>
      </c>
      <c r="D9" s="288">
        <v>15.8534152027181</v>
      </c>
      <c r="E9" s="288">
        <v>2.80651868063155</v>
      </c>
      <c r="F9" s="288">
        <v>12.7928739421473</v>
      </c>
      <c r="G9" s="288">
        <v>14.7428584193747</v>
      </c>
      <c r="H9" s="288">
        <v>0.369250871330015</v>
      </c>
      <c r="I9" s="288">
        <v>-0.935614129644364</v>
      </c>
      <c r="J9" s="288">
        <v>-0.519227720054122</v>
      </c>
      <c r="K9" s="288">
        <v>2.01973171507257</v>
      </c>
      <c r="L9" s="288">
        <v>-7.27593622966024</v>
      </c>
      <c r="M9" s="288">
        <v>10.9900719579235</v>
      </c>
      <c r="N9" s="288">
        <v>8.78337852265063</v>
      </c>
      <c r="O9" s="288">
        <v>12.1724648133984</v>
      </c>
      <c r="P9" s="296">
        <f t="shared" si="13"/>
        <v>71.7997860458881</v>
      </c>
      <c r="Q9" s="312">
        <f t="shared" si="16"/>
        <v>0.196037159926085</v>
      </c>
      <c r="R9" s="313">
        <f t="shared" si="17"/>
        <v>0.00343319870798356</v>
      </c>
      <c r="S9" s="282">
        <f t="shared" si="18"/>
        <v>0.000913548691557878</v>
      </c>
      <c r="T9" s="282"/>
      <c r="U9" s="282"/>
      <c r="V9" s="201">
        <f t="shared" si="2"/>
        <v>18.6599338833497</v>
      </c>
      <c r="W9" s="201">
        <f t="shared" si="3"/>
        <v>31.452807825497</v>
      </c>
      <c r="X9" s="201">
        <f t="shared" si="4"/>
        <v>46.1956662448717</v>
      </c>
      <c r="Y9" s="201">
        <f t="shared" si="5"/>
        <v>46.5649171162017</v>
      </c>
      <c r="Z9" s="201">
        <f t="shared" si="6"/>
        <v>45.6293029865574</v>
      </c>
      <c r="AA9" s="331">
        <f t="shared" si="7"/>
        <v>45.1100752665032</v>
      </c>
      <c r="AB9" s="331">
        <f t="shared" si="8"/>
        <v>47.1298069815758</v>
      </c>
      <c r="AC9" s="331">
        <f t="shared" si="9"/>
        <v>39.8538707519156</v>
      </c>
      <c r="AD9" s="331">
        <f t="shared" si="10"/>
        <v>50.8439427098391</v>
      </c>
      <c r="AE9" s="331">
        <f t="shared" si="11"/>
        <v>59.6273212324897</v>
      </c>
      <c r="AF9" s="331">
        <f t="shared" si="12"/>
        <v>71.7997860458881</v>
      </c>
      <c r="AH9" s="295">
        <f>V9/V$5*1000</f>
        <v>0.52127088536329</v>
      </c>
      <c r="AI9" s="295">
        <f t="shared" si="14"/>
        <v>0.563327145207167</v>
      </c>
      <c r="AJ9" s="295">
        <f t="shared" si="14"/>
        <v>0.550754870165501</v>
      </c>
      <c r="AK9" s="295">
        <f t="shared" si="14"/>
        <v>0.373502395233869</v>
      </c>
      <c r="AL9" s="295">
        <f t="shared" si="14"/>
        <v>0.29315889793287</v>
      </c>
      <c r="AM9" s="295">
        <f t="shared" si="14"/>
        <v>0.237266601094566</v>
      </c>
      <c r="AN9" s="295">
        <f t="shared" si="14"/>
        <v>0.218494993006907</v>
      </c>
      <c r="AO9" s="295">
        <f t="shared" si="14"/>
        <v>0.155797247726463</v>
      </c>
      <c r="AP9" s="295">
        <f t="shared" si="14"/>
        <v>0.171195761212685</v>
      </c>
      <c r="AQ9" s="295">
        <f t="shared" si="14"/>
        <v>0.175321362153494</v>
      </c>
      <c r="AR9" s="295">
        <f t="shared" si="14"/>
        <v>0.196037159926085</v>
      </c>
      <c r="AT9" s="282">
        <f t="shared" si="20"/>
        <v>0.00242916361087052</v>
      </c>
      <c r="AU9" s="282">
        <f t="shared" si="15"/>
        <v>0.00262514911263294</v>
      </c>
      <c r="AV9" s="282">
        <f t="shared" si="15"/>
        <v>0.00256656131520437</v>
      </c>
      <c r="AW9" s="282">
        <f t="shared" si="15"/>
        <v>0.00174055074348296</v>
      </c>
      <c r="AX9" s="282">
        <f t="shared" si="15"/>
        <v>0.00136614368279005</v>
      </c>
      <c r="AY9" s="282">
        <f t="shared" si="15"/>
        <v>0.00110568115280823</v>
      </c>
      <c r="AZ9" s="282">
        <f t="shared" si="15"/>
        <v>0.00101820397239313</v>
      </c>
      <c r="BA9" s="282">
        <f t="shared" si="15"/>
        <v>0.000726027513673904</v>
      </c>
      <c r="BB9" s="282">
        <f t="shared" si="15"/>
        <v>0.000797785806094478</v>
      </c>
      <c r="BC9" s="282">
        <f t="shared" si="15"/>
        <v>0.000817011433229592</v>
      </c>
      <c r="BD9" s="282">
        <f t="shared" si="15"/>
        <v>0.000913548691557878</v>
      </c>
    </row>
    <row r="10" spans="2:56">
      <c r="B10" s="198"/>
      <c r="C10" s="25" t="s">
        <v>27</v>
      </c>
      <c r="D10" s="288">
        <v>141.392871269026</v>
      </c>
      <c r="E10" s="288">
        <v>163.26991197797</v>
      </c>
      <c r="F10" s="288">
        <v>232.81328838207</v>
      </c>
      <c r="G10" s="288">
        <v>209.460997446141</v>
      </c>
      <c r="H10" s="288">
        <v>207.203382625034</v>
      </c>
      <c r="I10" s="288">
        <v>218.461970188241</v>
      </c>
      <c r="J10" s="288">
        <v>211.390305040494</v>
      </c>
      <c r="K10" s="288">
        <v>184.245780359905</v>
      </c>
      <c r="L10" s="288">
        <v>210.326467256779</v>
      </c>
      <c r="M10" s="288">
        <v>215.476867036924</v>
      </c>
      <c r="N10" s="288">
        <v>196.946747597867</v>
      </c>
      <c r="O10" s="288">
        <v>226.765568414058</v>
      </c>
      <c r="P10" s="296">
        <f t="shared" si="13"/>
        <v>2417.75415759451</v>
      </c>
      <c r="Q10" s="312">
        <f t="shared" si="16"/>
        <v>6.60126839586112</v>
      </c>
      <c r="R10" s="313">
        <f t="shared" si="17"/>
        <v>0.115608010931541</v>
      </c>
      <c r="S10" s="282">
        <f t="shared" si="18"/>
        <v>0.0307624335505325</v>
      </c>
      <c r="T10" s="282"/>
      <c r="U10" s="282"/>
      <c r="V10" s="201">
        <f t="shared" si="2"/>
        <v>304.662783246997</v>
      </c>
      <c r="W10" s="201">
        <f t="shared" si="3"/>
        <v>537.476071629067</v>
      </c>
      <c r="X10" s="201">
        <f t="shared" si="4"/>
        <v>746.937069075208</v>
      </c>
      <c r="Y10" s="201">
        <f t="shared" si="5"/>
        <v>954.140451700243</v>
      </c>
      <c r="Z10" s="201">
        <f t="shared" si="6"/>
        <v>1172.60242188848</v>
      </c>
      <c r="AA10" s="331">
        <f t="shared" si="7"/>
        <v>1383.99272692898</v>
      </c>
      <c r="AB10" s="331">
        <f t="shared" si="8"/>
        <v>1568.23850728888</v>
      </c>
      <c r="AC10" s="331">
        <f t="shared" si="9"/>
        <v>1778.56497454566</v>
      </c>
      <c r="AD10" s="331">
        <f t="shared" si="10"/>
        <v>1994.04184158259</v>
      </c>
      <c r="AE10" s="331">
        <f t="shared" si="11"/>
        <v>2190.98858918045</v>
      </c>
      <c r="AF10" s="331">
        <f t="shared" si="12"/>
        <v>2417.75415759451</v>
      </c>
      <c r="AH10" s="295">
        <f t="shared" si="19"/>
        <v>8.51084680970463</v>
      </c>
      <c r="AI10" s="295">
        <f t="shared" si="14"/>
        <v>9.62632216264404</v>
      </c>
      <c r="AJ10" s="295">
        <f t="shared" si="14"/>
        <v>8.9051476456622</v>
      </c>
      <c r="AK10" s="295">
        <f t="shared" si="14"/>
        <v>7.65326701237852</v>
      </c>
      <c r="AL10" s="295">
        <f t="shared" si="14"/>
        <v>7.53372966962732</v>
      </c>
      <c r="AM10" s="295">
        <f t="shared" si="14"/>
        <v>7.279421466669</v>
      </c>
      <c r="AN10" s="295">
        <f t="shared" si="14"/>
        <v>7.2703939105288</v>
      </c>
      <c r="AO10" s="295">
        <f t="shared" si="14"/>
        <v>6.95278834173421</v>
      </c>
      <c r="AP10" s="295">
        <f t="shared" si="14"/>
        <v>6.7141038394258</v>
      </c>
      <c r="AQ10" s="295">
        <f t="shared" si="14"/>
        <v>6.44213249862675</v>
      </c>
      <c r="AR10" s="295">
        <f t="shared" si="14"/>
        <v>6.60126839586112</v>
      </c>
      <c r="AT10" s="282">
        <f t="shared" si="20"/>
        <v>0.039661220199205</v>
      </c>
      <c r="AU10" s="282">
        <f t="shared" si="15"/>
        <v>0.0448594236904568</v>
      </c>
      <c r="AV10" s="282">
        <f t="shared" si="15"/>
        <v>0.0414986933237138</v>
      </c>
      <c r="AW10" s="282">
        <f t="shared" si="15"/>
        <v>0.0356648304226487</v>
      </c>
      <c r="AX10" s="282">
        <f t="shared" si="15"/>
        <v>0.0351077769379734</v>
      </c>
      <c r="AY10" s="282">
        <f t="shared" si="15"/>
        <v>0.0339226805707714</v>
      </c>
      <c r="AZ10" s="282">
        <f t="shared" si="15"/>
        <v>0.0338806114441683</v>
      </c>
      <c r="BA10" s="282">
        <f t="shared" si="15"/>
        <v>0.0324005443389664</v>
      </c>
      <c r="BB10" s="282">
        <f t="shared" si="15"/>
        <v>0.0312882556542027</v>
      </c>
      <c r="BC10" s="282">
        <f t="shared" si="15"/>
        <v>0.030020847665728</v>
      </c>
      <c r="BD10" s="282">
        <f t="shared" si="15"/>
        <v>0.0307624335505325</v>
      </c>
    </row>
    <row r="11" spans="2:56">
      <c r="B11" s="198"/>
      <c r="C11" s="25" t="s">
        <v>28</v>
      </c>
      <c r="D11" s="288">
        <v>107.270644949949</v>
      </c>
      <c r="E11" s="288">
        <v>78.5090381909789</v>
      </c>
      <c r="F11" s="288">
        <v>102.152773893042</v>
      </c>
      <c r="G11" s="288">
        <v>76.2249128056127</v>
      </c>
      <c r="H11" s="288">
        <v>76.0697901636523</v>
      </c>
      <c r="I11" s="288">
        <v>87.4588050771815</v>
      </c>
      <c r="J11" s="288">
        <v>97.956077138351</v>
      </c>
      <c r="K11" s="288">
        <v>105.767315911161</v>
      </c>
      <c r="L11" s="288">
        <v>91.5845488664677</v>
      </c>
      <c r="M11" s="288">
        <v>101.630370234465</v>
      </c>
      <c r="N11" s="288">
        <v>93.1260137561197</v>
      </c>
      <c r="O11" s="288">
        <v>73.2818763496063</v>
      </c>
      <c r="P11" s="296">
        <f t="shared" si="13"/>
        <v>1091.03216733659</v>
      </c>
      <c r="Q11" s="312">
        <f t="shared" si="16"/>
        <v>2.97887861860717</v>
      </c>
      <c r="R11" s="313">
        <f t="shared" si="17"/>
        <v>0.0521691001262111</v>
      </c>
      <c r="S11" s="282">
        <f t="shared" si="18"/>
        <v>0.013881810292316</v>
      </c>
      <c r="T11" s="282"/>
      <c r="U11" s="282"/>
      <c r="V11" s="201">
        <f t="shared" si="2"/>
        <v>185.779683140928</v>
      </c>
      <c r="W11" s="201">
        <f t="shared" si="3"/>
        <v>287.93245703397</v>
      </c>
      <c r="X11" s="201">
        <f t="shared" si="4"/>
        <v>364.157369839582</v>
      </c>
      <c r="Y11" s="201">
        <f t="shared" si="5"/>
        <v>440.227160003235</v>
      </c>
      <c r="Z11" s="201">
        <f t="shared" si="6"/>
        <v>527.685965080416</v>
      </c>
      <c r="AA11" s="331">
        <f t="shared" si="7"/>
        <v>625.642042218767</v>
      </c>
      <c r="AB11" s="331">
        <f t="shared" si="8"/>
        <v>731.409358129928</v>
      </c>
      <c r="AC11" s="331">
        <f t="shared" si="9"/>
        <v>822.993906996396</v>
      </c>
      <c r="AD11" s="331">
        <f t="shared" si="10"/>
        <v>924.624277230861</v>
      </c>
      <c r="AE11" s="331">
        <f t="shared" si="11"/>
        <v>1017.75029098698</v>
      </c>
      <c r="AF11" s="331">
        <f t="shared" si="12"/>
        <v>1091.03216733659</v>
      </c>
      <c r="AH11" s="295">
        <f t="shared" si="19"/>
        <v>5.18981152445534</v>
      </c>
      <c r="AI11" s="295">
        <f t="shared" si="14"/>
        <v>5.15693765508417</v>
      </c>
      <c r="AJ11" s="295">
        <f t="shared" si="14"/>
        <v>4.34156407405585</v>
      </c>
      <c r="AK11" s="295">
        <f t="shared" si="14"/>
        <v>3.53111116461113</v>
      </c>
      <c r="AL11" s="295">
        <f t="shared" si="14"/>
        <v>3.39027392163303</v>
      </c>
      <c r="AM11" s="295">
        <f t="shared" si="14"/>
        <v>3.29070523562921</v>
      </c>
      <c r="AN11" s="295">
        <f t="shared" si="14"/>
        <v>3.39083252881257</v>
      </c>
      <c r="AO11" s="295">
        <f t="shared" si="14"/>
        <v>3.21725802755368</v>
      </c>
      <c r="AP11" s="295">
        <f t="shared" si="14"/>
        <v>3.11328643177065</v>
      </c>
      <c r="AQ11" s="295">
        <f t="shared" si="14"/>
        <v>2.99247666438397</v>
      </c>
      <c r="AR11" s="295">
        <f t="shared" si="14"/>
        <v>2.97887861860717</v>
      </c>
      <c r="AT11" s="282">
        <f t="shared" si="20"/>
        <v>0.0241849327412507</v>
      </c>
      <c r="AU11" s="282">
        <f t="shared" si="15"/>
        <v>0.0240317379063439</v>
      </c>
      <c r="AV11" s="282">
        <f t="shared" si="15"/>
        <v>0.0202320324405019</v>
      </c>
      <c r="AW11" s="282">
        <f t="shared" si="15"/>
        <v>0.0164552576939607</v>
      </c>
      <c r="AX11" s="282">
        <f t="shared" si="15"/>
        <v>0.0157989449872587</v>
      </c>
      <c r="AY11" s="282">
        <f t="shared" si="15"/>
        <v>0.0153349470245601</v>
      </c>
      <c r="AZ11" s="282">
        <f t="shared" si="15"/>
        <v>0.0158015481409575</v>
      </c>
      <c r="BA11" s="282">
        <f t="shared" si="15"/>
        <v>0.0149926772178496</v>
      </c>
      <c r="BB11" s="282">
        <f t="shared" si="15"/>
        <v>0.0145081613468658</v>
      </c>
      <c r="BC11" s="282">
        <f t="shared" si="15"/>
        <v>0.0139451782626121</v>
      </c>
      <c r="BD11" s="282">
        <f t="shared" si="15"/>
        <v>0.013881810292316</v>
      </c>
    </row>
    <row r="12" spans="2:56">
      <c r="B12" s="198"/>
      <c r="C12" s="25" t="s">
        <v>29</v>
      </c>
      <c r="D12" s="288">
        <v>112.398140264806</v>
      </c>
      <c r="E12" s="288">
        <v>128.419598128931</v>
      </c>
      <c r="F12" s="288">
        <v>125.550486892246</v>
      </c>
      <c r="G12" s="288">
        <v>145.570681355678</v>
      </c>
      <c r="H12" s="288">
        <v>147.185165731989</v>
      </c>
      <c r="I12" s="288">
        <v>175.529711093431</v>
      </c>
      <c r="J12" s="288">
        <v>151.579736055512</v>
      </c>
      <c r="K12" s="288">
        <v>63.2114775611833</v>
      </c>
      <c r="L12" s="288">
        <v>89.0060776761635</v>
      </c>
      <c r="M12" s="288">
        <v>169.34532395734</v>
      </c>
      <c r="N12" s="288">
        <v>133.352317215355</v>
      </c>
      <c r="O12" s="288">
        <v>81.2840373563375</v>
      </c>
      <c r="P12" s="296">
        <f t="shared" si="13"/>
        <v>1522.43275328897</v>
      </c>
      <c r="Q12" s="312">
        <f t="shared" si="16"/>
        <v>4.15674488141893</v>
      </c>
      <c r="R12" s="313">
        <f t="shared" si="17"/>
        <v>0.0727970715434031</v>
      </c>
      <c r="S12" s="282">
        <f t="shared" si="18"/>
        <v>0.0193707603649837</v>
      </c>
      <c r="T12" s="282"/>
      <c r="U12" s="282"/>
      <c r="V12" s="201">
        <f t="shared" si="2"/>
        <v>240.817738393736</v>
      </c>
      <c r="W12" s="201">
        <f t="shared" si="3"/>
        <v>366.368225285983</v>
      </c>
      <c r="X12" s="201">
        <f t="shared" si="4"/>
        <v>511.938906641661</v>
      </c>
      <c r="Y12" s="201">
        <f t="shared" si="5"/>
        <v>659.12407237365</v>
      </c>
      <c r="Z12" s="201">
        <f t="shared" si="6"/>
        <v>834.65378346708</v>
      </c>
      <c r="AA12" s="331">
        <f t="shared" si="7"/>
        <v>986.233519522592</v>
      </c>
      <c r="AB12" s="331">
        <f t="shared" si="8"/>
        <v>1049.44499708378</v>
      </c>
      <c r="AC12" s="331">
        <f t="shared" si="9"/>
        <v>1138.45107475994</v>
      </c>
      <c r="AD12" s="331">
        <f t="shared" si="10"/>
        <v>1307.79639871728</v>
      </c>
      <c r="AE12" s="331">
        <f t="shared" si="11"/>
        <v>1441.14871593263</v>
      </c>
      <c r="AF12" s="331">
        <f t="shared" si="12"/>
        <v>1522.43275328897</v>
      </c>
      <c r="AH12" s="295">
        <f t="shared" si="19"/>
        <v>6.72731621068068</v>
      </c>
      <c r="AI12" s="295">
        <f t="shared" si="14"/>
        <v>6.56174061120433</v>
      </c>
      <c r="AJ12" s="295">
        <f t="shared" si="14"/>
        <v>6.10344798504549</v>
      </c>
      <c r="AK12" s="295">
        <f t="shared" si="14"/>
        <v>5.28690772010852</v>
      </c>
      <c r="AL12" s="295">
        <f t="shared" si="14"/>
        <v>5.36247909350698</v>
      </c>
      <c r="AM12" s="295">
        <f t="shared" si="14"/>
        <v>5.18731732723166</v>
      </c>
      <c r="AN12" s="295">
        <f t="shared" si="14"/>
        <v>4.86525390160395</v>
      </c>
      <c r="AO12" s="295">
        <f t="shared" si="14"/>
        <v>4.45044711523553</v>
      </c>
      <c r="AP12" s="295">
        <f t="shared" si="14"/>
        <v>4.40345866305697</v>
      </c>
      <c r="AQ12" s="295">
        <f t="shared" si="14"/>
        <v>4.23738901430635</v>
      </c>
      <c r="AR12" s="295">
        <f t="shared" si="14"/>
        <v>4.15674488141893</v>
      </c>
      <c r="AT12" s="282">
        <f t="shared" si="20"/>
        <v>0.031349826350681</v>
      </c>
      <c r="AU12" s="282">
        <f t="shared" si="15"/>
        <v>0.0305782309433992</v>
      </c>
      <c r="AV12" s="282">
        <f t="shared" si="15"/>
        <v>0.0284425510083507</v>
      </c>
      <c r="AW12" s="282">
        <f t="shared" si="15"/>
        <v>0.0246374087030921</v>
      </c>
      <c r="AX12" s="282">
        <f t="shared" si="15"/>
        <v>0.0249895772884431</v>
      </c>
      <c r="AY12" s="282">
        <f t="shared" si="15"/>
        <v>0.0241733095846459</v>
      </c>
      <c r="AZ12" s="282">
        <f t="shared" si="15"/>
        <v>0.0226724685135359</v>
      </c>
      <c r="BA12" s="282">
        <f t="shared" si="15"/>
        <v>0.0207394360360245</v>
      </c>
      <c r="BB12" s="282">
        <f t="shared" si="15"/>
        <v>0.0205204661273489</v>
      </c>
      <c r="BC12" s="282">
        <f t="shared" si="15"/>
        <v>0.0197465684113199</v>
      </c>
      <c r="BD12" s="282">
        <f t="shared" si="15"/>
        <v>0.0193707603649837</v>
      </c>
    </row>
    <row r="13" spans="2:56">
      <c r="B13" s="198" t="s">
        <v>30</v>
      </c>
      <c r="C13" s="25" t="s">
        <v>31</v>
      </c>
      <c r="D13" s="288">
        <v>176.222992701842</v>
      </c>
      <c r="E13" s="288">
        <v>187.427946092519</v>
      </c>
      <c r="F13" s="288">
        <v>161.898888375178</v>
      </c>
      <c r="G13" s="288">
        <v>381.844880752668</v>
      </c>
      <c r="H13" s="288">
        <v>379.491401729751</v>
      </c>
      <c r="I13" s="288">
        <v>380.580908383167</v>
      </c>
      <c r="J13" s="288">
        <v>335.676452016842</v>
      </c>
      <c r="K13" s="288">
        <v>348.852218551434</v>
      </c>
      <c r="L13" s="288">
        <v>419.638421274674</v>
      </c>
      <c r="M13" s="288">
        <v>436.152028590384</v>
      </c>
      <c r="N13" s="288">
        <v>417.889296821457</v>
      </c>
      <c r="O13" s="288">
        <v>362.92421418681</v>
      </c>
      <c r="P13" s="296">
        <f t="shared" si="13"/>
        <v>3988.59964947673</v>
      </c>
      <c r="Q13" s="312">
        <f t="shared" si="16"/>
        <v>10.8901960636187</v>
      </c>
      <c r="R13" s="313">
        <f t="shared" si="17"/>
        <v>0.19071999956233</v>
      </c>
      <c r="S13" s="282">
        <f t="shared" si="18"/>
        <v>0.0507491761688383</v>
      </c>
      <c r="T13" s="282"/>
      <c r="U13" s="282"/>
      <c r="V13" s="201">
        <f t="shared" si="2"/>
        <v>363.650938794361</v>
      </c>
      <c r="W13" s="201">
        <f t="shared" si="3"/>
        <v>525.54982716954</v>
      </c>
      <c r="X13" s="201">
        <f t="shared" si="4"/>
        <v>907.394707922208</v>
      </c>
      <c r="Y13" s="201">
        <f t="shared" si="5"/>
        <v>1286.88610965196</v>
      </c>
      <c r="Z13" s="201">
        <f t="shared" si="6"/>
        <v>1667.46701803513</v>
      </c>
      <c r="AA13" s="331">
        <f t="shared" si="7"/>
        <v>2003.14347005197</v>
      </c>
      <c r="AB13" s="331">
        <f t="shared" si="8"/>
        <v>2351.9956886034</v>
      </c>
      <c r="AC13" s="331">
        <f t="shared" si="9"/>
        <v>2771.63410987808</v>
      </c>
      <c r="AD13" s="331">
        <f t="shared" si="10"/>
        <v>3207.78613846846</v>
      </c>
      <c r="AE13" s="331">
        <f t="shared" si="11"/>
        <v>3625.67543528992</v>
      </c>
      <c r="AF13" s="331">
        <f t="shared" si="12"/>
        <v>3988.59964947673</v>
      </c>
      <c r="AH13" s="295">
        <f t="shared" si="19"/>
        <v>10.1586987399604</v>
      </c>
      <c r="AI13" s="295">
        <f t="shared" si="14"/>
        <v>9.41272033473403</v>
      </c>
      <c r="AJ13" s="295">
        <f t="shared" si="14"/>
        <v>10.8181588268799</v>
      </c>
      <c r="AK13" s="295">
        <f t="shared" si="14"/>
        <v>10.3222570577918</v>
      </c>
      <c r="AL13" s="295">
        <f t="shared" si="14"/>
        <v>10.7131330384468</v>
      </c>
      <c r="AM13" s="295">
        <f t="shared" si="14"/>
        <v>10.535984252656</v>
      </c>
      <c r="AN13" s="295">
        <f t="shared" si="14"/>
        <v>10.9039122891925</v>
      </c>
      <c r="AO13" s="295">
        <f t="shared" si="14"/>
        <v>10.8349065693458</v>
      </c>
      <c r="AP13" s="295">
        <f t="shared" si="14"/>
        <v>10.8008812950758</v>
      </c>
      <c r="AQ13" s="295">
        <f t="shared" si="14"/>
        <v>10.6605217692579</v>
      </c>
      <c r="AR13" s="295">
        <f t="shared" si="14"/>
        <v>10.8901960636187</v>
      </c>
      <c r="AT13" s="282">
        <f t="shared" si="20"/>
        <v>0.0473403407054083</v>
      </c>
      <c r="AU13" s="282">
        <f t="shared" si="15"/>
        <v>0.0438640222549578</v>
      </c>
      <c r="AV13" s="282">
        <f t="shared" si="15"/>
        <v>0.050413476940228</v>
      </c>
      <c r="AW13" s="282">
        <f t="shared" si="15"/>
        <v>0.0481025354204543</v>
      </c>
      <c r="AX13" s="282">
        <f t="shared" si="15"/>
        <v>0.0499240484480018</v>
      </c>
      <c r="AY13" s="282">
        <f t="shared" si="15"/>
        <v>0.049098521075889</v>
      </c>
      <c r="AZ13" s="282">
        <f t="shared" si="15"/>
        <v>0.0508130948663485</v>
      </c>
      <c r="BA13" s="282">
        <f t="shared" si="15"/>
        <v>0.0504915227465539</v>
      </c>
      <c r="BB13" s="282">
        <f t="shared" si="15"/>
        <v>0.0503329622736264</v>
      </c>
      <c r="BC13" s="282">
        <f t="shared" si="15"/>
        <v>0.0496788757667263</v>
      </c>
      <c r="BD13" s="282">
        <f t="shared" si="15"/>
        <v>0.0507491761688383</v>
      </c>
    </row>
    <row r="14" spans="2:56">
      <c r="B14" s="198"/>
      <c r="C14" s="25" t="s">
        <v>32</v>
      </c>
      <c r="D14" s="288">
        <v>6.17779531638048</v>
      </c>
      <c r="E14" s="288">
        <v>8.87026220223422</v>
      </c>
      <c r="F14" s="288">
        <v>8.82872621177444</v>
      </c>
      <c r="G14" s="288">
        <v>12.1199581466941</v>
      </c>
      <c r="H14" s="288">
        <v>17.1132201201933</v>
      </c>
      <c r="I14" s="288">
        <v>27.6489398774336</v>
      </c>
      <c r="J14" s="288">
        <v>20.138327417787</v>
      </c>
      <c r="K14" s="288">
        <v>15.2698979784316</v>
      </c>
      <c r="L14" s="288">
        <v>17.9663059298857</v>
      </c>
      <c r="M14" s="288">
        <v>19.8268631893736</v>
      </c>
      <c r="N14" s="288">
        <v>22.7829673135156</v>
      </c>
      <c r="O14" s="288">
        <v>29.78802657149</v>
      </c>
      <c r="P14" s="296">
        <f t="shared" si="13"/>
        <v>206.531290275194</v>
      </c>
      <c r="Q14" s="312">
        <f t="shared" si="16"/>
        <v>0.563898721864471</v>
      </c>
      <c r="R14" s="313">
        <f t="shared" si="17"/>
        <v>0.00987555810372194</v>
      </c>
      <c r="S14" s="282">
        <f t="shared" si="18"/>
        <v>0.00262781270512531</v>
      </c>
      <c r="T14" s="282"/>
      <c r="U14" s="282"/>
      <c r="V14" s="201">
        <f t="shared" si="2"/>
        <v>15.0480575186147</v>
      </c>
      <c r="W14" s="201">
        <f t="shared" si="3"/>
        <v>23.8767837303891</v>
      </c>
      <c r="X14" s="201">
        <f t="shared" si="4"/>
        <v>35.9967418770832</v>
      </c>
      <c r="Y14" s="201">
        <f t="shared" si="5"/>
        <v>53.1099619972766</v>
      </c>
      <c r="Z14" s="201">
        <f t="shared" si="6"/>
        <v>80.7589018747102</v>
      </c>
      <c r="AA14" s="331">
        <f t="shared" si="7"/>
        <v>100.897229292497</v>
      </c>
      <c r="AB14" s="331">
        <f t="shared" si="8"/>
        <v>116.167127270929</v>
      </c>
      <c r="AC14" s="331">
        <f t="shared" si="9"/>
        <v>134.133433200814</v>
      </c>
      <c r="AD14" s="331">
        <f t="shared" si="10"/>
        <v>153.960296390188</v>
      </c>
      <c r="AE14" s="331">
        <f t="shared" si="11"/>
        <v>176.743263703704</v>
      </c>
      <c r="AF14" s="331">
        <f t="shared" si="12"/>
        <v>206.531290275194</v>
      </c>
      <c r="AH14" s="295">
        <f t="shared" si="19"/>
        <v>0.420372028902274</v>
      </c>
      <c r="AI14" s="295">
        <f t="shared" si="14"/>
        <v>0.427638781573757</v>
      </c>
      <c r="AJ14" s="295">
        <f t="shared" si="14"/>
        <v>0.429161055796979</v>
      </c>
      <c r="AK14" s="295">
        <f t="shared" si="14"/>
        <v>0.426000930427097</v>
      </c>
      <c r="AL14" s="295">
        <f t="shared" si="14"/>
        <v>0.518859354017168</v>
      </c>
      <c r="AM14" s="295">
        <f t="shared" si="14"/>
        <v>0.530691702743984</v>
      </c>
      <c r="AN14" s="295">
        <f t="shared" si="14"/>
        <v>0.538553779153317</v>
      </c>
      <c r="AO14" s="295">
        <f t="shared" si="14"/>
        <v>0.52435608703789</v>
      </c>
      <c r="AP14" s="295">
        <f t="shared" si="14"/>
        <v>0.518397054442994</v>
      </c>
      <c r="AQ14" s="295">
        <f t="shared" si="14"/>
        <v>0.519675697373159</v>
      </c>
      <c r="AR14" s="295">
        <f t="shared" si="14"/>
        <v>0.563898721864471</v>
      </c>
      <c r="AT14" s="282">
        <f t="shared" si="20"/>
        <v>0.00195896694849079</v>
      </c>
      <c r="AU14" s="282">
        <f t="shared" si="15"/>
        <v>0.00199283059147261</v>
      </c>
      <c r="AV14" s="282">
        <f t="shared" si="15"/>
        <v>0.00199992450991819</v>
      </c>
      <c r="AW14" s="282">
        <f t="shared" si="15"/>
        <v>0.00198519807541004</v>
      </c>
      <c r="AX14" s="282">
        <f t="shared" si="15"/>
        <v>0.00241792568380235</v>
      </c>
      <c r="AY14" s="282">
        <f t="shared" si="15"/>
        <v>0.00247306536600095</v>
      </c>
      <c r="AZ14" s="282">
        <f t="shared" si="15"/>
        <v>0.00250970326475128</v>
      </c>
      <c r="BA14" s="282">
        <f t="shared" si="15"/>
        <v>0.00244354089502464</v>
      </c>
      <c r="BB14" s="282">
        <f t="shared" si="15"/>
        <v>0.0024157713311722</v>
      </c>
      <c r="BC14" s="282">
        <f t="shared" si="15"/>
        <v>0.00242172990849633</v>
      </c>
      <c r="BD14" s="282">
        <f t="shared" si="15"/>
        <v>0.00262781270512531</v>
      </c>
    </row>
    <row r="15" spans="2:56">
      <c r="B15" s="198"/>
      <c r="C15" s="25" t="s">
        <v>33</v>
      </c>
      <c r="D15" s="288">
        <v>3.02049182575838</v>
      </c>
      <c r="E15" s="288">
        <v>-0.0187350440711429</v>
      </c>
      <c r="F15" s="288">
        <v>11.6665191583699</v>
      </c>
      <c r="G15" s="288">
        <v>13.9015974588241</v>
      </c>
      <c r="H15" s="288">
        <v>27.8637988554381</v>
      </c>
      <c r="I15" s="288">
        <v>20.1698389069972</v>
      </c>
      <c r="J15" s="288">
        <v>19.4090811807188</v>
      </c>
      <c r="K15" s="288">
        <v>-43.3434114438774</v>
      </c>
      <c r="L15" s="288">
        <v>-43.6387531390835</v>
      </c>
      <c r="M15" s="288">
        <v>37.2175974265534</v>
      </c>
      <c r="N15" s="288">
        <v>33.5985888918924</v>
      </c>
      <c r="O15" s="288">
        <v>13.8960269883062</v>
      </c>
      <c r="P15" s="296">
        <f t="shared" si="13"/>
        <v>93.7426410658265</v>
      </c>
      <c r="Q15" s="312">
        <f t="shared" si="16"/>
        <v>0.255948410581196</v>
      </c>
      <c r="R15" s="313">
        <f t="shared" si="17"/>
        <v>0.00448242441815177</v>
      </c>
      <c r="S15" s="282">
        <f t="shared" si="18"/>
        <v>0.00119273986463042</v>
      </c>
      <c r="T15" s="282"/>
      <c r="U15" s="282"/>
      <c r="V15" s="201">
        <f t="shared" si="2"/>
        <v>3.00175678168724</v>
      </c>
      <c r="W15" s="201">
        <f t="shared" si="3"/>
        <v>14.6682759400572</v>
      </c>
      <c r="X15" s="201">
        <f t="shared" si="4"/>
        <v>28.5698733988812</v>
      </c>
      <c r="Y15" s="201">
        <f t="shared" si="5"/>
        <v>56.4336722543193</v>
      </c>
      <c r="Z15" s="201">
        <f t="shared" si="6"/>
        <v>76.6035111613166</v>
      </c>
      <c r="AA15" s="331">
        <f t="shared" si="7"/>
        <v>96.0125923420354</v>
      </c>
      <c r="AB15" s="331">
        <f t="shared" si="8"/>
        <v>52.669180898158</v>
      </c>
      <c r="AC15" s="331">
        <f t="shared" si="9"/>
        <v>9.03042775907447</v>
      </c>
      <c r="AD15" s="331">
        <f t="shared" si="10"/>
        <v>46.2480251856279</v>
      </c>
      <c r="AE15" s="331">
        <f t="shared" si="11"/>
        <v>79.8466140775203</v>
      </c>
      <c r="AF15" s="331">
        <f t="shared" si="12"/>
        <v>93.7426410658265</v>
      </c>
      <c r="AH15" s="295">
        <f t="shared" si="19"/>
        <v>0.0838549817495109</v>
      </c>
      <c r="AI15" s="295">
        <f t="shared" si="14"/>
        <v>0.262712253108449</v>
      </c>
      <c r="AJ15" s="295">
        <f t="shared" si="14"/>
        <v>0.340616300045081</v>
      </c>
      <c r="AK15" s="295">
        <f t="shared" si="14"/>
        <v>0.452660781210701</v>
      </c>
      <c r="AL15" s="295">
        <f t="shared" si="14"/>
        <v>0.49216182233719</v>
      </c>
      <c r="AM15" s="295">
        <f t="shared" si="14"/>
        <v>0.504999854526705</v>
      </c>
      <c r="AN15" s="295">
        <f t="shared" si="14"/>
        <v>0.244175672446978</v>
      </c>
      <c r="AO15" s="295">
        <f t="shared" si="14"/>
        <v>0.0353018606251396</v>
      </c>
      <c r="AP15" s="295">
        <f t="shared" si="14"/>
        <v>0.155720926707457</v>
      </c>
      <c r="AQ15" s="295">
        <f t="shared" si="14"/>
        <v>0.234771860517315</v>
      </c>
      <c r="AR15" s="295">
        <f t="shared" si="14"/>
        <v>0.255948410581196</v>
      </c>
      <c r="AT15" s="282">
        <f t="shared" si="20"/>
        <v>0.000390770856335398</v>
      </c>
      <c r="AU15" s="282">
        <f t="shared" si="15"/>
        <v>0.00122425990650924</v>
      </c>
      <c r="AV15" s="282">
        <f t="shared" si="15"/>
        <v>0.00158729893529775</v>
      </c>
      <c r="AW15" s="282">
        <f t="shared" si="15"/>
        <v>0.00210943509154347</v>
      </c>
      <c r="AX15" s="282">
        <f t="shared" si="15"/>
        <v>0.00229351307170746</v>
      </c>
      <c r="AY15" s="282">
        <f t="shared" si="15"/>
        <v>0.00235333931849318</v>
      </c>
      <c r="AZ15" s="282">
        <f t="shared" si="15"/>
        <v>0.00113787797251454</v>
      </c>
      <c r="BA15" s="282">
        <f t="shared" si="15"/>
        <v>0.000164509466449191</v>
      </c>
      <c r="BB15" s="282">
        <f t="shared" si="15"/>
        <v>0.000725671851680651</v>
      </c>
      <c r="BC15" s="282">
        <f t="shared" si="15"/>
        <v>0.00109405546413276</v>
      </c>
      <c r="BD15" s="282">
        <f t="shared" si="15"/>
        <v>0.00119273986463042</v>
      </c>
    </row>
    <row r="16" spans="2:56">
      <c r="B16" s="198"/>
      <c r="C16" s="25" t="s">
        <v>34</v>
      </c>
      <c r="D16" s="288">
        <v>-14.2843691435711</v>
      </c>
      <c r="E16" s="288">
        <v>-25.6302233017881</v>
      </c>
      <c r="F16" s="288">
        <v>-32.1679986445701</v>
      </c>
      <c r="G16" s="288">
        <v>-35.0839660331022</v>
      </c>
      <c r="H16" s="288">
        <v>-47.5241605828947</v>
      </c>
      <c r="I16" s="288">
        <v>-37.5200118631066</v>
      </c>
      <c r="J16" s="288">
        <v>-44.5397499502758</v>
      </c>
      <c r="K16" s="288">
        <v>-30.5171949188624</v>
      </c>
      <c r="L16" s="288">
        <v>-52.371621916799</v>
      </c>
      <c r="M16" s="288">
        <v>-55.7666421688496</v>
      </c>
      <c r="N16" s="288">
        <v>-47.0802919967125</v>
      </c>
      <c r="O16" s="288">
        <v>-34.8878196909668</v>
      </c>
      <c r="P16" s="296">
        <f t="shared" si="13"/>
        <v>-457.374050211499</v>
      </c>
      <c r="Q16" s="312">
        <f t="shared" si="16"/>
        <v>-1.24878240960284</v>
      </c>
      <c r="R16" s="313">
        <f t="shared" si="17"/>
        <v>-0.0218699258692464</v>
      </c>
      <c r="S16" s="282">
        <f t="shared" si="18"/>
        <v>-0.00581942493333058</v>
      </c>
      <c r="T16" s="282"/>
      <c r="U16" s="282"/>
      <c r="V16" s="201">
        <f t="shared" si="2"/>
        <v>-39.9145924453592</v>
      </c>
      <c r="W16" s="201">
        <f t="shared" si="3"/>
        <v>-72.0825910899293</v>
      </c>
      <c r="X16" s="201">
        <f t="shared" si="4"/>
        <v>-107.166557123031</v>
      </c>
      <c r="Y16" s="201">
        <f t="shared" si="5"/>
        <v>-154.690717705926</v>
      </c>
      <c r="Z16" s="201">
        <f t="shared" si="6"/>
        <v>-192.210729569033</v>
      </c>
      <c r="AA16" s="331">
        <f t="shared" si="7"/>
        <v>-236.750479519308</v>
      </c>
      <c r="AB16" s="331">
        <f t="shared" si="8"/>
        <v>-267.267674438171</v>
      </c>
      <c r="AC16" s="331">
        <f t="shared" si="9"/>
        <v>-319.63929635497</v>
      </c>
      <c r="AD16" s="331">
        <f t="shared" si="10"/>
        <v>-375.405938523819</v>
      </c>
      <c r="AE16" s="331">
        <f t="shared" si="11"/>
        <v>-422.486230520532</v>
      </c>
      <c r="AF16" s="331">
        <f t="shared" si="12"/>
        <v>-457.374050211499</v>
      </c>
      <c r="AH16" s="295">
        <f t="shared" si="19"/>
        <v>-1.11502618781907</v>
      </c>
      <c r="AI16" s="295">
        <f t="shared" si="14"/>
        <v>-1.29101606709047</v>
      </c>
      <c r="AJ16" s="295">
        <f t="shared" si="14"/>
        <v>-1.27766321068984</v>
      </c>
      <c r="AK16" s="295">
        <f t="shared" si="14"/>
        <v>-1.24079150488827</v>
      </c>
      <c r="AL16" s="295">
        <f t="shared" si="14"/>
        <v>-1.23491445109146</v>
      </c>
      <c r="AM16" s="295">
        <f t="shared" si="14"/>
        <v>-1.24524247080489</v>
      </c>
      <c r="AN16" s="295">
        <f t="shared" si="14"/>
        <v>-1.23905978821787</v>
      </c>
      <c r="AO16" s="295">
        <f t="shared" si="14"/>
        <v>-1.24953791683921</v>
      </c>
      <c r="AP16" s="295">
        <f t="shared" si="14"/>
        <v>-1.26402285078712</v>
      </c>
      <c r="AQ16" s="295">
        <f t="shared" si="14"/>
        <v>-1.24223023766486</v>
      </c>
      <c r="AR16" s="295">
        <f t="shared" si="14"/>
        <v>-1.24878240960284</v>
      </c>
      <c r="AT16" s="282">
        <f t="shared" si="20"/>
        <v>-0.00519611034621676</v>
      </c>
      <c r="AU16" s="282">
        <f t="shared" si="15"/>
        <v>-0.0060162371221629</v>
      </c>
      <c r="AV16" s="282">
        <f t="shared" si="15"/>
        <v>-0.00595401175377888</v>
      </c>
      <c r="AW16" s="282">
        <f t="shared" si="15"/>
        <v>-0.00578218668447455</v>
      </c>
      <c r="AX16" s="282">
        <f t="shared" si="15"/>
        <v>-0.00575479914831396</v>
      </c>
      <c r="AY16" s="282">
        <f t="shared" si="15"/>
        <v>-0.00580292853816608</v>
      </c>
      <c r="AZ16" s="282">
        <f t="shared" si="15"/>
        <v>-0.00577411674763709</v>
      </c>
      <c r="BA16" s="282">
        <f t="shared" si="15"/>
        <v>-0.00582294565688882</v>
      </c>
      <c r="BB16" s="282">
        <f t="shared" si="15"/>
        <v>-0.00589044659630464</v>
      </c>
      <c r="BC16" s="282">
        <f t="shared" si="15"/>
        <v>-0.00578889129316224</v>
      </c>
      <c r="BD16" s="282">
        <f t="shared" si="15"/>
        <v>-0.00581942493333058</v>
      </c>
    </row>
    <row r="17" spans="2:56">
      <c r="B17" s="198"/>
      <c r="C17" s="25" t="s">
        <v>35</v>
      </c>
      <c r="D17" s="288">
        <v>15.2609388569774</v>
      </c>
      <c r="E17" s="288">
        <v>16.7289579851132</v>
      </c>
      <c r="F17" s="288">
        <v>28.9022832676199</v>
      </c>
      <c r="G17" s="288">
        <v>42.2143494578094</v>
      </c>
      <c r="H17" s="288">
        <v>25.406422742072</v>
      </c>
      <c r="I17" s="288">
        <v>23.3642983229103</v>
      </c>
      <c r="J17" s="288">
        <v>36.0446414114391</v>
      </c>
      <c r="K17" s="288">
        <v>20.945078388997</v>
      </c>
      <c r="L17" s="288">
        <v>22.4653928243512</v>
      </c>
      <c r="M17" s="288">
        <v>28.3858178012012</v>
      </c>
      <c r="N17" s="288">
        <v>21.8686290571406</v>
      </c>
      <c r="O17" s="288">
        <v>17.809245737181</v>
      </c>
      <c r="P17" s="296">
        <f t="shared" si="13"/>
        <v>299.396055852812</v>
      </c>
      <c r="Q17" s="312">
        <f t="shared" si="16"/>
        <v>0.817450242051495</v>
      </c>
      <c r="R17" s="313">
        <f t="shared" si="17"/>
        <v>0.0143160057813029</v>
      </c>
      <c r="S17" s="282">
        <f t="shared" si="18"/>
        <v>0.00380938287068322</v>
      </c>
      <c r="T17" s="282"/>
      <c r="U17" s="282"/>
      <c r="V17" s="201">
        <f t="shared" si="2"/>
        <v>31.9898968420906</v>
      </c>
      <c r="W17" s="201">
        <f t="shared" si="3"/>
        <v>60.8921801097105</v>
      </c>
      <c r="X17" s="201">
        <f t="shared" si="4"/>
        <v>103.10652956752</v>
      </c>
      <c r="Y17" s="201">
        <f t="shared" si="5"/>
        <v>128.512952309592</v>
      </c>
      <c r="Z17" s="201">
        <f t="shared" si="6"/>
        <v>151.877250632502</v>
      </c>
      <c r="AA17" s="331">
        <f t="shared" si="7"/>
        <v>187.921892043941</v>
      </c>
      <c r="AB17" s="331">
        <f t="shared" si="8"/>
        <v>208.866970432938</v>
      </c>
      <c r="AC17" s="331">
        <f t="shared" si="9"/>
        <v>231.33236325729</v>
      </c>
      <c r="AD17" s="331">
        <f t="shared" si="10"/>
        <v>259.718181058491</v>
      </c>
      <c r="AE17" s="331">
        <f t="shared" si="11"/>
        <v>281.586810115631</v>
      </c>
      <c r="AF17" s="331">
        <f t="shared" si="12"/>
        <v>299.396055852812</v>
      </c>
      <c r="AH17" s="295">
        <f t="shared" si="19"/>
        <v>0.89364742414422</v>
      </c>
      <c r="AI17" s="295">
        <f t="shared" si="14"/>
        <v>1.09059318891196</v>
      </c>
      <c r="AJ17" s="295">
        <f t="shared" si="14"/>
        <v>1.22925867123908</v>
      </c>
      <c r="AK17" s="295">
        <f t="shared" si="14"/>
        <v>1.03081672810511</v>
      </c>
      <c r="AL17" s="295">
        <f t="shared" si="14"/>
        <v>0.975780134744019</v>
      </c>
      <c r="AM17" s="295">
        <f t="shared" si="14"/>
        <v>0.988417517220032</v>
      </c>
      <c r="AN17" s="295">
        <f t="shared" si="14"/>
        <v>0.968312627759308</v>
      </c>
      <c r="AO17" s="295">
        <f t="shared" si="14"/>
        <v>0.904327354547155</v>
      </c>
      <c r="AP17" s="295">
        <f t="shared" si="14"/>
        <v>0.874492601032653</v>
      </c>
      <c r="AQ17" s="295">
        <f t="shared" si="14"/>
        <v>0.827945681501284</v>
      </c>
      <c r="AR17" s="295">
        <f t="shared" si="14"/>
        <v>0.817450242051495</v>
      </c>
      <c r="AT17" s="282">
        <f t="shared" si="20"/>
        <v>0.00416446777411404</v>
      </c>
      <c r="AU17" s="282">
        <f t="shared" si="15"/>
        <v>0.00508225063619629</v>
      </c>
      <c r="AV17" s="282">
        <f t="shared" si="15"/>
        <v>0.00572844276625948</v>
      </c>
      <c r="AW17" s="282">
        <f t="shared" si="15"/>
        <v>0.00480368759449209</v>
      </c>
      <c r="AX17" s="282">
        <f t="shared" si="15"/>
        <v>0.00454721271048651</v>
      </c>
      <c r="AY17" s="282">
        <f t="shared" si="15"/>
        <v>0.00460610391371569</v>
      </c>
      <c r="AZ17" s="282">
        <f t="shared" si="15"/>
        <v>0.00451241353650514</v>
      </c>
      <c r="BA17" s="282">
        <f t="shared" si="15"/>
        <v>0.00421423709565088</v>
      </c>
      <c r="BB17" s="282">
        <f t="shared" si="15"/>
        <v>0.00407520478133659</v>
      </c>
      <c r="BC17" s="282">
        <f t="shared" si="15"/>
        <v>0.00385829244976657</v>
      </c>
      <c r="BD17" s="282">
        <f t="shared" si="15"/>
        <v>0.00380938287068322</v>
      </c>
    </row>
    <row r="18" spans="2:56">
      <c r="B18" s="198" t="s">
        <v>36</v>
      </c>
      <c r="C18" s="25" t="s">
        <v>37</v>
      </c>
      <c r="D18" s="288">
        <v>206.842502932976</v>
      </c>
      <c r="E18" s="288">
        <v>185.002612252137</v>
      </c>
      <c r="F18" s="288">
        <v>204.217129030035</v>
      </c>
      <c r="G18" s="288">
        <v>185.555942405585</v>
      </c>
      <c r="H18" s="288">
        <v>183.794620487371</v>
      </c>
      <c r="I18" s="288">
        <v>199.650154633883</v>
      </c>
      <c r="J18" s="288">
        <v>209.789003036678</v>
      </c>
      <c r="K18" s="288">
        <v>202.346470002533</v>
      </c>
      <c r="L18" s="288">
        <v>186.289383986762</v>
      </c>
      <c r="M18" s="288">
        <v>202.466828577136</v>
      </c>
      <c r="N18" s="288">
        <v>220.024211234802</v>
      </c>
      <c r="O18" s="288">
        <v>129.098107305087</v>
      </c>
      <c r="P18" s="296">
        <f t="shared" si="13"/>
        <v>2315.07696588498</v>
      </c>
      <c r="Q18" s="315">
        <f t="shared" si="16"/>
        <v>6.32092570738769</v>
      </c>
      <c r="R18" s="316">
        <f t="shared" si="17"/>
        <v>0.110698369533846</v>
      </c>
      <c r="S18" s="317">
        <f t="shared" si="18"/>
        <v>0.0294560144188777</v>
      </c>
      <c r="T18" s="317"/>
      <c r="U18" s="282"/>
      <c r="V18" s="201">
        <f t="shared" si="2"/>
        <v>391.845115185113</v>
      </c>
      <c r="W18" s="201">
        <f t="shared" si="3"/>
        <v>596.062244215148</v>
      </c>
      <c r="X18" s="201">
        <f t="shared" si="4"/>
        <v>781.618186620733</v>
      </c>
      <c r="Y18" s="201">
        <f t="shared" si="5"/>
        <v>965.412807108104</v>
      </c>
      <c r="Z18" s="201">
        <f t="shared" si="6"/>
        <v>1165.06296174199</v>
      </c>
      <c r="AA18" s="331">
        <f t="shared" si="7"/>
        <v>1374.85196477867</v>
      </c>
      <c r="AB18" s="331">
        <f t="shared" si="8"/>
        <v>1577.1984347812</v>
      </c>
      <c r="AC18" s="331">
        <f t="shared" si="9"/>
        <v>1763.48781876796</v>
      </c>
      <c r="AD18" s="331">
        <f t="shared" si="10"/>
        <v>1965.9546473451</v>
      </c>
      <c r="AE18" s="331">
        <f t="shared" si="11"/>
        <v>2185.9788585799</v>
      </c>
      <c r="AF18" s="331">
        <f t="shared" si="12"/>
        <v>2315.07696588498</v>
      </c>
      <c r="AH18" s="295">
        <f t="shared" si="19"/>
        <v>10.9463115675926</v>
      </c>
      <c r="AI18" s="295">
        <f t="shared" si="14"/>
        <v>10.675614217415</v>
      </c>
      <c r="AJ18" s="295">
        <f t="shared" si="14"/>
        <v>9.31862353947725</v>
      </c>
      <c r="AK18" s="295">
        <f t="shared" si="14"/>
        <v>7.74368383271253</v>
      </c>
      <c r="AL18" s="295">
        <f t="shared" si="14"/>
        <v>7.48529018703854</v>
      </c>
      <c r="AM18" s="295">
        <f t="shared" si="14"/>
        <v>7.23134356934772</v>
      </c>
      <c r="AN18" s="295">
        <f t="shared" si="14"/>
        <v>7.31193236400775</v>
      </c>
      <c r="AO18" s="295">
        <f t="shared" si="14"/>
        <v>6.89384853665653</v>
      </c>
      <c r="AP18" s="295">
        <f t="shared" si="14"/>
        <v>6.619531932891</v>
      </c>
      <c r="AQ18" s="295">
        <f t="shared" si="14"/>
        <v>6.42740245919589</v>
      </c>
      <c r="AR18" s="295">
        <f t="shared" si="14"/>
        <v>6.32092570738769</v>
      </c>
      <c r="AT18" s="282">
        <f t="shared" si="20"/>
        <v>0.0510106788617504</v>
      </c>
      <c r="AU18" s="282">
        <f t="shared" si="15"/>
        <v>0.0497492077704725</v>
      </c>
      <c r="AV18" s="282">
        <f t="shared" si="15"/>
        <v>0.0434255237365186</v>
      </c>
      <c r="AW18" s="282">
        <f t="shared" si="15"/>
        <v>0.0360861799664908</v>
      </c>
      <c r="AX18" s="282">
        <f t="shared" si="15"/>
        <v>0.0348820451126633</v>
      </c>
      <c r="AY18" s="282">
        <f t="shared" si="15"/>
        <v>0.0336986337614457</v>
      </c>
      <c r="AZ18" s="282">
        <f t="shared" si="15"/>
        <v>0.0340741839272594</v>
      </c>
      <c r="BA18" s="282">
        <f t="shared" si="15"/>
        <v>0.032125880179224</v>
      </c>
      <c r="BB18" s="282">
        <f t="shared" si="15"/>
        <v>0.0308475430795787</v>
      </c>
      <c r="BC18" s="282">
        <f t="shared" si="15"/>
        <v>0.0299522045153491</v>
      </c>
      <c r="BD18" s="282">
        <f t="shared" si="15"/>
        <v>0.0294560144188777</v>
      </c>
    </row>
    <row r="19" spans="2:56">
      <c r="B19" s="198"/>
      <c r="C19" s="25" t="s">
        <v>38</v>
      </c>
      <c r="D19" s="288">
        <v>132.42744686362</v>
      </c>
      <c r="E19" s="288">
        <v>135.814977273001</v>
      </c>
      <c r="F19" s="288">
        <v>131.608229067654</v>
      </c>
      <c r="G19" s="288">
        <v>131.519494359028</v>
      </c>
      <c r="H19" s="288">
        <v>149.612698326186</v>
      </c>
      <c r="I19" s="288">
        <v>131.917832302441</v>
      </c>
      <c r="J19" s="288">
        <v>150.503694158316</v>
      </c>
      <c r="K19" s="288">
        <v>133.682191766056</v>
      </c>
      <c r="L19" s="288">
        <v>132.362167167758</v>
      </c>
      <c r="M19" s="288">
        <v>143.138685402045</v>
      </c>
      <c r="N19" s="288">
        <v>131.411422111911</v>
      </c>
      <c r="O19" s="288">
        <v>131.988091003425</v>
      </c>
      <c r="P19" s="294">
        <f t="shared" si="13"/>
        <v>1635.98692980144</v>
      </c>
      <c r="Q19" s="318"/>
      <c r="R19" s="317"/>
      <c r="U19" s="282"/>
      <c r="V19" s="201">
        <f t="shared" si="2"/>
        <v>268.242424136621</v>
      </c>
      <c r="W19" s="201">
        <f t="shared" si="3"/>
        <v>399.850653204275</v>
      </c>
      <c r="X19" s="201">
        <f t="shared" si="4"/>
        <v>531.370147563302</v>
      </c>
      <c r="Y19" s="201">
        <f t="shared" si="5"/>
        <v>680.982845889488</v>
      </c>
      <c r="Z19" s="201">
        <f t="shared" si="6"/>
        <v>812.900678191929</v>
      </c>
      <c r="AA19" s="331">
        <f t="shared" si="7"/>
        <v>963.404372350245</v>
      </c>
      <c r="AB19" s="331">
        <f t="shared" si="8"/>
        <v>1097.0865641163</v>
      </c>
      <c r="AC19" s="331">
        <f t="shared" si="9"/>
        <v>1229.44873128406</v>
      </c>
      <c r="AD19" s="331">
        <f t="shared" si="10"/>
        <v>1372.5874166861</v>
      </c>
      <c r="AE19" s="331">
        <f t="shared" si="11"/>
        <v>1503.99883879801</v>
      </c>
      <c r="AF19" s="331">
        <f t="shared" si="12"/>
        <v>1635.98692980144</v>
      </c>
      <c r="AH19" s="295">
        <f t="shared" si="19"/>
        <v>7.49343308480099</v>
      </c>
      <c r="AI19" s="295">
        <f t="shared" si="14"/>
        <v>7.16141872701714</v>
      </c>
      <c r="AJ19" s="295">
        <f t="shared" si="14"/>
        <v>6.33511150331202</v>
      </c>
      <c r="AK19" s="295">
        <f t="shared" si="14"/>
        <v>5.46223938116714</v>
      </c>
      <c r="AL19" s="295">
        <f t="shared" si="14"/>
        <v>5.22271986091559</v>
      </c>
      <c r="AM19" s="295">
        <f t="shared" si="14"/>
        <v>5.06724228582528</v>
      </c>
      <c r="AN19" s="295">
        <f t="shared" si="14"/>
        <v>5.08612142732242</v>
      </c>
      <c r="AO19" s="295">
        <f t="shared" si="14"/>
        <v>4.80617628704588</v>
      </c>
      <c r="AP19" s="295">
        <f t="shared" si="14"/>
        <v>4.62161538045039</v>
      </c>
      <c r="AQ19" s="295">
        <f t="shared" si="14"/>
        <v>4.42218633413411</v>
      </c>
      <c r="AR19" s="295">
        <f t="shared" si="14"/>
        <v>4.46678533539775</v>
      </c>
      <c r="AT19" s="282">
        <f t="shared" si="20"/>
        <v>0.0349199916611605</v>
      </c>
      <c r="AU19" s="282">
        <f t="shared" si="15"/>
        <v>0.0333727784580808</v>
      </c>
      <c r="AV19" s="282">
        <f t="shared" si="15"/>
        <v>0.0295221213514116</v>
      </c>
      <c r="AW19" s="282">
        <f t="shared" si="15"/>
        <v>0.0254544681300353</v>
      </c>
      <c r="AX19" s="282">
        <f t="shared" si="15"/>
        <v>0.0243382881955225</v>
      </c>
      <c r="AY19" s="282">
        <f t="shared" si="15"/>
        <v>0.0236137503816514</v>
      </c>
      <c r="AZ19" s="282">
        <f t="shared" si="15"/>
        <v>0.0237017286762714</v>
      </c>
      <c r="BA19" s="282">
        <f t="shared" si="15"/>
        <v>0.0223971621507002</v>
      </c>
      <c r="BB19" s="282">
        <f t="shared" si="15"/>
        <v>0.0215370937085915</v>
      </c>
      <c r="BC19" s="282">
        <f t="shared" si="15"/>
        <v>0.0206077385578151</v>
      </c>
      <c r="BD19" s="282">
        <f t="shared" si="15"/>
        <v>0.0208155734359808</v>
      </c>
    </row>
    <row r="20" spans="2:56">
      <c r="B20" s="198"/>
      <c r="C20" s="25" t="s">
        <v>39</v>
      </c>
      <c r="D20" s="288">
        <v>3.35450154647814</v>
      </c>
      <c r="E20" s="288">
        <v>7.75859898269621</v>
      </c>
      <c r="F20" s="288">
        <v>1.8488279264507</v>
      </c>
      <c r="G20" s="288">
        <v>4.05803975487568</v>
      </c>
      <c r="H20" s="288">
        <v>4.48549160224323</v>
      </c>
      <c r="I20" s="288">
        <v>4.64072866850887</v>
      </c>
      <c r="J20" s="288">
        <v>4.23137611389224</v>
      </c>
      <c r="K20" s="288">
        <v>4.08776630431854</v>
      </c>
      <c r="L20" s="288">
        <v>3.56805543193173</v>
      </c>
      <c r="M20" s="288">
        <v>4.00623325282387</v>
      </c>
      <c r="N20" s="288">
        <v>4.11903193833501</v>
      </c>
      <c r="O20" s="288">
        <v>4.57171585352946</v>
      </c>
      <c r="P20" s="294">
        <f t="shared" si="13"/>
        <v>50.7303673760837</v>
      </c>
      <c r="Q20" s="318"/>
      <c r="R20" s="317"/>
      <c r="U20" s="282"/>
      <c r="V20" s="201">
        <f t="shared" si="2"/>
        <v>11.1131005291744</v>
      </c>
      <c r="W20" s="201">
        <f t="shared" si="3"/>
        <v>12.9619284556251</v>
      </c>
      <c r="X20" s="201">
        <f t="shared" si="4"/>
        <v>17.0199682105007</v>
      </c>
      <c r="Y20" s="201">
        <f t="shared" si="5"/>
        <v>21.505459812744</v>
      </c>
      <c r="Z20" s="201">
        <f t="shared" si="6"/>
        <v>26.1461884812528</v>
      </c>
      <c r="AA20" s="331">
        <f t="shared" si="7"/>
        <v>30.3775645951451</v>
      </c>
      <c r="AB20" s="331">
        <f t="shared" si="8"/>
        <v>34.4653308994636</v>
      </c>
      <c r="AC20" s="331">
        <f t="shared" si="9"/>
        <v>38.0333863313953</v>
      </c>
      <c r="AD20" s="331">
        <f t="shared" si="10"/>
        <v>42.0396195842192</v>
      </c>
      <c r="AE20" s="331">
        <f t="shared" si="11"/>
        <v>46.1586515225542</v>
      </c>
      <c r="AF20" s="331">
        <f t="shared" si="12"/>
        <v>50.7303673760837</v>
      </c>
      <c r="AH20" s="295">
        <f t="shared" si="19"/>
        <v>0.310447817671156</v>
      </c>
      <c r="AI20" s="295">
        <f t="shared" si="14"/>
        <v>0.232151170534532</v>
      </c>
      <c r="AJ20" s="295">
        <f t="shared" si="14"/>
        <v>0.202915795873729</v>
      </c>
      <c r="AK20" s="295">
        <f t="shared" si="14"/>
        <v>0.172497692428423</v>
      </c>
      <c r="AL20" s="295">
        <f t="shared" si="14"/>
        <v>0.167983889707176</v>
      </c>
      <c r="AM20" s="295">
        <f t="shared" si="14"/>
        <v>0.159777642986394</v>
      </c>
      <c r="AN20" s="295">
        <f t="shared" si="14"/>
        <v>0.159782157325679</v>
      </c>
      <c r="AO20" s="295">
        <f t="shared" si="14"/>
        <v>0.148680587364625</v>
      </c>
      <c r="AP20" s="295">
        <f t="shared" si="14"/>
        <v>0.141550876903561</v>
      </c>
      <c r="AQ20" s="295">
        <f t="shared" si="14"/>
        <v>0.135719624709439</v>
      </c>
      <c r="AR20" s="295">
        <f t="shared" si="14"/>
        <v>0.138510679350191</v>
      </c>
      <c r="AT20" s="282">
        <f t="shared" si="20"/>
        <v>0.00144671141806695</v>
      </c>
      <c r="AU20" s="282">
        <f t="shared" si="15"/>
        <v>0.00108184284125222</v>
      </c>
      <c r="AV20" s="282">
        <f t="shared" si="15"/>
        <v>0.000945603679867454</v>
      </c>
      <c r="AW20" s="282">
        <f t="shared" si="15"/>
        <v>0.000803852908673827</v>
      </c>
      <c r="AX20" s="282">
        <f t="shared" si="15"/>
        <v>0.000782818230495973</v>
      </c>
      <c r="AY20" s="282">
        <f t="shared" si="15"/>
        <v>0.000744576470835719</v>
      </c>
      <c r="AZ20" s="282">
        <f t="shared" si="15"/>
        <v>0.000744597508014329</v>
      </c>
      <c r="BA20" s="282">
        <f t="shared" si="15"/>
        <v>0.000692863312742459</v>
      </c>
      <c r="BB20" s="282">
        <f t="shared" si="15"/>
        <v>0.000659638297315037</v>
      </c>
      <c r="BC20" s="282">
        <f t="shared" si="15"/>
        <v>0.000632464200250518</v>
      </c>
      <c r="BD20" s="282">
        <f t="shared" si="15"/>
        <v>0.00064547073593022</v>
      </c>
    </row>
    <row r="21" spans="2:56">
      <c r="B21" s="198"/>
      <c r="C21" s="25" t="s">
        <v>40</v>
      </c>
      <c r="D21" s="288">
        <v>71.0605545228772</v>
      </c>
      <c r="E21" s="288">
        <v>41.4290359964407</v>
      </c>
      <c r="F21" s="288">
        <v>70.7600720359304</v>
      </c>
      <c r="G21" s="288">
        <v>49.9784082916818</v>
      </c>
      <c r="H21" s="288">
        <v>29.6964305589421</v>
      </c>
      <c r="I21" s="288">
        <v>63.0915936629338</v>
      </c>
      <c r="J21" s="288">
        <v>55.0539327644697</v>
      </c>
      <c r="K21" s="288">
        <v>64.5765119321581</v>
      </c>
      <c r="L21" s="288">
        <v>50.3591613870724</v>
      </c>
      <c r="M21" s="288">
        <v>55.3219099222678</v>
      </c>
      <c r="N21" s="288">
        <v>84.4937571845554</v>
      </c>
      <c r="O21" s="288">
        <v>-7.46169955186797</v>
      </c>
      <c r="P21" s="294">
        <f t="shared" si="13"/>
        <v>628.359668707461</v>
      </c>
      <c r="Q21" s="318"/>
      <c r="R21" s="317"/>
      <c r="U21" s="282"/>
      <c r="V21" s="201">
        <f t="shared" si="2"/>
        <v>112.489590519318</v>
      </c>
      <c r="W21" s="201">
        <f t="shared" si="3"/>
        <v>183.249662555248</v>
      </c>
      <c r="X21" s="201">
        <f t="shared" si="4"/>
        <v>233.22807084693</v>
      </c>
      <c r="Y21" s="201">
        <f t="shared" si="5"/>
        <v>262.924501405872</v>
      </c>
      <c r="Z21" s="201">
        <f t="shared" si="6"/>
        <v>326.016095068806</v>
      </c>
      <c r="AA21" s="331">
        <f t="shared" si="7"/>
        <v>381.070027833276</v>
      </c>
      <c r="AB21" s="331">
        <f t="shared" si="8"/>
        <v>445.646539765434</v>
      </c>
      <c r="AC21" s="331">
        <f t="shared" si="9"/>
        <v>496.005701152506</v>
      </c>
      <c r="AD21" s="331">
        <f t="shared" si="10"/>
        <v>551.327611074774</v>
      </c>
      <c r="AE21" s="331">
        <f t="shared" si="11"/>
        <v>635.821368259329</v>
      </c>
      <c r="AF21" s="331">
        <f t="shared" si="12"/>
        <v>628.359668707461</v>
      </c>
      <c r="AH21" s="295">
        <f t="shared" si="19"/>
        <v>3.14243066512048</v>
      </c>
      <c r="AI21" s="295">
        <f t="shared" si="14"/>
        <v>3.28204431986331</v>
      </c>
      <c r="AJ21" s="295">
        <f t="shared" si="14"/>
        <v>2.7805962402915</v>
      </c>
      <c r="AK21" s="295">
        <f t="shared" si="14"/>
        <v>2.10894675911697</v>
      </c>
      <c r="AL21" s="295">
        <f t="shared" si="14"/>
        <v>2.09458643641577</v>
      </c>
      <c r="AM21" s="295">
        <f t="shared" si="14"/>
        <v>2.00432364053605</v>
      </c>
      <c r="AN21" s="295">
        <f t="shared" si="14"/>
        <v>2.06602877935964</v>
      </c>
      <c r="AO21" s="295">
        <f t="shared" si="14"/>
        <v>1.93899166224602</v>
      </c>
      <c r="AP21" s="295">
        <f t="shared" si="14"/>
        <v>1.85636567553705</v>
      </c>
      <c r="AQ21" s="295">
        <f t="shared" si="14"/>
        <v>1.86949650035233</v>
      </c>
      <c r="AR21" s="295">
        <f t="shared" si="14"/>
        <v>1.71562969263974</v>
      </c>
      <c r="AT21" s="282">
        <f t="shared" si="20"/>
        <v>0.014643975782523</v>
      </c>
      <c r="AU21" s="282">
        <f t="shared" si="15"/>
        <v>0.0152945864711395</v>
      </c>
      <c r="AV21" s="282">
        <f t="shared" si="15"/>
        <v>0.0129577987052395</v>
      </c>
      <c r="AW21" s="282">
        <f t="shared" si="15"/>
        <v>0.00982785892778169</v>
      </c>
      <c r="AX21" s="282">
        <f t="shared" si="15"/>
        <v>0.00976093868664488</v>
      </c>
      <c r="AY21" s="282">
        <f t="shared" si="15"/>
        <v>0.0093403069089586</v>
      </c>
      <c r="AZ21" s="282">
        <f t="shared" si="15"/>
        <v>0.00962785774297367</v>
      </c>
      <c r="BA21" s="282">
        <f t="shared" si="15"/>
        <v>0.00903585471578132</v>
      </c>
      <c r="BB21" s="282">
        <f t="shared" si="15"/>
        <v>0.00865081107367222</v>
      </c>
      <c r="BC21" s="282">
        <f t="shared" si="15"/>
        <v>0.00871200175728344</v>
      </c>
      <c r="BD21" s="282">
        <f t="shared" si="15"/>
        <v>0.0079949702469666</v>
      </c>
    </row>
    <row r="22" ht="12" customHeight="1" spans="2:56">
      <c r="B22" s="289" t="s">
        <v>15</v>
      </c>
      <c r="C22" s="290"/>
      <c r="D22" s="291">
        <f t="shared" ref="D22:P22" si="21">SUM(D6:D18)</f>
        <v>1507.73950317168</v>
      </c>
      <c r="E22" s="291">
        <f t="shared" si="21"/>
        <v>1520.32963553629</v>
      </c>
      <c r="F22" s="291">
        <f t="shared" si="21"/>
        <v>1630.91187898863</v>
      </c>
      <c r="G22" s="291">
        <f t="shared" si="21"/>
        <v>1844.22544252953</v>
      </c>
      <c r="H22" s="291">
        <f t="shared" si="21"/>
        <v>1810.20637624723</v>
      </c>
      <c r="I22" s="291">
        <f t="shared" si="21"/>
        <v>1894.59549522767</v>
      </c>
      <c r="J22" s="291">
        <f t="shared" si="21"/>
        <v>1863.00311943521</v>
      </c>
      <c r="K22" s="291">
        <f t="shared" si="21"/>
        <v>1693.08223072701</v>
      </c>
      <c r="L22" s="291">
        <f t="shared" si="21"/>
        <v>1721.11604223134</v>
      </c>
      <c r="M22" s="291">
        <f t="shared" si="21"/>
        <v>1949.51104519861</v>
      </c>
      <c r="N22" s="291">
        <f t="shared" si="21"/>
        <v>1896.23358453679</v>
      </c>
      <c r="O22" s="291">
        <f t="shared" si="21"/>
        <v>1582.42472875119</v>
      </c>
      <c r="P22" s="303">
        <f t="shared" si="21"/>
        <v>20913.3790825812</v>
      </c>
      <c r="Q22" s="319"/>
      <c r="R22" s="320"/>
      <c r="S22" s="320"/>
      <c r="T22" s="320"/>
      <c r="V22" s="303">
        <f t="shared" ref="V22:AF22" si="22">SUM(V6:V18)</f>
        <v>3028.06913870797</v>
      </c>
      <c r="W22" s="303">
        <f t="shared" si="22"/>
        <v>4658.9810176966</v>
      </c>
      <c r="X22" s="303">
        <f t="shared" si="22"/>
        <v>6503.20646022613</v>
      </c>
      <c r="Y22" s="303">
        <f t="shared" si="22"/>
        <v>8313.41283647337</v>
      </c>
      <c r="Z22" s="303">
        <f t="shared" si="22"/>
        <v>10208.008331701</v>
      </c>
      <c r="AA22" s="303">
        <f t="shared" si="22"/>
        <v>12071.0114511362</v>
      </c>
      <c r="AB22" s="303">
        <f t="shared" si="22"/>
        <v>13764.0936818633</v>
      </c>
      <c r="AC22" s="303">
        <f t="shared" si="22"/>
        <v>15485.2097240946</v>
      </c>
      <c r="AD22" s="303">
        <f t="shared" si="22"/>
        <v>17434.7207692932</v>
      </c>
      <c r="AE22" s="303">
        <f t="shared" si="22"/>
        <v>19330.95435383</v>
      </c>
      <c r="AF22" s="303">
        <f t="shared" si="22"/>
        <v>20913.3790825812</v>
      </c>
      <c r="AH22" s="295">
        <f t="shared" si="19"/>
        <v>84.5900253850313</v>
      </c>
      <c r="AI22" s="295">
        <f t="shared" si="19"/>
        <v>83.4434397982699</v>
      </c>
      <c r="AJ22" s="295">
        <f t="shared" si="19"/>
        <v>77.5326544848544</v>
      </c>
      <c r="AK22" s="295">
        <f t="shared" si="19"/>
        <v>66.6828118525829</v>
      </c>
      <c r="AL22" s="295">
        <f t="shared" si="19"/>
        <v>65.5843564713809</v>
      </c>
      <c r="AM22" s="295">
        <f t="shared" si="19"/>
        <v>63.4902035047455</v>
      </c>
      <c r="AN22" s="295">
        <f t="shared" si="19"/>
        <v>63.8106910546182</v>
      </c>
      <c r="AO22" s="295">
        <f t="shared" si="19"/>
        <v>60.5349746452179</v>
      </c>
      <c r="AP22" s="295">
        <f t="shared" si="19"/>
        <v>58.7041471324011</v>
      </c>
      <c r="AQ22" s="295">
        <f t="shared" si="19"/>
        <v>56.8385293685442</v>
      </c>
      <c r="AR22" s="295">
        <f t="shared" si="19"/>
        <v>57.1004409008485</v>
      </c>
      <c r="AT22" s="282">
        <f t="shared" si="20"/>
        <v>0.394196217892976</v>
      </c>
      <c r="AU22" s="282">
        <f t="shared" ref="AU22:BD22" si="23">AI22/AU$4</f>
        <v>0.388853038248158</v>
      </c>
      <c r="AV22" s="282">
        <f t="shared" si="23"/>
        <v>0.361308310548643</v>
      </c>
      <c r="AW22" s="282">
        <f t="shared" si="23"/>
        <v>0.310747184565907</v>
      </c>
      <c r="AX22" s="282">
        <f t="shared" si="23"/>
        <v>0.305628295490947</v>
      </c>
      <c r="AY22" s="282">
        <f t="shared" si="23"/>
        <v>0.29586937680781</v>
      </c>
      <c r="AZ22" s="282">
        <f t="shared" si="23"/>
        <v>0.297362874173091</v>
      </c>
      <c r="BA22" s="282">
        <f t="shared" si="23"/>
        <v>0.282097776265885</v>
      </c>
      <c r="BB22" s="282">
        <f t="shared" si="23"/>
        <v>0.273565975053132</v>
      </c>
      <c r="BC22" s="282">
        <f t="shared" si="23"/>
        <v>0.264872048515117</v>
      </c>
      <c r="BD22" s="282">
        <f t="shared" si="23"/>
        <v>0.266092576999261</v>
      </c>
    </row>
    <row r="23" spans="2:32">
      <c r="B23" s="289" t="s">
        <v>16</v>
      </c>
      <c r="C23" s="290"/>
      <c r="D23" s="292">
        <f>D22/D5*1000</f>
        <v>93.9694299265614</v>
      </c>
      <c r="E23" s="292">
        <f t="shared" ref="E23:P23" si="24">E22/E5*1000</f>
        <v>76.9709211996906</v>
      </c>
      <c r="F23" s="292">
        <f t="shared" si="24"/>
        <v>81.3950131750579</v>
      </c>
      <c r="G23" s="292">
        <f t="shared" si="24"/>
        <v>65.7641993556157</v>
      </c>
      <c r="H23" s="292">
        <f t="shared" si="24"/>
        <v>44.3743289760071</v>
      </c>
      <c r="I23" s="292">
        <f t="shared" si="24"/>
        <v>61.1633359771328</v>
      </c>
      <c r="J23" s="292">
        <f t="shared" si="24"/>
        <v>54.0361144947416</v>
      </c>
      <c r="K23" s="292">
        <f t="shared" si="24"/>
        <v>66.1929091690912</v>
      </c>
      <c r="L23" s="292">
        <f t="shared" si="24"/>
        <v>42.9163186273524</v>
      </c>
      <c r="M23" s="292">
        <f t="shared" si="24"/>
        <v>47.3331644741935</v>
      </c>
      <c r="N23" s="292">
        <f t="shared" si="24"/>
        <v>43.985933299392</v>
      </c>
      <c r="O23" s="292">
        <f t="shared" si="24"/>
        <v>60.5064324838906</v>
      </c>
      <c r="P23" s="292">
        <f t="shared" si="24"/>
        <v>57.1004409008485</v>
      </c>
      <c r="Q23" s="321">
        <f>P23</f>
        <v>57.1004409008485</v>
      </c>
      <c r="R23" s="320"/>
      <c r="S23" s="322">
        <f>Q23/$P$4</f>
        <v>0.266092576999261</v>
      </c>
      <c r="T23" s="322"/>
      <c r="V23" s="292">
        <f>V22/V5*1000</f>
        <v>84.5900253850313</v>
      </c>
      <c r="W23" s="292">
        <f t="shared" ref="W23:AF23" si="25">W22/W5*1000</f>
        <v>83.4434397982699</v>
      </c>
      <c r="X23" s="292">
        <f t="shared" si="25"/>
        <v>77.5326544848544</v>
      </c>
      <c r="Y23" s="292">
        <f t="shared" si="25"/>
        <v>66.6828118525829</v>
      </c>
      <c r="Z23" s="292">
        <f t="shared" si="25"/>
        <v>65.5843564713809</v>
      </c>
      <c r="AA23" s="292">
        <f t="shared" si="25"/>
        <v>63.4902035047455</v>
      </c>
      <c r="AB23" s="292">
        <f t="shared" si="25"/>
        <v>63.8106910546182</v>
      </c>
      <c r="AC23" s="292">
        <f t="shared" si="25"/>
        <v>60.5349746452179</v>
      </c>
      <c r="AD23" s="292">
        <f t="shared" si="25"/>
        <v>58.7041471324011</v>
      </c>
      <c r="AE23" s="292">
        <f t="shared" si="25"/>
        <v>56.8385293685442</v>
      </c>
      <c r="AF23" s="292">
        <f t="shared" si="25"/>
        <v>57.1004409008485</v>
      </c>
    </row>
    <row r="24" ht="12.5" customHeight="1" spans="2:16">
      <c r="B24" s="293"/>
      <c r="C24" s="196"/>
      <c r="D24" s="294"/>
      <c r="E24" s="294"/>
      <c r="F24" s="294"/>
      <c r="G24" s="294"/>
      <c r="H24" s="294"/>
      <c r="I24" s="294"/>
      <c r="J24" s="294"/>
      <c r="K24" s="294"/>
      <c r="L24" s="294"/>
      <c r="M24" s="294"/>
      <c r="N24" s="294"/>
      <c r="O24" s="294"/>
      <c r="P24" s="294"/>
    </row>
    <row r="25" ht="12.5" customHeight="1" spans="4:21">
      <c r="D25" s="295"/>
      <c r="E25" s="295"/>
      <c r="F25" s="295"/>
      <c r="G25" s="295"/>
      <c r="H25" s="295"/>
      <c r="I25" s="295"/>
      <c r="J25" s="295"/>
      <c r="K25" s="295"/>
      <c r="L25" s="295"/>
      <c r="M25" s="295"/>
      <c r="N25" s="295"/>
      <c r="O25" s="295"/>
      <c r="P25" s="295"/>
      <c r="Q25" s="295"/>
      <c r="R25" s="295"/>
      <c r="U25" s="295"/>
    </row>
    <row r="26" ht="12.5" customHeight="1" spans="2:21">
      <c r="B26" s="289" t="s">
        <v>42</v>
      </c>
      <c r="C26" s="289"/>
      <c r="D26" s="201">
        <v>565.609307083333</v>
      </c>
      <c r="E26" s="201">
        <v>565.609307083334</v>
      </c>
      <c r="F26" s="201">
        <v>565.609307083331</v>
      </c>
      <c r="G26" s="201">
        <v>565.609307083333</v>
      </c>
      <c r="H26" s="201">
        <v>565.609307083333</v>
      </c>
      <c r="I26" s="201">
        <v>565.609307083333</v>
      </c>
      <c r="J26" s="201">
        <v>565.609307083334</v>
      </c>
      <c r="K26" s="201">
        <v>565.609307083334</v>
      </c>
      <c r="L26" s="201">
        <v>565.609307083332</v>
      </c>
      <c r="M26" s="201">
        <v>565.609307083333</v>
      </c>
      <c r="N26" s="201">
        <v>565.609307083334</v>
      </c>
      <c r="O26" s="201">
        <v>482.930236101391</v>
      </c>
      <c r="P26" s="296">
        <f>SUM(D26:O26)</f>
        <v>6704.63261401805</v>
      </c>
      <c r="Q26" s="312">
        <f t="shared" ref="Q26" si="26">P26/$P$5*1000</f>
        <v>18.3058642425463</v>
      </c>
      <c r="R26" s="295"/>
      <c r="U26" s="295"/>
    </row>
    <row r="27" spans="17:20">
      <c r="Q27" s="312">
        <f>Q23-Q26</f>
        <v>38.7945766583022</v>
      </c>
      <c r="R27" s="198" t="s">
        <v>43</v>
      </c>
      <c r="S27" s="317">
        <f>Q27/P4</f>
        <v>0.180785799789676</v>
      </c>
      <c r="T27" s="317"/>
    </row>
    <row r="28" ht="14" customHeight="1" spans="3:16">
      <c r="C28" s="296" t="s">
        <v>88</v>
      </c>
      <c r="D28" s="296"/>
      <c r="E28" s="296"/>
      <c r="F28" s="296"/>
      <c r="G28" s="296"/>
      <c r="H28" s="296"/>
      <c r="I28" s="296"/>
      <c r="J28" s="296"/>
      <c r="K28" s="296"/>
      <c r="L28" s="296"/>
      <c r="M28" s="296"/>
      <c r="N28" s="296"/>
      <c r="O28" s="296"/>
      <c r="P28" s="296"/>
    </row>
    <row r="29" spans="1:20">
      <c r="A29" s="25" t="s">
        <v>45</v>
      </c>
      <c r="C29" s="285" t="s">
        <v>2</v>
      </c>
      <c r="D29" s="297" t="s">
        <v>46</v>
      </c>
      <c r="E29" s="297" t="s">
        <v>47</v>
      </c>
      <c r="F29" s="297" t="s">
        <v>48</v>
      </c>
      <c r="G29" s="297" t="s">
        <v>49</v>
      </c>
      <c r="H29" s="297" t="s">
        <v>50</v>
      </c>
      <c r="I29" s="297" t="s">
        <v>51</v>
      </c>
      <c r="J29" s="297" t="s">
        <v>52</v>
      </c>
      <c r="K29" s="297" t="s">
        <v>53</v>
      </c>
      <c r="L29" s="297" t="s">
        <v>54</v>
      </c>
      <c r="M29" s="297" t="s">
        <v>55</v>
      </c>
      <c r="N29" s="297" t="s">
        <v>56</v>
      </c>
      <c r="O29" s="297" t="s">
        <v>57</v>
      </c>
      <c r="P29" s="304" t="s">
        <v>15</v>
      </c>
      <c r="Q29" s="205" t="s">
        <v>16</v>
      </c>
      <c r="R29" s="205" t="s">
        <v>17</v>
      </c>
      <c r="S29" s="205" t="s">
        <v>18</v>
      </c>
      <c r="T29" s="205" t="s">
        <v>19</v>
      </c>
    </row>
    <row r="30" spans="1:56">
      <c r="A30" s="198">
        <v>222</v>
      </c>
      <c r="B30" s="283" t="s">
        <v>20</v>
      </c>
      <c r="C30" s="283"/>
      <c r="D30" s="298">
        <v>238.808969605622</v>
      </c>
      <c r="E30" s="298">
        <v>224.153521994614</v>
      </c>
      <c r="F30" s="298">
        <v>221.84897085175</v>
      </c>
      <c r="G30" s="298">
        <v>218.888461795825</v>
      </c>
      <c r="H30" s="298">
        <v>220.992548073349</v>
      </c>
      <c r="I30" s="298">
        <v>223.769465933248</v>
      </c>
      <c r="J30" s="298">
        <v>228.177391567977</v>
      </c>
      <c r="K30" s="298">
        <v>224.80468401877</v>
      </c>
      <c r="L30" s="298">
        <v>205.807720635561</v>
      </c>
      <c r="M30" s="298">
        <v>223.365131998813</v>
      </c>
      <c r="N30" s="298">
        <v>220</v>
      </c>
      <c r="O30" s="305">
        <v>212</v>
      </c>
      <c r="P30" s="296"/>
      <c r="Q30" s="201">
        <f>AVERAGE(D30:O30)</f>
        <v>221.884738872961</v>
      </c>
      <c r="S30" s="201">
        <f>AVERAGE(D30:O30)</f>
        <v>221.884738872961</v>
      </c>
      <c r="T30" s="201"/>
      <c r="AT30" s="201">
        <f>$S$30</f>
        <v>221.884738872961</v>
      </c>
      <c r="AU30" s="201">
        <f t="shared" ref="AU30:BD30" si="27">$S$30</f>
        <v>221.884738872961</v>
      </c>
      <c r="AV30" s="201">
        <f t="shared" si="27"/>
        <v>221.884738872961</v>
      </c>
      <c r="AW30" s="201">
        <f t="shared" si="27"/>
        <v>221.884738872961</v>
      </c>
      <c r="AX30" s="201">
        <f t="shared" si="27"/>
        <v>221.884738872961</v>
      </c>
      <c r="AY30" s="201">
        <f t="shared" si="27"/>
        <v>221.884738872961</v>
      </c>
      <c r="AZ30" s="201">
        <f t="shared" si="27"/>
        <v>221.884738872961</v>
      </c>
      <c r="BA30" s="201">
        <f t="shared" si="27"/>
        <v>221.884738872961</v>
      </c>
      <c r="BB30" s="201">
        <f t="shared" si="27"/>
        <v>221.884738872961</v>
      </c>
      <c r="BC30" s="201">
        <f t="shared" si="27"/>
        <v>221.884738872961</v>
      </c>
      <c r="BD30" s="201">
        <f t="shared" si="27"/>
        <v>221.884738872961</v>
      </c>
    </row>
    <row r="31" s="281" customFormat="1" spans="1:32">
      <c r="A31" s="299">
        <f>SUM(D31:F31)</f>
        <v>140941</v>
      </c>
      <c r="C31" s="248" t="s">
        <v>21</v>
      </c>
      <c r="D31" s="288">
        <v>48571</v>
      </c>
      <c r="E31" s="288">
        <v>46033</v>
      </c>
      <c r="F31" s="288">
        <v>46337</v>
      </c>
      <c r="G31" s="288">
        <v>49363</v>
      </c>
      <c r="H31" s="288">
        <v>53704</v>
      </c>
      <c r="I31" s="288">
        <v>29664</v>
      </c>
      <c r="J31" s="288">
        <v>41857</v>
      </c>
      <c r="K31" s="306">
        <v>31977</v>
      </c>
      <c r="L31" s="306">
        <v>28268</v>
      </c>
      <c r="M31" s="305">
        <v>26211</v>
      </c>
      <c r="N31" s="306">
        <v>34024</v>
      </c>
      <c r="O31" s="307">
        <v>42093</v>
      </c>
      <c r="P31" s="308">
        <f t="shared" ref="P31:P47" si="28">SUM(D31:O31)</f>
        <v>478102</v>
      </c>
      <c r="R31" s="323"/>
      <c r="U31" s="323"/>
      <c r="V31" s="198">
        <f t="shared" ref="V31:V47" si="29">D31+E31</f>
        <v>94604</v>
      </c>
      <c r="W31" s="198">
        <f t="shared" ref="W31:W47" si="30">V31+F31</f>
        <v>140941</v>
      </c>
      <c r="X31" s="198">
        <f t="shared" ref="X31:X47" si="31">W31+G31</f>
        <v>190304</v>
      </c>
      <c r="Y31" s="198">
        <f t="shared" ref="Y31:Y47" si="32">X31+H31</f>
        <v>244008</v>
      </c>
      <c r="Z31" s="198">
        <f t="shared" ref="Z31:Z47" si="33">Y31+I31</f>
        <v>273672</v>
      </c>
      <c r="AA31" s="25">
        <f t="shared" ref="AA31:AA47" si="34">Z31+J31</f>
        <v>315529</v>
      </c>
      <c r="AB31" s="25">
        <f t="shared" ref="AB31:AB47" si="35">AA31+K31</f>
        <v>347506</v>
      </c>
      <c r="AC31" s="25">
        <f t="shared" ref="AC31:AC47" si="36">AB31+L31</f>
        <v>375774</v>
      </c>
      <c r="AD31" s="25">
        <f t="shared" ref="AD31:AD47" si="37">AC31+M31</f>
        <v>401985</v>
      </c>
      <c r="AE31" s="25">
        <f t="shared" ref="AE31:AE47" si="38">AD31+N31</f>
        <v>436009</v>
      </c>
      <c r="AF31" s="25">
        <f t="shared" ref="AF31:AF47" si="39">AE31+O31</f>
        <v>478102</v>
      </c>
    </row>
    <row r="32" spans="1:56">
      <c r="A32" s="299">
        <f t="shared" ref="A32:A48" si="40">SUM(D32:F32)</f>
        <v>1620.62031577778</v>
      </c>
      <c r="B32" s="198" t="s">
        <v>22</v>
      </c>
      <c r="C32" s="25" t="s">
        <v>59</v>
      </c>
      <c r="D32" s="288">
        <v>546.806475777778</v>
      </c>
      <c r="E32" s="288">
        <v>512.30486</v>
      </c>
      <c r="F32" s="288">
        <v>561.50898</v>
      </c>
      <c r="G32" s="288">
        <v>550.63785</v>
      </c>
      <c r="H32" s="288">
        <v>579.548999319035</v>
      </c>
      <c r="I32" s="288">
        <v>564.00175</v>
      </c>
      <c r="J32" s="288">
        <v>578.95374</v>
      </c>
      <c r="K32" s="288">
        <f>179.357147750699+398</f>
        <v>577.357147750699</v>
      </c>
      <c r="L32" s="288">
        <f>173.65131+391</f>
        <v>564.65131</v>
      </c>
      <c r="M32" s="288">
        <v>370.28689</v>
      </c>
      <c r="N32" s="288">
        <v>546.439393673902</v>
      </c>
      <c r="O32" s="288">
        <v>562</v>
      </c>
      <c r="P32" s="309">
        <f t="shared" si="28"/>
        <v>6514.49739652141</v>
      </c>
      <c r="Q32" s="324">
        <f>P32/$P$31*1000</f>
        <v>13.6257480548532</v>
      </c>
      <c r="R32" s="313">
        <f>P32/$P$48</f>
        <v>0.328491587327949</v>
      </c>
      <c r="S32" s="282">
        <f>Q32/$S$30</f>
        <v>0.0614091267568183</v>
      </c>
      <c r="T32" s="282"/>
      <c r="U32" s="325">
        <f>P32/11*12</f>
        <v>7106.72443256882</v>
      </c>
      <c r="V32" s="201">
        <f t="shared" si="29"/>
        <v>1059.11133577778</v>
      </c>
      <c r="W32" s="201">
        <f t="shared" si="30"/>
        <v>1620.62031577778</v>
      </c>
      <c r="X32" s="201">
        <f t="shared" si="31"/>
        <v>2171.25816577778</v>
      </c>
      <c r="Y32" s="201">
        <f t="shared" si="32"/>
        <v>2750.80716509681</v>
      </c>
      <c r="Z32" s="201">
        <f t="shared" si="33"/>
        <v>3314.80891509681</v>
      </c>
      <c r="AA32" s="331">
        <f t="shared" si="34"/>
        <v>3893.76265509681</v>
      </c>
      <c r="AB32" s="331">
        <f t="shared" si="35"/>
        <v>4471.11980284751</v>
      </c>
      <c r="AC32" s="331">
        <f t="shared" si="36"/>
        <v>5035.77111284751</v>
      </c>
      <c r="AD32" s="331">
        <f t="shared" si="37"/>
        <v>5406.05800284751</v>
      </c>
      <c r="AE32" s="331">
        <f t="shared" si="38"/>
        <v>5952.49739652141</v>
      </c>
      <c r="AF32" s="331">
        <f t="shared" si="39"/>
        <v>6514.49739652141</v>
      </c>
      <c r="AH32" s="295">
        <f>V32/V$31*1000</f>
        <v>11.1952067119549</v>
      </c>
      <c r="AI32" s="295">
        <f t="shared" ref="AI32:AR47" si="41">W32/W$31*1000</f>
        <v>11.4985725642487</v>
      </c>
      <c r="AJ32" s="295">
        <f t="shared" si="41"/>
        <v>11.4094194855483</v>
      </c>
      <c r="AK32" s="295">
        <f t="shared" si="41"/>
        <v>11.2734302362907</v>
      </c>
      <c r="AL32" s="295">
        <f t="shared" si="41"/>
        <v>12.1123422019674</v>
      </c>
      <c r="AM32" s="295">
        <f t="shared" si="41"/>
        <v>12.3404272035116</v>
      </c>
      <c r="AN32" s="295">
        <f t="shared" si="41"/>
        <v>12.8663096546463</v>
      </c>
      <c r="AO32" s="295">
        <f t="shared" si="41"/>
        <v>13.4010631732039</v>
      </c>
      <c r="AP32" s="295">
        <f t="shared" si="41"/>
        <v>13.4484072859622</v>
      </c>
      <c r="AQ32" s="295">
        <f t="shared" si="41"/>
        <v>13.6522351523051</v>
      </c>
      <c r="AR32" s="295">
        <f t="shared" si="41"/>
        <v>13.6257480548532</v>
      </c>
      <c r="AT32" s="282">
        <f>AH32/AT$30</f>
        <v>0.0504550550381233</v>
      </c>
      <c r="AU32" s="282">
        <f t="shared" ref="AU32:BD47" si="42">AI32/AU$30</f>
        <v>0.0518222777404812</v>
      </c>
      <c r="AV32" s="282">
        <f t="shared" si="42"/>
        <v>0.0514204786841184</v>
      </c>
      <c r="AW32" s="282">
        <f t="shared" si="42"/>
        <v>0.0508075962932503</v>
      </c>
      <c r="AX32" s="282">
        <f t="shared" si="42"/>
        <v>0.0545884420149429</v>
      </c>
      <c r="AY32" s="282">
        <f t="shared" si="42"/>
        <v>0.0556163856342417</v>
      </c>
      <c r="AZ32" s="282">
        <f t="shared" si="42"/>
        <v>0.0579864560311777</v>
      </c>
      <c r="BA32" s="282">
        <f t="shared" si="42"/>
        <v>0.0603965069489371</v>
      </c>
      <c r="BB32" s="282">
        <f t="shared" si="42"/>
        <v>0.0606098794999237</v>
      </c>
      <c r="BC32" s="282">
        <f t="shared" si="42"/>
        <v>0.0615284999844972</v>
      </c>
      <c r="BD32" s="282">
        <f t="shared" si="42"/>
        <v>0.0614091267568183</v>
      </c>
    </row>
    <row r="33" spans="1:56">
      <c r="A33" s="299">
        <f t="shared" si="40"/>
        <v>147.2468</v>
      </c>
      <c r="B33" s="198"/>
      <c r="C33" s="25" t="s">
        <v>24</v>
      </c>
      <c r="D33" s="288">
        <v>47.53431</v>
      </c>
      <c r="E33" s="288">
        <v>55.92441</v>
      </c>
      <c r="F33" s="288">
        <v>43.78808</v>
      </c>
      <c r="G33" s="288">
        <v>40.60267</v>
      </c>
      <c r="H33" s="288">
        <v>37.96418</v>
      </c>
      <c r="I33" s="288">
        <v>36.03309</v>
      </c>
      <c r="J33" s="288">
        <v>41.46116</v>
      </c>
      <c r="K33" s="288">
        <v>53.8334</v>
      </c>
      <c r="L33" s="288">
        <v>45.24103</v>
      </c>
      <c r="M33" s="201">
        <v>35.50089</v>
      </c>
      <c r="N33" s="288">
        <v>45.64884</v>
      </c>
      <c r="O33" s="288">
        <v>-14.33268</v>
      </c>
      <c r="P33" s="309">
        <f t="shared" si="28"/>
        <v>469.19938</v>
      </c>
      <c r="Q33" s="312">
        <f t="shared" ref="Q33:Q47" si="43">P33/$P$31*1000</f>
        <v>0.981379245432983</v>
      </c>
      <c r="R33" s="313">
        <f t="shared" ref="R33:R44" si="44">P33/$P$48</f>
        <v>0.0236592387298812</v>
      </c>
      <c r="S33" s="282">
        <f t="shared" ref="S33:S47" si="45">Q33/$S$30</f>
        <v>0.00442292358824582</v>
      </c>
      <c r="T33" s="282"/>
      <c r="U33" s="313"/>
      <c r="V33" s="201">
        <f t="shared" si="29"/>
        <v>103.45872</v>
      </c>
      <c r="W33" s="201">
        <f t="shared" si="30"/>
        <v>147.2468</v>
      </c>
      <c r="X33" s="201">
        <f t="shared" si="31"/>
        <v>187.84947</v>
      </c>
      <c r="Y33" s="201">
        <f t="shared" si="32"/>
        <v>225.81365</v>
      </c>
      <c r="Z33" s="201">
        <f t="shared" si="33"/>
        <v>261.84674</v>
      </c>
      <c r="AA33" s="331">
        <f t="shared" si="34"/>
        <v>303.3079</v>
      </c>
      <c r="AB33" s="331">
        <f t="shared" si="35"/>
        <v>357.1413</v>
      </c>
      <c r="AC33" s="331">
        <f t="shared" si="36"/>
        <v>402.38233</v>
      </c>
      <c r="AD33" s="331">
        <f t="shared" si="37"/>
        <v>437.88322</v>
      </c>
      <c r="AE33" s="331">
        <f t="shared" si="38"/>
        <v>483.53206</v>
      </c>
      <c r="AF33" s="331">
        <f t="shared" si="39"/>
        <v>469.19938</v>
      </c>
      <c r="AH33" s="295">
        <f t="shared" ref="AH33:AR48" si="46">V33/V$31*1000</f>
        <v>1.09359773371105</v>
      </c>
      <c r="AI33" s="295">
        <f t="shared" si="41"/>
        <v>1.04474070710439</v>
      </c>
      <c r="AJ33" s="295">
        <f t="shared" si="41"/>
        <v>0.987102057760215</v>
      </c>
      <c r="AK33" s="295">
        <f t="shared" si="41"/>
        <v>0.925435436543064</v>
      </c>
      <c r="AL33" s="295">
        <f t="shared" si="41"/>
        <v>0.956790391417463</v>
      </c>
      <c r="AM33" s="295">
        <f t="shared" si="41"/>
        <v>0.961267902474891</v>
      </c>
      <c r="AN33" s="295">
        <f t="shared" si="41"/>
        <v>1.02772700327476</v>
      </c>
      <c r="AO33" s="295">
        <f t="shared" si="41"/>
        <v>1.07080939607317</v>
      </c>
      <c r="AP33" s="295">
        <f t="shared" si="41"/>
        <v>1.08930238690498</v>
      </c>
      <c r="AQ33" s="295">
        <f t="shared" si="41"/>
        <v>1.10899559412764</v>
      </c>
      <c r="AR33" s="295">
        <f t="shared" si="41"/>
        <v>0.981379245432983</v>
      </c>
      <c r="AT33" s="282">
        <f t="shared" ref="AT33:BD48" si="47">AH33/AT$30</f>
        <v>0.00492867485734196</v>
      </c>
      <c r="AU33" s="282">
        <f t="shared" si="42"/>
        <v>0.00470848383900144</v>
      </c>
      <c r="AV33" s="282">
        <f t="shared" si="42"/>
        <v>0.00444871541311986</v>
      </c>
      <c r="AW33" s="282">
        <f t="shared" si="42"/>
        <v>0.00417079354462913</v>
      </c>
      <c r="AX33" s="282">
        <f t="shared" si="42"/>
        <v>0.00431210544842955</v>
      </c>
      <c r="AY33" s="282">
        <f t="shared" si="42"/>
        <v>0.00433228489420925</v>
      </c>
      <c r="AZ33" s="282">
        <f t="shared" si="42"/>
        <v>0.00463180572262423</v>
      </c>
      <c r="BA33" s="282">
        <f t="shared" si="42"/>
        <v>0.00482597136473752</v>
      </c>
      <c r="BB33" s="282">
        <f t="shared" si="42"/>
        <v>0.00490931639750429</v>
      </c>
      <c r="BC33" s="282">
        <f t="shared" si="42"/>
        <v>0.00499807061882969</v>
      </c>
      <c r="BD33" s="282">
        <f t="shared" si="42"/>
        <v>0.00442292358824582</v>
      </c>
    </row>
    <row r="34" spans="1:56">
      <c r="A34" s="299">
        <f t="shared" si="40"/>
        <v>6.68239</v>
      </c>
      <c r="B34" s="198"/>
      <c r="C34" s="25" t="s">
        <v>25</v>
      </c>
      <c r="D34" s="288">
        <v>2.51573</v>
      </c>
      <c r="E34" s="288">
        <v>2.08333</v>
      </c>
      <c r="F34" s="288">
        <v>2.08333</v>
      </c>
      <c r="G34" s="288">
        <v>2.08333</v>
      </c>
      <c r="H34" s="288">
        <v>2.08333</v>
      </c>
      <c r="I34" s="310">
        <v>68.22525</v>
      </c>
      <c r="J34" s="288">
        <v>0</v>
      </c>
      <c r="K34" s="288">
        <v>0</v>
      </c>
      <c r="L34" s="288">
        <v>0</v>
      </c>
      <c r="M34" s="201">
        <v>35.02325</v>
      </c>
      <c r="N34" s="288">
        <v>32.76354</v>
      </c>
      <c r="O34" s="288">
        <v>91.92924</v>
      </c>
      <c r="P34" s="309">
        <f t="shared" si="28"/>
        <v>238.79033</v>
      </c>
      <c r="Q34" s="312">
        <f t="shared" si="43"/>
        <v>0.499454781615638</v>
      </c>
      <c r="R34" s="313">
        <f t="shared" si="44"/>
        <v>0.0120409311364757</v>
      </c>
      <c r="S34" s="282">
        <f t="shared" si="45"/>
        <v>0.00225096500170568</v>
      </c>
      <c r="T34" s="282"/>
      <c r="U34" s="326" t="s">
        <v>89</v>
      </c>
      <c r="V34" s="201">
        <f t="shared" si="29"/>
        <v>4.59906</v>
      </c>
      <c r="W34" s="201">
        <f t="shared" si="30"/>
        <v>6.68239</v>
      </c>
      <c r="X34" s="201">
        <f t="shared" si="31"/>
        <v>8.76572</v>
      </c>
      <c r="Y34" s="201">
        <f t="shared" si="32"/>
        <v>10.84905</v>
      </c>
      <c r="Z34" s="201">
        <f t="shared" si="33"/>
        <v>79.0743</v>
      </c>
      <c r="AA34" s="331">
        <f t="shared" si="34"/>
        <v>79.0743</v>
      </c>
      <c r="AB34" s="331">
        <f t="shared" si="35"/>
        <v>79.0743</v>
      </c>
      <c r="AC34" s="331">
        <f t="shared" si="36"/>
        <v>79.0743</v>
      </c>
      <c r="AD34" s="331">
        <f t="shared" si="37"/>
        <v>114.09755</v>
      </c>
      <c r="AE34" s="331">
        <f t="shared" si="38"/>
        <v>146.86109</v>
      </c>
      <c r="AF34" s="331">
        <f t="shared" si="39"/>
        <v>238.79033</v>
      </c>
      <c r="AH34" s="295">
        <f t="shared" si="46"/>
        <v>0.0486138006849605</v>
      </c>
      <c r="AI34" s="295">
        <f t="shared" si="41"/>
        <v>0.0474126762262223</v>
      </c>
      <c r="AJ34" s="295">
        <f t="shared" si="41"/>
        <v>0.0460616697494535</v>
      </c>
      <c r="AK34" s="295">
        <f t="shared" si="41"/>
        <v>0.044461861906167</v>
      </c>
      <c r="AL34" s="295">
        <f t="shared" si="41"/>
        <v>0.288938218012804</v>
      </c>
      <c r="AM34" s="295">
        <f t="shared" si="41"/>
        <v>0.250608660376701</v>
      </c>
      <c r="AN34" s="295">
        <f t="shared" si="41"/>
        <v>0.227548013559478</v>
      </c>
      <c r="AO34" s="295">
        <f t="shared" si="41"/>
        <v>0.21043047150681</v>
      </c>
      <c r="AP34" s="295">
        <f t="shared" si="41"/>
        <v>0.283835342114756</v>
      </c>
      <c r="AQ34" s="295">
        <f t="shared" si="41"/>
        <v>0.336830409464025</v>
      </c>
      <c r="AR34" s="295">
        <f t="shared" si="41"/>
        <v>0.499454781615638</v>
      </c>
      <c r="AT34" s="282">
        <f t="shared" si="47"/>
        <v>0.00021909483694953</v>
      </c>
      <c r="AU34" s="282">
        <f t="shared" si="42"/>
        <v>0.000213681555870177</v>
      </c>
      <c r="AV34" s="282">
        <f t="shared" si="42"/>
        <v>0.000207592779852363</v>
      </c>
      <c r="AW34" s="282">
        <f t="shared" si="42"/>
        <v>0.000200382694781111</v>
      </c>
      <c r="AX34" s="282">
        <f t="shared" si="42"/>
        <v>0.00130219959912716</v>
      </c>
      <c r="AY34" s="282">
        <f t="shared" si="42"/>
        <v>0.0011294542457027</v>
      </c>
      <c r="AZ34" s="282">
        <f t="shared" si="42"/>
        <v>0.00102552349798947</v>
      </c>
      <c r="BA34" s="282">
        <f t="shared" si="42"/>
        <v>0.000948377398894888</v>
      </c>
      <c r="BB34" s="282">
        <f t="shared" si="42"/>
        <v>0.00127920173129737</v>
      </c>
      <c r="BC34" s="282">
        <f t="shared" si="42"/>
        <v>0.00151804225551932</v>
      </c>
      <c r="BD34" s="282">
        <f t="shared" si="42"/>
        <v>0.00225096500170568</v>
      </c>
    </row>
    <row r="35" spans="1:56">
      <c r="A35" s="299">
        <f t="shared" si="40"/>
        <v>29.45393</v>
      </c>
      <c r="B35" s="198"/>
      <c r="C35" s="25" t="s">
        <v>26</v>
      </c>
      <c r="D35" s="288">
        <v>7.05477</v>
      </c>
      <c r="E35" s="288">
        <v>11.48905</v>
      </c>
      <c r="F35" s="288">
        <v>10.91011</v>
      </c>
      <c r="G35" s="288">
        <v>5.51342947</v>
      </c>
      <c r="H35" s="288">
        <v>6.70539</v>
      </c>
      <c r="I35" s="288">
        <v>-1.22429</v>
      </c>
      <c r="J35" s="288">
        <v>2.1998</v>
      </c>
      <c r="K35" s="288">
        <v>6.80514</v>
      </c>
      <c r="L35" s="288">
        <v>4.97422</v>
      </c>
      <c r="M35" s="201">
        <v>4.61945</v>
      </c>
      <c r="N35" s="288">
        <v>7.01973</v>
      </c>
      <c r="O35" s="288">
        <v>5.81834</v>
      </c>
      <c r="P35" s="309">
        <f t="shared" si="28"/>
        <v>71.88513947</v>
      </c>
      <c r="Q35" s="324">
        <f t="shared" si="43"/>
        <v>0.150355236895056</v>
      </c>
      <c r="R35" s="313">
        <f t="shared" si="44"/>
        <v>0.0036247867076285</v>
      </c>
      <c r="S35" s="282">
        <f t="shared" si="45"/>
        <v>0.000677627662266314</v>
      </c>
      <c r="T35" s="282"/>
      <c r="U35" s="313"/>
      <c r="V35" s="201">
        <f t="shared" si="29"/>
        <v>18.54382</v>
      </c>
      <c r="W35" s="201">
        <f t="shared" si="30"/>
        <v>29.45393</v>
      </c>
      <c r="X35" s="201">
        <f t="shared" si="31"/>
        <v>34.96735947</v>
      </c>
      <c r="Y35" s="201">
        <f t="shared" si="32"/>
        <v>41.67274947</v>
      </c>
      <c r="Z35" s="201">
        <f t="shared" si="33"/>
        <v>40.44845947</v>
      </c>
      <c r="AA35" s="331">
        <f t="shared" si="34"/>
        <v>42.64825947</v>
      </c>
      <c r="AB35" s="331">
        <f t="shared" si="35"/>
        <v>49.45339947</v>
      </c>
      <c r="AC35" s="331">
        <f t="shared" si="36"/>
        <v>54.42761947</v>
      </c>
      <c r="AD35" s="331">
        <f t="shared" si="37"/>
        <v>59.04706947</v>
      </c>
      <c r="AE35" s="331">
        <f t="shared" si="38"/>
        <v>66.06679947</v>
      </c>
      <c r="AF35" s="331">
        <f t="shared" si="39"/>
        <v>71.88513947</v>
      </c>
      <c r="AH35" s="295">
        <f t="shared" si="46"/>
        <v>0.196015179062196</v>
      </c>
      <c r="AI35" s="295">
        <f t="shared" si="41"/>
        <v>0.208980566336268</v>
      </c>
      <c r="AJ35" s="295">
        <f t="shared" si="41"/>
        <v>0.183744742464688</v>
      </c>
      <c r="AK35" s="295">
        <f t="shared" si="41"/>
        <v>0.170784357357136</v>
      </c>
      <c r="AL35" s="295">
        <f t="shared" si="41"/>
        <v>0.147799042174574</v>
      </c>
      <c r="AM35" s="295">
        <f t="shared" si="41"/>
        <v>0.135164309683104</v>
      </c>
      <c r="AN35" s="295">
        <f t="shared" si="41"/>
        <v>0.142309483778697</v>
      </c>
      <c r="AO35" s="295">
        <f t="shared" si="41"/>
        <v>0.144841366007228</v>
      </c>
      <c r="AP35" s="295">
        <f t="shared" si="41"/>
        <v>0.146888738311131</v>
      </c>
      <c r="AQ35" s="295">
        <f t="shared" si="41"/>
        <v>0.151526228747572</v>
      </c>
      <c r="AR35" s="295">
        <f t="shared" si="41"/>
        <v>0.150355236895056</v>
      </c>
      <c r="AT35" s="282">
        <f t="shared" si="47"/>
        <v>0.00088340991840103</v>
      </c>
      <c r="AU35" s="282">
        <f t="shared" si="42"/>
        <v>0.000941842901849682</v>
      </c>
      <c r="AV35" s="282">
        <f t="shared" si="42"/>
        <v>0.000828108969539768</v>
      </c>
      <c r="AW35" s="282">
        <f t="shared" si="42"/>
        <v>0.000769698530077446</v>
      </c>
      <c r="AX35" s="282">
        <f t="shared" si="42"/>
        <v>0.000666107290322457</v>
      </c>
      <c r="AY35" s="282">
        <f t="shared" si="42"/>
        <v>0.000609164516539785</v>
      </c>
      <c r="AZ35" s="282">
        <f t="shared" si="42"/>
        <v>0.000641366704630263</v>
      </c>
      <c r="BA35" s="282">
        <f t="shared" si="42"/>
        <v>0.000652777503955133</v>
      </c>
      <c r="BB35" s="282">
        <f t="shared" si="42"/>
        <v>0.000662004692423806</v>
      </c>
      <c r="BC35" s="282">
        <f t="shared" si="42"/>
        <v>0.000682905140377083</v>
      </c>
      <c r="BD35" s="282">
        <f t="shared" si="42"/>
        <v>0.000677627662266314</v>
      </c>
    </row>
    <row r="36" spans="1:59">
      <c r="A36" s="299">
        <f t="shared" si="40"/>
        <v>615.03424</v>
      </c>
      <c r="B36" s="198"/>
      <c r="C36" s="25" t="s">
        <v>27</v>
      </c>
      <c r="D36" s="288">
        <v>208.04047</v>
      </c>
      <c r="E36" s="288">
        <v>161.36901</v>
      </c>
      <c r="F36" s="288">
        <v>245.62476</v>
      </c>
      <c r="G36" s="288">
        <v>210.35834</v>
      </c>
      <c r="H36" s="300">
        <v>241.29695</v>
      </c>
      <c r="I36" s="310">
        <v>266.21335</v>
      </c>
      <c r="J36" s="288">
        <v>155.68707</v>
      </c>
      <c r="K36" s="288">
        <v>193.16379</v>
      </c>
      <c r="L36" s="288">
        <v>188.38296</v>
      </c>
      <c r="M36" s="201">
        <v>209.28685</v>
      </c>
      <c r="N36" s="288">
        <v>225.24054</v>
      </c>
      <c r="O36" s="288">
        <v>270.27383</v>
      </c>
      <c r="P36" s="309">
        <f t="shared" si="28"/>
        <v>2574.93792</v>
      </c>
      <c r="Q36" s="324">
        <f t="shared" si="43"/>
        <v>5.38575015373288</v>
      </c>
      <c r="R36" s="313">
        <f t="shared" si="44"/>
        <v>0.129840476268114</v>
      </c>
      <c r="S36" s="282">
        <f t="shared" si="45"/>
        <v>0.0242727380940628</v>
      </c>
      <c r="T36" s="282"/>
      <c r="U36" s="327" t="s">
        <v>84</v>
      </c>
      <c r="V36" s="201">
        <f t="shared" si="29"/>
        <v>369.40948</v>
      </c>
      <c r="W36" s="201">
        <f t="shared" si="30"/>
        <v>615.03424</v>
      </c>
      <c r="X36" s="201">
        <f t="shared" si="31"/>
        <v>825.39258</v>
      </c>
      <c r="Y36" s="201">
        <f t="shared" si="32"/>
        <v>1066.68953</v>
      </c>
      <c r="Z36" s="201">
        <f t="shared" si="33"/>
        <v>1332.90288</v>
      </c>
      <c r="AA36" s="331">
        <f t="shared" si="34"/>
        <v>1488.58995</v>
      </c>
      <c r="AB36" s="331">
        <f t="shared" si="35"/>
        <v>1681.75374</v>
      </c>
      <c r="AC36" s="331">
        <f t="shared" si="36"/>
        <v>1870.1367</v>
      </c>
      <c r="AD36" s="331">
        <f t="shared" si="37"/>
        <v>2079.42355</v>
      </c>
      <c r="AE36" s="331">
        <f t="shared" si="38"/>
        <v>2304.66409</v>
      </c>
      <c r="AF36" s="331">
        <f t="shared" si="39"/>
        <v>2574.93792</v>
      </c>
      <c r="AH36" s="295">
        <f t="shared" si="46"/>
        <v>3.90479768297324</v>
      </c>
      <c r="AI36" s="295">
        <f t="shared" si="41"/>
        <v>4.36377093961303</v>
      </c>
      <c r="AJ36" s="295">
        <f t="shared" si="41"/>
        <v>4.33723190263999</v>
      </c>
      <c r="AK36" s="295">
        <f t="shared" si="41"/>
        <v>4.37153507262057</v>
      </c>
      <c r="AL36" s="295">
        <f t="shared" si="41"/>
        <v>4.87043935806367</v>
      </c>
      <c r="AM36" s="295">
        <f t="shared" si="41"/>
        <v>4.71775954032751</v>
      </c>
      <c r="AN36" s="295">
        <f t="shared" si="41"/>
        <v>4.8394955482783</v>
      </c>
      <c r="AO36" s="295">
        <f t="shared" si="41"/>
        <v>4.97675916907503</v>
      </c>
      <c r="AP36" s="295">
        <f t="shared" si="41"/>
        <v>5.17288841623444</v>
      </c>
      <c r="AQ36" s="295">
        <f t="shared" si="41"/>
        <v>5.28581770101076</v>
      </c>
      <c r="AR36" s="295">
        <f t="shared" si="41"/>
        <v>5.38575015373288</v>
      </c>
      <c r="AT36" s="282">
        <f t="shared" si="47"/>
        <v>0.0175983156967317</v>
      </c>
      <c r="AU36" s="282">
        <f t="shared" si="42"/>
        <v>0.0196668367629893</v>
      </c>
      <c r="AV36" s="282">
        <f t="shared" si="42"/>
        <v>0.019547229451969</v>
      </c>
      <c r="AW36" s="282">
        <f t="shared" si="42"/>
        <v>0.0197018285026059</v>
      </c>
      <c r="AX36" s="282">
        <f t="shared" si="42"/>
        <v>0.0219503125037014</v>
      </c>
      <c r="AY36" s="282">
        <f t="shared" si="42"/>
        <v>0.0212622083172139</v>
      </c>
      <c r="AZ36" s="282">
        <f t="shared" si="42"/>
        <v>0.0218108535668563</v>
      </c>
      <c r="BA36" s="282">
        <f t="shared" si="42"/>
        <v>0.0224294793520002</v>
      </c>
      <c r="BB36" s="282">
        <f t="shared" si="42"/>
        <v>0.02331340335757</v>
      </c>
      <c r="BC36" s="282">
        <f t="shared" si="42"/>
        <v>0.0238223580759068</v>
      </c>
      <c r="BD36" s="282">
        <f t="shared" si="42"/>
        <v>0.0242727380940628</v>
      </c>
      <c r="BG36" s="333"/>
    </row>
    <row r="37" spans="1:56">
      <c r="A37" s="299">
        <f t="shared" si="40"/>
        <v>292.60501</v>
      </c>
      <c r="B37" s="198"/>
      <c r="C37" s="25" t="s">
        <v>28</v>
      </c>
      <c r="D37" s="288">
        <v>134.31696</v>
      </c>
      <c r="E37" s="288">
        <v>123.20662</v>
      </c>
      <c r="F37" s="288">
        <v>35.08143</v>
      </c>
      <c r="G37" s="288">
        <v>56.46471</v>
      </c>
      <c r="H37" s="288">
        <v>81.27892</v>
      </c>
      <c r="I37" s="310">
        <v>104.58229</v>
      </c>
      <c r="J37" s="288">
        <v>98.92265</v>
      </c>
      <c r="K37" s="288">
        <v>86.21286</v>
      </c>
      <c r="L37" s="288">
        <v>83.67801</v>
      </c>
      <c r="M37" s="201">
        <v>80.27117</v>
      </c>
      <c r="N37" s="288">
        <v>81.65174</v>
      </c>
      <c r="O37" s="288">
        <v>81.00358</v>
      </c>
      <c r="P37" s="309">
        <f t="shared" si="28"/>
        <v>1046.67094</v>
      </c>
      <c r="Q37" s="324">
        <f t="shared" si="43"/>
        <v>2.18922100304956</v>
      </c>
      <c r="R37" s="313">
        <f t="shared" si="44"/>
        <v>0.0527780698284152</v>
      </c>
      <c r="S37" s="282">
        <f t="shared" si="45"/>
        <v>0.00986647848864895</v>
      </c>
      <c r="T37" s="282"/>
      <c r="U37" s="327"/>
      <c r="V37" s="201">
        <f t="shared" si="29"/>
        <v>257.52358</v>
      </c>
      <c r="W37" s="201">
        <f t="shared" si="30"/>
        <v>292.60501</v>
      </c>
      <c r="X37" s="201">
        <f t="shared" si="31"/>
        <v>349.06972</v>
      </c>
      <c r="Y37" s="201">
        <f t="shared" si="32"/>
        <v>430.34864</v>
      </c>
      <c r="Z37" s="201">
        <f t="shared" si="33"/>
        <v>534.93093</v>
      </c>
      <c r="AA37" s="331">
        <f t="shared" si="34"/>
        <v>633.85358</v>
      </c>
      <c r="AB37" s="331">
        <f t="shared" si="35"/>
        <v>720.06644</v>
      </c>
      <c r="AC37" s="331">
        <f t="shared" si="36"/>
        <v>803.74445</v>
      </c>
      <c r="AD37" s="331">
        <f t="shared" si="37"/>
        <v>884.01562</v>
      </c>
      <c r="AE37" s="331">
        <f t="shared" si="38"/>
        <v>965.66736</v>
      </c>
      <c r="AF37" s="331">
        <f t="shared" si="39"/>
        <v>1046.67094</v>
      </c>
      <c r="AH37" s="295">
        <f t="shared" si="46"/>
        <v>2.72212147477908</v>
      </c>
      <c r="AI37" s="295">
        <f t="shared" si="41"/>
        <v>2.07608155185503</v>
      </c>
      <c r="AJ37" s="295">
        <f t="shared" si="41"/>
        <v>1.83427421388936</v>
      </c>
      <c r="AK37" s="295">
        <f t="shared" si="41"/>
        <v>1.76366610930789</v>
      </c>
      <c r="AL37" s="295">
        <f t="shared" si="41"/>
        <v>1.95464252828203</v>
      </c>
      <c r="AM37" s="295">
        <f t="shared" si="41"/>
        <v>2.00885997800519</v>
      </c>
      <c r="AN37" s="295">
        <f t="shared" si="41"/>
        <v>2.07209786305848</v>
      </c>
      <c r="AO37" s="295">
        <f t="shared" si="41"/>
        <v>2.13890383581621</v>
      </c>
      <c r="AP37" s="295">
        <f t="shared" si="41"/>
        <v>2.19912588778188</v>
      </c>
      <c r="AQ37" s="295">
        <f t="shared" si="41"/>
        <v>2.21478767640117</v>
      </c>
      <c r="AR37" s="295">
        <f t="shared" si="41"/>
        <v>2.18922100304956</v>
      </c>
      <c r="AT37" s="282">
        <f t="shared" si="47"/>
        <v>0.0122681780126285</v>
      </c>
      <c r="AU37" s="282">
        <f t="shared" si="42"/>
        <v>0.00935657658296041</v>
      </c>
      <c r="AV37" s="282">
        <f t="shared" si="42"/>
        <v>0.00826678852816264</v>
      </c>
      <c r="AW37" s="282">
        <f t="shared" si="42"/>
        <v>0.00794856878515503</v>
      </c>
      <c r="AX37" s="282">
        <f t="shared" si="42"/>
        <v>0.00880926979570755</v>
      </c>
      <c r="AY37" s="282">
        <f t="shared" si="42"/>
        <v>0.00905361940712541</v>
      </c>
      <c r="AZ37" s="282">
        <f t="shared" si="42"/>
        <v>0.00933862271728769</v>
      </c>
      <c r="BA37" s="282">
        <f t="shared" si="42"/>
        <v>0.00963970684365466</v>
      </c>
      <c r="BB37" s="282">
        <f t="shared" si="42"/>
        <v>0.00991111826325731</v>
      </c>
      <c r="BC37" s="282">
        <f t="shared" si="42"/>
        <v>0.0099817035080959</v>
      </c>
      <c r="BD37" s="282">
        <f t="shared" si="42"/>
        <v>0.00986647848864895</v>
      </c>
    </row>
    <row r="38" spans="1:56">
      <c r="A38" s="299">
        <f t="shared" si="40"/>
        <v>421.28245</v>
      </c>
      <c r="B38" s="198"/>
      <c r="C38" s="25" t="s">
        <v>29</v>
      </c>
      <c r="D38" s="288">
        <v>106.56045</v>
      </c>
      <c r="E38" s="288">
        <v>153.96877</v>
      </c>
      <c r="F38" s="288">
        <v>160.75323</v>
      </c>
      <c r="G38" s="288">
        <v>126.39878</v>
      </c>
      <c r="H38" s="288">
        <v>134.84843</v>
      </c>
      <c r="I38" s="288">
        <v>121.74311</v>
      </c>
      <c r="J38" s="288">
        <v>124.63709</v>
      </c>
      <c r="K38" s="288">
        <v>83.61265</v>
      </c>
      <c r="L38" s="288">
        <v>148.55296</v>
      </c>
      <c r="M38" s="201">
        <v>105.02582</v>
      </c>
      <c r="N38" s="288">
        <v>145.71916</v>
      </c>
      <c r="O38" s="288">
        <v>140.57602</v>
      </c>
      <c r="P38" s="309">
        <f t="shared" si="28"/>
        <v>1552.39647</v>
      </c>
      <c r="Q38" s="312">
        <f t="shared" si="43"/>
        <v>3.24699848567879</v>
      </c>
      <c r="R38" s="313">
        <f t="shared" si="44"/>
        <v>0.0782791287728359</v>
      </c>
      <c r="S38" s="282">
        <f t="shared" si="45"/>
        <v>0.0146337170468395</v>
      </c>
      <c r="T38" s="282"/>
      <c r="U38" s="327"/>
      <c r="V38" s="201">
        <f t="shared" si="29"/>
        <v>260.52922</v>
      </c>
      <c r="W38" s="201">
        <f t="shared" si="30"/>
        <v>421.28245</v>
      </c>
      <c r="X38" s="201">
        <f t="shared" si="31"/>
        <v>547.68123</v>
      </c>
      <c r="Y38" s="201">
        <f t="shared" si="32"/>
        <v>682.52966</v>
      </c>
      <c r="Z38" s="201">
        <f t="shared" si="33"/>
        <v>804.27277</v>
      </c>
      <c r="AA38" s="331">
        <f t="shared" si="34"/>
        <v>928.90986</v>
      </c>
      <c r="AB38" s="331">
        <f t="shared" si="35"/>
        <v>1012.52251</v>
      </c>
      <c r="AC38" s="331">
        <f t="shared" si="36"/>
        <v>1161.07547</v>
      </c>
      <c r="AD38" s="331">
        <f t="shared" si="37"/>
        <v>1266.10129</v>
      </c>
      <c r="AE38" s="331">
        <f t="shared" si="38"/>
        <v>1411.82045</v>
      </c>
      <c r="AF38" s="331">
        <f t="shared" si="39"/>
        <v>1552.39647</v>
      </c>
      <c r="AH38" s="295">
        <f t="shared" si="46"/>
        <v>2.75389222443026</v>
      </c>
      <c r="AI38" s="295">
        <f t="shared" si="41"/>
        <v>2.98906953973648</v>
      </c>
      <c r="AJ38" s="295">
        <f t="shared" si="41"/>
        <v>2.87792810450647</v>
      </c>
      <c r="AK38" s="295">
        <f t="shared" si="41"/>
        <v>2.79716099472148</v>
      </c>
      <c r="AL38" s="295">
        <f t="shared" si="41"/>
        <v>2.93882008389605</v>
      </c>
      <c r="AM38" s="295">
        <f t="shared" si="41"/>
        <v>2.94397617968554</v>
      </c>
      <c r="AN38" s="295">
        <f t="shared" si="41"/>
        <v>2.91368353352172</v>
      </c>
      <c r="AO38" s="295">
        <f t="shared" si="41"/>
        <v>3.08982385689271</v>
      </c>
      <c r="AP38" s="295">
        <f t="shared" si="41"/>
        <v>3.14962321977188</v>
      </c>
      <c r="AQ38" s="295">
        <f t="shared" si="41"/>
        <v>3.23805345761211</v>
      </c>
      <c r="AR38" s="295">
        <f t="shared" si="41"/>
        <v>3.24699848567879</v>
      </c>
      <c r="AT38" s="282">
        <f t="shared" si="47"/>
        <v>0.0124113638388036</v>
      </c>
      <c r="AU38" s="282">
        <f t="shared" si="42"/>
        <v>0.0134712714128927</v>
      </c>
      <c r="AV38" s="282">
        <f t="shared" si="42"/>
        <v>0.0129703742543295</v>
      </c>
      <c r="AW38" s="282">
        <f t="shared" si="42"/>
        <v>0.0126063694552828</v>
      </c>
      <c r="AX38" s="282">
        <f t="shared" si="42"/>
        <v>0.0132448049326126</v>
      </c>
      <c r="AY38" s="282">
        <f t="shared" si="42"/>
        <v>0.0132680426542138</v>
      </c>
      <c r="AZ38" s="282">
        <f t="shared" si="42"/>
        <v>0.0131315184105111</v>
      </c>
      <c r="BA38" s="282">
        <f t="shared" si="42"/>
        <v>0.0139253554461976</v>
      </c>
      <c r="BB38" s="282">
        <f t="shared" si="42"/>
        <v>0.0141948618718441</v>
      </c>
      <c r="BC38" s="282">
        <f t="shared" si="42"/>
        <v>0.0145934031969006</v>
      </c>
      <c r="BD38" s="282">
        <f t="shared" si="42"/>
        <v>0.0146337170468395</v>
      </c>
    </row>
    <row r="39" spans="1:56">
      <c r="A39" s="299">
        <f t="shared" si="40"/>
        <v>1332.56273</v>
      </c>
      <c r="B39" s="198" t="s">
        <v>30</v>
      </c>
      <c r="C39" s="25" t="s">
        <v>31</v>
      </c>
      <c r="D39" s="288">
        <v>471.95897</v>
      </c>
      <c r="E39" s="288">
        <v>343.39069</v>
      </c>
      <c r="F39" s="288">
        <v>517.21307</v>
      </c>
      <c r="G39" s="288">
        <v>469.10102</v>
      </c>
      <c r="H39" s="300">
        <v>563.01003</v>
      </c>
      <c r="I39" s="288">
        <v>382.06162</v>
      </c>
      <c r="J39" s="288">
        <v>445.15222</v>
      </c>
      <c r="K39" s="288">
        <v>351.77623</v>
      </c>
      <c r="L39" s="288">
        <v>348.81104</v>
      </c>
      <c r="M39" s="201">
        <v>383.24932</v>
      </c>
      <c r="N39" s="288">
        <v>479.35477</v>
      </c>
      <c r="O39" s="288">
        <v>425.92802</v>
      </c>
      <c r="P39" s="309">
        <f t="shared" si="28"/>
        <v>5181.007</v>
      </c>
      <c r="Q39" s="324">
        <f t="shared" si="43"/>
        <v>10.8366143626255</v>
      </c>
      <c r="R39" s="313">
        <f t="shared" si="44"/>
        <v>0.261250731989853</v>
      </c>
      <c r="S39" s="282">
        <f t="shared" si="45"/>
        <v>0.0488389351050863</v>
      </c>
      <c r="T39" s="282"/>
      <c r="U39" s="327" t="s">
        <v>84</v>
      </c>
      <c r="V39" s="201">
        <f t="shared" si="29"/>
        <v>815.34966</v>
      </c>
      <c r="W39" s="201">
        <f t="shared" si="30"/>
        <v>1332.56273</v>
      </c>
      <c r="X39" s="201">
        <f t="shared" si="31"/>
        <v>1801.66375</v>
      </c>
      <c r="Y39" s="201">
        <f t="shared" si="32"/>
        <v>2364.67378</v>
      </c>
      <c r="Z39" s="201">
        <f t="shared" si="33"/>
        <v>2746.7354</v>
      </c>
      <c r="AA39" s="331">
        <f t="shared" si="34"/>
        <v>3191.88762</v>
      </c>
      <c r="AB39" s="331">
        <f t="shared" si="35"/>
        <v>3543.66385</v>
      </c>
      <c r="AC39" s="331">
        <f t="shared" si="36"/>
        <v>3892.47489</v>
      </c>
      <c r="AD39" s="331">
        <f t="shared" si="37"/>
        <v>4275.72421</v>
      </c>
      <c r="AE39" s="331">
        <f t="shared" si="38"/>
        <v>4755.07898</v>
      </c>
      <c r="AF39" s="331">
        <f t="shared" si="39"/>
        <v>5181.007</v>
      </c>
      <c r="AH39" s="295">
        <f t="shared" si="46"/>
        <v>8.61855376094034</v>
      </c>
      <c r="AI39" s="295">
        <f t="shared" si="41"/>
        <v>9.45475574885945</v>
      </c>
      <c r="AJ39" s="295">
        <f t="shared" si="41"/>
        <v>9.46729312048092</v>
      </c>
      <c r="AK39" s="295">
        <f t="shared" si="41"/>
        <v>9.69096824694272</v>
      </c>
      <c r="AL39" s="295">
        <f t="shared" si="41"/>
        <v>10.0365963635301</v>
      </c>
      <c r="AM39" s="295">
        <f t="shared" si="41"/>
        <v>10.1159881342127</v>
      </c>
      <c r="AN39" s="295">
        <f t="shared" si="41"/>
        <v>10.1974177424275</v>
      </c>
      <c r="AO39" s="295">
        <f t="shared" si="41"/>
        <v>10.3585529866356</v>
      </c>
      <c r="AP39" s="295">
        <f t="shared" si="41"/>
        <v>10.6365267609488</v>
      </c>
      <c r="AQ39" s="295">
        <f t="shared" si="41"/>
        <v>10.9059193273533</v>
      </c>
      <c r="AR39" s="295">
        <f t="shared" si="41"/>
        <v>10.8366143626255</v>
      </c>
      <c r="AT39" s="282">
        <f t="shared" si="47"/>
        <v>0.0388424810318967</v>
      </c>
      <c r="AU39" s="282">
        <f t="shared" si="42"/>
        <v>0.0426111133054209</v>
      </c>
      <c r="AV39" s="282">
        <f t="shared" si="42"/>
        <v>0.0426676172889086</v>
      </c>
      <c r="AW39" s="282">
        <f t="shared" si="42"/>
        <v>0.043675686287245</v>
      </c>
      <c r="AX39" s="282">
        <f t="shared" si="42"/>
        <v>0.04523337844013</v>
      </c>
      <c r="AY39" s="282">
        <f t="shared" si="42"/>
        <v>0.0455911847998008</v>
      </c>
      <c r="AZ39" s="282">
        <f t="shared" si="42"/>
        <v>0.0459581753762072</v>
      </c>
      <c r="BA39" s="282">
        <f t="shared" si="42"/>
        <v>0.0466843868544124</v>
      </c>
      <c r="BB39" s="282">
        <f t="shared" si="42"/>
        <v>0.0479371714114989</v>
      </c>
      <c r="BC39" s="282">
        <f t="shared" si="42"/>
        <v>0.0491512817994998</v>
      </c>
      <c r="BD39" s="282">
        <f t="shared" si="42"/>
        <v>0.0488389351050863</v>
      </c>
    </row>
    <row r="40" spans="1:56">
      <c r="A40" s="299">
        <f t="shared" si="40"/>
        <v>68.68935</v>
      </c>
      <c r="B40" s="198"/>
      <c r="C40" s="25" t="s">
        <v>32</v>
      </c>
      <c r="D40" s="288">
        <v>23.19837</v>
      </c>
      <c r="E40" s="288">
        <v>22.59299</v>
      </c>
      <c r="F40" s="288">
        <v>22.89799</v>
      </c>
      <c r="G40" s="288">
        <v>22.60069</v>
      </c>
      <c r="H40" s="288">
        <v>28.23716</v>
      </c>
      <c r="I40" s="288">
        <v>20.36294</v>
      </c>
      <c r="J40" s="288">
        <v>17.41497</v>
      </c>
      <c r="K40" s="288">
        <v>17.02318</v>
      </c>
      <c r="L40" s="288">
        <v>17.83458</v>
      </c>
      <c r="M40" s="201">
        <v>16.49471</v>
      </c>
      <c r="N40" s="288">
        <v>17.37308</v>
      </c>
      <c r="O40" s="288">
        <v>46.35671</v>
      </c>
      <c r="P40" s="309">
        <f t="shared" si="28"/>
        <v>272.38737</v>
      </c>
      <c r="Q40" s="312">
        <f t="shared" si="43"/>
        <v>0.56972648096013</v>
      </c>
      <c r="R40" s="313">
        <f t="shared" si="44"/>
        <v>0.0137350518532963</v>
      </c>
      <c r="S40" s="282">
        <f t="shared" si="45"/>
        <v>0.00256766861864404</v>
      </c>
      <c r="T40" s="282"/>
      <c r="U40" s="313"/>
      <c r="V40" s="201">
        <f t="shared" si="29"/>
        <v>45.79136</v>
      </c>
      <c r="W40" s="201">
        <f t="shared" si="30"/>
        <v>68.68935</v>
      </c>
      <c r="X40" s="201">
        <f t="shared" si="31"/>
        <v>91.29004</v>
      </c>
      <c r="Y40" s="201">
        <f t="shared" si="32"/>
        <v>119.5272</v>
      </c>
      <c r="Z40" s="201">
        <f t="shared" si="33"/>
        <v>139.89014</v>
      </c>
      <c r="AA40" s="331">
        <f t="shared" si="34"/>
        <v>157.30511</v>
      </c>
      <c r="AB40" s="331">
        <f t="shared" si="35"/>
        <v>174.32829</v>
      </c>
      <c r="AC40" s="331">
        <f t="shared" si="36"/>
        <v>192.16287</v>
      </c>
      <c r="AD40" s="331">
        <f t="shared" si="37"/>
        <v>208.65758</v>
      </c>
      <c r="AE40" s="331">
        <f t="shared" si="38"/>
        <v>226.03066</v>
      </c>
      <c r="AF40" s="331">
        <f t="shared" si="39"/>
        <v>272.38737</v>
      </c>
      <c r="AH40" s="295">
        <f t="shared" si="46"/>
        <v>0.484031964821783</v>
      </c>
      <c r="AI40" s="295">
        <f t="shared" si="41"/>
        <v>0.487362442440454</v>
      </c>
      <c r="AJ40" s="295">
        <f t="shared" si="41"/>
        <v>0.479706364553556</v>
      </c>
      <c r="AK40" s="295">
        <f t="shared" si="41"/>
        <v>0.489849513130717</v>
      </c>
      <c r="AL40" s="295">
        <f t="shared" si="41"/>
        <v>0.511159855593557</v>
      </c>
      <c r="AM40" s="295">
        <f t="shared" si="41"/>
        <v>0.498544064095535</v>
      </c>
      <c r="AN40" s="295">
        <f t="shared" si="41"/>
        <v>0.501655482207502</v>
      </c>
      <c r="AO40" s="295">
        <f t="shared" si="41"/>
        <v>0.511378834086446</v>
      </c>
      <c r="AP40" s="295">
        <f t="shared" si="41"/>
        <v>0.519068074679403</v>
      </c>
      <c r="AQ40" s="295">
        <f t="shared" si="41"/>
        <v>0.518408243866526</v>
      </c>
      <c r="AR40" s="295">
        <f t="shared" si="41"/>
        <v>0.56972648096013</v>
      </c>
      <c r="AT40" s="282">
        <f t="shared" si="47"/>
        <v>0.00218145676570805</v>
      </c>
      <c r="AU40" s="282">
        <f t="shared" si="42"/>
        <v>0.00219646671022062</v>
      </c>
      <c r="AV40" s="282">
        <f t="shared" si="42"/>
        <v>0.00216196195822287</v>
      </c>
      <c r="AW40" s="282">
        <f t="shared" si="42"/>
        <v>0.00220767555091375</v>
      </c>
      <c r="AX40" s="282">
        <f t="shared" si="42"/>
        <v>0.00230371794919262</v>
      </c>
      <c r="AY40" s="282">
        <f t="shared" si="42"/>
        <v>0.00224686053952081</v>
      </c>
      <c r="AZ40" s="282">
        <f t="shared" si="42"/>
        <v>0.00226088321691526</v>
      </c>
      <c r="BA40" s="282">
        <f t="shared" si="42"/>
        <v>0.00230470485119409</v>
      </c>
      <c r="BB40" s="282">
        <f t="shared" si="42"/>
        <v>0.002339359062349</v>
      </c>
      <c r="BC40" s="282">
        <f t="shared" si="42"/>
        <v>0.00233638530752373</v>
      </c>
      <c r="BD40" s="282">
        <f t="shared" si="42"/>
        <v>0.00256766861864404</v>
      </c>
    </row>
    <row r="41" spans="1:56">
      <c r="A41" s="299">
        <f t="shared" si="40"/>
        <v>80.33706</v>
      </c>
      <c r="B41" s="198"/>
      <c r="C41" s="25" t="s">
        <v>33</v>
      </c>
      <c r="D41" s="288">
        <v>12.21136</v>
      </c>
      <c r="E41" s="288">
        <v>32.38083</v>
      </c>
      <c r="F41" s="288">
        <v>35.74487</v>
      </c>
      <c r="G41" s="288">
        <v>-5.81218</v>
      </c>
      <c r="H41" s="288">
        <v>17.75677</v>
      </c>
      <c r="I41" s="288">
        <v>21.31818</v>
      </c>
      <c r="J41" s="288">
        <v>1.40103999999999</v>
      </c>
      <c r="K41" s="288">
        <v>17.60299</v>
      </c>
      <c r="L41" s="288">
        <v>15.65114</v>
      </c>
      <c r="M41" s="201">
        <v>21.32774</v>
      </c>
      <c r="N41" s="288">
        <v>5.3692</v>
      </c>
      <c r="O41" s="288">
        <v>-39.57972</v>
      </c>
      <c r="P41" s="309">
        <f t="shared" si="28"/>
        <v>135.37222</v>
      </c>
      <c r="Q41" s="312">
        <f t="shared" si="43"/>
        <v>0.283145061095749</v>
      </c>
      <c r="R41" s="313">
        <f t="shared" si="44"/>
        <v>0.00682610379914396</v>
      </c>
      <c r="S41" s="282">
        <f t="shared" si="45"/>
        <v>0.00127609074213014</v>
      </c>
      <c r="T41" s="282"/>
      <c r="V41" s="201">
        <f t="shared" si="29"/>
        <v>44.59219</v>
      </c>
      <c r="W41" s="201">
        <f t="shared" si="30"/>
        <v>80.33706</v>
      </c>
      <c r="X41" s="201">
        <f t="shared" si="31"/>
        <v>74.52488</v>
      </c>
      <c r="Y41" s="201">
        <f t="shared" si="32"/>
        <v>92.28165</v>
      </c>
      <c r="Z41" s="201">
        <f t="shared" si="33"/>
        <v>113.59983</v>
      </c>
      <c r="AA41" s="331">
        <f t="shared" si="34"/>
        <v>115.00087</v>
      </c>
      <c r="AB41" s="331">
        <f t="shared" si="35"/>
        <v>132.60386</v>
      </c>
      <c r="AC41" s="331">
        <f t="shared" si="36"/>
        <v>148.255</v>
      </c>
      <c r="AD41" s="331">
        <f t="shared" si="37"/>
        <v>169.58274</v>
      </c>
      <c r="AE41" s="331">
        <f t="shared" si="38"/>
        <v>174.95194</v>
      </c>
      <c r="AF41" s="331">
        <f t="shared" si="39"/>
        <v>135.37222</v>
      </c>
      <c r="AH41" s="295">
        <f t="shared" si="46"/>
        <v>0.471356285146505</v>
      </c>
      <c r="AI41" s="295">
        <f t="shared" si="41"/>
        <v>0.570004895665562</v>
      </c>
      <c r="AJ41" s="295">
        <f t="shared" si="41"/>
        <v>0.39160963511014</v>
      </c>
      <c r="AK41" s="295">
        <f t="shared" si="41"/>
        <v>0.378191083898889</v>
      </c>
      <c r="AL41" s="295">
        <f t="shared" si="41"/>
        <v>0.415094821538192</v>
      </c>
      <c r="AM41" s="295">
        <f t="shared" si="41"/>
        <v>0.364470048711846</v>
      </c>
      <c r="AN41" s="295">
        <f t="shared" si="41"/>
        <v>0.381587253169729</v>
      </c>
      <c r="AO41" s="295">
        <f t="shared" si="41"/>
        <v>0.394532351892361</v>
      </c>
      <c r="AP41" s="295">
        <f t="shared" si="41"/>
        <v>0.421863353110191</v>
      </c>
      <c r="AQ41" s="295">
        <f t="shared" si="41"/>
        <v>0.401257634590112</v>
      </c>
      <c r="AR41" s="295">
        <f t="shared" si="41"/>
        <v>0.283145061095749</v>
      </c>
      <c r="AT41" s="282">
        <f t="shared" si="47"/>
        <v>0.00212432944933801</v>
      </c>
      <c r="AU41" s="282">
        <f t="shared" si="42"/>
        <v>0.00256892339040909</v>
      </c>
      <c r="AV41" s="282">
        <f t="shared" si="42"/>
        <v>0.00176492370362774</v>
      </c>
      <c r="AW41" s="282">
        <f t="shared" si="42"/>
        <v>0.0017044483808119</v>
      </c>
      <c r="AX41" s="282">
        <f t="shared" si="42"/>
        <v>0.00187076778532233</v>
      </c>
      <c r="AY41" s="282">
        <f t="shared" si="42"/>
        <v>0.0016426098097739</v>
      </c>
      <c r="AZ41" s="282">
        <f t="shared" si="42"/>
        <v>0.0017197543873813</v>
      </c>
      <c r="BA41" s="282">
        <f t="shared" si="42"/>
        <v>0.00177809593348486</v>
      </c>
      <c r="BB41" s="282">
        <f t="shared" si="42"/>
        <v>0.00190127250415238</v>
      </c>
      <c r="BC41" s="282">
        <f t="shared" si="42"/>
        <v>0.0018084057363668</v>
      </c>
      <c r="BD41" s="282">
        <f t="shared" si="42"/>
        <v>0.00127609074213014</v>
      </c>
    </row>
    <row r="42" spans="1:56">
      <c r="A42" s="299">
        <f t="shared" si="40"/>
        <v>-169.64689</v>
      </c>
      <c r="B42" s="198"/>
      <c r="C42" s="25" t="s">
        <v>34</v>
      </c>
      <c r="D42" s="288">
        <v>-58.2364</v>
      </c>
      <c r="E42" s="288">
        <v>-53.62907</v>
      </c>
      <c r="F42" s="288">
        <v>-57.78142</v>
      </c>
      <c r="G42" s="288">
        <v>-75.04936</v>
      </c>
      <c r="H42" s="288">
        <v>-62.47757</v>
      </c>
      <c r="I42" s="288">
        <v>-54.55736</v>
      </c>
      <c r="J42" s="288">
        <v>-46.2918</v>
      </c>
      <c r="K42" s="288">
        <v>-52.15434</v>
      </c>
      <c r="L42" s="288">
        <v>-43.47965</v>
      </c>
      <c r="M42" s="311">
        <v>-39.75619</v>
      </c>
      <c r="N42" s="288">
        <v>-37.47416</v>
      </c>
      <c r="O42" s="288">
        <v>-55.6909</v>
      </c>
      <c r="P42" s="309">
        <f t="shared" si="28"/>
        <v>-636.57822</v>
      </c>
      <c r="Q42" s="312">
        <f t="shared" si="43"/>
        <v>-1.33146947722453</v>
      </c>
      <c r="R42" s="313">
        <f t="shared" si="44"/>
        <v>-0.0320992667919186</v>
      </c>
      <c r="S42" s="282">
        <f t="shared" si="45"/>
        <v>-0.00600072580019508</v>
      </c>
      <c r="T42" s="282"/>
      <c r="V42" s="201">
        <f t="shared" si="29"/>
        <v>-111.86547</v>
      </c>
      <c r="W42" s="201">
        <f t="shared" si="30"/>
        <v>-169.64689</v>
      </c>
      <c r="X42" s="201">
        <f t="shared" si="31"/>
        <v>-244.69625</v>
      </c>
      <c r="Y42" s="201">
        <f t="shared" si="32"/>
        <v>-307.17382</v>
      </c>
      <c r="Z42" s="201">
        <f t="shared" si="33"/>
        <v>-361.73118</v>
      </c>
      <c r="AA42" s="331">
        <f t="shared" si="34"/>
        <v>-408.02298</v>
      </c>
      <c r="AB42" s="331">
        <f t="shared" si="35"/>
        <v>-460.17732</v>
      </c>
      <c r="AC42" s="331">
        <f t="shared" si="36"/>
        <v>-503.65697</v>
      </c>
      <c r="AD42" s="331">
        <f t="shared" si="37"/>
        <v>-543.41316</v>
      </c>
      <c r="AE42" s="331">
        <f t="shared" si="38"/>
        <v>-580.88732</v>
      </c>
      <c r="AF42" s="331">
        <f t="shared" si="39"/>
        <v>-636.57822</v>
      </c>
      <c r="AH42" s="295">
        <f t="shared" si="46"/>
        <v>-1.18246025538032</v>
      </c>
      <c r="AI42" s="295">
        <f t="shared" si="41"/>
        <v>-1.20367309725346</v>
      </c>
      <c r="AJ42" s="295">
        <f t="shared" si="41"/>
        <v>-1.28581769169329</v>
      </c>
      <c r="AK42" s="295">
        <f t="shared" si="41"/>
        <v>-1.25886782400577</v>
      </c>
      <c r="AL42" s="295">
        <f t="shared" si="41"/>
        <v>-1.32176905200386</v>
      </c>
      <c r="AM42" s="295">
        <f t="shared" si="41"/>
        <v>-1.29313939447721</v>
      </c>
      <c r="AN42" s="295">
        <f t="shared" si="41"/>
        <v>-1.32422841620001</v>
      </c>
      <c r="AO42" s="295">
        <f t="shared" si="41"/>
        <v>-1.34031883525736</v>
      </c>
      <c r="AP42" s="295">
        <f t="shared" si="41"/>
        <v>-1.35182447106235</v>
      </c>
      <c r="AQ42" s="295">
        <f t="shared" si="41"/>
        <v>-1.33228286572066</v>
      </c>
      <c r="AR42" s="295">
        <f t="shared" si="41"/>
        <v>-1.33146947722453</v>
      </c>
      <c r="AT42" s="282">
        <f t="shared" si="47"/>
        <v>-0.00532916441836649</v>
      </c>
      <c r="AU42" s="282">
        <f t="shared" si="42"/>
        <v>-0.00542476739665552</v>
      </c>
      <c r="AV42" s="282">
        <f t="shared" si="42"/>
        <v>-0.00579498030474949</v>
      </c>
      <c r="AW42" s="282">
        <f t="shared" si="42"/>
        <v>-0.005673521443611</v>
      </c>
      <c r="AX42" s="282">
        <f t="shared" si="42"/>
        <v>-0.00595700749279847</v>
      </c>
      <c r="AY42" s="282">
        <f t="shared" si="42"/>
        <v>-0.00582797808017609</v>
      </c>
      <c r="AZ42" s="282">
        <f t="shared" si="42"/>
        <v>-0.00596809146463286</v>
      </c>
      <c r="BA42" s="282">
        <f t="shared" si="42"/>
        <v>-0.00604060848017473</v>
      </c>
      <c r="BB42" s="282">
        <f t="shared" si="42"/>
        <v>-0.00609246259084242</v>
      </c>
      <c r="BC42" s="282">
        <f t="shared" si="42"/>
        <v>-0.00600439161561019</v>
      </c>
      <c r="BD42" s="282">
        <f t="shared" si="42"/>
        <v>-0.00600072580019508</v>
      </c>
    </row>
    <row r="43" spans="1:58">
      <c r="A43" s="299">
        <f t="shared" si="40"/>
        <v>79.47878</v>
      </c>
      <c r="B43" s="198"/>
      <c r="C43" s="25" t="s">
        <v>35</v>
      </c>
      <c r="D43" s="288">
        <v>25.36374</v>
      </c>
      <c r="E43" s="288">
        <v>23.35341</v>
      </c>
      <c r="F43" s="288">
        <v>30.76163</v>
      </c>
      <c r="G43" s="288">
        <v>27.43437</v>
      </c>
      <c r="H43" s="288">
        <v>39.84957</v>
      </c>
      <c r="I43" s="288">
        <v>25.1104</v>
      </c>
      <c r="J43" s="288">
        <v>29.59207</v>
      </c>
      <c r="K43" s="288">
        <v>21.32902</v>
      </c>
      <c r="L43" s="288">
        <v>20.16034</v>
      </c>
      <c r="M43" s="288">
        <v>13.90294</v>
      </c>
      <c r="N43" s="288">
        <v>21.9916</v>
      </c>
      <c r="O43" s="288">
        <v>21.00062</v>
      </c>
      <c r="P43" s="309">
        <f t="shared" si="28"/>
        <v>299.84971</v>
      </c>
      <c r="Q43" s="324">
        <f t="shared" si="43"/>
        <v>0.627166817959348</v>
      </c>
      <c r="R43" s="313">
        <f t="shared" si="44"/>
        <v>0.015119832153179</v>
      </c>
      <c r="S43" s="282">
        <f t="shared" si="45"/>
        <v>0.0028265432816379</v>
      </c>
      <c r="T43" s="282"/>
      <c r="V43" s="201">
        <f t="shared" si="29"/>
        <v>48.71715</v>
      </c>
      <c r="W43" s="201">
        <f t="shared" si="30"/>
        <v>79.47878</v>
      </c>
      <c r="X43" s="201">
        <f t="shared" si="31"/>
        <v>106.91315</v>
      </c>
      <c r="Y43" s="201">
        <f t="shared" si="32"/>
        <v>146.76272</v>
      </c>
      <c r="Z43" s="201">
        <f t="shared" si="33"/>
        <v>171.87312</v>
      </c>
      <c r="AA43" s="331">
        <f t="shared" si="34"/>
        <v>201.46519</v>
      </c>
      <c r="AB43" s="331">
        <f t="shared" si="35"/>
        <v>222.79421</v>
      </c>
      <c r="AC43" s="331">
        <f t="shared" si="36"/>
        <v>242.95455</v>
      </c>
      <c r="AD43" s="331">
        <f t="shared" si="37"/>
        <v>256.85749</v>
      </c>
      <c r="AE43" s="331">
        <f t="shared" si="38"/>
        <v>278.84909</v>
      </c>
      <c r="AF43" s="331">
        <f t="shared" si="39"/>
        <v>299.84971</v>
      </c>
      <c r="AH43" s="295">
        <f t="shared" si="46"/>
        <v>0.514958669823686</v>
      </c>
      <c r="AI43" s="295">
        <f t="shared" si="41"/>
        <v>0.563915255319602</v>
      </c>
      <c r="AJ43" s="295">
        <f t="shared" si="41"/>
        <v>0.561801906423407</v>
      </c>
      <c r="AK43" s="295">
        <f t="shared" si="41"/>
        <v>0.60146683715288</v>
      </c>
      <c r="AL43" s="295">
        <f t="shared" si="41"/>
        <v>0.628025958081207</v>
      </c>
      <c r="AM43" s="295">
        <f t="shared" si="41"/>
        <v>0.638499757550019</v>
      </c>
      <c r="AN43" s="295">
        <f t="shared" si="41"/>
        <v>0.641123347510547</v>
      </c>
      <c r="AO43" s="295">
        <f t="shared" si="41"/>
        <v>0.646544332497725</v>
      </c>
      <c r="AP43" s="295">
        <f t="shared" si="41"/>
        <v>0.638972822368994</v>
      </c>
      <c r="AQ43" s="295">
        <f t="shared" si="41"/>
        <v>0.639548931329399</v>
      </c>
      <c r="AR43" s="295">
        <f t="shared" si="41"/>
        <v>0.627166817959348</v>
      </c>
      <c r="AT43" s="282">
        <f t="shared" si="47"/>
        <v>0.00232083861395498</v>
      </c>
      <c r="AU43" s="282">
        <f t="shared" si="42"/>
        <v>0.00254147832872124</v>
      </c>
      <c r="AV43" s="282">
        <f t="shared" si="42"/>
        <v>0.00253195379401494</v>
      </c>
      <c r="AW43" s="282">
        <f t="shared" si="42"/>
        <v>0.00271071746623028</v>
      </c>
      <c r="AX43" s="282">
        <f t="shared" si="42"/>
        <v>0.00283041529251266</v>
      </c>
      <c r="AY43" s="282">
        <f t="shared" si="42"/>
        <v>0.00287761907733361</v>
      </c>
      <c r="AZ43" s="282">
        <f t="shared" si="42"/>
        <v>0.00288944318913983</v>
      </c>
      <c r="BA43" s="282">
        <f t="shared" si="42"/>
        <v>0.00291387472514683</v>
      </c>
      <c r="BB43" s="282">
        <f t="shared" si="42"/>
        <v>0.00287975110687912</v>
      </c>
      <c r="BC43" s="282">
        <f t="shared" si="42"/>
        <v>0.00288234754033972</v>
      </c>
      <c r="BD43" s="282">
        <f t="shared" si="42"/>
        <v>0.0028265432816379</v>
      </c>
      <c r="BF43" s="334">
        <f>(N31-N5)/N5</f>
        <v>-0.210763163999072</v>
      </c>
    </row>
    <row r="44" spans="1:56">
      <c r="A44" s="299">
        <f t="shared" si="40"/>
        <v>638.00837011</v>
      </c>
      <c r="B44" s="198" t="s">
        <v>36</v>
      </c>
      <c r="C44" s="25" t="s">
        <v>37</v>
      </c>
      <c r="D44" s="288">
        <v>174.89607</v>
      </c>
      <c r="E44" s="288">
        <v>243.79851011</v>
      </c>
      <c r="F44" s="288">
        <v>219.31379</v>
      </c>
      <c r="G44" s="288">
        <v>161.26311</v>
      </c>
      <c r="H44" s="288">
        <v>196.88485</v>
      </c>
      <c r="I44" s="288">
        <v>184.02968</v>
      </c>
      <c r="J44" s="288">
        <v>188.28229</v>
      </c>
      <c r="K44" s="288">
        <v>176.98346</v>
      </c>
      <c r="L44" s="288">
        <v>203.39738</v>
      </c>
      <c r="M44" s="288">
        <v>207.85696</v>
      </c>
      <c r="N44" s="288">
        <v>187.40864</v>
      </c>
      <c r="O44" s="288">
        <v>-32.98022</v>
      </c>
      <c r="P44" s="309">
        <f t="shared" si="28"/>
        <v>2111.13452011</v>
      </c>
      <c r="Q44" s="315">
        <f t="shared" si="43"/>
        <v>4.41565716125429</v>
      </c>
      <c r="R44" s="316">
        <f t="shared" si="44"/>
        <v>0.106453328225147</v>
      </c>
      <c r="S44" s="317">
        <f t="shared" si="45"/>
        <v>0.0199006798921059</v>
      </c>
      <c r="T44" s="317"/>
      <c r="V44" s="201">
        <f t="shared" si="29"/>
        <v>418.69458011</v>
      </c>
      <c r="W44" s="201">
        <f t="shared" si="30"/>
        <v>638.00837011</v>
      </c>
      <c r="X44" s="201">
        <f t="shared" si="31"/>
        <v>799.27148011</v>
      </c>
      <c r="Y44" s="201">
        <f t="shared" si="32"/>
        <v>996.15633011</v>
      </c>
      <c r="Z44" s="201">
        <f t="shared" si="33"/>
        <v>1180.18601011</v>
      </c>
      <c r="AA44" s="331">
        <f t="shared" si="34"/>
        <v>1368.46830011</v>
      </c>
      <c r="AB44" s="331">
        <f t="shared" si="35"/>
        <v>1545.45176011</v>
      </c>
      <c r="AC44" s="331">
        <f t="shared" si="36"/>
        <v>1748.84914011</v>
      </c>
      <c r="AD44" s="331">
        <f t="shared" si="37"/>
        <v>1956.70610011</v>
      </c>
      <c r="AE44" s="331">
        <f t="shared" si="38"/>
        <v>2144.11474011</v>
      </c>
      <c r="AF44" s="331">
        <f t="shared" si="39"/>
        <v>2111.13452011</v>
      </c>
      <c r="AH44" s="295">
        <f t="shared" si="46"/>
        <v>4.42575979990275</v>
      </c>
      <c r="AI44" s="295">
        <f t="shared" si="41"/>
        <v>4.52677624048361</v>
      </c>
      <c r="AJ44" s="295">
        <f t="shared" si="41"/>
        <v>4.19997204530646</v>
      </c>
      <c r="AK44" s="295">
        <f t="shared" si="41"/>
        <v>4.0824740586784</v>
      </c>
      <c r="AL44" s="295">
        <f t="shared" si="41"/>
        <v>4.31241051371715</v>
      </c>
      <c r="AM44" s="295">
        <f t="shared" si="41"/>
        <v>4.33706030225431</v>
      </c>
      <c r="AN44" s="295">
        <f t="shared" si="41"/>
        <v>4.4472664072275</v>
      </c>
      <c r="AO44" s="295">
        <f t="shared" si="41"/>
        <v>4.65399186774497</v>
      </c>
      <c r="AP44" s="295">
        <f t="shared" si="41"/>
        <v>4.86760973695536</v>
      </c>
      <c r="AQ44" s="295">
        <f t="shared" si="41"/>
        <v>4.91759284810635</v>
      </c>
      <c r="AR44" s="295">
        <f t="shared" si="41"/>
        <v>4.41565716125429</v>
      </c>
      <c r="AT44" s="282">
        <f t="shared" si="47"/>
        <v>0.0199462109128501</v>
      </c>
      <c r="AU44" s="282">
        <f t="shared" si="42"/>
        <v>0.0204014762956518</v>
      </c>
      <c r="AV44" s="282">
        <f t="shared" si="42"/>
        <v>0.0189286206281683</v>
      </c>
      <c r="AW44" s="282">
        <f t="shared" si="42"/>
        <v>0.0183990754813282</v>
      </c>
      <c r="AX44" s="282">
        <f t="shared" si="42"/>
        <v>0.0194353633135004</v>
      </c>
      <c r="AY44" s="282">
        <f t="shared" si="42"/>
        <v>0.0195464560757262</v>
      </c>
      <c r="AZ44" s="282">
        <f t="shared" si="42"/>
        <v>0.0200431378463291</v>
      </c>
      <c r="BA44" s="282">
        <f t="shared" si="42"/>
        <v>0.0209748173370752</v>
      </c>
      <c r="BB44" s="282">
        <f t="shared" si="42"/>
        <v>0.0219375598415639</v>
      </c>
      <c r="BC44" s="282">
        <f t="shared" si="42"/>
        <v>0.0221628259477633</v>
      </c>
      <c r="BD44" s="282">
        <f t="shared" si="42"/>
        <v>0.0199006798921059</v>
      </c>
    </row>
    <row r="45" spans="1:56">
      <c r="A45" s="299">
        <f t="shared" si="40"/>
        <v>300.76464</v>
      </c>
      <c r="B45" s="198"/>
      <c r="C45" s="25" t="s">
        <v>38</v>
      </c>
      <c r="D45" s="288">
        <v>100.051</v>
      </c>
      <c r="E45" s="288">
        <v>100.68714</v>
      </c>
      <c r="F45" s="288">
        <v>100.0265</v>
      </c>
      <c r="G45" s="288">
        <v>100.04283</v>
      </c>
      <c r="H45" s="288">
        <v>110.01524</v>
      </c>
      <c r="I45" s="288">
        <v>100.04283</v>
      </c>
      <c r="J45" s="288">
        <v>100.04283</v>
      </c>
      <c r="K45" s="288">
        <v>100.04283</v>
      </c>
      <c r="L45" s="288">
        <v>110.01524</v>
      </c>
      <c r="M45" s="288">
        <v>110.01524</v>
      </c>
      <c r="N45" s="288">
        <v>100.04283</v>
      </c>
      <c r="O45" s="288">
        <v>-118.98588</v>
      </c>
      <c r="P45" s="309">
        <f t="shared" si="28"/>
        <v>1012.03863</v>
      </c>
      <c r="Q45" s="315">
        <f t="shared" si="43"/>
        <v>2.1167839289524</v>
      </c>
      <c r="R45" s="316"/>
      <c r="S45" s="317">
        <f t="shared" si="45"/>
        <v>0.00954001586456271</v>
      </c>
      <c r="T45" s="317"/>
      <c r="V45" s="201">
        <f t="shared" si="29"/>
        <v>200.73814</v>
      </c>
      <c r="W45" s="201">
        <f t="shared" si="30"/>
        <v>300.76464</v>
      </c>
      <c r="X45" s="201">
        <f t="shared" si="31"/>
        <v>400.80747</v>
      </c>
      <c r="Y45" s="201">
        <f t="shared" si="32"/>
        <v>510.82271</v>
      </c>
      <c r="Z45" s="201">
        <f t="shared" si="33"/>
        <v>610.86554</v>
      </c>
      <c r="AA45" s="331">
        <f t="shared" si="34"/>
        <v>710.90837</v>
      </c>
      <c r="AB45" s="331">
        <f t="shared" si="35"/>
        <v>810.9512</v>
      </c>
      <c r="AC45" s="331">
        <f t="shared" si="36"/>
        <v>920.96644</v>
      </c>
      <c r="AD45" s="331">
        <f t="shared" si="37"/>
        <v>1030.98168</v>
      </c>
      <c r="AE45" s="331">
        <f t="shared" si="38"/>
        <v>1131.02451</v>
      </c>
      <c r="AF45" s="331">
        <f t="shared" si="39"/>
        <v>1012.03863</v>
      </c>
      <c r="AH45" s="295">
        <f t="shared" si="46"/>
        <v>2.12187793327978</v>
      </c>
      <c r="AI45" s="295">
        <f t="shared" si="41"/>
        <v>2.13397549329152</v>
      </c>
      <c r="AJ45" s="295">
        <f t="shared" si="41"/>
        <v>2.10614317092652</v>
      </c>
      <c r="AK45" s="295">
        <f t="shared" si="41"/>
        <v>2.0934670584571</v>
      </c>
      <c r="AL45" s="295">
        <f t="shared" si="41"/>
        <v>2.23210829021603</v>
      </c>
      <c r="AM45" s="295">
        <f t="shared" si="41"/>
        <v>2.25306824412336</v>
      </c>
      <c r="AN45" s="295">
        <f t="shared" si="41"/>
        <v>2.33363222505511</v>
      </c>
      <c r="AO45" s="295">
        <f t="shared" si="41"/>
        <v>2.45085194824549</v>
      </c>
      <c r="AP45" s="295">
        <f t="shared" si="41"/>
        <v>2.56472674353521</v>
      </c>
      <c r="AQ45" s="295">
        <f t="shared" si="41"/>
        <v>2.59403936615987</v>
      </c>
      <c r="AR45" s="295">
        <f t="shared" si="41"/>
        <v>2.1167839289524</v>
      </c>
      <c r="AT45" s="282">
        <f t="shared" si="47"/>
        <v>0.00956297374960361</v>
      </c>
      <c r="AU45" s="282">
        <f t="shared" si="42"/>
        <v>0.00961749557058684</v>
      </c>
      <c r="AV45" s="282">
        <f t="shared" si="42"/>
        <v>0.0094920596234984</v>
      </c>
      <c r="AW45" s="282">
        <f t="shared" si="42"/>
        <v>0.00943493035659251</v>
      </c>
      <c r="AX45" s="282">
        <f t="shared" si="42"/>
        <v>0.0100597648200312</v>
      </c>
      <c r="AY45" s="282">
        <f t="shared" si="42"/>
        <v>0.0101542280715996</v>
      </c>
      <c r="AZ45" s="282">
        <f t="shared" si="42"/>
        <v>0.010517317400505</v>
      </c>
      <c r="BA45" s="282">
        <f t="shared" si="42"/>
        <v>0.0110456084573203</v>
      </c>
      <c r="BB45" s="282">
        <f t="shared" si="42"/>
        <v>0.0115588244444501</v>
      </c>
      <c r="BC45" s="282">
        <f t="shared" si="42"/>
        <v>0.0116909318745219</v>
      </c>
      <c r="BD45" s="282">
        <f t="shared" si="42"/>
        <v>0.00954001586456271</v>
      </c>
    </row>
    <row r="46" spans="1:57">
      <c r="A46" s="299">
        <f t="shared" si="40"/>
        <v>15.03925</v>
      </c>
      <c r="B46" s="198"/>
      <c r="C46" s="25" t="s">
        <v>39</v>
      </c>
      <c r="D46" s="288">
        <v>5.03429</v>
      </c>
      <c r="E46" s="288">
        <v>4.99367</v>
      </c>
      <c r="F46" s="288">
        <v>5.01129</v>
      </c>
      <c r="G46" s="288">
        <v>5.00712</v>
      </c>
      <c r="H46" s="288">
        <v>4.9626</v>
      </c>
      <c r="I46" s="288">
        <v>4.06732</v>
      </c>
      <c r="J46" s="288">
        <v>5.10556</v>
      </c>
      <c r="K46" s="288">
        <v>4.14821</v>
      </c>
      <c r="L46" s="288">
        <v>4.01824</v>
      </c>
      <c r="M46" s="288">
        <v>4.6376</v>
      </c>
      <c r="N46" s="288">
        <v>4.34861</v>
      </c>
      <c r="O46" s="288">
        <v>3.65034</v>
      </c>
      <c r="P46" s="309">
        <f t="shared" si="28"/>
        <v>54.98485</v>
      </c>
      <c r="Q46" s="315">
        <f t="shared" si="43"/>
        <v>0.115006525804117</v>
      </c>
      <c r="R46" s="316"/>
      <c r="S46" s="317">
        <f t="shared" si="45"/>
        <v>0.000518316520497445</v>
      </c>
      <c r="T46" s="317"/>
      <c r="V46" s="201">
        <f t="shared" si="29"/>
        <v>10.02796</v>
      </c>
      <c r="W46" s="201">
        <f t="shared" si="30"/>
        <v>15.03925</v>
      </c>
      <c r="X46" s="201">
        <f t="shared" si="31"/>
        <v>20.04637</v>
      </c>
      <c r="Y46" s="201">
        <f t="shared" si="32"/>
        <v>25.00897</v>
      </c>
      <c r="Z46" s="201">
        <f t="shared" si="33"/>
        <v>29.07629</v>
      </c>
      <c r="AA46" s="331">
        <f t="shared" si="34"/>
        <v>34.18185</v>
      </c>
      <c r="AB46" s="331">
        <f t="shared" si="35"/>
        <v>38.33006</v>
      </c>
      <c r="AC46" s="331">
        <f t="shared" si="36"/>
        <v>42.3483</v>
      </c>
      <c r="AD46" s="331">
        <f t="shared" si="37"/>
        <v>46.9859</v>
      </c>
      <c r="AE46" s="331">
        <f t="shared" si="38"/>
        <v>51.33451</v>
      </c>
      <c r="AF46" s="331">
        <f t="shared" si="39"/>
        <v>54.98485</v>
      </c>
      <c r="AH46" s="295">
        <f t="shared" si="46"/>
        <v>0.105999323495835</v>
      </c>
      <c r="AI46" s="295">
        <f t="shared" si="41"/>
        <v>0.106705997545072</v>
      </c>
      <c r="AJ46" s="295">
        <f t="shared" si="41"/>
        <v>0.105338668656465</v>
      </c>
      <c r="AK46" s="295">
        <f t="shared" si="41"/>
        <v>0.102492418281368</v>
      </c>
      <c r="AL46" s="295">
        <f t="shared" si="41"/>
        <v>0.106245030547517</v>
      </c>
      <c r="AM46" s="295">
        <f t="shared" si="41"/>
        <v>0.108331880746302</v>
      </c>
      <c r="AN46" s="295">
        <f t="shared" si="41"/>
        <v>0.110300426467457</v>
      </c>
      <c r="AO46" s="295">
        <f t="shared" si="41"/>
        <v>0.11269619505341</v>
      </c>
      <c r="AP46" s="295">
        <f t="shared" si="41"/>
        <v>0.116884709628469</v>
      </c>
      <c r="AQ46" s="295">
        <f t="shared" si="41"/>
        <v>0.117737271478341</v>
      </c>
      <c r="AR46" s="295">
        <f t="shared" si="41"/>
        <v>0.115006525804117</v>
      </c>
      <c r="AT46" s="282">
        <f t="shared" si="47"/>
        <v>0.000477722460923844</v>
      </c>
      <c r="AU46" s="282">
        <f t="shared" si="42"/>
        <v>0.000480907330928091</v>
      </c>
      <c r="AV46" s="282">
        <f t="shared" si="42"/>
        <v>0.000474744992339363</v>
      </c>
      <c r="AW46" s="282">
        <f t="shared" si="42"/>
        <v>0.000461917384683448</v>
      </c>
      <c r="AX46" s="282">
        <f t="shared" si="42"/>
        <v>0.000478829824381689</v>
      </c>
      <c r="AY46" s="282">
        <f t="shared" si="42"/>
        <v>0.000488234933581111</v>
      </c>
      <c r="AZ46" s="282">
        <f t="shared" si="42"/>
        <v>0.000497106862904207</v>
      </c>
      <c r="BA46" s="282">
        <f t="shared" si="42"/>
        <v>0.000507904219216868</v>
      </c>
      <c r="BB46" s="282">
        <f t="shared" si="42"/>
        <v>0.000526781202809043</v>
      </c>
      <c r="BC46" s="282">
        <f t="shared" si="42"/>
        <v>0.000530623566435324</v>
      </c>
      <c r="BD46" s="282">
        <f t="shared" si="42"/>
        <v>0.000518316520497445</v>
      </c>
      <c r="BE46" s="335">
        <f>N49/N23</f>
        <v>1.17501846549617</v>
      </c>
    </row>
    <row r="47" spans="1:56">
      <c r="A47" s="299">
        <f t="shared" si="40"/>
        <v>322.20448011</v>
      </c>
      <c r="B47" s="198"/>
      <c r="C47" s="25" t="s">
        <v>40</v>
      </c>
      <c r="D47" s="288">
        <v>69.81078</v>
      </c>
      <c r="E47" s="288">
        <v>138.11770011</v>
      </c>
      <c r="F47" s="288">
        <v>114.276</v>
      </c>
      <c r="G47" s="288">
        <v>56.21316</v>
      </c>
      <c r="H47" s="288">
        <v>81.90701</v>
      </c>
      <c r="I47" s="288">
        <v>79.9195300000001</v>
      </c>
      <c r="J47" s="288">
        <v>83.1339</v>
      </c>
      <c r="K47" s="288">
        <v>73</v>
      </c>
      <c r="L47" s="288">
        <v>89.3639</v>
      </c>
      <c r="M47" s="288">
        <v>93.2041199999999</v>
      </c>
      <c r="N47" s="288">
        <v>83.0172</v>
      </c>
      <c r="O47" s="288">
        <v>82.35532</v>
      </c>
      <c r="P47" s="309">
        <f t="shared" si="28"/>
        <v>1044.31862011</v>
      </c>
      <c r="Q47" s="315">
        <f t="shared" si="43"/>
        <v>2.18430088163195</v>
      </c>
      <c r="R47" s="316"/>
      <c r="S47" s="317">
        <f t="shared" si="45"/>
        <v>0.00984430426683182</v>
      </c>
      <c r="T47" s="317"/>
      <c r="V47" s="201">
        <f t="shared" si="29"/>
        <v>207.92848011</v>
      </c>
      <c r="W47" s="201">
        <f t="shared" si="30"/>
        <v>322.20448011</v>
      </c>
      <c r="X47" s="201">
        <f t="shared" si="31"/>
        <v>378.41764011</v>
      </c>
      <c r="Y47" s="201">
        <f t="shared" si="32"/>
        <v>460.32465011</v>
      </c>
      <c r="Z47" s="201">
        <f t="shared" si="33"/>
        <v>540.24418011</v>
      </c>
      <c r="AA47" s="331">
        <f t="shared" si="34"/>
        <v>623.37808011</v>
      </c>
      <c r="AB47" s="331">
        <f t="shared" si="35"/>
        <v>696.37808011</v>
      </c>
      <c r="AC47" s="331">
        <f t="shared" si="36"/>
        <v>785.74198011</v>
      </c>
      <c r="AD47" s="331">
        <f t="shared" si="37"/>
        <v>878.94610011</v>
      </c>
      <c r="AE47" s="331">
        <f t="shared" si="38"/>
        <v>961.96330011</v>
      </c>
      <c r="AF47" s="331">
        <f t="shared" si="39"/>
        <v>1044.31862011</v>
      </c>
      <c r="AH47" s="295">
        <f t="shared" si="46"/>
        <v>2.19788254312714</v>
      </c>
      <c r="AI47" s="295">
        <f t="shared" si="41"/>
        <v>2.28609474964702</v>
      </c>
      <c r="AJ47" s="295">
        <f t="shared" si="41"/>
        <v>1.98849020572347</v>
      </c>
      <c r="AK47" s="295">
        <f t="shared" si="41"/>
        <v>1.88651458193994</v>
      </c>
      <c r="AL47" s="295">
        <f t="shared" si="41"/>
        <v>1.97405719295361</v>
      </c>
      <c r="AM47" s="295">
        <f t="shared" si="41"/>
        <v>1.97566017738465</v>
      </c>
      <c r="AN47" s="295">
        <f t="shared" si="41"/>
        <v>2.0039310979091</v>
      </c>
      <c r="AO47" s="295">
        <f t="shared" si="41"/>
        <v>2.09099613094573</v>
      </c>
      <c r="AP47" s="295">
        <f t="shared" si="41"/>
        <v>2.18651467121908</v>
      </c>
      <c r="AQ47" s="295">
        <f t="shared" si="41"/>
        <v>2.206292301558</v>
      </c>
      <c r="AR47" s="295">
        <f t="shared" si="41"/>
        <v>2.18430088163195</v>
      </c>
      <c r="AT47" s="282">
        <f t="shared" si="47"/>
        <v>0.00990551470232267</v>
      </c>
      <c r="AU47" s="282">
        <f t="shared" si="42"/>
        <v>0.0103030733941369</v>
      </c>
      <c r="AV47" s="282">
        <f t="shared" si="42"/>
        <v>0.00896181601233051</v>
      </c>
      <c r="AW47" s="282">
        <f t="shared" si="42"/>
        <v>0.00850222774005225</v>
      </c>
      <c r="AX47" s="282">
        <f t="shared" si="42"/>
        <v>0.00889676866908745</v>
      </c>
      <c r="AY47" s="282">
        <f t="shared" si="42"/>
        <v>0.00890399307054552</v>
      </c>
      <c r="AZ47" s="282">
        <f t="shared" si="42"/>
        <v>0.00903140571130691</v>
      </c>
      <c r="BA47" s="282">
        <f t="shared" si="42"/>
        <v>0.00942379427069529</v>
      </c>
      <c r="BB47" s="282">
        <f t="shared" si="42"/>
        <v>0.00985428147210681</v>
      </c>
      <c r="BC47" s="282">
        <f t="shared" si="42"/>
        <v>0.00994341617528369</v>
      </c>
      <c r="BD47" s="282">
        <f t="shared" si="42"/>
        <v>0.00984430426683182</v>
      </c>
    </row>
    <row r="48" spans="1:56">
      <c r="A48" s="299">
        <f t="shared" si="40"/>
        <v>5162.35453588778</v>
      </c>
      <c r="B48" s="289" t="s">
        <v>15</v>
      </c>
      <c r="C48" s="289"/>
      <c r="D48" s="291">
        <f>SUM(D32:D44)</f>
        <v>1702.22127577778</v>
      </c>
      <c r="E48" s="291">
        <f>SUM(E32:E44)</f>
        <v>1632.23341011</v>
      </c>
      <c r="F48" s="291">
        <f t="shared" ref="F48:I48" si="48">SUM(F32:F44)</f>
        <v>1827.89985</v>
      </c>
      <c r="G48" s="291">
        <f t="shared" si="48"/>
        <v>1591.59675947</v>
      </c>
      <c r="H48" s="291">
        <f t="shared" si="48"/>
        <v>1866.98700931903</v>
      </c>
      <c r="I48" s="291">
        <f t="shared" si="48"/>
        <v>1737.90001</v>
      </c>
      <c r="J48" s="291">
        <f t="shared" ref="J48:K48" si="49">SUM(J32:J44)</f>
        <v>1637.4123</v>
      </c>
      <c r="K48" s="291">
        <f t="shared" si="49"/>
        <v>1533.5455277507</v>
      </c>
      <c r="L48" s="291">
        <f t="shared" ref="L48:Q48" si="50">SUM(L32:L44)</f>
        <v>1597.85532</v>
      </c>
      <c r="M48" s="291">
        <f t="shared" si="50"/>
        <v>1443.0898</v>
      </c>
      <c r="N48" s="291">
        <f t="shared" si="50"/>
        <v>1758.5060736739</v>
      </c>
      <c r="O48" s="291">
        <f t="shared" si="50"/>
        <v>1502.30284</v>
      </c>
      <c r="P48" s="291">
        <f t="shared" si="50"/>
        <v>19831.5501761014</v>
      </c>
      <c r="Q48" s="328">
        <f t="shared" si="50"/>
        <v>41.4797473679286</v>
      </c>
      <c r="R48" s="301"/>
      <c r="S48" s="301"/>
      <c r="T48" s="301"/>
      <c r="V48" s="303">
        <f t="shared" ref="V48:AF48" si="51">SUM(V32:V44)</f>
        <v>3334.45468588778</v>
      </c>
      <c r="W48" s="303">
        <f t="shared" si="51"/>
        <v>5162.35453588778</v>
      </c>
      <c r="X48" s="303">
        <f t="shared" si="51"/>
        <v>6753.95129535778</v>
      </c>
      <c r="Y48" s="303">
        <f t="shared" si="51"/>
        <v>8620.93830467681</v>
      </c>
      <c r="Z48" s="303">
        <f t="shared" si="51"/>
        <v>10358.8383146768</v>
      </c>
      <c r="AA48" s="303">
        <f t="shared" si="51"/>
        <v>11996.2506146768</v>
      </c>
      <c r="AB48" s="303">
        <f t="shared" si="51"/>
        <v>13529.7961424275</v>
      </c>
      <c r="AC48" s="303">
        <f t="shared" si="51"/>
        <v>15127.6514624275</v>
      </c>
      <c r="AD48" s="303">
        <f t="shared" si="51"/>
        <v>16570.7412624275</v>
      </c>
      <c r="AE48" s="303">
        <f t="shared" si="51"/>
        <v>18329.2473361014</v>
      </c>
      <c r="AF48" s="303">
        <f t="shared" si="51"/>
        <v>19831.5501761014</v>
      </c>
      <c r="AH48" s="295">
        <f t="shared" si="46"/>
        <v>35.2464450328504</v>
      </c>
      <c r="AI48" s="295">
        <f t="shared" si="46"/>
        <v>36.6277700306354</v>
      </c>
      <c r="AJ48" s="295">
        <f t="shared" si="46"/>
        <v>35.4903275567396</v>
      </c>
      <c r="AK48" s="295">
        <f t="shared" si="46"/>
        <v>35.3305559845448</v>
      </c>
      <c r="AL48" s="295">
        <f t="shared" si="46"/>
        <v>37.8512902842703</v>
      </c>
      <c r="AM48" s="295">
        <f t="shared" si="46"/>
        <v>38.0194866864117</v>
      </c>
      <c r="AN48" s="295">
        <f t="shared" si="46"/>
        <v>38.9339929164605</v>
      </c>
      <c r="AO48" s="295">
        <f t="shared" si="46"/>
        <v>40.2573128061748</v>
      </c>
      <c r="AP48" s="295">
        <f t="shared" si="46"/>
        <v>41.2222875540817</v>
      </c>
      <c r="AQ48" s="295">
        <f t="shared" si="46"/>
        <v>42.0386903391935</v>
      </c>
      <c r="AR48" s="295">
        <f t="shared" si="46"/>
        <v>41.4797473679286</v>
      </c>
      <c r="AT48" s="282">
        <f t="shared" si="47"/>
        <v>0.158850244554361</v>
      </c>
      <c r="AU48" s="282">
        <f t="shared" si="47"/>
        <v>0.165075661429813</v>
      </c>
      <c r="AV48" s="282">
        <f t="shared" si="47"/>
        <v>0.159949385149284</v>
      </c>
      <c r="AW48" s="282">
        <f t="shared" si="47"/>
        <v>0.1592293195287</v>
      </c>
      <c r="AX48" s="282">
        <f t="shared" si="47"/>
        <v>0.170589876872703</v>
      </c>
      <c r="AY48" s="282">
        <f t="shared" si="47"/>
        <v>0.171347911891226</v>
      </c>
      <c r="AZ48" s="282">
        <f t="shared" si="47"/>
        <v>0.175469449202417</v>
      </c>
      <c r="BA48" s="282">
        <f t="shared" si="47"/>
        <v>0.181433446079516</v>
      </c>
      <c r="BB48" s="282">
        <f t="shared" si="47"/>
        <v>0.185782437149422</v>
      </c>
      <c r="BC48" s="282">
        <f t="shared" si="47"/>
        <v>0.18946183749601</v>
      </c>
      <c r="BD48" s="282">
        <f t="shared" si="47"/>
        <v>0.186942768477997</v>
      </c>
    </row>
    <row r="49" spans="1:32">
      <c r="A49" s="292">
        <f>A48/A31*1000</f>
        <v>36.6277700306354</v>
      </c>
      <c r="B49" s="289" t="s">
        <v>16</v>
      </c>
      <c r="C49" s="289"/>
      <c r="D49" s="292">
        <f>D48/D31*1000</f>
        <v>35.0460413781429</v>
      </c>
      <c r="E49" s="292">
        <f t="shared" ref="E49:L49" si="52">E48/E31*1000</f>
        <v>35.4578978148285</v>
      </c>
      <c r="F49" s="292">
        <f t="shared" si="52"/>
        <v>39.4479541187388</v>
      </c>
      <c r="G49" s="292">
        <f t="shared" si="52"/>
        <v>32.2427072801491</v>
      </c>
      <c r="H49" s="292">
        <f t="shared" si="52"/>
        <v>34.7643938872157</v>
      </c>
      <c r="I49" s="292">
        <f t="shared" si="52"/>
        <v>58.5861653856526</v>
      </c>
      <c r="J49" s="292">
        <f t="shared" si="52"/>
        <v>39.1191987003369</v>
      </c>
      <c r="K49" s="292">
        <f t="shared" si="52"/>
        <v>47.9577673875191</v>
      </c>
      <c r="L49" s="292">
        <f t="shared" si="52"/>
        <v>56.5252341870666</v>
      </c>
      <c r="M49" s="292">
        <f t="shared" ref="M49:P49" si="53">M48/M31*1000</f>
        <v>55.0566479722254</v>
      </c>
      <c r="N49" s="292">
        <f t="shared" si="53"/>
        <v>51.6842838488685</v>
      </c>
      <c r="O49" s="292">
        <f t="shared" si="53"/>
        <v>35.6900871878935</v>
      </c>
      <c r="P49" s="292">
        <f t="shared" si="53"/>
        <v>41.4797473679286</v>
      </c>
      <c r="Q49" s="329">
        <f>P49</f>
        <v>41.4797473679286</v>
      </c>
      <c r="R49" s="289"/>
      <c r="S49" s="330">
        <f>Q49/$S$30</f>
        <v>0.186942768477997</v>
      </c>
      <c r="T49" s="330"/>
      <c r="V49" s="292">
        <f>V48/V31*1000</f>
        <v>35.2464450328504</v>
      </c>
      <c r="W49" s="292">
        <f t="shared" ref="W49:AF49" si="54">W48/W31*1000</f>
        <v>36.6277700306354</v>
      </c>
      <c r="X49" s="292">
        <f t="shared" si="54"/>
        <v>35.4903275567396</v>
      </c>
      <c r="Y49" s="292">
        <f t="shared" si="54"/>
        <v>35.3305559845448</v>
      </c>
      <c r="Z49" s="292">
        <f t="shared" si="54"/>
        <v>37.8512902842703</v>
      </c>
      <c r="AA49" s="292">
        <f t="shared" si="54"/>
        <v>38.0194866864117</v>
      </c>
      <c r="AB49" s="292">
        <f t="shared" si="54"/>
        <v>38.9339929164605</v>
      </c>
      <c r="AC49" s="292">
        <f t="shared" si="54"/>
        <v>40.2573128061748</v>
      </c>
      <c r="AD49" s="292">
        <f t="shared" si="54"/>
        <v>41.2222875540817</v>
      </c>
      <c r="AE49" s="292">
        <f t="shared" si="54"/>
        <v>42.0386903391935</v>
      </c>
      <c r="AF49" s="292">
        <f t="shared" si="54"/>
        <v>41.4797473679286</v>
      </c>
    </row>
    <row r="50" spans="1:20">
      <c r="A50" s="299">
        <f>SUM(D50:F50)</f>
        <v>1087.14233555556</v>
      </c>
      <c r="B50" s="293" t="s">
        <v>42</v>
      </c>
      <c r="C50" s="293"/>
      <c r="D50" s="201">
        <v>377.127425777778</v>
      </c>
      <c r="E50" s="201">
        <v>334.212358222222</v>
      </c>
      <c r="F50" s="201">
        <v>375.802551555556</v>
      </c>
      <c r="G50" s="201">
        <v>361.671</v>
      </c>
      <c r="H50" s="202">
        <v>385.105409319035</v>
      </c>
      <c r="I50" s="201">
        <v>380.777774651282</v>
      </c>
      <c r="J50" s="201">
        <v>396</v>
      </c>
      <c r="K50" s="201">
        <v>398.064372249301</v>
      </c>
      <c r="L50" s="201">
        <v>390.71573</v>
      </c>
      <c r="M50" s="201">
        <v>240.081969713105</v>
      </c>
      <c r="N50" s="201">
        <v>376</v>
      </c>
      <c r="O50" s="201">
        <v>390.252873109197</v>
      </c>
      <c r="P50" s="201">
        <f>SUM(D50:O50)</f>
        <v>4405.81146459748</v>
      </c>
      <c r="Q50" s="312">
        <f>P50/$P$31*1000</f>
        <v>9.21521237015841</v>
      </c>
      <c r="R50" s="313">
        <f>P50/$P$48</f>
        <v>0.222161728431438</v>
      </c>
      <c r="S50" s="282">
        <f t="shared" ref="S50" si="55">Q50/$S$30</f>
        <v>0.0415315285628298</v>
      </c>
      <c r="T50" s="282"/>
    </row>
    <row r="51" ht="14" customHeight="1" spans="1:21">
      <c r="A51" s="301">
        <f>A49/A30</f>
        <v>0.164989955092952</v>
      </c>
      <c r="C51" s="296" t="s">
        <v>90</v>
      </c>
      <c r="D51" s="296"/>
      <c r="E51" s="296"/>
      <c r="F51" s="296"/>
      <c r="G51" s="296"/>
      <c r="H51" s="296"/>
      <c r="I51" s="296"/>
      <c r="J51" s="296"/>
      <c r="K51" s="296"/>
      <c r="L51" s="296"/>
      <c r="M51" s="296"/>
      <c r="N51" s="296"/>
      <c r="O51" s="296"/>
      <c r="P51" s="296"/>
      <c r="Q51" s="295">
        <f>Q49-Q50</f>
        <v>32.2645349977702</v>
      </c>
      <c r="R51" s="295"/>
      <c r="S51" s="317">
        <f>Q51/S30</f>
        <v>0.145411239915167</v>
      </c>
      <c r="T51" s="317"/>
      <c r="U51" s="288"/>
    </row>
    <row r="52" spans="3:20">
      <c r="C52" s="285" t="s">
        <v>2</v>
      </c>
      <c r="D52" s="297" t="s">
        <v>46</v>
      </c>
      <c r="E52" s="297" t="s">
        <v>47</v>
      </c>
      <c r="F52" s="297" t="s">
        <v>48</v>
      </c>
      <c r="G52" s="297" t="s">
        <v>49</v>
      </c>
      <c r="H52" s="297" t="s">
        <v>50</v>
      </c>
      <c r="I52" s="297" t="s">
        <v>51</v>
      </c>
      <c r="J52" s="297" t="s">
        <v>52</v>
      </c>
      <c r="K52" s="297" t="s">
        <v>53</v>
      </c>
      <c r="L52" s="297" t="s">
        <v>54</v>
      </c>
      <c r="M52" s="297" t="s">
        <v>55</v>
      </c>
      <c r="N52" s="297" t="s">
        <v>56</v>
      </c>
      <c r="O52" s="297" t="s">
        <v>57</v>
      </c>
      <c r="P52" s="304" t="s">
        <v>15</v>
      </c>
      <c r="Q52" s="205" t="s">
        <v>16</v>
      </c>
      <c r="R52" s="205" t="s">
        <v>17</v>
      </c>
      <c r="S52" s="205" t="s">
        <v>18</v>
      </c>
      <c r="T52" s="205" t="s">
        <v>19</v>
      </c>
    </row>
    <row r="53" spans="2:56">
      <c r="B53" s="283" t="s">
        <v>20</v>
      </c>
      <c r="C53" s="283"/>
      <c r="D53" s="286">
        <v>238.808969605622</v>
      </c>
      <c r="E53" s="286">
        <v>226.198364750546</v>
      </c>
      <c r="F53" s="286">
        <v>223.23948444214</v>
      </c>
      <c r="G53" s="286">
        <v>224.25987141845</v>
      </c>
      <c r="H53" s="286">
        <v>225.657152198379</v>
      </c>
      <c r="I53" s="286">
        <v>223.82374989294</v>
      </c>
      <c r="J53" s="286">
        <v>224.483321927913</v>
      </c>
      <c r="K53" s="286">
        <v>224.473043484277</v>
      </c>
      <c r="L53" s="286">
        <v>223.98960553316</v>
      </c>
      <c r="M53" s="286">
        <v>225.055331205736</v>
      </c>
      <c r="N53" s="286">
        <v>225.115403847909</v>
      </c>
      <c r="O53" s="286">
        <v>225.71752486806</v>
      </c>
      <c r="P53" s="296">
        <v>225.666192686624</v>
      </c>
      <c r="Q53" s="198"/>
      <c r="AT53" s="331">
        <f>$P$53</f>
        <v>225.666192686624</v>
      </c>
      <c r="AU53" s="331">
        <f t="shared" ref="AU53:BD53" si="56">$P$53</f>
        <v>225.666192686624</v>
      </c>
      <c r="AV53" s="331">
        <f t="shared" si="56"/>
        <v>225.666192686624</v>
      </c>
      <c r="AW53" s="331">
        <f t="shared" si="56"/>
        <v>225.666192686624</v>
      </c>
      <c r="AX53" s="331">
        <f t="shared" si="56"/>
        <v>225.666192686624</v>
      </c>
      <c r="AY53" s="331">
        <f t="shared" si="56"/>
        <v>225.666192686624</v>
      </c>
      <c r="AZ53" s="331">
        <f t="shared" si="56"/>
        <v>225.666192686624</v>
      </c>
      <c r="BA53" s="331">
        <f t="shared" si="56"/>
        <v>225.666192686624</v>
      </c>
      <c r="BB53" s="331">
        <f t="shared" si="56"/>
        <v>225.666192686624</v>
      </c>
      <c r="BC53" s="331">
        <f t="shared" si="56"/>
        <v>225.666192686624</v>
      </c>
      <c r="BD53" s="331">
        <f t="shared" si="56"/>
        <v>225.666192686624</v>
      </c>
    </row>
    <row r="54" s="281" customFormat="1" spans="3:32">
      <c r="C54" s="248" t="s">
        <v>21</v>
      </c>
      <c r="D54" s="288">
        <v>46728</v>
      </c>
      <c r="E54" s="288">
        <v>46020</v>
      </c>
      <c r="F54" s="288">
        <v>46020</v>
      </c>
      <c r="G54" s="288">
        <v>48321</v>
      </c>
      <c r="H54" s="288">
        <v>48321</v>
      </c>
      <c r="I54" s="288">
        <v>18408</v>
      </c>
      <c r="J54" s="288">
        <v>52923</v>
      </c>
      <c r="K54" s="288">
        <v>48321</v>
      </c>
      <c r="L54" s="288">
        <v>50622</v>
      </c>
      <c r="M54" s="288">
        <v>52923</v>
      </c>
      <c r="N54" s="288">
        <v>46020</v>
      </c>
      <c r="O54" s="288">
        <v>45373</v>
      </c>
      <c r="P54" s="296">
        <f>SUM(D54:O54)</f>
        <v>550000</v>
      </c>
      <c r="R54" s="323"/>
      <c r="S54" s="323"/>
      <c r="T54" s="323"/>
      <c r="U54" s="323"/>
      <c r="V54" s="198">
        <f t="shared" ref="V54:V70" si="57">D54+E54</f>
        <v>92748</v>
      </c>
      <c r="W54" s="198">
        <f t="shared" ref="W54:W70" si="58">V54+F54</f>
        <v>138768</v>
      </c>
      <c r="X54" s="198">
        <f t="shared" ref="X54:X70" si="59">W54+G54</f>
        <v>187089</v>
      </c>
      <c r="Y54" s="198">
        <f t="shared" ref="Y54:Y70" si="60">X54+H54</f>
        <v>235410</v>
      </c>
      <c r="Z54" s="198">
        <f t="shared" ref="Z54:Z70" si="61">Y54+I54</f>
        <v>253818</v>
      </c>
      <c r="AA54" s="25">
        <f t="shared" ref="AA54:AA70" si="62">Z54+J54</f>
        <v>306741</v>
      </c>
      <c r="AB54" s="25">
        <f t="shared" ref="AB54:AB70" si="63">AA54+K54</f>
        <v>355062</v>
      </c>
      <c r="AC54" s="25">
        <f t="shared" ref="AC54:AC70" si="64">AB54+L54</f>
        <v>405684</v>
      </c>
      <c r="AD54" s="25">
        <f t="shared" ref="AD54:AD70" si="65">AC54+M54</f>
        <v>458607</v>
      </c>
      <c r="AE54" s="25">
        <f t="shared" ref="AE54:AE70" si="66">AD54+N54</f>
        <v>504627</v>
      </c>
      <c r="AF54" s="25">
        <f t="shared" ref="AF54:AF70" si="67">AE54+O54</f>
        <v>550000</v>
      </c>
    </row>
    <row r="55" spans="2:56">
      <c r="B55" s="198" t="s">
        <v>22</v>
      </c>
      <c r="C55" s="25" t="s">
        <v>23</v>
      </c>
      <c r="D55" s="288">
        <v>146.82976</v>
      </c>
      <c r="E55" s="288">
        <v>146.82976</v>
      </c>
      <c r="F55" s="288">
        <v>146.82976</v>
      </c>
      <c r="G55" s="288">
        <v>146.82976</v>
      </c>
      <c r="H55" s="288">
        <v>146.82976</v>
      </c>
      <c r="I55" s="288">
        <v>146.82976</v>
      </c>
      <c r="J55" s="288">
        <v>146.82976</v>
      </c>
      <c r="K55" s="288">
        <v>146.82976</v>
      </c>
      <c r="L55" s="288">
        <v>146.82976</v>
      </c>
      <c r="M55" s="288">
        <v>146.82976</v>
      </c>
      <c r="N55" s="288">
        <v>146.82976</v>
      </c>
      <c r="O55" s="288">
        <v>146.82976</v>
      </c>
      <c r="P55" s="309">
        <f>SUM(D55:O55)</f>
        <v>1761.95712</v>
      </c>
      <c r="Q55" s="312">
        <f>P55/$P$54*1000</f>
        <v>3.2035584</v>
      </c>
      <c r="R55" s="313">
        <f>P55/$P$71</f>
        <v>0.131711846321314</v>
      </c>
      <c r="V55" s="201">
        <f t="shared" si="57"/>
        <v>293.65952</v>
      </c>
      <c r="W55" s="201">
        <f t="shared" si="58"/>
        <v>440.48928</v>
      </c>
      <c r="X55" s="201">
        <f t="shared" si="59"/>
        <v>587.31904</v>
      </c>
      <c r="Y55" s="201">
        <f t="shared" si="60"/>
        <v>734.1488</v>
      </c>
      <c r="Z55" s="201">
        <f t="shared" si="61"/>
        <v>880.97856</v>
      </c>
      <c r="AA55" s="331">
        <f t="shared" si="62"/>
        <v>1027.80832</v>
      </c>
      <c r="AB55" s="331">
        <f t="shared" si="63"/>
        <v>1174.63808</v>
      </c>
      <c r="AC55" s="331">
        <f t="shared" si="64"/>
        <v>1321.46784</v>
      </c>
      <c r="AD55" s="331">
        <f t="shared" si="65"/>
        <v>1468.2976</v>
      </c>
      <c r="AE55" s="331">
        <f t="shared" si="66"/>
        <v>1615.12736</v>
      </c>
      <c r="AF55" s="331">
        <f t="shared" si="67"/>
        <v>1761.95712</v>
      </c>
      <c r="AH55" s="295">
        <f>V55/V$54*1000</f>
        <v>3.16620865139949</v>
      </c>
      <c r="AI55" s="295">
        <f t="shared" ref="AI55:AR70" si="68">W55/W$54*1000</f>
        <v>3.17428571428571</v>
      </c>
      <c r="AJ55" s="295">
        <f t="shared" si="68"/>
        <v>3.13924944812362</v>
      </c>
      <c r="AK55" s="295">
        <f t="shared" si="68"/>
        <v>3.11859649122807</v>
      </c>
      <c r="AL55" s="295">
        <f t="shared" si="68"/>
        <v>3.47090655509066</v>
      </c>
      <c r="AM55" s="295">
        <f t="shared" si="68"/>
        <v>3.3507366801308</v>
      </c>
      <c r="AN55" s="295">
        <f t="shared" si="68"/>
        <v>3.3082618810236</v>
      </c>
      <c r="AO55" s="295">
        <f t="shared" si="68"/>
        <v>3.25738219895288</v>
      </c>
      <c r="AP55" s="295">
        <f t="shared" si="68"/>
        <v>3.20164672584588</v>
      </c>
      <c r="AQ55" s="295">
        <f t="shared" si="68"/>
        <v>3.20063603414007</v>
      </c>
      <c r="AR55" s="295">
        <f t="shared" si="68"/>
        <v>3.2035584</v>
      </c>
      <c r="AT55" s="332">
        <f>AH55/$AT$53</f>
        <v>0.0140304961665051</v>
      </c>
      <c r="AU55" s="332">
        <f t="shared" ref="AU55:BD70" si="69">AI55/$AT$53</f>
        <v>0.0140662882485626</v>
      </c>
      <c r="AV55" s="332">
        <f t="shared" si="69"/>
        <v>0.0139110312038764</v>
      </c>
      <c r="AW55" s="332">
        <f t="shared" si="69"/>
        <v>0.0138195112617457</v>
      </c>
      <c r="AX55" s="332">
        <f t="shared" si="69"/>
        <v>0.015380711278763</v>
      </c>
      <c r="AY55" s="332">
        <f t="shared" si="69"/>
        <v>0.0148481996361053</v>
      </c>
      <c r="AZ55" s="332">
        <f t="shared" si="69"/>
        <v>0.0146599800423703</v>
      </c>
      <c r="BA55" s="332">
        <f t="shared" si="69"/>
        <v>0.0144345156896244</v>
      </c>
      <c r="BB55" s="332">
        <f t="shared" si="69"/>
        <v>0.014187533753857</v>
      </c>
      <c r="BC55" s="332">
        <f t="shared" si="69"/>
        <v>0.0141830550515145</v>
      </c>
      <c r="BD55" s="332">
        <f t="shared" si="69"/>
        <v>0.0141960050012839</v>
      </c>
    </row>
    <row r="56" spans="2:56">
      <c r="B56" s="198"/>
      <c r="C56" s="25" t="s">
        <v>24</v>
      </c>
      <c r="D56" s="288">
        <v>30.43306</v>
      </c>
      <c r="E56" s="288">
        <v>30.43306</v>
      </c>
      <c r="F56" s="288">
        <v>30.43306</v>
      </c>
      <c r="G56" s="288">
        <v>30.43306</v>
      </c>
      <c r="H56" s="288">
        <v>30.43306</v>
      </c>
      <c r="I56" s="288">
        <v>30.43306</v>
      </c>
      <c r="J56" s="288">
        <v>30.43306</v>
      </c>
      <c r="K56" s="288">
        <v>30.43306</v>
      </c>
      <c r="L56" s="288">
        <v>30.43306</v>
      </c>
      <c r="M56" s="288">
        <v>30.43306</v>
      </c>
      <c r="N56" s="288">
        <v>30.43306</v>
      </c>
      <c r="O56" s="288">
        <v>30.43306</v>
      </c>
      <c r="P56" s="309">
        <f>SUM(D56:O56)</f>
        <v>365.19672</v>
      </c>
      <c r="Q56" s="312">
        <f t="shared" ref="Q56:Q67" si="70">P56/$P$54*1000</f>
        <v>0.663994036363637</v>
      </c>
      <c r="R56" s="313">
        <f t="shared" ref="R56:R67" si="71">P56/$P$71</f>
        <v>0.0272996054873844</v>
      </c>
      <c r="V56" s="201">
        <f t="shared" si="57"/>
        <v>60.86612</v>
      </c>
      <c r="W56" s="201">
        <f t="shared" si="58"/>
        <v>91.29918</v>
      </c>
      <c r="X56" s="201">
        <f t="shared" si="59"/>
        <v>121.73224</v>
      </c>
      <c r="Y56" s="201">
        <f t="shared" si="60"/>
        <v>152.1653</v>
      </c>
      <c r="Z56" s="201">
        <f t="shared" si="61"/>
        <v>182.59836</v>
      </c>
      <c r="AA56" s="331">
        <f t="shared" si="62"/>
        <v>213.03142</v>
      </c>
      <c r="AB56" s="331">
        <f t="shared" si="63"/>
        <v>243.46448</v>
      </c>
      <c r="AC56" s="331">
        <f t="shared" si="64"/>
        <v>273.89754</v>
      </c>
      <c r="AD56" s="331">
        <f t="shared" si="65"/>
        <v>304.3306</v>
      </c>
      <c r="AE56" s="331">
        <f t="shared" si="66"/>
        <v>334.76366</v>
      </c>
      <c r="AF56" s="331">
        <f t="shared" si="67"/>
        <v>365.19672</v>
      </c>
      <c r="AH56" s="295">
        <f t="shared" ref="AH56:AQ71" si="72">V56/V$54*1000</f>
        <v>0.656252641566395</v>
      </c>
      <c r="AI56" s="295">
        <f t="shared" si="68"/>
        <v>0.657926755447942</v>
      </c>
      <c r="AJ56" s="295">
        <f t="shared" si="68"/>
        <v>0.650664870729973</v>
      </c>
      <c r="AK56" s="295">
        <f t="shared" si="68"/>
        <v>0.64638418079096</v>
      </c>
      <c r="AL56" s="295">
        <f t="shared" si="68"/>
        <v>0.71940666146609</v>
      </c>
      <c r="AM56" s="295">
        <f t="shared" si="68"/>
        <v>0.694499333313773</v>
      </c>
      <c r="AN56" s="295">
        <f t="shared" si="68"/>
        <v>0.685695681317629</v>
      </c>
      <c r="AO56" s="295">
        <f t="shared" si="68"/>
        <v>0.675149968941344</v>
      </c>
      <c r="AP56" s="295">
        <f t="shared" si="68"/>
        <v>0.6635978081451</v>
      </c>
      <c r="AQ56" s="295">
        <f t="shared" si="68"/>
        <v>0.663388324445581</v>
      </c>
      <c r="AR56" s="295">
        <f t="shared" si="68"/>
        <v>0.663994036363637</v>
      </c>
      <c r="AT56" s="332">
        <f t="shared" ref="AT56:AT71" si="73">AH56/$AT$53</f>
        <v>0.00290806803515187</v>
      </c>
      <c r="AU56" s="332">
        <f t="shared" si="69"/>
        <v>0.00291548657605787</v>
      </c>
      <c r="AV56" s="332">
        <f t="shared" si="69"/>
        <v>0.00288330681252523</v>
      </c>
      <c r="AW56" s="332">
        <f t="shared" si="69"/>
        <v>0.00286433768875861</v>
      </c>
      <c r="AX56" s="332">
        <f t="shared" si="69"/>
        <v>0.00318792395485268</v>
      </c>
      <c r="AY56" s="332">
        <f t="shared" si="69"/>
        <v>0.00307755151556176</v>
      </c>
      <c r="AZ56" s="332">
        <f t="shared" si="69"/>
        <v>0.00303853968179378</v>
      </c>
      <c r="BA56" s="332">
        <f t="shared" si="69"/>
        <v>0.00299180821417457</v>
      </c>
      <c r="BB56" s="332">
        <f t="shared" si="69"/>
        <v>0.002940616847587</v>
      </c>
      <c r="BC56" s="332">
        <f t="shared" si="69"/>
        <v>0.00293968855745623</v>
      </c>
      <c r="BD56" s="332">
        <f t="shared" si="69"/>
        <v>0.00294237266317381</v>
      </c>
    </row>
    <row r="57" spans="2:56">
      <c r="B57" s="198"/>
      <c r="C57" s="25" t="s">
        <v>25</v>
      </c>
      <c r="D57" s="288">
        <v>8.79449083333333</v>
      </c>
      <c r="E57" s="288">
        <v>8.79449083333333</v>
      </c>
      <c r="F57" s="288">
        <v>8.79449083333333</v>
      </c>
      <c r="G57" s="288">
        <v>8.79449083333333</v>
      </c>
      <c r="H57" s="288">
        <v>8.79449083333333</v>
      </c>
      <c r="I57" s="288">
        <v>8.79449083333333</v>
      </c>
      <c r="J57" s="288">
        <v>8.79449083333333</v>
      </c>
      <c r="K57" s="288">
        <v>8.79449083333333</v>
      </c>
      <c r="L57" s="288">
        <v>8.79449083333333</v>
      </c>
      <c r="M57" s="288">
        <v>8.79449083333333</v>
      </c>
      <c r="N57" s="288">
        <v>8.79449083333333</v>
      </c>
      <c r="O57" s="288">
        <v>8.79449083333333</v>
      </c>
      <c r="P57" s="309">
        <f t="shared" ref="P57:P70" si="74">SUM(D57:O57)</f>
        <v>105.53389</v>
      </c>
      <c r="Q57" s="312">
        <f t="shared" si="70"/>
        <v>0.1918798</v>
      </c>
      <c r="R57" s="313">
        <f t="shared" si="71"/>
        <v>0.00788899079528705</v>
      </c>
      <c r="V57" s="201">
        <f t="shared" si="57"/>
        <v>17.5889816666667</v>
      </c>
      <c r="W57" s="201">
        <f t="shared" si="58"/>
        <v>26.3834725</v>
      </c>
      <c r="X57" s="201">
        <f t="shared" si="59"/>
        <v>35.1779633333333</v>
      </c>
      <c r="Y57" s="201">
        <f t="shared" si="60"/>
        <v>43.9724541666667</v>
      </c>
      <c r="Z57" s="201">
        <f t="shared" si="61"/>
        <v>52.766945</v>
      </c>
      <c r="AA57" s="331">
        <f t="shared" si="62"/>
        <v>61.5614358333333</v>
      </c>
      <c r="AB57" s="331">
        <f t="shared" si="63"/>
        <v>70.3559266666667</v>
      </c>
      <c r="AC57" s="331">
        <f t="shared" si="64"/>
        <v>79.1504175</v>
      </c>
      <c r="AD57" s="331">
        <f t="shared" si="65"/>
        <v>87.9449083333333</v>
      </c>
      <c r="AE57" s="331">
        <f t="shared" si="66"/>
        <v>96.7393991666666</v>
      </c>
      <c r="AF57" s="331">
        <f t="shared" si="67"/>
        <v>105.53389</v>
      </c>
      <c r="AH57" s="295">
        <f t="shared" si="72"/>
        <v>0.189642705682782</v>
      </c>
      <c r="AI57" s="295">
        <f t="shared" si="68"/>
        <v>0.190126488095238</v>
      </c>
      <c r="AJ57" s="295">
        <f t="shared" si="68"/>
        <v>0.188027961736571</v>
      </c>
      <c r="AK57" s="295">
        <f t="shared" si="68"/>
        <v>0.186790935672515</v>
      </c>
      <c r="AL57" s="295">
        <f t="shared" si="68"/>
        <v>0.207892840539284</v>
      </c>
      <c r="AM57" s="295">
        <f t="shared" si="68"/>
        <v>0.200695165737001</v>
      </c>
      <c r="AN57" s="295">
        <f t="shared" si="68"/>
        <v>0.198151102248809</v>
      </c>
      <c r="AO57" s="295">
        <f t="shared" si="68"/>
        <v>0.195103621291448</v>
      </c>
      <c r="AP57" s="295">
        <f t="shared" si="68"/>
        <v>0.191765298683477</v>
      </c>
      <c r="AQ57" s="295">
        <f t="shared" si="68"/>
        <v>0.191704762461514</v>
      </c>
      <c r="AR57" s="295">
        <f t="shared" si="68"/>
        <v>0.1918798</v>
      </c>
      <c r="AT57" s="332">
        <f t="shared" si="73"/>
        <v>0.000840368259972964</v>
      </c>
      <c r="AU57" s="332">
        <f t="shared" si="69"/>
        <v>0.000842512056554528</v>
      </c>
      <c r="AV57" s="332">
        <f t="shared" si="69"/>
        <v>0.000833212806482182</v>
      </c>
      <c r="AW57" s="332">
        <f t="shared" si="69"/>
        <v>0.000827731143281642</v>
      </c>
      <c r="AX57" s="332">
        <f t="shared" si="69"/>
        <v>0.000921240519300907</v>
      </c>
      <c r="AY57" s="332">
        <f t="shared" si="69"/>
        <v>0.000889345290704222</v>
      </c>
      <c r="AZ57" s="332">
        <f t="shared" si="69"/>
        <v>0.000878071721287803</v>
      </c>
      <c r="BA57" s="332">
        <f t="shared" si="69"/>
        <v>0.000864567345993128</v>
      </c>
      <c r="BB57" s="332">
        <f t="shared" si="69"/>
        <v>0.00084977415713206</v>
      </c>
      <c r="BC57" s="332">
        <f t="shared" si="69"/>
        <v>0.000849505901523003</v>
      </c>
      <c r="BD57" s="332">
        <f t="shared" si="69"/>
        <v>0.000850281549556063</v>
      </c>
    </row>
    <row r="58" spans="2:56">
      <c r="B58" s="198"/>
      <c r="C58" s="25" t="s">
        <v>26</v>
      </c>
      <c r="D58" s="288">
        <v>12.4490487811991</v>
      </c>
      <c r="E58" s="288">
        <v>11.444832237305</v>
      </c>
      <c r="F58" s="288">
        <v>10.6030891671399</v>
      </c>
      <c r="G58" s="288">
        <v>8.11771003773611</v>
      </c>
      <c r="H58" s="288">
        <v>7.06112681994159</v>
      </c>
      <c r="I58" s="288">
        <v>2.52973135449444</v>
      </c>
      <c r="J58" s="288">
        <v>7.54271858440102</v>
      </c>
      <c r="K58" s="288">
        <v>7.69019996028739</v>
      </c>
      <c r="L58" s="288">
        <v>9.9314153217898</v>
      </c>
      <c r="M58" s="288">
        <v>10.6608877740906</v>
      </c>
      <c r="N58" s="288">
        <v>12.8589146187658</v>
      </c>
      <c r="O58" s="288">
        <v>9.99793534284916</v>
      </c>
      <c r="P58" s="309">
        <f t="shared" si="74"/>
        <v>110.88761</v>
      </c>
      <c r="Q58" s="312">
        <f t="shared" si="70"/>
        <v>0.201613836363636</v>
      </c>
      <c r="R58" s="313">
        <f t="shared" si="71"/>
        <v>0.00828919823386952</v>
      </c>
      <c r="V58" s="201">
        <f t="shared" si="57"/>
        <v>23.8938810185041</v>
      </c>
      <c r="W58" s="201">
        <f t="shared" si="58"/>
        <v>34.4969701856441</v>
      </c>
      <c r="X58" s="201">
        <f t="shared" si="59"/>
        <v>42.6146802233802</v>
      </c>
      <c r="Y58" s="201">
        <f t="shared" si="60"/>
        <v>49.6758070433218</v>
      </c>
      <c r="Z58" s="201">
        <f t="shared" si="61"/>
        <v>52.2055383978162</v>
      </c>
      <c r="AA58" s="331">
        <f t="shared" si="62"/>
        <v>59.7482569822172</v>
      </c>
      <c r="AB58" s="331">
        <f t="shared" si="63"/>
        <v>67.4384569425046</v>
      </c>
      <c r="AC58" s="331">
        <f t="shared" si="64"/>
        <v>77.3698722642944</v>
      </c>
      <c r="AD58" s="331">
        <f t="shared" si="65"/>
        <v>88.030760038385</v>
      </c>
      <c r="AE58" s="331">
        <f t="shared" si="66"/>
        <v>100.889674657151</v>
      </c>
      <c r="AF58" s="331">
        <f t="shared" si="67"/>
        <v>110.88761</v>
      </c>
      <c r="AH58" s="295">
        <f t="shared" si="72"/>
        <v>0.257621523035581</v>
      </c>
      <c r="AI58" s="295">
        <f t="shared" si="68"/>
        <v>0.24859456204344</v>
      </c>
      <c r="AJ58" s="295">
        <f t="shared" si="68"/>
        <v>0.227777582986601</v>
      </c>
      <c r="AK58" s="295">
        <f t="shared" si="68"/>
        <v>0.211018253444296</v>
      </c>
      <c r="AL58" s="295">
        <f t="shared" si="68"/>
        <v>0.205680993459157</v>
      </c>
      <c r="AM58" s="295">
        <f t="shared" si="68"/>
        <v>0.194784058806019</v>
      </c>
      <c r="AN58" s="295">
        <f t="shared" si="68"/>
        <v>0.189934312718637</v>
      </c>
      <c r="AO58" s="295">
        <f t="shared" si="68"/>
        <v>0.190714625827724</v>
      </c>
      <c r="AP58" s="295">
        <f t="shared" si="68"/>
        <v>0.191952499718463</v>
      </c>
      <c r="AQ58" s="295">
        <f t="shared" si="68"/>
        <v>0.199929204456263</v>
      </c>
      <c r="AR58" s="295">
        <f t="shared" si="68"/>
        <v>0.201613836363636</v>
      </c>
      <c r="AT58" s="332">
        <f t="shared" si="73"/>
        <v>0.00114160442008845</v>
      </c>
      <c r="AU58" s="332">
        <f t="shared" si="69"/>
        <v>0.00110160303182256</v>
      </c>
      <c r="AV58" s="332">
        <f t="shared" si="69"/>
        <v>0.00100935625436331</v>
      </c>
      <c r="AW58" s="332">
        <f t="shared" si="69"/>
        <v>0.000935090236300175</v>
      </c>
      <c r="AX58" s="332">
        <f t="shared" si="69"/>
        <v>0.00091143910840371</v>
      </c>
      <c r="AY58" s="332">
        <f t="shared" si="69"/>
        <v>0.000863151261104096</v>
      </c>
      <c r="AZ58" s="332">
        <f t="shared" si="69"/>
        <v>0.000841660465209305</v>
      </c>
      <c r="BA58" s="332">
        <f t="shared" si="69"/>
        <v>0.000845118285363035</v>
      </c>
      <c r="BB58" s="332">
        <f t="shared" si="69"/>
        <v>0.000850603705558242</v>
      </c>
      <c r="BC58" s="332">
        <f t="shared" si="69"/>
        <v>0.000885951068150909</v>
      </c>
      <c r="BD58" s="332">
        <f t="shared" si="69"/>
        <v>0.000893416217836455</v>
      </c>
    </row>
    <row r="59" spans="2:56">
      <c r="B59" s="198"/>
      <c r="C59" s="25" t="s">
        <v>27</v>
      </c>
      <c r="D59" s="288">
        <v>165.449246666667</v>
      </c>
      <c r="E59" s="288">
        <v>165.449246666667</v>
      </c>
      <c r="F59" s="288">
        <v>163.597197854406</v>
      </c>
      <c r="G59" s="288">
        <v>163.597197854406</v>
      </c>
      <c r="H59" s="288">
        <v>163.597197854406</v>
      </c>
      <c r="I59" s="288">
        <v>163.597197854406</v>
      </c>
      <c r="J59" s="288">
        <v>158.041051417625</v>
      </c>
      <c r="K59" s="288">
        <v>158.046051417625</v>
      </c>
      <c r="L59" s="288">
        <v>158.041051417625</v>
      </c>
      <c r="M59" s="288">
        <v>158.041051417625</v>
      </c>
      <c r="N59" s="288">
        <v>158.041051417625</v>
      </c>
      <c r="O59" s="288">
        <v>158.041051417625</v>
      </c>
      <c r="P59" s="309">
        <f t="shared" si="74"/>
        <v>1933.5385932567</v>
      </c>
      <c r="Q59" s="312">
        <f t="shared" si="70"/>
        <v>3.51552471501219</v>
      </c>
      <c r="R59" s="313">
        <f t="shared" si="71"/>
        <v>0.144538102068771</v>
      </c>
      <c r="V59" s="201">
        <f t="shared" si="57"/>
        <v>330.898493333333</v>
      </c>
      <c r="W59" s="201">
        <f t="shared" si="58"/>
        <v>494.495691187739</v>
      </c>
      <c r="X59" s="201">
        <f t="shared" si="59"/>
        <v>658.092889042146</v>
      </c>
      <c r="Y59" s="201">
        <f t="shared" si="60"/>
        <v>821.690086896552</v>
      </c>
      <c r="Z59" s="201">
        <f t="shared" si="61"/>
        <v>985.287284750958</v>
      </c>
      <c r="AA59" s="331">
        <f t="shared" si="62"/>
        <v>1143.32833616858</v>
      </c>
      <c r="AB59" s="331">
        <f t="shared" si="63"/>
        <v>1301.37438758621</v>
      </c>
      <c r="AC59" s="331">
        <f t="shared" si="64"/>
        <v>1459.41543900383</v>
      </c>
      <c r="AD59" s="331">
        <f t="shared" si="65"/>
        <v>1617.45649042146</v>
      </c>
      <c r="AE59" s="331">
        <f t="shared" si="66"/>
        <v>1775.49754183908</v>
      </c>
      <c r="AF59" s="331">
        <f t="shared" si="67"/>
        <v>1933.5385932567</v>
      </c>
      <c r="AH59" s="295">
        <f t="shared" si="72"/>
        <v>3.56771567401274</v>
      </c>
      <c r="AI59" s="295">
        <f t="shared" si="68"/>
        <v>3.56347062138057</v>
      </c>
      <c r="AJ59" s="295">
        <f t="shared" si="68"/>
        <v>3.51753918745702</v>
      </c>
      <c r="AK59" s="295">
        <f t="shared" si="68"/>
        <v>3.49046381588102</v>
      </c>
      <c r="AL59" s="295">
        <f t="shared" si="68"/>
        <v>3.88186529226043</v>
      </c>
      <c r="AM59" s="295">
        <f t="shared" si="68"/>
        <v>3.72734109939194</v>
      </c>
      <c r="AN59" s="295">
        <f t="shared" si="68"/>
        <v>3.66520322531334</v>
      </c>
      <c r="AO59" s="295">
        <f t="shared" si="68"/>
        <v>3.59741926968732</v>
      </c>
      <c r="AP59" s="295">
        <f t="shared" si="68"/>
        <v>3.52689010508225</v>
      </c>
      <c r="AQ59" s="295">
        <f t="shared" si="68"/>
        <v>3.51843548173023</v>
      </c>
      <c r="AR59" s="295">
        <f t="shared" si="68"/>
        <v>3.51552471501219</v>
      </c>
      <c r="AT59" s="332">
        <f t="shared" si="73"/>
        <v>0.0158097038441514</v>
      </c>
      <c r="AU59" s="332">
        <f t="shared" si="69"/>
        <v>0.0157908926408355</v>
      </c>
      <c r="AV59" s="332">
        <f t="shared" si="69"/>
        <v>0.0155873555785191</v>
      </c>
      <c r="AW59" s="332">
        <f t="shared" si="69"/>
        <v>0.0154673758365221</v>
      </c>
      <c r="AX59" s="332">
        <f t="shared" si="69"/>
        <v>0.0172018025653096</v>
      </c>
      <c r="AY59" s="332">
        <f t="shared" si="69"/>
        <v>0.0165170558115809</v>
      </c>
      <c r="AZ59" s="332">
        <f t="shared" si="69"/>
        <v>0.0162417027631742</v>
      </c>
      <c r="BA59" s="332">
        <f t="shared" si="69"/>
        <v>0.0159413300984918</v>
      </c>
      <c r="BB59" s="332">
        <f t="shared" si="69"/>
        <v>0.0156287925235657</v>
      </c>
      <c r="BC59" s="332">
        <f t="shared" si="69"/>
        <v>0.0155913273487809</v>
      </c>
      <c r="BD59" s="332">
        <f t="shared" si="69"/>
        <v>0.0155784287985666</v>
      </c>
    </row>
    <row r="60" spans="2:56">
      <c r="B60" s="198"/>
      <c r="C60" s="25" t="s">
        <v>28</v>
      </c>
      <c r="D60" s="288">
        <v>84.9817183333333</v>
      </c>
      <c r="E60" s="288">
        <v>81.7026496</v>
      </c>
      <c r="F60" s="288">
        <v>81.7026496</v>
      </c>
      <c r="G60" s="288">
        <v>81.7026496</v>
      </c>
      <c r="H60" s="288">
        <v>81.7026496</v>
      </c>
      <c r="I60" s="288">
        <v>81.7026496</v>
      </c>
      <c r="J60" s="288">
        <v>81.7026496</v>
      </c>
      <c r="K60" s="288">
        <v>81.7026496</v>
      </c>
      <c r="L60" s="288">
        <v>81.7026496</v>
      </c>
      <c r="M60" s="288">
        <v>81.7026496</v>
      </c>
      <c r="N60" s="288">
        <v>81.7026496</v>
      </c>
      <c r="O60" s="288">
        <v>81.7126496</v>
      </c>
      <c r="P60" s="309">
        <f t="shared" si="74"/>
        <v>983.720863933333</v>
      </c>
      <c r="Q60" s="312">
        <f t="shared" si="70"/>
        <v>1.7885833889697</v>
      </c>
      <c r="R60" s="313">
        <f t="shared" si="71"/>
        <v>0.073536234101689</v>
      </c>
      <c r="V60" s="201">
        <f t="shared" si="57"/>
        <v>166.684367933333</v>
      </c>
      <c r="W60" s="201">
        <f t="shared" si="58"/>
        <v>248.387017533333</v>
      </c>
      <c r="X60" s="201">
        <f t="shared" si="59"/>
        <v>330.089667133333</v>
      </c>
      <c r="Y60" s="201">
        <f t="shared" si="60"/>
        <v>411.792316733333</v>
      </c>
      <c r="Z60" s="201">
        <f t="shared" si="61"/>
        <v>493.494966333333</v>
      </c>
      <c r="AA60" s="331">
        <f t="shared" si="62"/>
        <v>575.197615933333</v>
      </c>
      <c r="AB60" s="331">
        <f t="shared" si="63"/>
        <v>656.900265533333</v>
      </c>
      <c r="AC60" s="331">
        <f t="shared" si="64"/>
        <v>738.602915133333</v>
      </c>
      <c r="AD60" s="331">
        <f t="shared" si="65"/>
        <v>820.305564733333</v>
      </c>
      <c r="AE60" s="331">
        <f t="shared" si="66"/>
        <v>902.008214333333</v>
      </c>
      <c r="AF60" s="331">
        <f t="shared" si="67"/>
        <v>983.720863933333</v>
      </c>
      <c r="AH60" s="295">
        <f t="shared" si="72"/>
        <v>1.79717479550323</v>
      </c>
      <c r="AI60" s="295">
        <f t="shared" si="68"/>
        <v>1.78994449392751</v>
      </c>
      <c r="AJ60" s="295">
        <f t="shared" si="68"/>
        <v>1.76434567042067</v>
      </c>
      <c r="AK60" s="295">
        <f t="shared" si="68"/>
        <v>1.74925583761664</v>
      </c>
      <c r="AL60" s="295">
        <f t="shared" si="68"/>
        <v>1.94428671856737</v>
      </c>
      <c r="AM60" s="295">
        <f t="shared" si="68"/>
        <v>1.8751898700641</v>
      </c>
      <c r="AN60" s="295">
        <f t="shared" si="68"/>
        <v>1.85010016710697</v>
      </c>
      <c r="AO60" s="295">
        <f t="shared" si="68"/>
        <v>1.82063604956896</v>
      </c>
      <c r="AP60" s="295">
        <f t="shared" si="68"/>
        <v>1.78868958549114</v>
      </c>
      <c r="AQ60" s="295">
        <f t="shared" si="68"/>
        <v>1.78747513377868</v>
      </c>
      <c r="AR60" s="295">
        <f t="shared" si="68"/>
        <v>1.7885833889697</v>
      </c>
      <c r="AT60" s="332">
        <f t="shared" si="73"/>
        <v>0.00796386367894685</v>
      </c>
      <c r="AU60" s="332">
        <f t="shared" si="69"/>
        <v>0.00793182387054828</v>
      </c>
      <c r="AV60" s="332">
        <f t="shared" si="69"/>
        <v>0.0078183871913449</v>
      </c>
      <c r="AW60" s="332">
        <f t="shared" si="69"/>
        <v>0.00775151925413028</v>
      </c>
      <c r="AX60" s="332">
        <f t="shared" si="69"/>
        <v>0.00861576426411086</v>
      </c>
      <c r="AY60" s="332">
        <f t="shared" si="69"/>
        <v>0.00830957374580305</v>
      </c>
      <c r="AZ60" s="332">
        <f t="shared" si="69"/>
        <v>0.00819839314467517</v>
      </c>
      <c r="BA60" s="332">
        <f t="shared" si="69"/>
        <v>0.00806782809553233</v>
      </c>
      <c r="BB60" s="332">
        <f t="shared" si="69"/>
        <v>0.00792626296476334</v>
      </c>
      <c r="BC60" s="332">
        <f t="shared" si="69"/>
        <v>0.00792088133582726</v>
      </c>
      <c r="BD60" s="332">
        <f t="shared" si="69"/>
        <v>0.00792579237357653</v>
      </c>
    </row>
    <row r="61" spans="2:56">
      <c r="B61" s="198"/>
      <c r="C61" s="25" t="s">
        <v>29</v>
      </c>
      <c r="D61" s="288">
        <v>130.523887119759</v>
      </c>
      <c r="E61" s="288">
        <v>130.128360189093</v>
      </c>
      <c r="F61" s="288">
        <v>124.195456229104</v>
      </c>
      <c r="G61" s="288">
        <v>124.195456229104</v>
      </c>
      <c r="H61" s="288">
        <v>124.195456229104</v>
      </c>
      <c r="I61" s="288">
        <v>124.195456229104</v>
      </c>
      <c r="J61" s="288">
        <v>114.307282962455</v>
      </c>
      <c r="K61" s="288">
        <v>114.307282962455</v>
      </c>
      <c r="L61" s="288">
        <v>114.307282962455</v>
      </c>
      <c r="M61" s="288">
        <v>114.307282962455</v>
      </c>
      <c r="N61" s="288">
        <v>114.307282962455</v>
      </c>
      <c r="O61" s="288">
        <v>114.307282962455</v>
      </c>
      <c r="P61" s="309">
        <f t="shared" si="74"/>
        <v>1443.27777</v>
      </c>
      <c r="Q61" s="312">
        <f t="shared" si="70"/>
        <v>2.6241414</v>
      </c>
      <c r="R61" s="313">
        <f t="shared" si="71"/>
        <v>0.107889560809067</v>
      </c>
      <c r="V61" s="201">
        <f t="shared" si="57"/>
        <v>260.652247308852</v>
      </c>
      <c r="W61" s="201">
        <f t="shared" si="58"/>
        <v>384.847703537956</v>
      </c>
      <c r="X61" s="201">
        <f t="shared" si="59"/>
        <v>509.043159767059</v>
      </c>
      <c r="Y61" s="201">
        <f t="shared" si="60"/>
        <v>633.238615996163</v>
      </c>
      <c r="Z61" s="201">
        <f t="shared" si="61"/>
        <v>757.434072225267</v>
      </c>
      <c r="AA61" s="331">
        <f t="shared" si="62"/>
        <v>871.741355187723</v>
      </c>
      <c r="AB61" s="331">
        <f t="shared" si="63"/>
        <v>986.048638150178</v>
      </c>
      <c r="AC61" s="331">
        <f t="shared" si="64"/>
        <v>1100.35592111263</v>
      </c>
      <c r="AD61" s="331">
        <f t="shared" si="65"/>
        <v>1214.66320407509</v>
      </c>
      <c r="AE61" s="331">
        <f t="shared" si="66"/>
        <v>1328.97048703754</v>
      </c>
      <c r="AF61" s="331">
        <f t="shared" si="67"/>
        <v>1443.27777</v>
      </c>
      <c r="AH61" s="295">
        <f t="shared" si="72"/>
        <v>2.81032741739824</v>
      </c>
      <c r="AI61" s="295">
        <f t="shared" si="68"/>
        <v>2.77331736090421</v>
      </c>
      <c r="AJ61" s="295">
        <f t="shared" si="68"/>
        <v>2.72086097935774</v>
      </c>
      <c r="AK61" s="295">
        <f t="shared" si="68"/>
        <v>2.68993932286718</v>
      </c>
      <c r="AL61" s="295">
        <f t="shared" si="68"/>
        <v>2.98416216432746</v>
      </c>
      <c r="AM61" s="295">
        <f t="shared" si="68"/>
        <v>2.84194599087739</v>
      </c>
      <c r="AN61" s="295">
        <f t="shared" si="68"/>
        <v>2.77711678002765</v>
      </c>
      <c r="AO61" s="295">
        <f t="shared" si="68"/>
        <v>2.71234734698098</v>
      </c>
      <c r="AP61" s="295">
        <f t="shared" si="68"/>
        <v>2.64859281274618</v>
      </c>
      <c r="AQ61" s="295">
        <f t="shared" si="68"/>
        <v>2.63356991805342</v>
      </c>
      <c r="AR61" s="295">
        <f t="shared" si="68"/>
        <v>2.6241414</v>
      </c>
      <c r="AT61" s="332">
        <f t="shared" si="73"/>
        <v>0.0124534711377918</v>
      </c>
      <c r="AU61" s="332">
        <f t="shared" si="69"/>
        <v>0.0122894675887736</v>
      </c>
      <c r="AV61" s="332">
        <f t="shared" si="69"/>
        <v>0.0120570163699093</v>
      </c>
      <c r="AW61" s="332">
        <f t="shared" si="69"/>
        <v>0.0119199924935261</v>
      </c>
      <c r="AX61" s="332">
        <f t="shared" si="69"/>
        <v>0.0132237892118448</v>
      </c>
      <c r="AY61" s="332">
        <f t="shared" si="69"/>
        <v>0.0125935832791043</v>
      </c>
      <c r="AZ61" s="332">
        <f t="shared" si="69"/>
        <v>0.0123063040456581</v>
      </c>
      <c r="BA61" s="332">
        <f t="shared" si="69"/>
        <v>0.0120192897070211</v>
      </c>
      <c r="BB61" s="332">
        <f t="shared" si="69"/>
        <v>0.0117367727137764</v>
      </c>
      <c r="BC61" s="332">
        <f t="shared" si="69"/>
        <v>0.0116702014010162</v>
      </c>
      <c r="BD61" s="332">
        <f t="shared" si="69"/>
        <v>0.0116284205833351</v>
      </c>
    </row>
    <row r="62" spans="2:56">
      <c r="B62" s="198" t="s">
        <v>30</v>
      </c>
      <c r="C62" s="25" t="s">
        <v>31</v>
      </c>
      <c r="D62" s="288">
        <v>373.6296650448</v>
      </c>
      <c r="E62" s="288">
        <v>367.968609513818</v>
      </c>
      <c r="F62" s="288">
        <v>367.968609513818</v>
      </c>
      <c r="G62" s="288">
        <v>386.367039989509</v>
      </c>
      <c r="H62" s="288">
        <v>386.367039989509</v>
      </c>
      <c r="I62" s="288">
        <v>147.187443805527</v>
      </c>
      <c r="J62" s="288">
        <v>423.163900940891</v>
      </c>
      <c r="K62" s="288">
        <v>386.367039989509</v>
      </c>
      <c r="L62" s="288">
        <v>404.7654704652</v>
      </c>
      <c r="M62" s="288">
        <v>423.163900940891</v>
      </c>
      <c r="N62" s="288">
        <v>367.968609513818</v>
      </c>
      <c r="O62" s="288">
        <v>362.795300292709</v>
      </c>
      <c r="P62" s="309">
        <f t="shared" si="74"/>
        <v>4397.71263</v>
      </c>
      <c r="Q62" s="312">
        <f t="shared" si="70"/>
        <v>7.99584114545455</v>
      </c>
      <c r="R62" s="313">
        <f t="shared" si="71"/>
        <v>0.328742875472397</v>
      </c>
      <c r="V62" s="201">
        <f t="shared" si="57"/>
        <v>741.598274558618</v>
      </c>
      <c r="W62" s="201">
        <f t="shared" si="58"/>
        <v>1109.56688407244</v>
      </c>
      <c r="X62" s="201">
        <f t="shared" si="59"/>
        <v>1495.93392406195</v>
      </c>
      <c r="Y62" s="201">
        <f t="shared" si="60"/>
        <v>1882.30096405145</v>
      </c>
      <c r="Z62" s="201">
        <f t="shared" si="61"/>
        <v>2029.48840785698</v>
      </c>
      <c r="AA62" s="331">
        <f t="shared" si="62"/>
        <v>2452.65230879787</v>
      </c>
      <c r="AB62" s="331">
        <f t="shared" si="63"/>
        <v>2839.01934878738</v>
      </c>
      <c r="AC62" s="331">
        <f t="shared" si="64"/>
        <v>3243.78481925258</v>
      </c>
      <c r="AD62" s="331">
        <f t="shared" si="65"/>
        <v>3666.94872019347</v>
      </c>
      <c r="AE62" s="331">
        <f t="shared" si="66"/>
        <v>4034.91732970729</v>
      </c>
      <c r="AF62" s="331">
        <f t="shared" si="67"/>
        <v>4397.71263</v>
      </c>
      <c r="AH62" s="295">
        <f t="shared" si="72"/>
        <v>7.99584114545455</v>
      </c>
      <c r="AI62" s="295">
        <f t="shared" si="68"/>
        <v>7.99584114545454</v>
      </c>
      <c r="AJ62" s="295">
        <f t="shared" si="68"/>
        <v>7.99584114545454</v>
      </c>
      <c r="AK62" s="295">
        <f t="shared" si="68"/>
        <v>7.99584114545454</v>
      </c>
      <c r="AL62" s="295">
        <f t="shared" si="68"/>
        <v>7.99584114545454</v>
      </c>
      <c r="AM62" s="295">
        <f t="shared" si="68"/>
        <v>7.99584114545454</v>
      </c>
      <c r="AN62" s="295">
        <f t="shared" si="68"/>
        <v>7.99584114545454</v>
      </c>
      <c r="AO62" s="295">
        <f t="shared" si="68"/>
        <v>7.99584114545454</v>
      </c>
      <c r="AP62" s="295">
        <f t="shared" si="68"/>
        <v>7.99584114545454</v>
      </c>
      <c r="AQ62" s="295">
        <f t="shared" si="68"/>
        <v>7.99584114545454</v>
      </c>
      <c r="AR62" s="295">
        <f t="shared" si="68"/>
        <v>7.99584114545455</v>
      </c>
      <c r="AT62" s="332">
        <f t="shared" si="73"/>
        <v>0.0354321622138507</v>
      </c>
      <c r="AU62" s="332">
        <f t="shared" si="69"/>
        <v>0.0354321622138507</v>
      </c>
      <c r="AV62" s="332">
        <f t="shared" si="69"/>
        <v>0.0354321622138507</v>
      </c>
      <c r="AW62" s="332">
        <f t="shared" si="69"/>
        <v>0.0354321622138507</v>
      </c>
      <c r="AX62" s="332">
        <f t="shared" si="69"/>
        <v>0.0354321622138507</v>
      </c>
      <c r="AY62" s="332">
        <f t="shared" si="69"/>
        <v>0.0354321622138507</v>
      </c>
      <c r="AZ62" s="332">
        <f t="shared" si="69"/>
        <v>0.0354321622138507</v>
      </c>
      <c r="BA62" s="332">
        <f t="shared" si="69"/>
        <v>0.0354321622138507</v>
      </c>
      <c r="BB62" s="332">
        <f t="shared" si="69"/>
        <v>0.0354321622138507</v>
      </c>
      <c r="BC62" s="332">
        <f t="shared" si="69"/>
        <v>0.0354321622138507</v>
      </c>
      <c r="BD62" s="332">
        <f t="shared" si="69"/>
        <v>0.0354321622138507</v>
      </c>
    </row>
    <row r="63" spans="2:56">
      <c r="B63" s="198"/>
      <c r="C63" s="25" t="s">
        <v>32</v>
      </c>
      <c r="D63" s="288">
        <v>23.0001477552</v>
      </c>
      <c r="E63" s="288">
        <v>22.651660668</v>
      </c>
      <c r="F63" s="288">
        <v>22.651660668</v>
      </c>
      <c r="G63" s="288">
        <v>23.7842437014</v>
      </c>
      <c r="H63" s="288">
        <v>23.7842437014</v>
      </c>
      <c r="I63" s="288">
        <v>9.0606642672</v>
      </c>
      <c r="J63" s="288">
        <v>26.0494097682</v>
      </c>
      <c r="K63" s="288">
        <v>23.7842437014</v>
      </c>
      <c r="L63" s="288">
        <v>24.9168267348</v>
      </c>
      <c r="M63" s="288">
        <v>26.0494097682</v>
      </c>
      <c r="N63" s="288">
        <v>22.651660668</v>
      </c>
      <c r="O63" s="288">
        <v>22.3331985982</v>
      </c>
      <c r="P63" s="309">
        <f t="shared" si="74"/>
        <v>270.71737</v>
      </c>
      <c r="Q63" s="312">
        <f t="shared" si="70"/>
        <v>0.4922134</v>
      </c>
      <c r="R63" s="313">
        <f t="shared" si="71"/>
        <v>0.0202369763879103</v>
      </c>
      <c r="V63" s="201">
        <f t="shared" si="57"/>
        <v>45.6518084232</v>
      </c>
      <c r="W63" s="201">
        <f t="shared" si="58"/>
        <v>68.3034690912</v>
      </c>
      <c r="X63" s="201">
        <f t="shared" si="59"/>
        <v>92.0877127926</v>
      </c>
      <c r="Y63" s="201">
        <f t="shared" si="60"/>
        <v>115.871956494</v>
      </c>
      <c r="Z63" s="201">
        <f t="shared" si="61"/>
        <v>124.9326207612</v>
      </c>
      <c r="AA63" s="331">
        <f t="shared" si="62"/>
        <v>150.9820305294</v>
      </c>
      <c r="AB63" s="331">
        <f t="shared" si="63"/>
        <v>174.7662742308</v>
      </c>
      <c r="AC63" s="331">
        <f t="shared" si="64"/>
        <v>199.6831009656</v>
      </c>
      <c r="AD63" s="331">
        <f t="shared" si="65"/>
        <v>225.7325107338</v>
      </c>
      <c r="AE63" s="331">
        <f t="shared" si="66"/>
        <v>248.3841714018</v>
      </c>
      <c r="AF63" s="331">
        <f t="shared" si="67"/>
        <v>270.71737</v>
      </c>
      <c r="AH63" s="295">
        <f t="shared" si="72"/>
        <v>0.4922134</v>
      </c>
      <c r="AI63" s="295">
        <f t="shared" si="68"/>
        <v>0.4922134</v>
      </c>
      <c r="AJ63" s="295">
        <f t="shared" si="68"/>
        <v>0.4922134</v>
      </c>
      <c r="AK63" s="295">
        <f t="shared" si="68"/>
        <v>0.4922134</v>
      </c>
      <c r="AL63" s="295">
        <f t="shared" si="68"/>
        <v>0.4922134</v>
      </c>
      <c r="AM63" s="295">
        <f t="shared" si="68"/>
        <v>0.4922134</v>
      </c>
      <c r="AN63" s="295">
        <f t="shared" si="68"/>
        <v>0.4922134</v>
      </c>
      <c r="AO63" s="295">
        <f t="shared" si="68"/>
        <v>0.4922134</v>
      </c>
      <c r="AP63" s="295">
        <f t="shared" si="68"/>
        <v>0.4922134</v>
      </c>
      <c r="AQ63" s="295">
        <f t="shared" si="68"/>
        <v>0.4922134</v>
      </c>
      <c r="AR63" s="295">
        <f t="shared" si="68"/>
        <v>0.4922134</v>
      </c>
      <c r="AT63" s="332">
        <f t="shared" si="73"/>
        <v>0.00218115701842642</v>
      </c>
      <c r="AU63" s="332">
        <f t="shared" si="69"/>
        <v>0.00218115701842642</v>
      </c>
      <c r="AV63" s="332">
        <f t="shared" si="69"/>
        <v>0.00218115701842642</v>
      </c>
      <c r="AW63" s="332">
        <f t="shared" si="69"/>
        <v>0.00218115701842642</v>
      </c>
      <c r="AX63" s="332">
        <f t="shared" si="69"/>
        <v>0.00218115701842642</v>
      </c>
      <c r="AY63" s="332">
        <f t="shared" si="69"/>
        <v>0.00218115701842642</v>
      </c>
      <c r="AZ63" s="332">
        <f t="shared" si="69"/>
        <v>0.00218115701842642</v>
      </c>
      <c r="BA63" s="332">
        <f t="shared" si="69"/>
        <v>0.00218115701842642</v>
      </c>
      <c r="BB63" s="332">
        <f t="shared" si="69"/>
        <v>0.00218115701842642</v>
      </c>
      <c r="BC63" s="332">
        <f t="shared" si="69"/>
        <v>0.00218115701842642</v>
      </c>
      <c r="BD63" s="332">
        <f t="shared" si="69"/>
        <v>0.00218115701842642</v>
      </c>
    </row>
    <row r="64" spans="2:56">
      <c r="B64" s="198"/>
      <c r="C64" s="25" t="s">
        <v>33</v>
      </c>
      <c r="D64" s="288">
        <v>14.724060768</v>
      </c>
      <c r="E64" s="288">
        <v>14.5009689381818</v>
      </c>
      <c r="F64" s="288">
        <v>14.5009689381818</v>
      </c>
      <c r="G64" s="288">
        <v>15.2260173850909</v>
      </c>
      <c r="H64" s="288">
        <v>15.2260173850909</v>
      </c>
      <c r="I64" s="288">
        <v>5.80038757527273</v>
      </c>
      <c r="J64" s="288">
        <v>16.6761142789091</v>
      </c>
      <c r="K64" s="288">
        <v>15.2260173850909</v>
      </c>
      <c r="L64" s="288">
        <v>15.951065832</v>
      </c>
      <c r="M64" s="288">
        <v>16.6761142789091</v>
      </c>
      <c r="N64" s="288">
        <v>14.5009689381818</v>
      </c>
      <c r="O64" s="288">
        <v>14.2970982970909</v>
      </c>
      <c r="P64" s="309">
        <f t="shared" si="74"/>
        <v>173.3058</v>
      </c>
      <c r="Q64" s="312">
        <f t="shared" si="70"/>
        <v>0.315101454545455</v>
      </c>
      <c r="R64" s="313">
        <f t="shared" si="71"/>
        <v>0.0129551546045527</v>
      </c>
      <c r="V64" s="201">
        <f t="shared" si="57"/>
        <v>29.2250297061818</v>
      </c>
      <c r="W64" s="201">
        <f t="shared" si="58"/>
        <v>43.7259986443636</v>
      </c>
      <c r="X64" s="201">
        <f t="shared" si="59"/>
        <v>58.9520160294545</v>
      </c>
      <c r="Y64" s="201">
        <f t="shared" si="60"/>
        <v>74.1780334145455</v>
      </c>
      <c r="Z64" s="201">
        <f t="shared" si="61"/>
        <v>79.9784209898182</v>
      </c>
      <c r="AA64" s="331">
        <f t="shared" si="62"/>
        <v>96.6545352687273</v>
      </c>
      <c r="AB64" s="331">
        <f t="shared" si="63"/>
        <v>111.880552653818</v>
      </c>
      <c r="AC64" s="331">
        <f t="shared" si="64"/>
        <v>127.831618485818</v>
      </c>
      <c r="AD64" s="331">
        <f t="shared" si="65"/>
        <v>144.507732764727</v>
      </c>
      <c r="AE64" s="331">
        <f t="shared" si="66"/>
        <v>159.008701702909</v>
      </c>
      <c r="AF64" s="331">
        <f t="shared" si="67"/>
        <v>173.3058</v>
      </c>
      <c r="AH64" s="295">
        <f t="shared" si="72"/>
        <v>0.315101454545455</v>
      </c>
      <c r="AI64" s="295">
        <f t="shared" si="68"/>
        <v>0.315101454545454</v>
      </c>
      <c r="AJ64" s="295">
        <f t="shared" si="68"/>
        <v>0.315101454545455</v>
      </c>
      <c r="AK64" s="295">
        <f t="shared" si="68"/>
        <v>0.315101454545455</v>
      </c>
      <c r="AL64" s="295">
        <f t="shared" si="68"/>
        <v>0.315101454545455</v>
      </c>
      <c r="AM64" s="295">
        <f t="shared" si="68"/>
        <v>0.315101454545455</v>
      </c>
      <c r="AN64" s="295">
        <f t="shared" si="68"/>
        <v>0.315101454545455</v>
      </c>
      <c r="AO64" s="295">
        <f t="shared" si="68"/>
        <v>0.315101454545455</v>
      </c>
      <c r="AP64" s="295">
        <f t="shared" si="68"/>
        <v>0.315101454545455</v>
      </c>
      <c r="AQ64" s="295">
        <f t="shared" si="68"/>
        <v>0.315101454545455</v>
      </c>
      <c r="AR64" s="295">
        <f t="shared" si="68"/>
        <v>0.315101454545455</v>
      </c>
      <c r="AT64" s="332">
        <f t="shared" si="73"/>
        <v>0.00139631661612259</v>
      </c>
      <c r="AU64" s="332">
        <f t="shared" si="69"/>
        <v>0.00139631661612259</v>
      </c>
      <c r="AV64" s="332">
        <f t="shared" si="69"/>
        <v>0.00139631661612259</v>
      </c>
      <c r="AW64" s="332">
        <f t="shared" si="69"/>
        <v>0.00139631661612259</v>
      </c>
      <c r="AX64" s="332">
        <f t="shared" si="69"/>
        <v>0.00139631661612259</v>
      </c>
      <c r="AY64" s="332">
        <f t="shared" si="69"/>
        <v>0.00139631661612259</v>
      </c>
      <c r="AZ64" s="332">
        <f t="shared" si="69"/>
        <v>0.00139631661612259</v>
      </c>
      <c r="BA64" s="332">
        <f t="shared" si="69"/>
        <v>0.00139631661612259</v>
      </c>
      <c r="BB64" s="332">
        <f t="shared" si="69"/>
        <v>0.00139631661612259</v>
      </c>
      <c r="BC64" s="332">
        <f t="shared" si="69"/>
        <v>0.00139631661612259</v>
      </c>
      <c r="BD64" s="332">
        <f t="shared" si="69"/>
        <v>0.00139631661612259</v>
      </c>
    </row>
    <row r="65" spans="2:56">
      <c r="B65" s="198"/>
      <c r="C65" s="25" t="s">
        <v>34</v>
      </c>
      <c r="D65" s="288">
        <v>-45.79344</v>
      </c>
      <c r="E65" s="288">
        <v>-45.0996</v>
      </c>
      <c r="F65" s="288">
        <v>-45.0996</v>
      </c>
      <c r="G65" s="288">
        <v>-47.35458</v>
      </c>
      <c r="H65" s="288">
        <v>-47.35458</v>
      </c>
      <c r="I65" s="288">
        <v>-18.03984</v>
      </c>
      <c r="J65" s="288">
        <v>-51.86454</v>
      </c>
      <c r="K65" s="288">
        <v>-47.35458</v>
      </c>
      <c r="L65" s="288">
        <v>-49.60956</v>
      </c>
      <c r="M65" s="288">
        <v>-51.86454</v>
      </c>
      <c r="N65" s="288">
        <v>-45.0996</v>
      </c>
      <c r="O65" s="288">
        <v>-44.46554</v>
      </c>
      <c r="P65" s="309">
        <f t="shared" si="74"/>
        <v>-539</v>
      </c>
      <c r="Q65" s="312">
        <f t="shared" si="70"/>
        <v>-0.98</v>
      </c>
      <c r="R65" s="313">
        <f t="shared" si="71"/>
        <v>-0.0402919482894047</v>
      </c>
      <c r="V65" s="201">
        <f t="shared" si="57"/>
        <v>-90.89304</v>
      </c>
      <c r="W65" s="201">
        <f t="shared" si="58"/>
        <v>-135.99264</v>
      </c>
      <c r="X65" s="201">
        <f t="shared" si="59"/>
        <v>-183.34722</v>
      </c>
      <c r="Y65" s="201">
        <f t="shared" si="60"/>
        <v>-230.7018</v>
      </c>
      <c r="Z65" s="201">
        <f t="shared" si="61"/>
        <v>-248.74164</v>
      </c>
      <c r="AA65" s="331">
        <f t="shared" si="62"/>
        <v>-300.60618</v>
      </c>
      <c r="AB65" s="331">
        <f t="shared" si="63"/>
        <v>-347.96076</v>
      </c>
      <c r="AC65" s="331">
        <f t="shared" si="64"/>
        <v>-397.57032</v>
      </c>
      <c r="AD65" s="331">
        <f t="shared" si="65"/>
        <v>-449.43486</v>
      </c>
      <c r="AE65" s="331">
        <f t="shared" si="66"/>
        <v>-494.53446</v>
      </c>
      <c r="AF65" s="331">
        <f t="shared" si="67"/>
        <v>-539</v>
      </c>
      <c r="AH65" s="295">
        <f t="shared" si="72"/>
        <v>-0.98</v>
      </c>
      <c r="AI65" s="295">
        <f t="shared" si="68"/>
        <v>-0.98</v>
      </c>
      <c r="AJ65" s="295">
        <f t="shared" si="68"/>
        <v>-0.98</v>
      </c>
      <c r="AK65" s="295">
        <f t="shared" si="68"/>
        <v>-0.98</v>
      </c>
      <c r="AL65" s="295">
        <f t="shared" si="68"/>
        <v>-0.98</v>
      </c>
      <c r="AM65" s="295">
        <f t="shared" si="68"/>
        <v>-0.98</v>
      </c>
      <c r="AN65" s="295">
        <f t="shared" si="68"/>
        <v>-0.98</v>
      </c>
      <c r="AO65" s="295">
        <f t="shared" si="68"/>
        <v>-0.98</v>
      </c>
      <c r="AP65" s="295">
        <f t="shared" si="68"/>
        <v>-0.98</v>
      </c>
      <c r="AQ65" s="295">
        <f t="shared" si="68"/>
        <v>-0.98</v>
      </c>
      <c r="AR65" s="295">
        <f t="shared" si="68"/>
        <v>-0.98</v>
      </c>
      <c r="AT65" s="332">
        <f t="shared" si="73"/>
        <v>-0.00434269745207647</v>
      </c>
      <c r="AU65" s="332">
        <f t="shared" si="69"/>
        <v>-0.00434269745207647</v>
      </c>
      <c r="AV65" s="332">
        <f t="shared" si="69"/>
        <v>-0.00434269745207647</v>
      </c>
      <c r="AW65" s="332">
        <f t="shared" si="69"/>
        <v>-0.00434269745207647</v>
      </c>
      <c r="AX65" s="332">
        <f t="shared" si="69"/>
        <v>-0.00434269745207647</v>
      </c>
      <c r="AY65" s="332">
        <f t="shared" si="69"/>
        <v>-0.00434269745207647</v>
      </c>
      <c r="AZ65" s="332">
        <f t="shared" si="69"/>
        <v>-0.00434269745207647</v>
      </c>
      <c r="BA65" s="332">
        <f t="shared" si="69"/>
        <v>-0.00434269745207647</v>
      </c>
      <c r="BB65" s="332">
        <f t="shared" si="69"/>
        <v>-0.00434269745207647</v>
      </c>
      <c r="BC65" s="332">
        <f t="shared" si="69"/>
        <v>-0.00434269745207647</v>
      </c>
      <c r="BD65" s="332">
        <f t="shared" si="69"/>
        <v>-0.00434269745207647</v>
      </c>
    </row>
    <row r="66" spans="2:56">
      <c r="B66" s="198"/>
      <c r="C66" s="25" t="s">
        <v>35</v>
      </c>
      <c r="D66" s="288">
        <v>31.0418581392</v>
      </c>
      <c r="E66" s="288">
        <v>30.5715269552727</v>
      </c>
      <c r="F66" s="288">
        <v>30.5715269552727</v>
      </c>
      <c r="G66" s="288">
        <v>32.1001033030364</v>
      </c>
      <c r="H66" s="288">
        <v>32.1001033030364</v>
      </c>
      <c r="I66" s="288">
        <v>12.2286107821091</v>
      </c>
      <c r="J66" s="288">
        <v>35.1572559985636</v>
      </c>
      <c r="K66" s="288">
        <v>32.1001033030364</v>
      </c>
      <c r="L66" s="288">
        <v>33.6286796508</v>
      </c>
      <c r="M66" s="288">
        <v>35.1572559985636</v>
      </c>
      <c r="N66" s="288">
        <v>30.5715269552727</v>
      </c>
      <c r="O66" s="288">
        <v>30.1417186558364</v>
      </c>
      <c r="P66" s="309">
        <f t="shared" si="74"/>
        <v>365.37027</v>
      </c>
      <c r="Q66" s="312">
        <f t="shared" si="70"/>
        <v>0.664309581818182</v>
      </c>
      <c r="R66" s="313">
        <f t="shared" si="71"/>
        <v>0.0273125788967084</v>
      </c>
      <c r="V66" s="201">
        <f t="shared" si="57"/>
        <v>61.6133850944727</v>
      </c>
      <c r="W66" s="201">
        <f t="shared" si="58"/>
        <v>92.1849120497455</v>
      </c>
      <c r="X66" s="201">
        <f t="shared" si="59"/>
        <v>124.285015352782</v>
      </c>
      <c r="Y66" s="201">
        <f t="shared" si="60"/>
        <v>156.385118655818</v>
      </c>
      <c r="Z66" s="201">
        <f t="shared" si="61"/>
        <v>168.613729437927</v>
      </c>
      <c r="AA66" s="331">
        <f t="shared" si="62"/>
        <v>203.770985436491</v>
      </c>
      <c r="AB66" s="331">
        <f t="shared" si="63"/>
        <v>235.871088739527</v>
      </c>
      <c r="AC66" s="331">
        <f t="shared" si="64"/>
        <v>269.499768390327</v>
      </c>
      <c r="AD66" s="331">
        <f t="shared" si="65"/>
        <v>304.657024388891</v>
      </c>
      <c r="AE66" s="331">
        <f t="shared" si="66"/>
        <v>335.228551344164</v>
      </c>
      <c r="AF66" s="331">
        <f t="shared" si="67"/>
        <v>365.37027</v>
      </c>
      <c r="AH66" s="295">
        <f t="shared" si="72"/>
        <v>0.664309581818182</v>
      </c>
      <c r="AI66" s="295">
        <f t="shared" si="68"/>
        <v>0.664309581818182</v>
      </c>
      <c r="AJ66" s="295">
        <f t="shared" si="68"/>
        <v>0.664309581818182</v>
      </c>
      <c r="AK66" s="295">
        <f t="shared" si="68"/>
        <v>0.664309581818182</v>
      </c>
      <c r="AL66" s="295">
        <f t="shared" si="68"/>
        <v>0.664309581818182</v>
      </c>
      <c r="AM66" s="295">
        <f t="shared" si="68"/>
        <v>0.664309581818182</v>
      </c>
      <c r="AN66" s="295">
        <f t="shared" si="68"/>
        <v>0.664309581818182</v>
      </c>
      <c r="AO66" s="295">
        <f t="shared" si="68"/>
        <v>0.664309581818182</v>
      </c>
      <c r="AP66" s="295">
        <f t="shared" si="68"/>
        <v>0.664309581818182</v>
      </c>
      <c r="AQ66" s="295">
        <f t="shared" si="68"/>
        <v>0.664309581818182</v>
      </c>
      <c r="AR66" s="295">
        <f t="shared" si="68"/>
        <v>0.664309581818182</v>
      </c>
      <c r="AT66" s="332">
        <f t="shared" si="73"/>
        <v>0.00294377094729776</v>
      </c>
      <c r="AU66" s="332">
        <f t="shared" si="69"/>
        <v>0.00294377094729776</v>
      </c>
      <c r="AV66" s="332">
        <f t="shared" si="69"/>
        <v>0.00294377094729776</v>
      </c>
      <c r="AW66" s="332">
        <f t="shared" si="69"/>
        <v>0.00294377094729776</v>
      </c>
      <c r="AX66" s="332">
        <f t="shared" si="69"/>
        <v>0.00294377094729776</v>
      </c>
      <c r="AY66" s="332">
        <f t="shared" si="69"/>
        <v>0.00294377094729776</v>
      </c>
      <c r="AZ66" s="332">
        <f t="shared" si="69"/>
        <v>0.00294377094729776</v>
      </c>
      <c r="BA66" s="332">
        <f t="shared" si="69"/>
        <v>0.00294377094729776</v>
      </c>
      <c r="BB66" s="332">
        <f t="shared" si="69"/>
        <v>0.00294377094729776</v>
      </c>
      <c r="BC66" s="332">
        <f t="shared" si="69"/>
        <v>0.00294377094729776</v>
      </c>
      <c r="BD66" s="332">
        <f t="shared" si="69"/>
        <v>0.00294377094729776</v>
      </c>
    </row>
    <row r="67" spans="2:56">
      <c r="B67" s="336" t="s">
        <v>36</v>
      </c>
      <c r="C67" s="337" t="s">
        <v>37</v>
      </c>
      <c r="D67" s="288">
        <v>167.095325833333</v>
      </c>
      <c r="E67" s="288">
        <v>167.095325833333</v>
      </c>
      <c r="F67" s="288">
        <v>167.095325833333</v>
      </c>
      <c r="G67" s="288">
        <v>167.095325833333</v>
      </c>
      <c r="H67" s="288">
        <v>167.095325833333</v>
      </c>
      <c r="I67" s="288">
        <v>167.095325833333</v>
      </c>
      <c r="J67" s="288">
        <v>167.095325833333</v>
      </c>
      <c r="K67" s="288">
        <v>167.095325833333</v>
      </c>
      <c r="L67" s="288">
        <v>167.095325833333</v>
      </c>
      <c r="M67" s="288">
        <v>167.095325833333</v>
      </c>
      <c r="N67" s="288">
        <v>167.095325833333</v>
      </c>
      <c r="O67" s="288">
        <v>167.095325833333</v>
      </c>
      <c r="P67" s="342">
        <f t="shared" si="74"/>
        <v>2005.14391</v>
      </c>
      <c r="Q67" s="312">
        <f t="shared" si="70"/>
        <v>3.6457162</v>
      </c>
      <c r="R67" s="313">
        <f t="shared" si="71"/>
        <v>0.149890825110454</v>
      </c>
      <c r="V67" s="201">
        <f t="shared" si="57"/>
        <v>334.190651666667</v>
      </c>
      <c r="W67" s="201">
        <f t="shared" si="58"/>
        <v>501.2859775</v>
      </c>
      <c r="X67" s="201">
        <f t="shared" si="59"/>
        <v>668.381303333333</v>
      </c>
      <c r="Y67" s="201">
        <f t="shared" si="60"/>
        <v>835.476629166667</v>
      </c>
      <c r="Z67" s="201">
        <f t="shared" si="61"/>
        <v>1002.571955</v>
      </c>
      <c r="AA67" s="331">
        <f t="shared" si="62"/>
        <v>1169.66728083333</v>
      </c>
      <c r="AB67" s="331">
        <f t="shared" si="63"/>
        <v>1336.76260666667</v>
      </c>
      <c r="AC67" s="331">
        <f t="shared" si="64"/>
        <v>1503.8579325</v>
      </c>
      <c r="AD67" s="331">
        <f t="shared" si="65"/>
        <v>1670.95325833333</v>
      </c>
      <c r="AE67" s="331">
        <f t="shared" si="66"/>
        <v>1838.04858416667</v>
      </c>
      <c r="AF67" s="331">
        <f t="shared" si="67"/>
        <v>2005.14391</v>
      </c>
      <c r="AH67" s="295">
        <f t="shared" si="72"/>
        <v>3.60321140797286</v>
      </c>
      <c r="AI67" s="295">
        <f t="shared" si="68"/>
        <v>3.61240327380952</v>
      </c>
      <c r="AJ67" s="295">
        <f t="shared" si="68"/>
        <v>3.57253127299485</v>
      </c>
      <c r="AK67" s="295">
        <f t="shared" si="68"/>
        <v>3.54902777777778</v>
      </c>
      <c r="AL67" s="295">
        <f t="shared" si="68"/>
        <v>3.9499639702464</v>
      </c>
      <c r="AM67" s="295">
        <f t="shared" si="68"/>
        <v>3.81320814900301</v>
      </c>
      <c r="AN67" s="295">
        <f t="shared" si="68"/>
        <v>3.76487094272737</v>
      </c>
      <c r="AO67" s="295">
        <f t="shared" si="68"/>
        <v>3.70696880453752</v>
      </c>
      <c r="AP67" s="295">
        <f t="shared" si="68"/>
        <v>3.64354067498606</v>
      </c>
      <c r="AQ67" s="295">
        <f t="shared" si="68"/>
        <v>3.64239048676878</v>
      </c>
      <c r="AR67" s="295">
        <f t="shared" si="68"/>
        <v>3.6457162</v>
      </c>
      <c r="AT67" s="332">
        <f t="shared" si="73"/>
        <v>0.0159669969394863</v>
      </c>
      <c r="AU67" s="332">
        <f t="shared" si="69"/>
        <v>0.016007729074536</v>
      </c>
      <c r="AV67" s="332">
        <f t="shared" si="69"/>
        <v>0.0158310433231615</v>
      </c>
      <c r="AW67" s="332">
        <f t="shared" si="69"/>
        <v>0.0157268917223512</v>
      </c>
      <c r="AX67" s="332">
        <f t="shared" si="69"/>
        <v>0.0175035698667172</v>
      </c>
      <c r="AY67" s="332">
        <f t="shared" si="69"/>
        <v>0.0168975605233802</v>
      </c>
      <c r="AZ67" s="332">
        <f t="shared" si="69"/>
        <v>0.0166833627044683</v>
      </c>
      <c r="BA67" s="332">
        <f t="shared" si="69"/>
        <v>0.0164267795738694</v>
      </c>
      <c r="BB67" s="332">
        <f t="shared" si="69"/>
        <v>0.0161457089855091</v>
      </c>
      <c r="BC67" s="332">
        <f t="shared" si="69"/>
        <v>0.0161406121289371</v>
      </c>
      <c r="BD67" s="332">
        <f t="shared" si="69"/>
        <v>0.0161553494415652</v>
      </c>
    </row>
    <row r="68" spans="2:56">
      <c r="B68" s="336"/>
      <c r="C68" s="337" t="s">
        <v>38</v>
      </c>
      <c r="D68" s="338"/>
      <c r="E68" s="338"/>
      <c r="F68" s="336"/>
      <c r="G68" s="336"/>
      <c r="H68" s="336"/>
      <c r="I68" s="336"/>
      <c r="J68" s="336"/>
      <c r="K68" s="336"/>
      <c r="L68" s="336"/>
      <c r="M68" s="336"/>
      <c r="N68" s="336"/>
      <c r="O68" s="336"/>
      <c r="P68" s="343">
        <f t="shared" si="74"/>
        <v>0</v>
      </c>
      <c r="V68" s="201">
        <f t="shared" si="57"/>
        <v>0</v>
      </c>
      <c r="W68" s="201">
        <f t="shared" si="58"/>
        <v>0</v>
      </c>
      <c r="X68" s="201">
        <f t="shared" si="59"/>
        <v>0</v>
      </c>
      <c r="Y68" s="201">
        <f t="shared" si="60"/>
        <v>0</v>
      </c>
      <c r="Z68" s="201">
        <f t="shared" si="61"/>
        <v>0</v>
      </c>
      <c r="AA68" s="331">
        <f t="shared" si="62"/>
        <v>0</v>
      </c>
      <c r="AB68" s="331">
        <f t="shared" si="63"/>
        <v>0</v>
      </c>
      <c r="AC68" s="331">
        <f t="shared" si="64"/>
        <v>0</v>
      </c>
      <c r="AD68" s="331">
        <f t="shared" si="65"/>
        <v>0</v>
      </c>
      <c r="AE68" s="331">
        <f t="shared" si="66"/>
        <v>0</v>
      </c>
      <c r="AF68" s="331">
        <f t="shared" si="67"/>
        <v>0</v>
      </c>
      <c r="AH68" s="295">
        <f t="shared" si="72"/>
        <v>0</v>
      </c>
      <c r="AI68" s="295">
        <f t="shared" si="68"/>
        <v>0</v>
      </c>
      <c r="AJ68" s="295">
        <f t="shared" si="68"/>
        <v>0</v>
      </c>
      <c r="AK68" s="295">
        <f t="shared" si="68"/>
        <v>0</v>
      </c>
      <c r="AL68" s="295">
        <f t="shared" si="68"/>
        <v>0</v>
      </c>
      <c r="AM68" s="295">
        <f t="shared" si="68"/>
        <v>0</v>
      </c>
      <c r="AN68" s="295">
        <f t="shared" si="68"/>
        <v>0</v>
      </c>
      <c r="AO68" s="295">
        <f t="shared" si="68"/>
        <v>0</v>
      </c>
      <c r="AP68" s="295">
        <f t="shared" si="68"/>
        <v>0</v>
      </c>
      <c r="AQ68" s="295">
        <f t="shared" si="68"/>
        <v>0</v>
      </c>
      <c r="AR68" s="295">
        <f t="shared" si="68"/>
        <v>0</v>
      </c>
      <c r="AT68" s="332">
        <f t="shared" si="73"/>
        <v>0</v>
      </c>
      <c r="AU68" s="332">
        <f t="shared" si="69"/>
        <v>0</v>
      </c>
      <c r="AV68" s="332">
        <f t="shared" si="69"/>
        <v>0</v>
      </c>
      <c r="AW68" s="332">
        <f t="shared" si="69"/>
        <v>0</v>
      </c>
      <c r="AX68" s="332">
        <f t="shared" si="69"/>
        <v>0</v>
      </c>
      <c r="AY68" s="332">
        <f t="shared" si="69"/>
        <v>0</v>
      </c>
      <c r="AZ68" s="332">
        <f t="shared" si="69"/>
        <v>0</v>
      </c>
      <c r="BA68" s="332">
        <f t="shared" si="69"/>
        <v>0</v>
      </c>
      <c r="BB68" s="332">
        <f t="shared" si="69"/>
        <v>0</v>
      </c>
      <c r="BC68" s="332">
        <f t="shared" si="69"/>
        <v>0</v>
      </c>
      <c r="BD68" s="332">
        <f t="shared" si="69"/>
        <v>0</v>
      </c>
    </row>
    <row r="69" spans="2:56">
      <c r="B69" s="336"/>
      <c r="C69" s="337" t="s">
        <v>39</v>
      </c>
      <c r="D69" s="338"/>
      <c r="E69" s="338"/>
      <c r="F69" s="336"/>
      <c r="G69" s="336"/>
      <c r="H69" s="336"/>
      <c r="I69" s="336"/>
      <c r="J69" s="336"/>
      <c r="K69" s="336"/>
      <c r="L69" s="336"/>
      <c r="M69" s="336"/>
      <c r="N69" s="336"/>
      <c r="O69" s="336"/>
      <c r="P69" s="343">
        <f t="shared" si="74"/>
        <v>0</v>
      </c>
      <c r="V69" s="201">
        <f t="shared" si="57"/>
        <v>0</v>
      </c>
      <c r="W69" s="201">
        <f t="shared" si="58"/>
        <v>0</v>
      </c>
      <c r="X69" s="201">
        <f t="shared" si="59"/>
        <v>0</v>
      </c>
      <c r="Y69" s="201">
        <f t="shared" si="60"/>
        <v>0</v>
      </c>
      <c r="Z69" s="201">
        <f t="shared" si="61"/>
        <v>0</v>
      </c>
      <c r="AA69" s="331">
        <f t="shared" si="62"/>
        <v>0</v>
      </c>
      <c r="AB69" s="331">
        <f t="shared" si="63"/>
        <v>0</v>
      </c>
      <c r="AC69" s="331">
        <f t="shared" si="64"/>
        <v>0</v>
      </c>
      <c r="AD69" s="331">
        <f t="shared" si="65"/>
        <v>0</v>
      </c>
      <c r="AE69" s="331">
        <f t="shared" si="66"/>
        <v>0</v>
      </c>
      <c r="AF69" s="331">
        <f t="shared" si="67"/>
        <v>0</v>
      </c>
      <c r="AH69" s="295">
        <f t="shared" si="72"/>
        <v>0</v>
      </c>
      <c r="AI69" s="295">
        <f t="shared" si="68"/>
        <v>0</v>
      </c>
      <c r="AJ69" s="295">
        <f t="shared" si="68"/>
        <v>0</v>
      </c>
      <c r="AK69" s="295">
        <f t="shared" si="68"/>
        <v>0</v>
      </c>
      <c r="AL69" s="295">
        <f t="shared" si="68"/>
        <v>0</v>
      </c>
      <c r="AM69" s="295">
        <f t="shared" si="68"/>
        <v>0</v>
      </c>
      <c r="AN69" s="295">
        <f t="shared" si="68"/>
        <v>0</v>
      </c>
      <c r="AO69" s="295">
        <f t="shared" si="68"/>
        <v>0</v>
      </c>
      <c r="AP69" s="295">
        <f t="shared" si="68"/>
        <v>0</v>
      </c>
      <c r="AQ69" s="295">
        <f t="shared" si="68"/>
        <v>0</v>
      </c>
      <c r="AR69" s="295">
        <f t="shared" si="68"/>
        <v>0</v>
      </c>
      <c r="AT69" s="332">
        <f t="shared" si="73"/>
        <v>0</v>
      </c>
      <c r="AU69" s="332">
        <f t="shared" si="69"/>
        <v>0</v>
      </c>
      <c r="AV69" s="332">
        <f t="shared" si="69"/>
        <v>0</v>
      </c>
      <c r="AW69" s="332">
        <f t="shared" si="69"/>
        <v>0</v>
      </c>
      <c r="AX69" s="332">
        <f t="shared" si="69"/>
        <v>0</v>
      </c>
      <c r="AY69" s="332">
        <f t="shared" si="69"/>
        <v>0</v>
      </c>
      <c r="AZ69" s="332">
        <f t="shared" si="69"/>
        <v>0</v>
      </c>
      <c r="BA69" s="332">
        <f t="shared" si="69"/>
        <v>0</v>
      </c>
      <c r="BB69" s="332">
        <f t="shared" si="69"/>
        <v>0</v>
      </c>
      <c r="BC69" s="332">
        <f t="shared" si="69"/>
        <v>0</v>
      </c>
      <c r="BD69" s="332">
        <f t="shared" si="69"/>
        <v>0</v>
      </c>
    </row>
    <row r="70" spans="2:56">
      <c r="B70" s="336"/>
      <c r="C70" s="337" t="s">
        <v>40</v>
      </c>
      <c r="D70" s="338"/>
      <c r="E70" s="338"/>
      <c r="F70" s="336"/>
      <c r="G70" s="336"/>
      <c r="H70" s="336"/>
      <c r="I70" s="336"/>
      <c r="J70" s="336"/>
      <c r="K70" s="336"/>
      <c r="L70" s="336"/>
      <c r="M70" s="336"/>
      <c r="N70" s="336"/>
      <c r="O70" s="336"/>
      <c r="P70" s="343">
        <f t="shared" si="74"/>
        <v>0</v>
      </c>
      <c r="V70" s="201">
        <f t="shared" si="57"/>
        <v>0</v>
      </c>
      <c r="W70" s="201">
        <f t="shared" si="58"/>
        <v>0</v>
      </c>
      <c r="X70" s="201">
        <f t="shared" si="59"/>
        <v>0</v>
      </c>
      <c r="Y70" s="201">
        <f t="shared" si="60"/>
        <v>0</v>
      </c>
      <c r="Z70" s="201">
        <f t="shared" si="61"/>
        <v>0</v>
      </c>
      <c r="AA70" s="331">
        <f t="shared" si="62"/>
        <v>0</v>
      </c>
      <c r="AB70" s="331">
        <f t="shared" si="63"/>
        <v>0</v>
      </c>
      <c r="AC70" s="331">
        <f t="shared" si="64"/>
        <v>0</v>
      </c>
      <c r="AD70" s="331">
        <f t="shared" si="65"/>
        <v>0</v>
      </c>
      <c r="AE70" s="331">
        <f t="shared" si="66"/>
        <v>0</v>
      </c>
      <c r="AF70" s="331">
        <f t="shared" si="67"/>
        <v>0</v>
      </c>
      <c r="AH70" s="295">
        <f t="shared" si="72"/>
        <v>0</v>
      </c>
      <c r="AI70" s="295">
        <f t="shared" si="68"/>
        <v>0</v>
      </c>
      <c r="AJ70" s="295">
        <f t="shared" si="68"/>
        <v>0</v>
      </c>
      <c r="AK70" s="295">
        <f t="shared" si="68"/>
        <v>0</v>
      </c>
      <c r="AL70" s="295">
        <f t="shared" si="68"/>
        <v>0</v>
      </c>
      <c r="AM70" s="295">
        <f t="shared" si="68"/>
        <v>0</v>
      </c>
      <c r="AN70" s="295">
        <f t="shared" si="68"/>
        <v>0</v>
      </c>
      <c r="AO70" s="295">
        <f t="shared" si="68"/>
        <v>0</v>
      </c>
      <c r="AP70" s="295">
        <f t="shared" si="68"/>
        <v>0</v>
      </c>
      <c r="AQ70" s="295">
        <f t="shared" si="68"/>
        <v>0</v>
      </c>
      <c r="AR70" s="295">
        <f t="shared" si="68"/>
        <v>0</v>
      </c>
      <c r="AT70" s="332">
        <f t="shared" si="73"/>
        <v>0</v>
      </c>
      <c r="AU70" s="332">
        <f t="shared" si="69"/>
        <v>0</v>
      </c>
      <c r="AV70" s="332">
        <f t="shared" si="69"/>
        <v>0</v>
      </c>
      <c r="AW70" s="332">
        <f t="shared" si="69"/>
        <v>0</v>
      </c>
      <c r="AX70" s="332">
        <f t="shared" si="69"/>
        <v>0</v>
      </c>
      <c r="AY70" s="332">
        <f t="shared" si="69"/>
        <v>0</v>
      </c>
      <c r="AZ70" s="332">
        <f t="shared" si="69"/>
        <v>0</v>
      </c>
      <c r="BA70" s="332">
        <f t="shared" si="69"/>
        <v>0</v>
      </c>
      <c r="BB70" s="332">
        <f t="shared" si="69"/>
        <v>0</v>
      </c>
      <c r="BC70" s="332">
        <f t="shared" si="69"/>
        <v>0</v>
      </c>
      <c r="BD70" s="332">
        <f t="shared" si="69"/>
        <v>0</v>
      </c>
    </row>
    <row r="71" spans="2:56">
      <c r="B71" s="293" t="s">
        <v>15</v>
      </c>
      <c r="C71" s="293"/>
      <c r="D71" s="296">
        <f>SUM(D55:D67)</f>
        <v>1143.15882927482</v>
      </c>
      <c r="E71" s="296">
        <f>SUM(E55:E67)</f>
        <v>1132.470891435</v>
      </c>
      <c r="F71" s="296">
        <f t="shared" ref="F71:P71" si="75">SUM(F55:F67)</f>
        <v>1123.84419559259</v>
      </c>
      <c r="G71" s="296">
        <f t="shared" si="75"/>
        <v>1140.88847476695</v>
      </c>
      <c r="H71" s="296">
        <f t="shared" si="75"/>
        <v>1139.83189154915</v>
      </c>
      <c r="I71" s="296">
        <f t="shared" si="75"/>
        <v>881.41493813478</v>
      </c>
      <c r="J71" s="296">
        <f t="shared" si="75"/>
        <v>1163.92848021771</v>
      </c>
      <c r="K71" s="296">
        <f t="shared" si="75"/>
        <v>1125.02164498607</v>
      </c>
      <c r="L71" s="296">
        <f t="shared" si="75"/>
        <v>1146.78751865134</v>
      </c>
      <c r="M71" s="296">
        <f t="shared" si="75"/>
        <v>1167.0466494074</v>
      </c>
      <c r="N71" s="296">
        <f t="shared" si="75"/>
        <v>1110.65570134079</v>
      </c>
      <c r="O71" s="296">
        <f t="shared" si="75"/>
        <v>1102.31333183343</v>
      </c>
      <c r="P71" s="296">
        <f t="shared" si="75"/>
        <v>13377.36254719</v>
      </c>
      <c r="V71" s="303">
        <f t="shared" ref="V71:AF71" si="76">SUM(V55:V67)</f>
        <v>2275.62972070983</v>
      </c>
      <c r="W71" s="303">
        <f t="shared" si="76"/>
        <v>3399.47391630242</v>
      </c>
      <c r="X71" s="303">
        <f t="shared" si="76"/>
        <v>4540.36239106937</v>
      </c>
      <c r="Y71" s="303">
        <f t="shared" si="76"/>
        <v>5680.19428261852</v>
      </c>
      <c r="Z71" s="303">
        <f t="shared" si="76"/>
        <v>6561.6092207533</v>
      </c>
      <c r="AA71" s="303">
        <f t="shared" si="76"/>
        <v>7725.53770097101</v>
      </c>
      <c r="AB71" s="303">
        <f t="shared" si="76"/>
        <v>8850.55934595708</v>
      </c>
      <c r="AC71" s="303">
        <f t="shared" si="76"/>
        <v>9997.34686460842</v>
      </c>
      <c r="AD71" s="303">
        <f t="shared" si="76"/>
        <v>11164.3935140158</v>
      </c>
      <c r="AE71" s="303">
        <f t="shared" si="76"/>
        <v>12275.0492153566</v>
      </c>
      <c r="AF71" s="303">
        <f t="shared" si="76"/>
        <v>13377.36254719</v>
      </c>
      <c r="AH71" s="295">
        <f t="shared" si="72"/>
        <v>24.5356203983895</v>
      </c>
      <c r="AI71" s="295">
        <f t="shared" si="72"/>
        <v>24.4975348517123</v>
      </c>
      <c r="AJ71" s="295">
        <f t="shared" si="72"/>
        <v>24.2684625556252</v>
      </c>
      <c r="AK71" s="295">
        <f t="shared" si="72"/>
        <v>24.1289421970966</v>
      </c>
      <c r="AL71" s="295">
        <f t="shared" si="72"/>
        <v>25.851630777775</v>
      </c>
      <c r="AM71" s="295">
        <f t="shared" si="72"/>
        <v>25.1858659291422</v>
      </c>
      <c r="AN71" s="295">
        <f t="shared" si="72"/>
        <v>24.9267996743022</v>
      </c>
      <c r="AO71" s="295">
        <f t="shared" si="72"/>
        <v>24.6431874676064</v>
      </c>
      <c r="AP71" s="295">
        <f t="shared" si="72"/>
        <v>24.3441410925167</v>
      </c>
      <c r="AQ71" s="295">
        <f t="shared" si="72"/>
        <v>24.3249949276527</v>
      </c>
      <c r="AR71" s="295">
        <f>AF71/AF$54*1000+8</f>
        <v>32.3224773585273</v>
      </c>
      <c r="AT71" s="332">
        <f t="shared" si="73"/>
        <v>0.108725281825716</v>
      </c>
      <c r="AU71" s="332">
        <f t="shared" ref="AU71" si="77">AI71/$AT$53</f>
        <v>0.108556512431312</v>
      </c>
      <c r="AV71" s="332">
        <f t="shared" ref="AV71" si="78">AJ71/$AT$53</f>
        <v>0.107541418883803</v>
      </c>
      <c r="AW71" s="332">
        <f t="shared" ref="AW71" si="79">AK71/$AT$53</f>
        <v>0.106923158980237</v>
      </c>
      <c r="AX71" s="332">
        <f t="shared" ref="AX71" si="80">AL71/$AT$53</f>
        <v>0.114556950112924</v>
      </c>
      <c r="AY71" s="332">
        <f t="shared" ref="AY71" si="81">AM71/$AT$53</f>
        <v>0.111606730406965</v>
      </c>
      <c r="AZ71" s="332">
        <f t="shared" ref="AZ71" si="82">AN71/$AT$53</f>
        <v>0.110458723912258</v>
      </c>
      <c r="BA71" s="332">
        <f t="shared" ref="BA71" si="83">AO71/$AT$53</f>
        <v>0.109201946353691</v>
      </c>
      <c r="BB71" s="332">
        <f t="shared" ref="BB71" si="84">AP71/$AT$53</f>
        <v>0.10787677499537</v>
      </c>
      <c r="BC71" s="332">
        <f t="shared" ref="BC71" si="85">AQ71/$AT$53</f>
        <v>0.107791932136827</v>
      </c>
      <c r="BD71" s="332">
        <f t="shared" ref="BD71" si="86">AR71/$AT$53</f>
        <v>0.143231367418037</v>
      </c>
    </row>
    <row r="72" spans="2:32">
      <c r="B72" s="293" t="s">
        <v>16</v>
      </c>
      <c r="C72" s="293"/>
      <c r="D72" s="294">
        <f>D71/D54*1000</f>
        <v>24.4641077999235</v>
      </c>
      <c r="E72" s="294">
        <f t="shared" ref="E72:P72" si="87">E71/E54*1000</f>
        <v>24.6082331906781</v>
      </c>
      <c r="F72" s="294">
        <f t="shared" si="87"/>
        <v>24.4207778268707</v>
      </c>
      <c r="G72" s="294">
        <f t="shared" si="87"/>
        <v>23.610613910452</v>
      </c>
      <c r="H72" s="294">
        <f t="shared" si="87"/>
        <v>23.5887479884347</v>
      </c>
      <c r="I72" s="294">
        <f t="shared" si="87"/>
        <v>47.8821674345274</v>
      </c>
      <c r="J72" s="294">
        <f t="shared" si="87"/>
        <v>21.9928666216524</v>
      </c>
      <c r="K72" s="294">
        <f t="shared" si="87"/>
        <v>23.2822508844202</v>
      </c>
      <c r="L72" s="294">
        <f t="shared" si="87"/>
        <v>22.6539354164461</v>
      </c>
      <c r="M72" s="294">
        <f t="shared" si="87"/>
        <v>22.0517856018631</v>
      </c>
      <c r="N72" s="294">
        <f t="shared" si="87"/>
        <v>24.1341960308732</v>
      </c>
      <c r="O72" s="294">
        <f t="shared" si="87"/>
        <v>24.2944775931376</v>
      </c>
      <c r="P72" s="294">
        <f t="shared" si="87"/>
        <v>24.3224773585273</v>
      </c>
      <c r="V72" s="292">
        <f>V71/V54*1000</f>
        <v>24.5356203983895</v>
      </c>
      <c r="W72" s="292">
        <f t="shared" ref="W72:AF72" si="88">W71/W54*1000</f>
        <v>24.4975348517123</v>
      </c>
      <c r="X72" s="292">
        <f t="shared" si="88"/>
        <v>24.2684625556252</v>
      </c>
      <c r="Y72" s="292">
        <f t="shared" si="88"/>
        <v>24.1289421970966</v>
      </c>
      <c r="Z72" s="292">
        <f t="shared" si="88"/>
        <v>25.851630777775</v>
      </c>
      <c r="AA72" s="292">
        <f t="shared" si="88"/>
        <v>25.1858659291422</v>
      </c>
      <c r="AB72" s="292">
        <f t="shared" si="88"/>
        <v>24.9267996743022</v>
      </c>
      <c r="AC72" s="292">
        <f t="shared" si="88"/>
        <v>24.6431874676064</v>
      </c>
      <c r="AD72" s="292">
        <f t="shared" si="88"/>
        <v>24.3441410925167</v>
      </c>
      <c r="AE72" s="292">
        <f t="shared" si="88"/>
        <v>24.3249949276527</v>
      </c>
      <c r="AF72" s="292">
        <f t="shared" si="88"/>
        <v>24.3224773585273</v>
      </c>
    </row>
    <row r="73" spans="2:17">
      <c r="B73" s="293" t="s">
        <v>42</v>
      </c>
      <c r="C73" s="293"/>
      <c r="D73" s="201">
        <v>377.127425777778</v>
      </c>
      <c r="E73" s="201">
        <v>334.212358222222</v>
      </c>
      <c r="F73" s="201">
        <v>375.802551555556</v>
      </c>
      <c r="G73" s="201">
        <v>361.671</v>
      </c>
      <c r="H73" s="201">
        <v>385.105409319035</v>
      </c>
      <c r="I73" s="201">
        <v>380.777774651282</v>
      </c>
      <c r="J73" s="201">
        <v>396</v>
      </c>
      <c r="K73" s="201">
        <v>398.064372249301</v>
      </c>
      <c r="L73" s="201">
        <v>390.71573</v>
      </c>
      <c r="M73" s="201">
        <v>240.081969713105</v>
      </c>
      <c r="N73" s="201">
        <v>376</v>
      </c>
      <c r="O73" s="201">
        <f>AVERAGE(D73:N73)</f>
        <v>365.050781044389</v>
      </c>
      <c r="P73" s="296">
        <v>4381</v>
      </c>
      <c r="Q73" s="312"/>
    </row>
    <row r="74" spans="16:16">
      <c r="P74" s="198">
        <f>(P71+P73)/P54*1000</f>
        <v>32.2879319039819</v>
      </c>
    </row>
    <row r="76" ht="14" customHeight="1" spans="3:20">
      <c r="C76" s="296" t="s">
        <v>91</v>
      </c>
      <c r="D76" s="296"/>
      <c r="E76" s="296"/>
      <c r="F76" s="296"/>
      <c r="G76" s="296"/>
      <c r="H76" s="296"/>
      <c r="I76" s="296"/>
      <c r="J76" s="296"/>
      <c r="K76" s="296"/>
      <c r="L76" s="296"/>
      <c r="M76" s="296"/>
      <c r="N76" s="296"/>
      <c r="O76" s="296"/>
      <c r="P76" s="296"/>
      <c r="Q76" s="282" t="e">
        <f>#REF!/P70</f>
        <v>#REF!</v>
      </c>
      <c r="R76" s="295"/>
      <c r="S76" s="317"/>
      <c r="T76" s="317"/>
    </row>
    <row r="77" spans="1:22">
      <c r="A77" s="25" t="s">
        <v>45</v>
      </c>
      <c r="C77" s="285" t="s">
        <v>2</v>
      </c>
      <c r="D77" s="297" t="s">
        <v>46</v>
      </c>
      <c r="E77" s="297" t="s">
        <v>47</v>
      </c>
      <c r="F77" s="297" t="s">
        <v>48</v>
      </c>
      <c r="G77" s="297" t="s">
        <v>49</v>
      </c>
      <c r="H77" s="297" t="s">
        <v>50</v>
      </c>
      <c r="I77" s="297" t="s">
        <v>51</v>
      </c>
      <c r="J77" s="297" t="s">
        <v>52</v>
      </c>
      <c r="K77" s="297" t="s">
        <v>53</v>
      </c>
      <c r="L77" s="297" t="s">
        <v>54</v>
      </c>
      <c r="M77" s="297" t="s">
        <v>55</v>
      </c>
      <c r="N77" s="297" t="s">
        <v>56</v>
      </c>
      <c r="O77" s="297" t="s">
        <v>57</v>
      </c>
      <c r="P77" s="304" t="s">
        <v>15</v>
      </c>
      <c r="Q77" s="205" t="s">
        <v>16</v>
      </c>
      <c r="R77" s="205" t="s">
        <v>17</v>
      </c>
      <c r="S77" s="205" t="s">
        <v>18</v>
      </c>
      <c r="T77" s="205" t="s">
        <v>19</v>
      </c>
      <c r="U77" s="198"/>
      <c r="V77" s="313"/>
    </row>
    <row r="78" spans="1:56">
      <c r="A78" s="198">
        <v>222</v>
      </c>
      <c r="B78" s="283" t="s">
        <v>20</v>
      </c>
      <c r="C78" s="283"/>
      <c r="D78" s="296">
        <v>230</v>
      </c>
      <c r="E78" s="296">
        <v>217</v>
      </c>
      <c r="F78" s="296">
        <v>211</v>
      </c>
      <c r="G78" s="296">
        <v>216.654673560447</v>
      </c>
      <c r="H78" s="296"/>
      <c r="I78" s="296"/>
      <c r="J78" s="296"/>
      <c r="K78" s="296"/>
      <c r="L78" s="296"/>
      <c r="M78" s="296"/>
      <c r="N78" s="296"/>
      <c r="O78" s="296"/>
      <c r="P78" s="296">
        <f>D78</f>
        <v>230</v>
      </c>
      <c r="Q78" s="198"/>
      <c r="R78" s="198"/>
      <c r="S78" s="198"/>
      <c r="AT78" s="331" t="str">
        <f>$P$52</f>
        <v>合计</v>
      </c>
      <c r="AU78" s="331" t="str">
        <f t="shared" ref="AU78:BD78" si="89">$P$52</f>
        <v>合计</v>
      </c>
      <c r="AV78" s="331" t="str">
        <f t="shared" si="89"/>
        <v>合计</v>
      </c>
      <c r="AW78" s="331" t="str">
        <f t="shared" si="89"/>
        <v>合计</v>
      </c>
      <c r="AX78" s="331" t="str">
        <f t="shared" si="89"/>
        <v>合计</v>
      </c>
      <c r="AY78" s="331" t="str">
        <f t="shared" si="89"/>
        <v>合计</v>
      </c>
      <c r="AZ78" s="331" t="str">
        <f t="shared" si="89"/>
        <v>合计</v>
      </c>
      <c r="BA78" s="331" t="str">
        <f t="shared" si="89"/>
        <v>合计</v>
      </c>
      <c r="BB78" s="331" t="str">
        <f t="shared" si="89"/>
        <v>合计</v>
      </c>
      <c r="BC78" s="331" t="str">
        <f t="shared" si="89"/>
        <v>合计</v>
      </c>
      <c r="BD78" s="331" t="str">
        <f t="shared" si="89"/>
        <v>合计</v>
      </c>
    </row>
    <row r="79" s="281" customFormat="1" spans="1:32">
      <c r="A79" s="299">
        <f>SUM(D79:F79)</f>
        <v>112952</v>
      </c>
      <c r="C79" s="248" t="s">
        <v>21</v>
      </c>
      <c r="D79" s="306">
        <v>47357</v>
      </c>
      <c r="E79" s="306">
        <v>42593</v>
      </c>
      <c r="F79" s="306">
        <v>23002</v>
      </c>
      <c r="G79" s="306" t="s">
        <v>92</v>
      </c>
      <c r="H79" s="306"/>
      <c r="I79" s="306"/>
      <c r="J79" s="306"/>
      <c r="K79" s="306"/>
      <c r="L79" s="306"/>
      <c r="M79" s="306"/>
      <c r="N79" s="306"/>
      <c r="O79" s="306"/>
      <c r="P79" s="296">
        <f>SUM(D79:O79)</f>
        <v>112952</v>
      </c>
      <c r="Q79" s="323"/>
      <c r="R79" s="323"/>
      <c r="S79" s="323"/>
      <c r="T79" s="323"/>
      <c r="U79" s="346"/>
      <c r="V79" s="198">
        <f t="shared" ref="V79:V95" si="90">D79+E79</f>
        <v>89950</v>
      </c>
      <c r="W79" s="198">
        <f t="shared" ref="W79:W95" si="91">V79+F79</f>
        <v>112952</v>
      </c>
      <c r="X79" s="198">
        <f t="shared" ref="X79:X95" si="92">W79+G79</f>
        <v>153842</v>
      </c>
      <c r="Y79" s="198">
        <f t="shared" ref="Y79:Y95" si="93">X79+H79</f>
        <v>153842</v>
      </c>
      <c r="Z79" s="198">
        <f t="shared" ref="Z79:Z95" si="94">Y79+I79</f>
        <v>153842</v>
      </c>
      <c r="AA79" s="25">
        <f t="shared" ref="AA79:AA95" si="95">Z79+J79</f>
        <v>153842</v>
      </c>
      <c r="AB79" s="25">
        <f t="shared" ref="AB79:AB95" si="96">AA79+K79</f>
        <v>153842</v>
      </c>
      <c r="AC79" s="25">
        <f t="shared" ref="AC79:AC95" si="97">AB79+L79</f>
        <v>153842</v>
      </c>
      <c r="AD79" s="25">
        <f t="shared" ref="AD79:AD95" si="98">AC79+M79</f>
        <v>153842</v>
      </c>
      <c r="AE79" s="25">
        <f t="shared" ref="AE79:AE95" si="99">AD79+N79</f>
        <v>153842</v>
      </c>
      <c r="AF79" s="25">
        <f t="shared" ref="AF79:AF95" si="100">AE79+O79</f>
        <v>153842</v>
      </c>
    </row>
    <row r="80" spans="1:56">
      <c r="A80" s="299">
        <f t="shared" ref="A80:A96" si="101">SUM(D80:F80)</f>
        <v>1653.83507</v>
      </c>
      <c r="B80" s="198" t="s">
        <v>22</v>
      </c>
      <c r="C80" s="25" t="s">
        <v>70</v>
      </c>
      <c r="D80" s="201">
        <f>171.348229922989+D98</f>
        <v>564.25121</v>
      </c>
      <c r="E80" s="201">
        <v>524.40105</v>
      </c>
      <c r="F80" s="311">
        <f>171.029169825725+F98</f>
        <v>565.18281</v>
      </c>
      <c r="G80" s="201">
        <v>29.8973</v>
      </c>
      <c r="H80" s="201"/>
      <c r="I80" s="201"/>
      <c r="J80" s="201"/>
      <c r="K80" s="201"/>
      <c r="L80" s="201"/>
      <c r="M80" s="201"/>
      <c r="N80" s="201"/>
      <c r="O80" s="201"/>
      <c r="P80" s="296">
        <f>SUM(D80:O80)</f>
        <v>1683.73237</v>
      </c>
      <c r="Q80" s="312">
        <f>P80/$P$79*1000</f>
        <v>14.9066184751045</v>
      </c>
      <c r="R80" s="313"/>
      <c r="S80" s="198"/>
      <c r="T80" s="347">
        <f>Q80-Q53</f>
        <v>14.9066184751045</v>
      </c>
      <c r="U80" s="348"/>
      <c r="V80" s="201">
        <f t="shared" si="90"/>
        <v>1088.65226</v>
      </c>
      <c r="W80" s="201">
        <f t="shared" si="91"/>
        <v>1653.83507</v>
      </c>
      <c r="X80" s="201">
        <f t="shared" si="92"/>
        <v>1683.73237</v>
      </c>
      <c r="Y80" s="201">
        <f t="shared" si="93"/>
        <v>1683.73237</v>
      </c>
      <c r="Z80" s="201">
        <f t="shared" si="94"/>
        <v>1683.73237</v>
      </c>
      <c r="AA80" s="331">
        <f t="shared" si="95"/>
        <v>1683.73237</v>
      </c>
      <c r="AB80" s="331">
        <f t="shared" si="96"/>
        <v>1683.73237</v>
      </c>
      <c r="AC80" s="331">
        <f t="shared" si="97"/>
        <v>1683.73237</v>
      </c>
      <c r="AD80" s="331">
        <f t="shared" si="98"/>
        <v>1683.73237</v>
      </c>
      <c r="AE80" s="331">
        <f t="shared" si="99"/>
        <v>1683.73237</v>
      </c>
      <c r="AF80" s="331">
        <f t="shared" si="100"/>
        <v>1683.73237</v>
      </c>
      <c r="AH80" s="295" t="e">
        <f>V80/V$53*1000</f>
        <v>#DIV/0!</v>
      </c>
      <c r="AI80" s="295" t="e">
        <f t="shared" ref="AI80:AR96" si="102">W80/W$53*1000</f>
        <v>#DIV/0!</v>
      </c>
      <c r="AJ80" s="295" t="e">
        <f t="shared" si="102"/>
        <v>#DIV/0!</v>
      </c>
      <c r="AK80" s="295" t="e">
        <f t="shared" si="102"/>
        <v>#DIV/0!</v>
      </c>
      <c r="AL80" s="295" t="e">
        <f t="shared" si="102"/>
        <v>#DIV/0!</v>
      </c>
      <c r="AM80" s="295" t="e">
        <f t="shared" si="102"/>
        <v>#DIV/0!</v>
      </c>
      <c r="AN80" s="295" t="e">
        <f t="shared" si="102"/>
        <v>#DIV/0!</v>
      </c>
      <c r="AO80" s="295" t="e">
        <f t="shared" si="102"/>
        <v>#DIV/0!</v>
      </c>
      <c r="AP80" s="295" t="e">
        <f t="shared" si="102"/>
        <v>#DIV/0!</v>
      </c>
      <c r="AQ80" s="295" t="e">
        <f t="shared" si="102"/>
        <v>#DIV/0!</v>
      </c>
      <c r="AR80" s="295" t="e">
        <f t="shared" si="102"/>
        <v>#DIV/0!</v>
      </c>
      <c r="AT80" s="332" t="e">
        <f>AH80/AT$52</f>
        <v>#DIV/0!</v>
      </c>
      <c r="AU80" s="332" t="e">
        <f t="shared" ref="AU80:BD95" si="103">AI80/AU$52</f>
        <v>#DIV/0!</v>
      </c>
      <c r="AV80" s="332" t="e">
        <f t="shared" si="103"/>
        <v>#DIV/0!</v>
      </c>
      <c r="AW80" s="332" t="e">
        <f t="shared" si="103"/>
        <v>#DIV/0!</v>
      </c>
      <c r="AX80" s="332" t="e">
        <f t="shared" si="103"/>
        <v>#DIV/0!</v>
      </c>
      <c r="AY80" s="332" t="e">
        <f t="shared" si="103"/>
        <v>#DIV/0!</v>
      </c>
      <c r="AZ80" s="332" t="e">
        <f t="shared" si="103"/>
        <v>#DIV/0!</v>
      </c>
      <c r="BA80" s="332" t="e">
        <f t="shared" si="103"/>
        <v>#DIV/0!</v>
      </c>
      <c r="BB80" s="332" t="e">
        <f t="shared" si="103"/>
        <v>#DIV/0!</v>
      </c>
      <c r="BC80" s="332" t="e">
        <f t="shared" si="103"/>
        <v>#DIV/0!</v>
      </c>
      <c r="BD80" s="332" t="e">
        <f t="shared" si="103"/>
        <v>#DIV/0!</v>
      </c>
    </row>
    <row r="81" spans="1:56">
      <c r="A81" s="299">
        <f t="shared" si="101"/>
        <v>172.82647</v>
      </c>
      <c r="B81" s="198"/>
      <c r="C81" s="25" t="s">
        <v>24</v>
      </c>
      <c r="D81" s="201">
        <v>59.69145</v>
      </c>
      <c r="E81" s="201">
        <v>49.31798</v>
      </c>
      <c r="F81" s="311">
        <v>63.81704</v>
      </c>
      <c r="G81" s="201">
        <v>-0.0372799999999942</v>
      </c>
      <c r="H81" s="201"/>
      <c r="I81" s="201"/>
      <c r="J81" s="201"/>
      <c r="K81" s="201"/>
      <c r="L81" s="201"/>
      <c r="M81" s="201"/>
      <c r="N81" s="201"/>
      <c r="O81" s="201"/>
      <c r="P81" s="296">
        <f t="shared" ref="P81:P91" si="104">SUM(D81:O81)</f>
        <v>172.78919</v>
      </c>
      <c r="Q81" s="312">
        <f t="shared" ref="Q81:Q92" si="105">P81/$P$79*1000</f>
        <v>1.52975768468022</v>
      </c>
      <c r="R81" s="313"/>
      <c r="S81" s="198"/>
      <c r="T81" s="347">
        <f t="shared" ref="T81:T92" si="106">Q81-Q54</f>
        <v>1.52975768468022</v>
      </c>
      <c r="V81" s="201">
        <f t="shared" si="90"/>
        <v>109.00943</v>
      </c>
      <c r="W81" s="201">
        <f t="shared" si="91"/>
        <v>172.82647</v>
      </c>
      <c r="X81" s="201">
        <f t="shared" si="92"/>
        <v>172.78919</v>
      </c>
      <c r="Y81" s="201">
        <f t="shared" si="93"/>
        <v>172.78919</v>
      </c>
      <c r="Z81" s="201">
        <f t="shared" si="94"/>
        <v>172.78919</v>
      </c>
      <c r="AA81" s="331">
        <f t="shared" si="95"/>
        <v>172.78919</v>
      </c>
      <c r="AB81" s="331">
        <f t="shared" si="96"/>
        <v>172.78919</v>
      </c>
      <c r="AC81" s="331">
        <f t="shared" si="97"/>
        <v>172.78919</v>
      </c>
      <c r="AD81" s="331">
        <f t="shared" si="98"/>
        <v>172.78919</v>
      </c>
      <c r="AE81" s="331">
        <f t="shared" si="99"/>
        <v>172.78919</v>
      </c>
      <c r="AF81" s="331">
        <f t="shared" si="100"/>
        <v>172.78919</v>
      </c>
      <c r="AH81" s="295" t="e">
        <f t="shared" ref="AH81:AH84" si="107">V81/V$53*1000</f>
        <v>#DIV/0!</v>
      </c>
      <c r="AI81" s="295" t="e">
        <f t="shared" si="102"/>
        <v>#DIV/0!</v>
      </c>
      <c r="AJ81" s="295" t="e">
        <f t="shared" si="102"/>
        <v>#DIV/0!</v>
      </c>
      <c r="AK81" s="295" t="e">
        <f t="shared" si="102"/>
        <v>#DIV/0!</v>
      </c>
      <c r="AL81" s="295" t="e">
        <f t="shared" si="102"/>
        <v>#DIV/0!</v>
      </c>
      <c r="AM81" s="295" t="e">
        <f t="shared" si="102"/>
        <v>#DIV/0!</v>
      </c>
      <c r="AN81" s="295" t="e">
        <f t="shared" si="102"/>
        <v>#DIV/0!</v>
      </c>
      <c r="AO81" s="295" t="e">
        <f t="shared" si="102"/>
        <v>#DIV/0!</v>
      </c>
      <c r="AP81" s="295" t="e">
        <f t="shared" si="102"/>
        <v>#DIV/0!</v>
      </c>
      <c r="AQ81" s="295" t="e">
        <f t="shared" si="102"/>
        <v>#DIV/0!</v>
      </c>
      <c r="AR81" s="295" t="e">
        <f t="shared" si="102"/>
        <v>#DIV/0!</v>
      </c>
      <c r="AT81" s="332" t="e">
        <f t="shared" ref="AT81:AT96" si="108">AH81/AT$52</f>
        <v>#DIV/0!</v>
      </c>
      <c r="AU81" s="332" t="e">
        <f t="shared" si="103"/>
        <v>#DIV/0!</v>
      </c>
      <c r="AV81" s="332" t="e">
        <f t="shared" si="103"/>
        <v>#DIV/0!</v>
      </c>
      <c r="AW81" s="332" t="e">
        <f t="shared" si="103"/>
        <v>#DIV/0!</v>
      </c>
      <c r="AX81" s="332" t="e">
        <f t="shared" si="103"/>
        <v>#DIV/0!</v>
      </c>
      <c r="AY81" s="332" t="e">
        <f t="shared" si="103"/>
        <v>#DIV/0!</v>
      </c>
      <c r="AZ81" s="332" t="e">
        <f t="shared" si="103"/>
        <v>#DIV/0!</v>
      </c>
      <c r="BA81" s="332" t="e">
        <f t="shared" si="103"/>
        <v>#DIV/0!</v>
      </c>
      <c r="BB81" s="332" t="e">
        <f t="shared" si="103"/>
        <v>#DIV/0!</v>
      </c>
      <c r="BC81" s="332" t="e">
        <f t="shared" si="103"/>
        <v>#DIV/0!</v>
      </c>
      <c r="BD81" s="332" t="e">
        <f t="shared" si="103"/>
        <v>#DIV/0!</v>
      </c>
    </row>
    <row r="82" spans="1:56">
      <c r="A82" s="299">
        <f t="shared" si="101"/>
        <v>179.19958</v>
      </c>
      <c r="B82" s="198"/>
      <c r="C82" s="25" t="s">
        <v>25</v>
      </c>
      <c r="D82" s="201">
        <v>-26.06806</v>
      </c>
      <c r="E82" s="201">
        <v>5.09381</v>
      </c>
      <c r="F82" s="311">
        <v>200.17383</v>
      </c>
      <c r="G82" s="201">
        <v>-177.1679</v>
      </c>
      <c r="H82" s="201"/>
      <c r="I82" s="201"/>
      <c r="J82" s="201"/>
      <c r="K82" s="201"/>
      <c r="L82" s="201"/>
      <c r="M82" s="201"/>
      <c r="N82" s="201"/>
      <c r="O82" s="201"/>
      <c r="P82" s="296">
        <f t="shared" si="104"/>
        <v>2.03167999999997</v>
      </c>
      <c r="Q82" s="312">
        <f t="shared" si="105"/>
        <v>0.017987109568666</v>
      </c>
      <c r="R82" s="313"/>
      <c r="S82" s="198"/>
      <c r="T82" s="347">
        <f t="shared" si="106"/>
        <v>-3.18557129043134</v>
      </c>
      <c r="V82" s="201">
        <f t="shared" si="90"/>
        <v>-20.97425</v>
      </c>
      <c r="W82" s="201">
        <f t="shared" si="91"/>
        <v>179.19958</v>
      </c>
      <c r="X82" s="201">
        <f t="shared" si="92"/>
        <v>2.03167999999997</v>
      </c>
      <c r="Y82" s="201">
        <f t="shared" si="93"/>
        <v>2.03167999999997</v>
      </c>
      <c r="Z82" s="201">
        <f t="shared" si="94"/>
        <v>2.03167999999997</v>
      </c>
      <c r="AA82" s="331">
        <f t="shared" si="95"/>
        <v>2.03167999999997</v>
      </c>
      <c r="AB82" s="331">
        <f t="shared" si="96"/>
        <v>2.03167999999997</v>
      </c>
      <c r="AC82" s="331">
        <f t="shared" si="97"/>
        <v>2.03167999999997</v>
      </c>
      <c r="AD82" s="331">
        <f t="shared" si="98"/>
        <v>2.03167999999997</v>
      </c>
      <c r="AE82" s="331">
        <f t="shared" si="99"/>
        <v>2.03167999999997</v>
      </c>
      <c r="AF82" s="331">
        <f t="shared" si="100"/>
        <v>2.03167999999997</v>
      </c>
      <c r="AH82" s="295" t="e">
        <f t="shared" si="107"/>
        <v>#DIV/0!</v>
      </c>
      <c r="AI82" s="295" t="e">
        <f t="shared" si="102"/>
        <v>#DIV/0!</v>
      </c>
      <c r="AJ82" s="295" t="e">
        <f t="shared" si="102"/>
        <v>#DIV/0!</v>
      </c>
      <c r="AK82" s="295" t="e">
        <f t="shared" si="102"/>
        <v>#DIV/0!</v>
      </c>
      <c r="AL82" s="295" t="e">
        <f t="shared" si="102"/>
        <v>#DIV/0!</v>
      </c>
      <c r="AM82" s="295" t="e">
        <f t="shared" si="102"/>
        <v>#DIV/0!</v>
      </c>
      <c r="AN82" s="295" t="e">
        <f t="shared" si="102"/>
        <v>#DIV/0!</v>
      </c>
      <c r="AO82" s="295" t="e">
        <f t="shared" si="102"/>
        <v>#DIV/0!</v>
      </c>
      <c r="AP82" s="295" t="e">
        <f t="shared" si="102"/>
        <v>#DIV/0!</v>
      </c>
      <c r="AQ82" s="295" t="e">
        <f t="shared" si="102"/>
        <v>#DIV/0!</v>
      </c>
      <c r="AR82" s="295" t="e">
        <f t="shared" si="102"/>
        <v>#DIV/0!</v>
      </c>
      <c r="AT82" s="332" t="e">
        <f t="shared" si="108"/>
        <v>#DIV/0!</v>
      </c>
      <c r="AU82" s="332" t="e">
        <f t="shared" si="103"/>
        <v>#DIV/0!</v>
      </c>
      <c r="AV82" s="332" t="e">
        <f t="shared" si="103"/>
        <v>#DIV/0!</v>
      </c>
      <c r="AW82" s="332" t="e">
        <f t="shared" si="103"/>
        <v>#DIV/0!</v>
      </c>
      <c r="AX82" s="332" t="e">
        <f t="shared" si="103"/>
        <v>#DIV/0!</v>
      </c>
      <c r="AY82" s="332" t="e">
        <f t="shared" si="103"/>
        <v>#DIV/0!</v>
      </c>
      <c r="AZ82" s="332" t="e">
        <f t="shared" si="103"/>
        <v>#DIV/0!</v>
      </c>
      <c r="BA82" s="332" t="e">
        <f t="shared" si="103"/>
        <v>#DIV/0!</v>
      </c>
      <c r="BB82" s="332" t="e">
        <f t="shared" si="103"/>
        <v>#DIV/0!</v>
      </c>
      <c r="BC82" s="332" t="e">
        <f t="shared" si="103"/>
        <v>#DIV/0!</v>
      </c>
      <c r="BD82" s="332" t="e">
        <f t="shared" si="103"/>
        <v>#DIV/0!</v>
      </c>
    </row>
    <row r="83" spans="1:56">
      <c r="A83" s="299">
        <f t="shared" si="101"/>
        <v>11.90402</v>
      </c>
      <c r="B83" s="198"/>
      <c r="C83" s="25" t="s">
        <v>26</v>
      </c>
      <c r="D83" s="201">
        <v>4.28404</v>
      </c>
      <c r="E83" s="201">
        <v>4.07771</v>
      </c>
      <c r="F83" s="311">
        <v>3.54227</v>
      </c>
      <c r="G83" s="201">
        <v>3.80533</v>
      </c>
      <c r="H83" s="201"/>
      <c r="I83" s="201"/>
      <c r="J83" s="201"/>
      <c r="K83" s="201"/>
      <c r="L83" s="201"/>
      <c r="M83" s="201"/>
      <c r="N83" s="201"/>
      <c r="O83" s="201"/>
      <c r="P83" s="296">
        <f t="shared" si="104"/>
        <v>15.70935</v>
      </c>
      <c r="Q83" s="312">
        <f t="shared" si="105"/>
        <v>0.139079874637014</v>
      </c>
      <c r="R83" s="313"/>
      <c r="S83" s="198"/>
      <c r="T83" s="347">
        <f t="shared" si="106"/>
        <v>-0.524914161726623</v>
      </c>
      <c r="V83" s="201">
        <f t="shared" si="90"/>
        <v>8.36175</v>
      </c>
      <c r="W83" s="201">
        <f t="shared" si="91"/>
        <v>11.90402</v>
      </c>
      <c r="X83" s="201">
        <f t="shared" si="92"/>
        <v>15.70935</v>
      </c>
      <c r="Y83" s="201">
        <f t="shared" si="93"/>
        <v>15.70935</v>
      </c>
      <c r="Z83" s="201">
        <f t="shared" si="94"/>
        <v>15.70935</v>
      </c>
      <c r="AA83" s="331">
        <f t="shared" si="95"/>
        <v>15.70935</v>
      </c>
      <c r="AB83" s="331">
        <f t="shared" si="96"/>
        <v>15.70935</v>
      </c>
      <c r="AC83" s="331">
        <f t="shared" si="97"/>
        <v>15.70935</v>
      </c>
      <c r="AD83" s="331">
        <f t="shared" si="98"/>
        <v>15.70935</v>
      </c>
      <c r="AE83" s="331">
        <f t="shared" si="99"/>
        <v>15.70935</v>
      </c>
      <c r="AF83" s="331">
        <f t="shared" si="100"/>
        <v>15.70935</v>
      </c>
      <c r="AH83" s="295" t="e">
        <f t="shared" si="107"/>
        <v>#DIV/0!</v>
      </c>
      <c r="AI83" s="295" t="e">
        <f t="shared" si="102"/>
        <v>#DIV/0!</v>
      </c>
      <c r="AJ83" s="295" t="e">
        <f t="shared" si="102"/>
        <v>#DIV/0!</v>
      </c>
      <c r="AK83" s="295" t="e">
        <f t="shared" si="102"/>
        <v>#DIV/0!</v>
      </c>
      <c r="AL83" s="295" t="e">
        <f t="shared" si="102"/>
        <v>#DIV/0!</v>
      </c>
      <c r="AM83" s="295" t="e">
        <f t="shared" si="102"/>
        <v>#DIV/0!</v>
      </c>
      <c r="AN83" s="295" t="e">
        <f t="shared" si="102"/>
        <v>#DIV/0!</v>
      </c>
      <c r="AO83" s="295" t="e">
        <f t="shared" si="102"/>
        <v>#DIV/0!</v>
      </c>
      <c r="AP83" s="295" t="e">
        <f t="shared" si="102"/>
        <v>#DIV/0!</v>
      </c>
      <c r="AQ83" s="295" t="e">
        <f t="shared" si="102"/>
        <v>#DIV/0!</v>
      </c>
      <c r="AR83" s="295" t="e">
        <f t="shared" si="102"/>
        <v>#DIV/0!</v>
      </c>
      <c r="AT83" s="332" t="e">
        <f t="shared" si="108"/>
        <v>#DIV/0!</v>
      </c>
      <c r="AU83" s="332" t="e">
        <f t="shared" si="103"/>
        <v>#DIV/0!</v>
      </c>
      <c r="AV83" s="332" t="e">
        <f t="shared" si="103"/>
        <v>#DIV/0!</v>
      </c>
      <c r="AW83" s="332" t="e">
        <f t="shared" si="103"/>
        <v>#DIV/0!</v>
      </c>
      <c r="AX83" s="332" t="e">
        <f t="shared" si="103"/>
        <v>#DIV/0!</v>
      </c>
      <c r="AY83" s="332" t="e">
        <f t="shared" si="103"/>
        <v>#DIV/0!</v>
      </c>
      <c r="AZ83" s="332" t="e">
        <f t="shared" si="103"/>
        <v>#DIV/0!</v>
      </c>
      <c r="BA83" s="332" t="e">
        <f t="shared" si="103"/>
        <v>#DIV/0!</v>
      </c>
      <c r="BB83" s="332" t="e">
        <f t="shared" si="103"/>
        <v>#DIV/0!</v>
      </c>
      <c r="BC83" s="332" t="e">
        <f t="shared" si="103"/>
        <v>#DIV/0!</v>
      </c>
      <c r="BD83" s="332" t="e">
        <f t="shared" si="103"/>
        <v>#DIV/0!</v>
      </c>
    </row>
    <row r="84" spans="1:56">
      <c r="A84" s="299">
        <f t="shared" si="101"/>
        <v>636.33558</v>
      </c>
      <c r="B84" s="198"/>
      <c r="C84" s="25" t="s">
        <v>27</v>
      </c>
      <c r="D84" s="201">
        <v>236.51712</v>
      </c>
      <c r="E84" s="201">
        <v>210.33046</v>
      </c>
      <c r="F84" s="311">
        <v>189.488</v>
      </c>
      <c r="G84" s="201">
        <v>211.920007372182</v>
      </c>
      <c r="H84" s="201"/>
      <c r="I84" s="201"/>
      <c r="J84" s="201"/>
      <c r="K84" s="201"/>
      <c r="L84" s="201"/>
      <c r="M84" s="201"/>
      <c r="N84" s="201"/>
      <c r="O84" s="201"/>
      <c r="P84" s="296">
        <f t="shared" si="104"/>
        <v>848.255587372182</v>
      </c>
      <c r="Q84" s="312">
        <f t="shared" si="105"/>
        <v>7.50987665001224</v>
      </c>
      <c r="R84" s="313"/>
      <c r="S84" s="198"/>
      <c r="T84" s="347">
        <f t="shared" si="106"/>
        <v>7.31799685001224</v>
      </c>
      <c r="V84" s="201">
        <f t="shared" si="90"/>
        <v>446.84758</v>
      </c>
      <c r="W84" s="201">
        <f t="shared" si="91"/>
        <v>636.33558</v>
      </c>
      <c r="X84" s="201">
        <f t="shared" si="92"/>
        <v>848.255587372182</v>
      </c>
      <c r="Y84" s="201">
        <f t="shared" si="93"/>
        <v>848.255587372182</v>
      </c>
      <c r="Z84" s="201">
        <f t="shared" si="94"/>
        <v>848.255587372182</v>
      </c>
      <c r="AA84" s="331">
        <f t="shared" si="95"/>
        <v>848.255587372182</v>
      </c>
      <c r="AB84" s="331">
        <f t="shared" si="96"/>
        <v>848.255587372182</v>
      </c>
      <c r="AC84" s="331">
        <f t="shared" si="97"/>
        <v>848.255587372182</v>
      </c>
      <c r="AD84" s="331">
        <f t="shared" si="98"/>
        <v>848.255587372182</v>
      </c>
      <c r="AE84" s="331">
        <f t="shared" si="99"/>
        <v>848.255587372182</v>
      </c>
      <c r="AF84" s="331">
        <f t="shared" si="100"/>
        <v>848.255587372182</v>
      </c>
      <c r="AH84" s="295" t="e">
        <f t="shared" si="107"/>
        <v>#DIV/0!</v>
      </c>
      <c r="AI84" s="295" t="e">
        <f t="shared" si="102"/>
        <v>#DIV/0!</v>
      </c>
      <c r="AJ84" s="295" t="e">
        <f t="shared" si="102"/>
        <v>#DIV/0!</v>
      </c>
      <c r="AK84" s="295" t="e">
        <f t="shared" si="102"/>
        <v>#DIV/0!</v>
      </c>
      <c r="AL84" s="295" t="e">
        <f t="shared" si="102"/>
        <v>#DIV/0!</v>
      </c>
      <c r="AM84" s="295" t="e">
        <f t="shared" si="102"/>
        <v>#DIV/0!</v>
      </c>
      <c r="AN84" s="295" t="e">
        <f t="shared" si="102"/>
        <v>#DIV/0!</v>
      </c>
      <c r="AO84" s="295" t="e">
        <f t="shared" si="102"/>
        <v>#DIV/0!</v>
      </c>
      <c r="AP84" s="295" t="e">
        <f t="shared" si="102"/>
        <v>#DIV/0!</v>
      </c>
      <c r="AQ84" s="295" t="e">
        <f t="shared" si="102"/>
        <v>#DIV/0!</v>
      </c>
      <c r="AR84" s="295" t="e">
        <f t="shared" si="102"/>
        <v>#DIV/0!</v>
      </c>
      <c r="AT84" s="332" t="e">
        <f t="shared" si="108"/>
        <v>#DIV/0!</v>
      </c>
      <c r="AU84" s="332" t="e">
        <f t="shared" si="103"/>
        <v>#DIV/0!</v>
      </c>
      <c r="AV84" s="332" t="e">
        <f t="shared" si="103"/>
        <v>#DIV/0!</v>
      </c>
      <c r="AW84" s="332" t="e">
        <f t="shared" si="103"/>
        <v>#DIV/0!</v>
      </c>
      <c r="AX84" s="332" t="e">
        <f t="shared" si="103"/>
        <v>#DIV/0!</v>
      </c>
      <c r="AY84" s="332" t="e">
        <f t="shared" si="103"/>
        <v>#DIV/0!</v>
      </c>
      <c r="AZ84" s="332" t="e">
        <f t="shared" si="103"/>
        <v>#DIV/0!</v>
      </c>
      <c r="BA84" s="332" t="e">
        <f t="shared" si="103"/>
        <v>#DIV/0!</v>
      </c>
      <c r="BB84" s="332" t="e">
        <f t="shared" si="103"/>
        <v>#DIV/0!</v>
      </c>
      <c r="BC84" s="332" t="e">
        <f t="shared" si="103"/>
        <v>#DIV/0!</v>
      </c>
      <c r="BD84" s="332" t="e">
        <f t="shared" si="103"/>
        <v>#DIV/0!</v>
      </c>
    </row>
    <row r="85" spans="1:56">
      <c r="A85" s="299">
        <f t="shared" si="101"/>
        <v>330.66075</v>
      </c>
      <c r="B85" s="198"/>
      <c r="C85" s="25" t="s">
        <v>28</v>
      </c>
      <c r="D85" s="201">
        <v>115.16989</v>
      </c>
      <c r="E85" s="201">
        <v>111.05253</v>
      </c>
      <c r="F85" s="311">
        <v>104.43833</v>
      </c>
      <c r="G85" s="201">
        <v>86.26424</v>
      </c>
      <c r="H85" s="201"/>
      <c r="I85" s="201"/>
      <c r="J85" s="201"/>
      <c r="K85" s="201"/>
      <c r="L85" s="201"/>
      <c r="M85" s="201"/>
      <c r="N85" s="201"/>
      <c r="O85" s="201"/>
      <c r="P85" s="296">
        <f t="shared" si="104"/>
        <v>416.92499</v>
      </c>
      <c r="Q85" s="312">
        <f t="shared" si="105"/>
        <v>3.69116961187053</v>
      </c>
      <c r="R85" s="313"/>
      <c r="S85" s="198"/>
      <c r="T85" s="347">
        <f t="shared" si="106"/>
        <v>3.48955577550689</v>
      </c>
      <c r="V85" s="201">
        <f t="shared" si="90"/>
        <v>226.22242</v>
      </c>
      <c r="W85" s="201">
        <f t="shared" si="91"/>
        <v>330.66075</v>
      </c>
      <c r="X85" s="201">
        <f t="shared" si="92"/>
        <v>416.92499</v>
      </c>
      <c r="Y85" s="201">
        <f t="shared" si="93"/>
        <v>416.92499</v>
      </c>
      <c r="Z85" s="201">
        <f t="shared" si="94"/>
        <v>416.92499</v>
      </c>
      <c r="AA85" s="331">
        <f t="shared" si="95"/>
        <v>416.92499</v>
      </c>
      <c r="AB85" s="331">
        <f t="shared" si="96"/>
        <v>416.92499</v>
      </c>
      <c r="AC85" s="331">
        <f t="shared" si="97"/>
        <v>416.92499</v>
      </c>
      <c r="AD85" s="331">
        <f t="shared" si="98"/>
        <v>416.92499</v>
      </c>
      <c r="AE85" s="331">
        <f t="shared" si="99"/>
        <v>416.92499</v>
      </c>
      <c r="AF85" s="331">
        <f t="shared" si="100"/>
        <v>416.92499</v>
      </c>
      <c r="AH85" s="295" t="e">
        <f t="shared" ref="AH85:AH96" si="109">V85/V$53*1000</f>
        <v>#DIV/0!</v>
      </c>
      <c r="AI85" s="295" t="e">
        <f t="shared" si="102"/>
        <v>#DIV/0!</v>
      </c>
      <c r="AJ85" s="295" t="e">
        <f t="shared" si="102"/>
        <v>#DIV/0!</v>
      </c>
      <c r="AK85" s="295" t="e">
        <f t="shared" si="102"/>
        <v>#DIV/0!</v>
      </c>
      <c r="AL85" s="295" t="e">
        <f t="shared" si="102"/>
        <v>#DIV/0!</v>
      </c>
      <c r="AM85" s="295" t="e">
        <f t="shared" si="102"/>
        <v>#DIV/0!</v>
      </c>
      <c r="AN85" s="295" t="e">
        <f t="shared" si="102"/>
        <v>#DIV/0!</v>
      </c>
      <c r="AO85" s="295" t="e">
        <f t="shared" si="102"/>
        <v>#DIV/0!</v>
      </c>
      <c r="AP85" s="295" t="e">
        <f t="shared" si="102"/>
        <v>#DIV/0!</v>
      </c>
      <c r="AQ85" s="295" t="e">
        <f t="shared" si="102"/>
        <v>#DIV/0!</v>
      </c>
      <c r="AR85" s="295" t="e">
        <f t="shared" si="102"/>
        <v>#DIV/0!</v>
      </c>
      <c r="AT85" s="332" t="e">
        <f t="shared" si="108"/>
        <v>#DIV/0!</v>
      </c>
      <c r="AU85" s="332" t="e">
        <f t="shared" si="103"/>
        <v>#DIV/0!</v>
      </c>
      <c r="AV85" s="332" t="e">
        <f t="shared" si="103"/>
        <v>#DIV/0!</v>
      </c>
      <c r="AW85" s="332" t="e">
        <f t="shared" si="103"/>
        <v>#DIV/0!</v>
      </c>
      <c r="AX85" s="332" t="e">
        <f t="shared" si="103"/>
        <v>#DIV/0!</v>
      </c>
      <c r="AY85" s="332" t="e">
        <f t="shared" si="103"/>
        <v>#DIV/0!</v>
      </c>
      <c r="AZ85" s="332" t="e">
        <f t="shared" si="103"/>
        <v>#DIV/0!</v>
      </c>
      <c r="BA85" s="332" t="e">
        <f t="shared" si="103"/>
        <v>#DIV/0!</v>
      </c>
      <c r="BB85" s="332" t="e">
        <f t="shared" si="103"/>
        <v>#DIV/0!</v>
      </c>
      <c r="BC85" s="332" t="e">
        <f t="shared" si="103"/>
        <v>#DIV/0!</v>
      </c>
      <c r="BD85" s="332" t="e">
        <f t="shared" si="103"/>
        <v>#DIV/0!</v>
      </c>
    </row>
    <row r="86" spans="1:56">
      <c r="A86" s="299">
        <f t="shared" si="101"/>
        <v>541.4277</v>
      </c>
      <c r="B86" s="198"/>
      <c r="C86" s="25" t="s">
        <v>29</v>
      </c>
      <c r="D86" s="201">
        <v>164.10092</v>
      </c>
      <c r="E86" s="201">
        <v>247.34624</v>
      </c>
      <c r="F86" s="311">
        <v>129.98054</v>
      </c>
      <c r="G86" s="201">
        <v>86.23783</v>
      </c>
      <c r="H86" s="201"/>
      <c r="I86" s="201"/>
      <c r="J86" s="201"/>
      <c r="K86" s="201"/>
      <c r="L86" s="201"/>
      <c r="M86" s="201"/>
      <c r="N86" s="201"/>
      <c r="O86" s="201"/>
      <c r="P86" s="296">
        <f t="shared" si="104"/>
        <v>627.66553</v>
      </c>
      <c r="Q86" s="312">
        <f t="shared" si="105"/>
        <v>5.55692267511863</v>
      </c>
      <c r="R86" s="313"/>
      <c r="S86" s="198"/>
      <c r="T86" s="347">
        <f t="shared" si="106"/>
        <v>2.04139796010644</v>
      </c>
      <c r="V86" s="201">
        <f t="shared" si="90"/>
        <v>411.44716</v>
      </c>
      <c r="W86" s="201">
        <f t="shared" si="91"/>
        <v>541.4277</v>
      </c>
      <c r="X86" s="201">
        <f t="shared" si="92"/>
        <v>627.66553</v>
      </c>
      <c r="Y86" s="201">
        <f t="shared" si="93"/>
        <v>627.66553</v>
      </c>
      <c r="Z86" s="201">
        <f t="shared" si="94"/>
        <v>627.66553</v>
      </c>
      <c r="AA86" s="331">
        <f t="shared" si="95"/>
        <v>627.66553</v>
      </c>
      <c r="AB86" s="331">
        <f t="shared" si="96"/>
        <v>627.66553</v>
      </c>
      <c r="AC86" s="331">
        <f t="shared" si="97"/>
        <v>627.66553</v>
      </c>
      <c r="AD86" s="331">
        <f t="shared" si="98"/>
        <v>627.66553</v>
      </c>
      <c r="AE86" s="331">
        <f t="shared" si="99"/>
        <v>627.66553</v>
      </c>
      <c r="AF86" s="331">
        <f t="shared" si="100"/>
        <v>627.66553</v>
      </c>
      <c r="AH86" s="295" t="e">
        <f t="shared" si="109"/>
        <v>#DIV/0!</v>
      </c>
      <c r="AI86" s="295" t="e">
        <f t="shared" si="102"/>
        <v>#DIV/0!</v>
      </c>
      <c r="AJ86" s="295" t="e">
        <f t="shared" si="102"/>
        <v>#DIV/0!</v>
      </c>
      <c r="AK86" s="295" t="e">
        <f t="shared" si="102"/>
        <v>#DIV/0!</v>
      </c>
      <c r="AL86" s="295" t="e">
        <f t="shared" si="102"/>
        <v>#DIV/0!</v>
      </c>
      <c r="AM86" s="295" t="e">
        <f t="shared" si="102"/>
        <v>#DIV/0!</v>
      </c>
      <c r="AN86" s="295" t="e">
        <f t="shared" si="102"/>
        <v>#DIV/0!</v>
      </c>
      <c r="AO86" s="295" t="e">
        <f t="shared" si="102"/>
        <v>#DIV/0!</v>
      </c>
      <c r="AP86" s="295" t="e">
        <f t="shared" si="102"/>
        <v>#DIV/0!</v>
      </c>
      <c r="AQ86" s="295" t="e">
        <f t="shared" si="102"/>
        <v>#DIV/0!</v>
      </c>
      <c r="AR86" s="295" t="e">
        <f t="shared" si="102"/>
        <v>#DIV/0!</v>
      </c>
      <c r="AT86" s="332" t="e">
        <f t="shared" si="108"/>
        <v>#DIV/0!</v>
      </c>
      <c r="AU86" s="332" t="e">
        <f t="shared" si="103"/>
        <v>#DIV/0!</v>
      </c>
      <c r="AV86" s="332" t="e">
        <f t="shared" si="103"/>
        <v>#DIV/0!</v>
      </c>
      <c r="AW86" s="332" t="e">
        <f t="shared" si="103"/>
        <v>#DIV/0!</v>
      </c>
      <c r="AX86" s="332" t="e">
        <f t="shared" si="103"/>
        <v>#DIV/0!</v>
      </c>
      <c r="AY86" s="332" t="e">
        <f t="shared" si="103"/>
        <v>#DIV/0!</v>
      </c>
      <c r="AZ86" s="332" t="e">
        <f t="shared" si="103"/>
        <v>#DIV/0!</v>
      </c>
      <c r="BA86" s="332" t="e">
        <f t="shared" si="103"/>
        <v>#DIV/0!</v>
      </c>
      <c r="BB86" s="332" t="e">
        <f t="shared" si="103"/>
        <v>#DIV/0!</v>
      </c>
      <c r="BC86" s="332" t="e">
        <f t="shared" si="103"/>
        <v>#DIV/0!</v>
      </c>
      <c r="BD86" s="332" t="e">
        <f t="shared" si="103"/>
        <v>#DIV/0!</v>
      </c>
    </row>
    <row r="87" spans="1:56">
      <c r="A87" s="299">
        <f t="shared" si="101"/>
        <v>1184.86566</v>
      </c>
      <c r="B87" s="198" t="s">
        <v>30</v>
      </c>
      <c r="C87" s="25" t="s">
        <v>31</v>
      </c>
      <c r="D87" s="201">
        <v>451.11424</v>
      </c>
      <c r="E87" s="201">
        <v>457.78683</v>
      </c>
      <c r="F87" s="311">
        <v>275.96459</v>
      </c>
      <c r="G87" s="201">
        <v>363.734432627818</v>
      </c>
      <c r="H87" s="201"/>
      <c r="I87" s="201"/>
      <c r="J87" s="201"/>
      <c r="K87" s="201"/>
      <c r="L87" s="201"/>
      <c r="M87" s="201"/>
      <c r="N87" s="201"/>
      <c r="O87" s="201"/>
      <c r="P87" s="296">
        <f t="shared" si="104"/>
        <v>1548.60009262782</v>
      </c>
      <c r="Q87" s="312">
        <f t="shared" si="105"/>
        <v>13.7102494212393</v>
      </c>
      <c r="R87" s="313"/>
      <c r="S87" s="198"/>
      <c r="T87" s="347">
        <f t="shared" si="106"/>
        <v>11.9216660322696</v>
      </c>
      <c r="V87" s="201">
        <f t="shared" si="90"/>
        <v>908.90107</v>
      </c>
      <c r="W87" s="201">
        <f t="shared" si="91"/>
        <v>1184.86566</v>
      </c>
      <c r="X87" s="201">
        <f t="shared" si="92"/>
        <v>1548.60009262782</v>
      </c>
      <c r="Y87" s="201">
        <f t="shared" si="93"/>
        <v>1548.60009262782</v>
      </c>
      <c r="Z87" s="201">
        <f t="shared" si="94"/>
        <v>1548.60009262782</v>
      </c>
      <c r="AA87" s="331">
        <f t="shared" si="95"/>
        <v>1548.60009262782</v>
      </c>
      <c r="AB87" s="331">
        <f t="shared" si="96"/>
        <v>1548.60009262782</v>
      </c>
      <c r="AC87" s="331">
        <f t="shared" si="97"/>
        <v>1548.60009262782</v>
      </c>
      <c r="AD87" s="331">
        <f t="shared" si="98"/>
        <v>1548.60009262782</v>
      </c>
      <c r="AE87" s="331">
        <f t="shared" si="99"/>
        <v>1548.60009262782</v>
      </c>
      <c r="AF87" s="331">
        <f t="shared" si="100"/>
        <v>1548.60009262782</v>
      </c>
      <c r="AH87" s="295" t="e">
        <f t="shared" si="109"/>
        <v>#DIV/0!</v>
      </c>
      <c r="AI87" s="295" t="e">
        <f t="shared" si="102"/>
        <v>#DIV/0!</v>
      </c>
      <c r="AJ87" s="295" t="e">
        <f t="shared" si="102"/>
        <v>#DIV/0!</v>
      </c>
      <c r="AK87" s="295" t="e">
        <f t="shared" si="102"/>
        <v>#DIV/0!</v>
      </c>
      <c r="AL87" s="295" t="e">
        <f t="shared" si="102"/>
        <v>#DIV/0!</v>
      </c>
      <c r="AM87" s="295" t="e">
        <f t="shared" si="102"/>
        <v>#DIV/0!</v>
      </c>
      <c r="AN87" s="295" t="e">
        <f t="shared" si="102"/>
        <v>#DIV/0!</v>
      </c>
      <c r="AO87" s="295" t="e">
        <f t="shared" si="102"/>
        <v>#DIV/0!</v>
      </c>
      <c r="AP87" s="295" t="e">
        <f t="shared" si="102"/>
        <v>#DIV/0!</v>
      </c>
      <c r="AQ87" s="295" t="e">
        <f t="shared" si="102"/>
        <v>#DIV/0!</v>
      </c>
      <c r="AR87" s="295" t="e">
        <f t="shared" si="102"/>
        <v>#DIV/0!</v>
      </c>
      <c r="AT87" s="332" t="e">
        <f t="shared" si="108"/>
        <v>#DIV/0!</v>
      </c>
      <c r="AU87" s="332" t="e">
        <f t="shared" si="103"/>
        <v>#DIV/0!</v>
      </c>
      <c r="AV87" s="332" t="e">
        <f t="shared" si="103"/>
        <v>#DIV/0!</v>
      </c>
      <c r="AW87" s="332" t="e">
        <f t="shared" si="103"/>
        <v>#DIV/0!</v>
      </c>
      <c r="AX87" s="332" t="e">
        <f t="shared" si="103"/>
        <v>#DIV/0!</v>
      </c>
      <c r="AY87" s="332" t="e">
        <f t="shared" si="103"/>
        <v>#DIV/0!</v>
      </c>
      <c r="AZ87" s="332" t="e">
        <f t="shared" si="103"/>
        <v>#DIV/0!</v>
      </c>
      <c r="BA87" s="332" t="e">
        <f t="shared" si="103"/>
        <v>#DIV/0!</v>
      </c>
      <c r="BB87" s="332" t="e">
        <f t="shared" si="103"/>
        <v>#DIV/0!</v>
      </c>
      <c r="BC87" s="332" t="e">
        <f t="shared" si="103"/>
        <v>#DIV/0!</v>
      </c>
      <c r="BD87" s="332" t="e">
        <f t="shared" si="103"/>
        <v>#DIV/0!</v>
      </c>
    </row>
    <row r="88" spans="1:56">
      <c r="A88" s="299">
        <f t="shared" si="101"/>
        <v>42.11814</v>
      </c>
      <c r="B88" s="198"/>
      <c r="C88" s="25" t="s">
        <v>66</v>
      </c>
      <c r="D88" s="201">
        <v>18.22565</v>
      </c>
      <c r="E88" s="201">
        <v>14.33769</v>
      </c>
      <c r="F88" s="311">
        <v>9.5548</v>
      </c>
      <c r="G88" s="201">
        <v>50.45741</v>
      </c>
      <c r="H88" s="201"/>
      <c r="I88" s="201"/>
      <c r="J88" s="201"/>
      <c r="K88" s="201"/>
      <c r="L88" s="201"/>
      <c r="M88" s="201"/>
      <c r="N88" s="201"/>
      <c r="O88" s="201"/>
      <c r="P88" s="296">
        <f t="shared" si="104"/>
        <v>92.57555</v>
      </c>
      <c r="Q88" s="312">
        <f t="shared" si="105"/>
        <v>0.819600803881295</v>
      </c>
      <c r="R88" s="313"/>
      <c r="S88" s="198"/>
      <c r="T88" s="347">
        <f t="shared" si="106"/>
        <v>-1.80454059611871</v>
      </c>
      <c r="V88" s="201">
        <f t="shared" si="90"/>
        <v>32.56334</v>
      </c>
      <c r="W88" s="201">
        <f t="shared" si="91"/>
        <v>42.11814</v>
      </c>
      <c r="X88" s="201">
        <f t="shared" si="92"/>
        <v>92.57555</v>
      </c>
      <c r="Y88" s="201">
        <f t="shared" si="93"/>
        <v>92.57555</v>
      </c>
      <c r="Z88" s="201">
        <f t="shared" si="94"/>
        <v>92.57555</v>
      </c>
      <c r="AA88" s="331">
        <f t="shared" si="95"/>
        <v>92.57555</v>
      </c>
      <c r="AB88" s="331">
        <f t="shared" si="96"/>
        <v>92.57555</v>
      </c>
      <c r="AC88" s="331">
        <f t="shared" si="97"/>
        <v>92.57555</v>
      </c>
      <c r="AD88" s="331">
        <f t="shared" si="98"/>
        <v>92.57555</v>
      </c>
      <c r="AE88" s="331">
        <f t="shared" si="99"/>
        <v>92.57555</v>
      </c>
      <c r="AF88" s="331">
        <f t="shared" si="100"/>
        <v>92.57555</v>
      </c>
      <c r="AH88" s="295" t="e">
        <f t="shared" si="109"/>
        <v>#DIV/0!</v>
      </c>
      <c r="AI88" s="295" t="e">
        <f t="shared" si="102"/>
        <v>#DIV/0!</v>
      </c>
      <c r="AJ88" s="295" t="e">
        <f t="shared" si="102"/>
        <v>#DIV/0!</v>
      </c>
      <c r="AK88" s="295" t="e">
        <f t="shared" si="102"/>
        <v>#DIV/0!</v>
      </c>
      <c r="AL88" s="295" t="e">
        <f t="shared" si="102"/>
        <v>#DIV/0!</v>
      </c>
      <c r="AM88" s="295" t="e">
        <f t="shared" si="102"/>
        <v>#DIV/0!</v>
      </c>
      <c r="AN88" s="295" t="e">
        <f t="shared" si="102"/>
        <v>#DIV/0!</v>
      </c>
      <c r="AO88" s="295" t="e">
        <f t="shared" si="102"/>
        <v>#DIV/0!</v>
      </c>
      <c r="AP88" s="295" t="e">
        <f t="shared" si="102"/>
        <v>#DIV/0!</v>
      </c>
      <c r="AQ88" s="295" t="e">
        <f t="shared" si="102"/>
        <v>#DIV/0!</v>
      </c>
      <c r="AR88" s="295" t="e">
        <f t="shared" si="102"/>
        <v>#DIV/0!</v>
      </c>
      <c r="AT88" s="332" t="e">
        <f t="shared" si="108"/>
        <v>#DIV/0!</v>
      </c>
      <c r="AU88" s="332" t="e">
        <f t="shared" si="103"/>
        <v>#DIV/0!</v>
      </c>
      <c r="AV88" s="332" t="e">
        <f t="shared" si="103"/>
        <v>#DIV/0!</v>
      </c>
      <c r="AW88" s="332" t="e">
        <f t="shared" si="103"/>
        <v>#DIV/0!</v>
      </c>
      <c r="AX88" s="332" t="e">
        <f t="shared" si="103"/>
        <v>#DIV/0!</v>
      </c>
      <c r="AY88" s="332" t="e">
        <f t="shared" si="103"/>
        <v>#DIV/0!</v>
      </c>
      <c r="AZ88" s="332" t="e">
        <f t="shared" si="103"/>
        <v>#DIV/0!</v>
      </c>
      <c r="BA88" s="332" t="e">
        <f t="shared" si="103"/>
        <v>#DIV/0!</v>
      </c>
      <c r="BB88" s="332" t="e">
        <f t="shared" si="103"/>
        <v>#DIV/0!</v>
      </c>
      <c r="BC88" s="332" t="e">
        <f t="shared" si="103"/>
        <v>#DIV/0!</v>
      </c>
      <c r="BD88" s="332" t="e">
        <f t="shared" si="103"/>
        <v>#DIV/0!</v>
      </c>
    </row>
    <row r="89" spans="1:56">
      <c r="A89" s="299">
        <f t="shared" si="101"/>
        <v>28.57577</v>
      </c>
      <c r="B89" s="198"/>
      <c r="C89" s="25" t="s">
        <v>33</v>
      </c>
      <c r="D89" s="201">
        <v>9.5939</v>
      </c>
      <c r="E89" s="201">
        <v>10.81537</v>
      </c>
      <c r="F89" s="311">
        <v>8.1665</v>
      </c>
      <c r="G89" s="201">
        <v>103.77396</v>
      </c>
      <c r="H89" s="201"/>
      <c r="I89" s="201"/>
      <c r="J89" s="201"/>
      <c r="K89" s="201"/>
      <c r="L89" s="201"/>
      <c r="M89" s="201"/>
      <c r="N89" s="201"/>
      <c r="O89" s="201"/>
      <c r="P89" s="296">
        <f t="shared" si="104"/>
        <v>132.34973</v>
      </c>
      <c r="Q89" s="312">
        <f t="shared" si="105"/>
        <v>1.17173427650683</v>
      </c>
      <c r="R89" s="313"/>
      <c r="S89" s="198"/>
      <c r="T89" s="347">
        <f t="shared" si="106"/>
        <v>-6.82410686894771</v>
      </c>
      <c r="V89" s="201">
        <f t="shared" si="90"/>
        <v>20.40927</v>
      </c>
      <c r="W89" s="201">
        <f t="shared" si="91"/>
        <v>28.57577</v>
      </c>
      <c r="X89" s="201">
        <f t="shared" si="92"/>
        <v>132.34973</v>
      </c>
      <c r="Y89" s="201">
        <f t="shared" si="93"/>
        <v>132.34973</v>
      </c>
      <c r="Z89" s="201">
        <f t="shared" si="94"/>
        <v>132.34973</v>
      </c>
      <c r="AA89" s="331">
        <f t="shared" si="95"/>
        <v>132.34973</v>
      </c>
      <c r="AB89" s="331">
        <f t="shared" si="96"/>
        <v>132.34973</v>
      </c>
      <c r="AC89" s="331">
        <f t="shared" si="97"/>
        <v>132.34973</v>
      </c>
      <c r="AD89" s="331">
        <f t="shared" si="98"/>
        <v>132.34973</v>
      </c>
      <c r="AE89" s="331">
        <f t="shared" si="99"/>
        <v>132.34973</v>
      </c>
      <c r="AF89" s="331">
        <f t="shared" si="100"/>
        <v>132.34973</v>
      </c>
      <c r="AH89" s="295" t="e">
        <f t="shared" si="109"/>
        <v>#DIV/0!</v>
      </c>
      <c r="AI89" s="295" t="e">
        <f t="shared" si="102"/>
        <v>#DIV/0!</v>
      </c>
      <c r="AJ89" s="295" t="e">
        <f t="shared" si="102"/>
        <v>#DIV/0!</v>
      </c>
      <c r="AK89" s="295" t="e">
        <f t="shared" si="102"/>
        <v>#DIV/0!</v>
      </c>
      <c r="AL89" s="295" t="e">
        <f t="shared" si="102"/>
        <v>#DIV/0!</v>
      </c>
      <c r="AM89" s="295" t="e">
        <f t="shared" si="102"/>
        <v>#DIV/0!</v>
      </c>
      <c r="AN89" s="295" t="e">
        <f t="shared" si="102"/>
        <v>#DIV/0!</v>
      </c>
      <c r="AO89" s="295" t="e">
        <f t="shared" si="102"/>
        <v>#DIV/0!</v>
      </c>
      <c r="AP89" s="295" t="e">
        <f t="shared" si="102"/>
        <v>#DIV/0!</v>
      </c>
      <c r="AQ89" s="295" t="e">
        <f t="shared" si="102"/>
        <v>#DIV/0!</v>
      </c>
      <c r="AR89" s="295" t="e">
        <f t="shared" si="102"/>
        <v>#DIV/0!</v>
      </c>
      <c r="AT89" s="332" t="e">
        <f t="shared" si="108"/>
        <v>#DIV/0!</v>
      </c>
      <c r="AU89" s="332" t="e">
        <f t="shared" si="103"/>
        <v>#DIV/0!</v>
      </c>
      <c r="AV89" s="332" t="e">
        <f t="shared" si="103"/>
        <v>#DIV/0!</v>
      </c>
      <c r="AW89" s="332" t="e">
        <f t="shared" si="103"/>
        <v>#DIV/0!</v>
      </c>
      <c r="AX89" s="332" t="e">
        <f t="shared" si="103"/>
        <v>#DIV/0!</v>
      </c>
      <c r="AY89" s="332" t="e">
        <f t="shared" si="103"/>
        <v>#DIV/0!</v>
      </c>
      <c r="AZ89" s="332" t="e">
        <f t="shared" si="103"/>
        <v>#DIV/0!</v>
      </c>
      <c r="BA89" s="332" t="e">
        <f t="shared" si="103"/>
        <v>#DIV/0!</v>
      </c>
      <c r="BB89" s="332" t="e">
        <f t="shared" si="103"/>
        <v>#DIV/0!</v>
      </c>
      <c r="BC89" s="332" t="e">
        <f t="shared" si="103"/>
        <v>#DIV/0!</v>
      </c>
      <c r="BD89" s="332" t="e">
        <f t="shared" si="103"/>
        <v>#DIV/0!</v>
      </c>
    </row>
    <row r="90" spans="1:56">
      <c r="A90" s="299">
        <f t="shared" si="101"/>
        <v>-142.67072</v>
      </c>
      <c r="B90" s="198"/>
      <c r="C90" s="25" t="s">
        <v>67</v>
      </c>
      <c r="D90" s="201">
        <v>-56.35548</v>
      </c>
      <c r="E90" s="201">
        <v>-55.94882</v>
      </c>
      <c r="F90" s="311">
        <v>-30.36642</v>
      </c>
      <c r="G90" s="201">
        <v>-53.89348</v>
      </c>
      <c r="H90" s="201"/>
      <c r="I90" s="201"/>
      <c r="J90" s="201"/>
      <c r="K90" s="201"/>
      <c r="L90" s="201"/>
      <c r="M90" s="201"/>
      <c r="N90" s="201"/>
      <c r="O90" s="201"/>
      <c r="P90" s="296">
        <f t="shared" si="104"/>
        <v>-196.5642</v>
      </c>
      <c r="Q90" s="312">
        <f t="shared" si="105"/>
        <v>-1.74024541398116</v>
      </c>
      <c r="R90" s="313"/>
      <c r="S90" s="198"/>
      <c r="T90" s="347">
        <f t="shared" si="106"/>
        <v>-2.23245881398116</v>
      </c>
      <c r="V90" s="201">
        <f t="shared" si="90"/>
        <v>-112.3043</v>
      </c>
      <c r="W90" s="201">
        <f t="shared" si="91"/>
        <v>-142.67072</v>
      </c>
      <c r="X90" s="201">
        <f t="shared" si="92"/>
        <v>-196.5642</v>
      </c>
      <c r="Y90" s="201">
        <f t="shared" si="93"/>
        <v>-196.5642</v>
      </c>
      <c r="Z90" s="201">
        <f t="shared" si="94"/>
        <v>-196.5642</v>
      </c>
      <c r="AA90" s="331">
        <f t="shared" si="95"/>
        <v>-196.5642</v>
      </c>
      <c r="AB90" s="331">
        <f t="shared" si="96"/>
        <v>-196.5642</v>
      </c>
      <c r="AC90" s="331">
        <f t="shared" si="97"/>
        <v>-196.5642</v>
      </c>
      <c r="AD90" s="331">
        <f t="shared" si="98"/>
        <v>-196.5642</v>
      </c>
      <c r="AE90" s="331">
        <f t="shared" si="99"/>
        <v>-196.5642</v>
      </c>
      <c r="AF90" s="331">
        <f t="shared" si="100"/>
        <v>-196.5642</v>
      </c>
      <c r="AH90" s="295" t="e">
        <f t="shared" si="109"/>
        <v>#DIV/0!</v>
      </c>
      <c r="AI90" s="295" t="e">
        <f t="shared" si="102"/>
        <v>#DIV/0!</v>
      </c>
      <c r="AJ90" s="295" t="e">
        <f t="shared" si="102"/>
        <v>#DIV/0!</v>
      </c>
      <c r="AK90" s="295" t="e">
        <f t="shared" si="102"/>
        <v>#DIV/0!</v>
      </c>
      <c r="AL90" s="295" t="e">
        <f t="shared" si="102"/>
        <v>#DIV/0!</v>
      </c>
      <c r="AM90" s="295" t="e">
        <f t="shared" si="102"/>
        <v>#DIV/0!</v>
      </c>
      <c r="AN90" s="295" t="e">
        <f t="shared" si="102"/>
        <v>#DIV/0!</v>
      </c>
      <c r="AO90" s="295" t="e">
        <f t="shared" si="102"/>
        <v>#DIV/0!</v>
      </c>
      <c r="AP90" s="295" t="e">
        <f t="shared" si="102"/>
        <v>#DIV/0!</v>
      </c>
      <c r="AQ90" s="295" t="e">
        <f t="shared" si="102"/>
        <v>#DIV/0!</v>
      </c>
      <c r="AR90" s="295" t="e">
        <f t="shared" si="102"/>
        <v>#DIV/0!</v>
      </c>
      <c r="AT90" s="332" t="e">
        <f t="shared" si="108"/>
        <v>#DIV/0!</v>
      </c>
      <c r="AU90" s="332" t="e">
        <f t="shared" si="103"/>
        <v>#DIV/0!</v>
      </c>
      <c r="AV90" s="332" t="e">
        <f t="shared" si="103"/>
        <v>#DIV/0!</v>
      </c>
      <c r="AW90" s="332" t="e">
        <f t="shared" si="103"/>
        <v>#DIV/0!</v>
      </c>
      <c r="AX90" s="332" t="e">
        <f t="shared" si="103"/>
        <v>#DIV/0!</v>
      </c>
      <c r="AY90" s="332" t="e">
        <f t="shared" si="103"/>
        <v>#DIV/0!</v>
      </c>
      <c r="AZ90" s="332" t="e">
        <f t="shared" si="103"/>
        <v>#DIV/0!</v>
      </c>
      <c r="BA90" s="332" t="e">
        <f t="shared" si="103"/>
        <v>#DIV/0!</v>
      </c>
      <c r="BB90" s="332" t="e">
        <f t="shared" si="103"/>
        <v>#DIV/0!</v>
      </c>
      <c r="BC90" s="332" t="e">
        <f t="shared" si="103"/>
        <v>#DIV/0!</v>
      </c>
      <c r="BD90" s="332" t="e">
        <f t="shared" si="103"/>
        <v>#DIV/0!</v>
      </c>
    </row>
    <row r="91" spans="1:56">
      <c r="A91" s="299">
        <f t="shared" si="101"/>
        <v>63.24066</v>
      </c>
      <c r="B91" s="198"/>
      <c r="C91" s="25" t="s">
        <v>35</v>
      </c>
      <c r="D91" s="201">
        <v>25.34217</v>
      </c>
      <c r="E91" s="201">
        <v>16.14554</v>
      </c>
      <c r="F91" s="311">
        <v>21.75295</v>
      </c>
      <c r="G91" s="201">
        <v>28.06842</v>
      </c>
      <c r="H91" s="201"/>
      <c r="I91" s="201"/>
      <c r="J91" s="201"/>
      <c r="K91" s="201"/>
      <c r="L91" s="201"/>
      <c r="M91" s="201"/>
      <c r="N91" s="201"/>
      <c r="O91" s="201"/>
      <c r="P91" s="296">
        <f t="shared" si="104"/>
        <v>91.30908</v>
      </c>
      <c r="Q91" s="312">
        <f t="shared" si="105"/>
        <v>0.808388341950563</v>
      </c>
      <c r="R91" s="313"/>
      <c r="S91" s="198"/>
      <c r="T91" s="347">
        <f t="shared" si="106"/>
        <v>0.493286887405108</v>
      </c>
      <c r="V91" s="201">
        <f t="shared" si="90"/>
        <v>41.48771</v>
      </c>
      <c r="W91" s="201">
        <f t="shared" si="91"/>
        <v>63.24066</v>
      </c>
      <c r="X91" s="201">
        <f t="shared" si="92"/>
        <v>91.30908</v>
      </c>
      <c r="Y91" s="201">
        <f t="shared" si="93"/>
        <v>91.30908</v>
      </c>
      <c r="Z91" s="201">
        <f t="shared" si="94"/>
        <v>91.30908</v>
      </c>
      <c r="AA91" s="331">
        <f t="shared" si="95"/>
        <v>91.30908</v>
      </c>
      <c r="AB91" s="331">
        <f t="shared" si="96"/>
        <v>91.30908</v>
      </c>
      <c r="AC91" s="331">
        <f t="shared" si="97"/>
        <v>91.30908</v>
      </c>
      <c r="AD91" s="331">
        <f t="shared" si="98"/>
        <v>91.30908</v>
      </c>
      <c r="AE91" s="331">
        <f t="shared" si="99"/>
        <v>91.30908</v>
      </c>
      <c r="AF91" s="331">
        <f t="shared" si="100"/>
        <v>91.30908</v>
      </c>
      <c r="AH91" s="295" t="e">
        <f t="shared" si="109"/>
        <v>#DIV/0!</v>
      </c>
      <c r="AI91" s="295" t="e">
        <f t="shared" si="102"/>
        <v>#DIV/0!</v>
      </c>
      <c r="AJ91" s="295" t="e">
        <f t="shared" si="102"/>
        <v>#DIV/0!</v>
      </c>
      <c r="AK91" s="295" t="e">
        <f t="shared" si="102"/>
        <v>#DIV/0!</v>
      </c>
      <c r="AL91" s="295" t="e">
        <f t="shared" si="102"/>
        <v>#DIV/0!</v>
      </c>
      <c r="AM91" s="295" t="e">
        <f t="shared" si="102"/>
        <v>#DIV/0!</v>
      </c>
      <c r="AN91" s="295" t="e">
        <f t="shared" si="102"/>
        <v>#DIV/0!</v>
      </c>
      <c r="AO91" s="295" t="e">
        <f t="shared" si="102"/>
        <v>#DIV/0!</v>
      </c>
      <c r="AP91" s="295" t="e">
        <f t="shared" si="102"/>
        <v>#DIV/0!</v>
      </c>
      <c r="AQ91" s="295" t="e">
        <f t="shared" si="102"/>
        <v>#DIV/0!</v>
      </c>
      <c r="AR91" s="295" t="e">
        <f t="shared" si="102"/>
        <v>#DIV/0!</v>
      </c>
      <c r="AT91" s="332" t="e">
        <f t="shared" si="108"/>
        <v>#DIV/0!</v>
      </c>
      <c r="AU91" s="332" t="e">
        <f t="shared" si="103"/>
        <v>#DIV/0!</v>
      </c>
      <c r="AV91" s="332" t="e">
        <f t="shared" si="103"/>
        <v>#DIV/0!</v>
      </c>
      <c r="AW91" s="332" t="e">
        <f t="shared" si="103"/>
        <v>#DIV/0!</v>
      </c>
      <c r="AX91" s="332" t="e">
        <f t="shared" si="103"/>
        <v>#DIV/0!</v>
      </c>
      <c r="AY91" s="332" t="e">
        <f t="shared" si="103"/>
        <v>#DIV/0!</v>
      </c>
      <c r="AZ91" s="332" t="e">
        <f t="shared" si="103"/>
        <v>#DIV/0!</v>
      </c>
      <c r="BA91" s="332" t="e">
        <f t="shared" si="103"/>
        <v>#DIV/0!</v>
      </c>
      <c r="BB91" s="332" t="e">
        <f t="shared" si="103"/>
        <v>#DIV/0!</v>
      </c>
      <c r="BC91" s="332" t="e">
        <f t="shared" si="103"/>
        <v>#DIV/0!</v>
      </c>
      <c r="BD91" s="332" t="e">
        <f t="shared" si="103"/>
        <v>#DIV/0!</v>
      </c>
    </row>
    <row r="92" spans="1:56">
      <c r="A92" s="299">
        <f t="shared" si="101"/>
        <v>540.10752</v>
      </c>
      <c r="B92" s="336" t="s">
        <v>36</v>
      </c>
      <c r="C92" s="337" t="s">
        <v>37</v>
      </c>
      <c r="D92" s="339">
        <v>212.47293</v>
      </c>
      <c r="E92" s="339">
        <v>156.4507</v>
      </c>
      <c r="F92" s="339">
        <v>171.18389</v>
      </c>
      <c r="G92" s="339">
        <v>168.60888</v>
      </c>
      <c r="H92" s="336"/>
      <c r="I92" s="336"/>
      <c r="J92" s="336"/>
      <c r="K92" s="336"/>
      <c r="L92" s="336"/>
      <c r="M92" s="336"/>
      <c r="N92" s="336"/>
      <c r="O92" s="336"/>
      <c r="P92" s="344">
        <f t="shared" ref="P92:P95" si="110">SUM(D92:O92)</f>
        <v>708.7164</v>
      </c>
      <c r="Q92" s="312">
        <f t="shared" si="105"/>
        <v>6.27449181953396</v>
      </c>
      <c r="R92" s="313"/>
      <c r="S92" s="198"/>
      <c r="T92" s="347">
        <f t="shared" si="106"/>
        <v>7.25449181953396</v>
      </c>
      <c r="V92" s="201">
        <f t="shared" si="90"/>
        <v>368.92363</v>
      </c>
      <c r="W92" s="201">
        <f t="shared" si="91"/>
        <v>540.10752</v>
      </c>
      <c r="X92" s="201">
        <f t="shared" si="92"/>
        <v>708.7164</v>
      </c>
      <c r="Y92" s="201">
        <f t="shared" si="93"/>
        <v>708.7164</v>
      </c>
      <c r="Z92" s="201">
        <f t="shared" si="94"/>
        <v>708.7164</v>
      </c>
      <c r="AA92" s="331">
        <f t="shared" si="95"/>
        <v>708.7164</v>
      </c>
      <c r="AB92" s="331">
        <f t="shared" si="96"/>
        <v>708.7164</v>
      </c>
      <c r="AC92" s="331">
        <f t="shared" si="97"/>
        <v>708.7164</v>
      </c>
      <c r="AD92" s="331">
        <f t="shared" si="98"/>
        <v>708.7164</v>
      </c>
      <c r="AE92" s="331">
        <f t="shared" si="99"/>
        <v>708.7164</v>
      </c>
      <c r="AF92" s="331">
        <f t="shared" si="100"/>
        <v>708.7164</v>
      </c>
      <c r="AH92" s="295" t="e">
        <f t="shared" si="109"/>
        <v>#DIV/0!</v>
      </c>
      <c r="AI92" s="295" t="e">
        <f t="shared" si="102"/>
        <v>#DIV/0!</v>
      </c>
      <c r="AJ92" s="295" t="e">
        <f t="shared" si="102"/>
        <v>#DIV/0!</v>
      </c>
      <c r="AK92" s="295" t="e">
        <f t="shared" si="102"/>
        <v>#DIV/0!</v>
      </c>
      <c r="AL92" s="295" t="e">
        <f t="shared" si="102"/>
        <v>#DIV/0!</v>
      </c>
      <c r="AM92" s="295" t="e">
        <f t="shared" si="102"/>
        <v>#DIV/0!</v>
      </c>
      <c r="AN92" s="295" t="e">
        <f t="shared" si="102"/>
        <v>#DIV/0!</v>
      </c>
      <c r="AO92" s="295" t="e">
        <f t="shared" si="102"/>
        <v>#DIV/0!</v>
      </c>
      <c r="AP92" s="295" t="e">
        <f t="shared" si="102"/>
        <v>#DIV/0!</v>
      </c>
      <c r="AQ92" s="295" t="e">
        <f t="shared" si="102"/>
        <v>#DIV/0!</v>
      </c>
      <c r="AR92" s="295" t="e">
        <f t="shared" si="102"/>
        <v>#DIV/0!</v>
      </c>
      <c r="AT92" s="332" t="e">
        <f t="shared" si="108"/>
        <v>#DIV/0!</v>
      </c>
      <c r="AU92" s="332" t="e">
        <f t="shared" si="103"/>
        <v>#DIV/0!</v>
      </c>
      <c r="AV92" s="332" t="e">
        <f t="shared" si="103"/>
        <v>#DIV/0!</v>
      </c>
      <c r="AW92" s="332" t="e">
        <f t="shared" si="103"/>
        <v>#DIV/0!</v>
      </c>
      <c r="AX92" s="332" t="e">
        <f t="shared" si="103"/>
        <v>#DIV/0!</v>
      </c>
      <c r="AY92" s="332" t="e">
        <f t="shared" si="103"/>
        <v>#DIV/0!</v>
      </c>
      <c r="AZ92" s="332" t="e">
        <f t="shared" si="103"/>
        <v>#DIV/0!</v>
      </c>
      <c r="BA92" s="332" t="e">
        <f t="shared" si="103"/>
        <v>#DIV/0!</v>
      </c>
      <c r="BB92" s="332" t="e">
        <f t="shared" si="103"/>
        <v>#DIV/0!</v>
      </c>
      <c r="BC92" s="332" t="e">
        <f t="shared" si="103"/>
        <v>#DIV/0!</v>
      </c>
      <c r="BD92" s="332" t="e">
        <f t="shared" si="103"/>
        <v>#DIV/0!</v>
      </c>
    </row>
    <row r="93" spans="1:56">
      <c r="A93" s="299">
        <f t="shared" si="101"/>
        <v>267.72058</v>
      </c>
      <c r="B93" s="336"/>
      <c r="C93" s="337" t="s">
        <v>38</v>
      </c>
      <c r="D93" s="339">
        <v>88.89034</v>
      </c>
      <c r="E93" s="339">
        <v>89.41512</v>
      </c>
      <c r="F93" s="339">
        <v>89.41512</v>
      </c>
      <c r="G93" s="339">
        <v>89.41512</v>
      </c>
      <c r="H93" s="336"/>
      <c r="I93" s="336"/>
      <c r="J93" s="336"/>
      <c r="K93" s="336"/>
      <c r="L93" s="336"/>
      <c r="M93" s="336"/>
      <c r="N93" s="336"/>
      <c r="O93" s="336"/>
      <c r="P93" s="344">
        <f t="shared" si="110"/>
        <v>357.1357</v>
      </c>
      <c r="Q93" s="198"/>
      <c r="R93" s="198"/>
      <c r="S93" s="198"/>
      <c r="V93" s="201">
        <f t="shared" si="90"/>
        <v>178.30546</v>
      </c>
      <c r="W93" s="201">
        <f t="shared" si="91"/>
        <v>267.72058</v>
      </c>
      <c r="X93" s="201">
        <f t="shared" si="92"/>
        <v>357.1357</v>
      </c>
      <c r="Y93" s="201">
        <f t="shared" si="93"/>
        <v>357.1357</v>
      </c>
      <c r="Z93" s="201">
        <f t="shared" si="94"/>
        <v>357.1357</v>
      </c>
      <c r="AA93" s="331">
        <f t="shared" si="95"/>
        <v>357.1357</v>
      </c>
      <c r="AB93" s="331">
        <f t="shared" si="96"/>
        <v>357.1357</v>
      </c>
      <c r="AC93" s="331">
        <f t="shared" si="97"/>
        <v>357.1357</v>
      </c>
      <c r="AD93" s="331">
        <f t="shared" si="98"/>
        <v>357.1357</v>
      </c>
      <c r="AE93" s="331">
        <f t="shared" si="99"/>
        <v>357.1357</v>
      </c>
      <c r="AF93" s="331">
        <f t="shared" si="100"/>
        <v>357.1357</v>
      </c>
      <c r="AH93" s="295" t="e">
        <f t="shared" si="109"/>
        <v>#DIV/0!</v>
      </c>
      <c r="AI93" s="295" t="e">
        <f t="shared" si="102"/>
        <v>#DIV/0!</v>
      </c>
      <c r="AJ93" s="295" t="e">
        <f t="shared" si="102"/>
        <v>#DIV/0!</v>
      </c>
      <c r="AK93" s="295" t="e">
        <f t="shared" si="102"/>
        <v>#DIV/0!</v>
      </c>
      <c r="AL93" s="295" t="e">
        <f t="shared" si="102"/>
        <v>#DIV/0!</v>
      </c>
      <c r="AM93" s="295" t="e">
        <f t="shared" si="102"/>
        <v>#DIV/0!</v>
      </c>
      <c r="AN93" s="295" t="e">
        <f t="shared" si="102"/>
        <v>#DIV/0!</v>
      </c>
      <c r="AO93" s="295" t="e">
        <f t="shared" si="102"/>
        <v>#DIV/0!</v>
      </c>
      <c r="AP93" s="295" t="e">
        <f t="shared" si="102"/>
        <v>#DIV/0!</v>
      </c>
      <c r="AQ93" s="295" t="e">
        <f t="shared" si="102"/>
        <v>#DIV/0!</v>
      </c>
      <c r="AR93" s="295" t="e">
        <f t="shared" si="102"/>
        <v>#DIV/0!</v>
      </c>
      <c r="AT93" s="332" t="e">
        <f t="shared" si="108"/>
        <v>#DIV/0!</v>
      </c>
      <c r="AU93" s="332" t="e">
        <f t="shared" si="103"/>
        <v>#DIV/0!</v>
      </c>
      <c r="AV93" s="332" t="e">
        <f t="shared" si="103"/>
        <v>#DIV/0!</v>
      </c>
      <c r="AW93" s="332" t="e">
        <f t="shared" si="103"/>
        <v>#DIV/0!</v>
      </c>
      <c r="AX93" s="332" t="e">
        <f t="shared" si="103"/>
        <v>#DIV/0!</v>
      </c>
      <c r="AY93" s="332" t="e">
        <f t="shared" si="103"/>
        <v>#DIV/0!</v>
      </c>
      <c r="AZ93" s="332" t="e">
        <f t="shared" si="103"/>
        <v>#DIV/0!</v>
      </c>
      <c r="BA93" s="332" t="e">
        <f t="shared" si="103"/>
        <v>#DIV/0!</v>
      </c>
      <c r="BB93" s="332" t="e">
        <f t="shared" si="103"/>
        <v>#DIV/0!</v>
      </c>
      <c r="BC93" s="332" t="e">
        <f t="shared" si="103"/>
        <v>#DIV/0!</v>
      </c>
      <c r="BD93" s="332" t="e">
        <f t="shared" si="103"/>
        <v>#DIV/0!</v>
      </c>
    </row>
    <row r="94" spans="1:56">
      <c r="A94" s="299">
        <f t="shared" si="101"/>
        <v>13.7223</v>
      </c>
      <c r="B94" s="336"/>
      <c r="C94" s="337" t="s">
        <v>39</v>
      </c>
      <c r="D94" s="339">
        <v>4.66974</v>
      </c>
      <c r="E94" s="339">
        <v>2.29624</v>
      </c>
      <c r="F94" s="339">
        <v>6.75632</v>
      </c>
      <c r="G94" s="339">
        <v>10.38653</v>
      </c>
      <c r="H94" s="336"/>
      <c r="I94" s="336"/>
      <c r="J94" s="336"/>
      <c r="K94" s="336"/>
      <c r="L94" s="336"/>
      <c r="M94" s="336"/>
      <c r="N94" s="336"/>
      <c r="O94" s="336"/>
      <c r="P94" s="344">
        <f t="shared" si="110"/>
        <v>24.10883</v>
      </c>
      <c r="Q94" s="198"/>
      <c r="R94" s="198"/>
      <c r="S94" s="198"/>
      <c r="V94" s="201">
        <f t="shared" si="90"/>
        <v>6.96598</v>
      </c>
      <c r="W94" s="201">
        <f t="shared" si="91"/>
        <v>13.7223</v>
      </c>
      <c r="X94" s="201">
        <f t="shared" si="92"/>
        <v>24.10883</v>
      </c>
      <c r="Y94" s="201">
        <f t="shared" si="93"/>
        <v>24.10883</v>
      </c>
      <c r="Z94" s="201">
        <f t="shared" si="94"/>
        <v>24.10883</v>
      </c>
      <c r="AA94" s="331">
        <f t="shared" si="95"/>
        <v>24.10883</v>
      </c>
      <c r="AB94" s="331">
        <f t="shared" si="96"/>
        <v>24.10883</v>
      </c>
      <c r="AC94" s="331">
        <f t="shared" si="97"/>
        <v>24.10883</v>
      </c>
      <c r="AD94" s="331">
        <f t="shared" si="98"/>
        <v>24.10883</v>
      </c>
      <c r="AE94" s="331">
        <f t="shared" si="99"/>
        <v>24.10883</v>
      </c>
      <c r="AF94" s="331">
        <f t="shared" si="100"/>
        <v>24.10883</v>
      </c>
      <c r="AH94" s="295" t="e">
        <f t="shared" si="109"/>
        <v>#DIV/0!</v>
      </c>
      <c r="AI94" s="295" t="e">
        <f t="shared" si="102"/>
        <v>#DIV/0!</v>
      </c>
      <c r="AJ94" s="295" t="e">
        <f t="shared" si="102"/>
        <v>#DIV/0!</v>
      </c>
      <c r="AK94" s="295" t="e">
        <f t="shared" si="102"/>
        <v>#DIV/0!</v>
      </c>
      <c r="AL94" s="295" t="e">
        <f t="shared" si="102"/>
        <v>#DIV/0!</v>
      </c>
      <c r="AM94" s="295" t="e">
        <f t="shared" si="102"/>
        <v>#DIV/0!</v>
      </c>
      <c r="AN94" s="295" t="e">
        <f t="shared" si="102"/>
        <v>#DIV/0!</v>
      </c>
      <c r="AO94" s="295" t="e">
        <f t="shared" si="102"/>
        <v>#DIV/0!</v>
      </c>
      <c r="AP94" s="295" t="e">
        <f t="shared" si="102"/>
        <v>#DIV/0!</v>
      </c>
      <c r="AQ94" s="295" t="e">
        <f t="shared" si="102"/>
        <v>#DIV/0!</v>
      </c>
      <c r="AR94" s="295" t="e">
        <f t="shared" si="102"/>
        <v>#DIV/0!</v>
      </c>
      <c r="AT94" s="332" t="e">
        <f t="shared" si="108"/>
        <v>#DIV/0!</v>
      </c>
      <c r="AU94" s="332" t="e">
        <f t="shared" si="103"/>
        <v>#DIV/0!</v>
      </c>
      <c r="AV94" s="332" t="e">
        <f t="shared" si="103"/>
        <v>#DIV/0!</v>
      </c>
      <c r="AW94" s="332" t="e">
        <f t="shared" si="103"/>
        <v>#DIV/0!</v>
      </c>
      <c r="AX94" s="332" t="e">
        <f t="shared" si="103"/>
        <v>#DIV/0!</v>
      </c>
      <c r="AY94" s="332" t="e">
        <f t="shared" si="103"/>
        <v>#DIV/0!</v>
      </c>
      <c r="AZ94" s="332" t="e">
        <f t="shared" si="103"/>
        <v>#DIV/0!</v>
      </c>
      <c r="BA94" s="332" t="e">
        <f t="shared" si="103"/>
        <v>#DIV/0!</v>
      </c>
      <c r="BB94" s="332" t="e">
        <f t="shared" si="103"/>
        <v>#DIV/0!</v>
      </c>
      <c r="BC94" s="332" t="e">
        <f t="shared" si="103"/>
        <v>#DIV/0!</v>
      </c>
      <c r="BD94" s="332" t="e">
        <f t="shared" si="103"/>
        <v>#DIV/0!</v>
      </c>
    </row>
    <row r="95" spans="1:56">
      <c r="A95" s="299">
        <f t="shared" si="101"/>
        <v>258.66464</v>
      </c>
      <c r="B95" s="336"/>
      <c r="C95" s="337" t="s">
        <v>40</v>
      </c>
      <c r="D95" s="339">
        <f>D92-D93-D94</f>
        <v>118.91285</v>
      </c>
      <c r="E95" s="339">
        <v>64.73934</v>
      </c>
      <c r="F95" s="339">
        <v>75.01245</v>
      </c>
      <c r="G95" s="339">
        <f>G92-G93-G94</f>
        <v>68.80723</v>
      </c>
      <c r="H95" s="336"/>
      <c r="I95" s="336"/>
      <c r="J95" s="336"/>
      <c r="K95" s="336"/>
      <c r="L95" s="336"/>
      <c r="M95" s="336"/>
      <c r="N95" s="336"/>
      <c r="O95" s="336"/>
      <c r="P95" s="344">
        <f t="shared" si="110"/>
        <v>327.47187</v>
      </c>
      <c r="Q95" s="198"/>
      <c r="R95" s="198"/>
      <c r="S95" s="198"/>
      <c r="V95" s="201">
        <f t="shared" si="90"/>
        <v>183.65219</v>
      </c>
      <c r="W95" s="201">
        <f t="shared" si="91"/>
        <v>258.66464</v>
      </c>
      <c r="X95" s="201">
        <f t="shared" si="92"/>
        <v>327.47187</v>
      </c>
      <c r="Y95" s="201">
        <f t="shared" si="93"/>
        <v>327.47187</v>
      </c>
      <c r="Z95" s="201">
        <f t="shared" si="94"/>
        <v>327.47187</v>
      </c>
      <c r="AA95" s="331">
        <f t="shared" si="95"/>
        <v>327.47187</v>
      </c>
      <c r="AB95" s="331">
        <f t="shared" si="96"/>
        <v>327.47187</v>
      </c>
      <c r="AC95" s="331">
        <f t="shared" si="97"/>
        <v>327.47187</v>
      </c>
      <c r="AD95" s="331">
        <f t="shared" si="98"/>
        <v>327.47187</v>
      </c>
      <c r="AE95" s="331">
        <f t="shared" si="99"/>
        <v>327.47187</v>
      </c>
      <c r="AF95" s="331">
        <f t="shared" si="100"/>
        <v>327.47187</v>
      </c>
      <c r="AH95" s="295" t="e">
        <f t="shared" si="109"/>
        <v>#DIV/0!</v>
      </c>
      <c r="AI95" s="295" t="e">
        <f t="shared" si="102"/>
        <v>#DIV/0!</v>
      </c>
      <c r="AJ95" s="295" t="e">
        <f t="shared" si="102"/>
        <v>#DIV/0!</v>
      </c>
      <c r="AK95" s="295" t="e">
        <f t="shared" si="102"/>
        <v>#DIV/0!</v>
      </c>
      <c r="AL95" s="295" t="e">
        <f t="shared" si="102"/>
        <v>#DIV/0!</v>
      </c>
      <c r="AM95" s="295" t="e">
        <f t="shared" si="102"/>
        <v>#DIV/0!</v>
      </c>
      <c r="AN95" s="295" t="e">
        <f t="shared" si="102"/>
        <v>#DIV/0!</v>
      </c>
      <c r="AO95" s="295" t="e">
        <f t="shared" si="102"/>
        <v>#DIV/0!</v>
      </c>
      <c r="AP95" s="295" t="e">
        <f t="shared" si="102"/>
        <v>#DIV/0!</v>
      </c>
      <c r="AQ95" s="295" t="e">
        <f t="shared" si="102"/>
        <v>#DIV/0!</v>
      </c>
      <c r="AR95" s="295" t="e">
        <f t="shared" si="102"/>
        <v>#DIV/0!</v>
      </c>
      <c r="AT95" s="332" t="e">
        <f t="shared" si="108"/>
        <v>#DIV/0!</v>
      </c>
      <c r="AU95" s="332" t="e">
        <f t="shared" si="103"/>
        <v>#DIV/0!</v>
      </c>
      <c r="AV95" s="332" t="e">
        <f t="shared" si="103"/>
        <v>#DIV/0!</v>
      </c>
      <c r="AW95" s="332" t="e">
        <f t="shared" si="103"/>
        <v>#DIV/0!</v>
      </c>
      <c r="AX95" s="332" t="e">
        <f t="shared" si="103"/>
        <v>#DIV/0!</v>
      </c>
      <c r="AY95" s="332" t="e">
        <f t="shared" si="103"/>
        <v>#DIV/0!</v>
      </c>
      <c r="AZ95" s="332" t="e">
        <f t="shared" si="103"/>
        <v>#DIV/0!</v>
      </c>
      <c r="BA95" s="332" t="e">
        <f t="shared" si="103"/>
        <v>#DIV/0!</v>
      </c>
      <c r="BB95" s="332" t="e">
        <f t="shared" si="103"/>
        <v>#DIV/0!</v>
      </c>
      <c r="BC95" s="332" t="e">
        <f t="shared" si="103"/>
        <v>#DIV/0!</v>
      </c>
      <c r="BD95" s="332" t="e">
        <f t="shared" si="103"/>
        <v>#DIV/0!</v>
      </c>
    </row>
    <row r="96" spans="1:56">
      <c r="A96" s="299">
        <f t="shared" si="101"/>
        <v>5242.4262</v>
      </c>
      <c r="B96" s="293" t="s">
        <v>15</v>
      </c>
      <c r="C96" s="293"/>
      <c r="D96" s="296">
        <f>SUM(D80:D92)</f>
        <v>1778.33998</v>
      </c>
      <c r="E96" s="296">
        <f t="shared" ref="E96:P96" si="111">SUM(E80:E92)</f>
        <v>1751.20709</v>
      </c>
      <c r="F96" s="296">
        <f t="shared" si="111"/>
        <v>1712.87913</v>
      </c>
      <c r="G96" s="296">
        <f t="shared" si="111"/>
        <v>901.66915</v>
      </c>
      <c r="H96" s="296">
        <f t="shared" si="111"/>
        <v>0</v>
      </c>
      <c r="I96" s="296">
        <f t="shared" si="111"/>
        <v>0</v>
      </c>
      <c r="J96" s="296">
        <f t="shared" si="111"/>
        <v>0</v>
      </c>
      <c r="K96" s="296">
        <f t="shared" si="111"/>
        <v>0</v>
      </c>
      <c r="L96" s="296">
        <f t="shared" si="111"/>
        <v>0</v>
      </c>
      <c r="M96" s="296">
        <f t="shared" si="111"/>
        <v>0</v>
      </c>
      <c r="N96" s="296">
        <f t="shared" si="111"/>
        <v>0</v>
      </c>
      <c r="O96" s="296">
        <f t="shared" si="111"/>
        <v>0</v>
      </c>
      <c r="P96" s="296">
        <f t="shared" si="111"/>
        <v>6144.09535</v>
      </c>
      <c r="Q96" s="198"/>
      <c r="R96" s="198"/>
      <c r="S96" s="198"/>
      <c r="V96" s="303">
        <f t="shared" ref="V96:AF96" si="112">SUM(V80:V92)</f>
        <v>3529.54707</v>
      </c>
      <c r="W96" s="303">
        <f t="shared" si="112"/>
        <v>5242.4262</v>
      </c>
      <c r="X96" s="303">
        <f t="shared" si="112"/>
        <v>6144.09535</v>
      </c>
      <c r="Y96" s="303">
        <f t="shared" si="112"/>
        <v>6144.09535</v>
      </c>
      <c r="Z96" s="303">
        <f t="shared" si="112"/>
        <v>6144.09535</v>
      </c>
      <c r="AA96" s="303">
        <f t="shared" si="112"/>
        <v>6144.09535</v>
      </c>
      <c r="AB96" s="303">
        <f t="shared" si="112"/>
        <v>6144.09535</v>
      </c>
      <c r="AC96" s="303">
        <f t="shared" si="112"/>
        <v>6144.09535</v>
      </c>
      <c r="AD96" s="303">
        <f t="shared" si="112"/>
        <v>6144.09535</v>
      </c>
      <c r="AE96" s="303">
        <f t="shared" si="112"/>
        <v>6144.09535</v>
      </c>
      <c r="AF96" s="303">
        <f t="shared" si="112"/>
        <v>6144.09535</v>
      </c>
      <c r="AH96" s="295" t="e">
        <f t="shared" si="109"/>
        <v>#DIV/0!</v>
      </c>
      <c r="AI96" s="295" t="e">
        <f t="shared" si="102"/>
        <v>#DIV/0!</v>
      </c>
      <c r="AJ96" s="295" t="e">
        <f t="shared" si="102"/>
        <v>#DIV/0!</v>
      </c>
      <c r="AK96" s="295" t="e">
        <f t="shared" si="102"/>
        <v>#DIV/0!</v>
      </c>
      <c r="AL96" s="295" t="e">
        <f t="shared" si="102"/>
        <v>#DIV/0!</v>
      </c>
      <c r="AM96" s="295" t="e">
        <f t="shared" si="102"/>
        <v>#DIV/0!</v>
      </c>
      <c r="AN96" s="295" t="e">
        <f t="shared" si="102"/>
        <v>#DIV/0!</v>
      </c>
      <c r="AO96" s="295" t="e">
        <f t="shared" si="102"/>
        <v>#DIV/0!</v>
      </c>
      <c r="AP96" s="295" t="e">
        <f t="shared" si="102"/>
        <v>#DIV/0!</v>
      </c>
      <c r="AQ96" s="295" t="e">
        <f t="shared" si="102"/>
        <v>#DIV/0!</v>
      </c>
      <c r="AR96" s="295" t="e">
        <f t="shared" si="102"/>
        <v>#DIV/0!</v>
      </c>
      <c r="AT96" s="332" t="e">
        <f t="shared" si="108"/>
        <v>#DIV/0!</v>
      </c>
      <c r="AU96" s="332" t="e">
        <f>AI96/AU$52</f>
        <v>#DIV/0!</v>
      </c>
      <c r="AV96" s="332" t="e">
        <f t="shared" ref="AV96:BD96" si="113">AJ96/AV$52</f>
        <v>#DIV/0!</v>
      </c>
      <c r="AW96" s="332" t="e">
        <f t="shared" si="113"/>
        <v>#DIV/0!</v>
      </c>
      <c r="AX96" s="332" t="e">
        <f t="shared" si="113"/>
        <v>#DIV/0!</v>
      </c>
      <c r="AY96" s="332" t="e">
        <f t="shared" si="113"/>
        <v>#DIV/0!</v>
      </c>
      <c r="AZ96" s="332" t="e">
        <f t="shared" si="113"/>
        <v>#DIV/0!</v>
      </c>
      <c r="BA96" s="332" t="e">
        <f t="shared" si="113"/>
        <v>#DIV/0!</v>
      </c>
      <c r="BB96" s="332" t="e">
        <f t="shared" si="113"/>
        <v>#DIV/0!</v>
      </c>
      <c r="BC96" s="332" t="e">
        <f t="shared" si="113"/>
        <v>#DIV/0!</v>
      </c>
      <c r="BD96" s="332" t="e">
        <f t="shared" si="113"/>
        <v>#DIV/0!</v>
      </c>
    </row>
    <row r="97" spans="1:52">
      <c r="A97" s="292">
        <f>A96/A79*1000</f>
        <v>46.4128674127063</v>
      </c>
      <c r="B97" s="293" t="s">
        <v>16</v>
      </c>
      <c r="C97" s="293"/>
      <c r="D97" s="294">
        <f>D96/D79*1000</f>
        <v>37.5517870642144</v>
      </c>
      <c r="E97" s="294">
        <f>E96/E79*1000</f>
        <v>41.114903622661</v>
      </c>
      <c r="F97" s="340">
        <f>F96/F79*1000</f>
        <v>74.4665303017129</v>
      </c>
      <c r="G97" s="294">
        <f t="shared" ref="G97:P97" si="114">G96/G79*1000</f>
        <v>22.051091954023</v>
      </c>
      <c r="H97" s="294" t="e">
        <f t="shared" si="114"/>
        <v>#DIV/0!</v>
      </c>
      <c r="I97" s="294" t="e">
        <f t="shared" si="114"/>
        <v>#DIV/0!</v>
      </c>
      <c r="J97" s="294" t="e">
        <f t="shared" si="114"/>
        <v>#DIV/0!</v>
      </c>
      <c r="K97" s="294" t="e">
        <f t="shared" si="114"/>
        <v>#DIV/0!</v>
      </c>
      <c r="L97" s="294" t="e">
        <f t="shared" si="114"/>
        <v>#DIV/0!</v>
      </c>
      <c r="M97" s="294" t="e">
        <f t="shared" si="114"/>
        <v>#DIV/0!</v>
      </c>
      <c r="N97" s="294" t="e">
        <f t="shared" si="114"/>
        <v>#DIV/0!</v>
      </c>
      <c r="O97" s="294" t="e">
        <f t="shared" si="114"/>
        <v>#DIV/0!</v>
      </c>
      <c r="P97" s="294">
        <f t="shared" si="114"/>
        <v>54.3956313301225</v>
      </c>
      <c r="Q97" s="198"/>
      <c r="R97" s="198"/>
      <c r="S97" s="198"/>
      <c r="V97" s="292">
        <f>V96/V79*1000</f>
        <v>39.2389891050584</v>
      </c>
      <c r="W97" s="292">
        <f t="shared" ref="W97:AF97" si="115">W96/W79*1000</f>
        <v>46.4128674127063</v>
      </c>
      <c r="X97" s="292">
        <f t="shared" si="115"/>
        <v>39.9376980928485</v>
      </c>
      <c r="Y97" s="292">
        <f t="shared" si="115"/>
        <v>39.9376980928485</v>
      </c>
      <c r="Z97" s="292">
        <f t="shared" si="115"/>
        <v>39.9376980928485</v>
      </c>
      <c r="AA97" s="292">
        <f t="shared" si="115"/>
        <v>39.9376980928485</v>
      </c>
      <c r="AB97" s="292">
        <f t="shared" si="115"/>
        <v>39.9376980928485</v>
      </c>
      <c r="AC97" s="292">
        <f t="shared" si="115"/>
        <v>39.9376980928485</v>
      </c>
      <c r="AD97" s="292">
        <f t="shared" si="115"/>
        <v>39.9376980928485</v>
      </c>
      <c r="AE97" s="292">
        <f t="shared" si="115"/>
        <v>39.9376980928485</v>
      </c>
      <c r="AF97" s="292">
        <f t="shared" si="115"/>
        <v>39.9376980928485</v>
      </c>
      <c r="AZ97" s="349" t="e">
        <f>#REF!-AZ96</f>
        <v>#REF!</v>
      </c>
    </row>
    <row r="98" spans="1:44">
      <c r="A98" s="299">
        <f>SUM(D98:F98)</f>
        <v>1153.42142305588</v>
      </c>
      <c r="B98" s="293" t="s">
        <v>42</v>
      </c>
      <c r="C98" s="293"/>
      <c r="D98" s="201">
        <v>392.902980077011</v>
      </c>
      <c r="E98" s="201">
        <v>366.364802804598</v>
      </c>
      <c r="F98" s="201">
        <v>394.153640174275</v>
      </c>
      <c r="G98" s="201">
        <v>36.9952216130851</v>
      </c>
      <c r="H98" s="201"/>
      <c r="I98" s="201"/>
      <c r="J98" s="201"/>
      <c r="K98" s="201"/>
      <c r="L98" s="201"/>
      <c r="M98" s="201"/>
      <c r="N98" s="201"/>
      <c r="O98" s="201"/>
      <c r="P98" s="201"/>
      <c r="Q98" s="312">
        <f>P98/$P$53*1000</f>
        <v>0</v>
      </c>
      <c r="V98" s="201">
        <f>D98+E98</f>
        <v>759.26778288161</v>
      </c>
      <c r="W98" s="201">
        <f t="shared" ref="W98:AF98" si="116">V98+F98</f>
        <v>1153.42142305588</v>
      </c>
      <c r="X98" s="201">
        <f t="shared" si="116"/>
        <v>1190.41664466897</v>
      </c>
      <c r="Y98" s="201">
        <f t="shared" si="116"/>
        <v>1190.41664466897</v>
      </c>
      <c r="Z98" s="201">
        <f t="shared" si="116"/>
        <v>1190.41664466897</v>
      </c>
      <c r="AA98" s="331">
        <f t="shared" si="116"/>
        <v>1190.41664466897</v>
      </c>
      <c r="AB98" s="331">
        <f t="shared" si="116"/>
        <v>1190.41664466897</v>
      </c>
      <c r="AC98" s="331">
        <f t="shared" si="116"/>
        <v>1190.41664466897</v>
      </c>
      <c r="AD98" s="331">
        <f t="shared" si="116"/>
        <v>1190.41664466897</v>
      </c>
      <c r="AE98" s="331">
        <f t="shared" si="116"/>
        <v>1190.41664466897</v>
      </c>
      <c r="AF98" s="331">
        <f t="shared" si="116"/>
        <v>1190.41664466897</v>
      </c>
      <c r="AH98" s="295" t="e">
        <f>V98/V$53*1000</f>
        <v>#DIV/0!</v>
      </c>
      <c r="AI98" s="295" t="e">
        <f t="shared" ref="AI98:AR98" si="117">W98/W$53*1000</f>
        <v>#DIV/0!</v>
      </c>
      <c r="AJ98" s="295" t="e">
        <f t="shared" si="117"/>
        <v>#DIV/0!</v>
      </c>
      <c r="AK98" s="295" t="e">
        <f t="shared" si="117"/>
        <v>#DIV/0!</v>
      </c>
      <c r="AL98" s="295" t="e">
        <f t="shared" si="117"/>
        <v>#DIV/0!</v>
      </c>
      <c r="AM98" s="295" t="e">
        <f t="shared" si="117"/>
        <v>#DIV/0!</v>
      </c>
      <c r="AN98" s="295" t="e">
        <f t="shared" si="117"/>
        <v>#DIV/0!</v>
      </c>
      <c r="AO98" s="295" t="e">
        <f t="shared" si="117"/>
        <v>#DIV/0!</v>
      </c>
      <c r="AP98" s="295" t="e">
        <f t="shared" si="117"/>
        <v>#DIV/0!</v>
      </c>
      <c r="AQ98" s="295" t="e">
        <f t="shared" si="117"/>
        <v>#DIV/0!</v>
      </c>
      <c r="AR98" s="295" t="e">
        <f t="shared" si="117"/>
        <v>#DIV/0!</v>
      </c>
    </row>
    <row r="99" spans="1:17">
      <c r="A99" s="301">
        <f>A97/A78</f>
        <v>0.209066970327506</v>
      </c>
      <c r="C99" s="293" t="s">
        <v>18</v>
      </c>
      <c r="D99" s="293">
        <f>D97/D78</f>
        <v>0.163268639409628</v>
      </c>
      <c r="E99" s="313">
        <f t="shared" ref="E99:O99" si="118">E97/E78</f>
        <v>0.189469601947747</v>
      </c>
      <c r="F99" s="313">
        <f t="shared" si="118"/>
        <v>0.352921944557881</v>
      </c>
      <c r="G99" s="313">
        <f t="shared" si="118"/>
        <v>0.101779904359509</v>
      </c>
      <c r="H99" s="313" t="e">
        <f t="shared" si="118"/>
        <v>#DIV/0!</v>
      </c>
      <c r="I99" s="313" t="e">
        <f t="shared" si="118"/>
        <v>#DIV/0!</v>
      </c>
      <c r="J99" s="313" t="e">
        <f t="shared" si="118"/>
        <v>#DIV/0!</v>
      </c>
      <c r="K99" s="313" t="e">
        <f t="shared" si="118"/>
        <v>#DIV/0!</v>
      </c>
      <c r="L99" s="313" t="e">
        <f t="shared" si="118"/>
        <v>#DIV/0!</v>
      </c>
      <c r="M99" s="313" t="e">
        <f t="shared" si="118"/>
        <v>#DIV/0!</v>
      </c>
      <c r="N99" s="313" t="e">
        <f t="shared" si="118"/>
        <v>#DIV/0!</v>
      </c>
      <c r="O99" s="313" t="e">
        <f t="shared" si="118"/>
        <v>#DIV/0!</v>
      </c>
      <c r="Q99" s="198"/>
    </row>
    <row r="100" spans="6:17">
      <c r="F100" s="313">
        <f>F99/E99-1</f>
        <v>0.862683728312326</v>
      </c>
      <c r="Q100" s="198"/>
    </row>
    <row r="101" ht="14" customHeight="1" spans="3:20">
      <c r="C101" s="296" t="s">
        <v>93</v>
      </c>
      <c r="D101" s="296"/>
      <c r="E101" s="296"/>
      <c r="F101" s="296"/>
      <c r="G101" s="296"/>
      <c r="H101" s="296"/>
      <c r="I101" s="296"/>
      <c r="J101" s="296"/>
      <c r="K101" s="296"/>
      <c r="L101" s="296"/>
      <c r="M101" s="296"/>
      <c r="N101" s="296"/>
      <c r="O101" s="296"/>
      <c r="P101" s="296"/>
      <c r="Q101" s="282">
        <f>P99/P80</f>
        <v>0</v>
      </c>
      <c r="R101" s="295"/>
      <c r="S101" s="317"/>
      <c r="T101" s="317"/>
    </row>
    <row r="102" spans="1:22">
      <c r="A102" s="25" t="s">
        <v>45</v>
      </c>
      <c r="C102" s="285" t="s">
        <v>2</v>
      </c>
      <c r="D102" s="297" t="s">
        <v>46</v>
      </c>
      <c r="E102" s="297" t="s">
        <v>47</v>
      </c>
      <c r="F102" s="297" t="s">
        <v>48</v>
      </c>
      <c r="G102" s="297" t="s">
        <v>49</v>
      </c>
      <c r="H102" s="297" t="s">
        <v>50</v>
      </c>
      <c r="I102" s="297" t="s">
        <v>51</v>
      </c>
      <c r="J102" s="297" t="s">
        <v>52</v>
      </c>
      <c r="K102" s="297" t="s">
        <v>53</v>
      </c>
      <c r="L102" s="297" t="s">
        <v>54</v>
      </c>
      <c r="M102" s="297" t="s">
        <v>55</v>
      </c>
      <c r="N102" s="297" t="s">
        <v>56</v>
      </c>
      <c r="O102" s="297" t="s">
        <v>57</v>
      </c>
      <c r="P102" s="304" t="s">
        <v>15</v>
      </c>
      <c r="Q102" s="205" t="s">
        <v>16</v>
      </c>
      <c r="R102" s="205" t="s">
        <v>17</v>
      </c>
      <c r="S102" s="205" t="s">
        <v>18</v>
      </c>
      <c r="T102" s="205" t="s">
        <v>19</v>
      </c>
      <c r="U102" s="198"/>
      <c r="V102" s="313"/>
    </row>
    <row r="103" spans="1:56">
      <c r="A103" s="198">
        <v>222</v>
      </c>
      <c r="B103" s="283" t="s">
        <v>20</v>
      </c>
      <c r="C103" s="283"/>
      <c r="D103" s="296">
        <v>222</v>
      </c>
      <c r="E103" s="296">
        <v>222</v>
      </c>
      <c r="F103" s="296">
        <v>222</v>
      </c>
      <c r="G103" s="296">
        <v>222</v>
      </c>
      <c r="H103" s="296">
        <v>222</v>
      </c>
      <c r="I103" s="296">
        <v>222</v>
      </c>
      <c r="J103" s="296">
        <v>222</v>
      </c>
      <c r="K103" s="296">
        <v>222</v>
      </c>
      <c r="L103" s="296">
        <v>222</v>
      </c>
      <c r="M103" s="296">
        <v>222</v>
      </c>
      <c r="N103" s="296">
        <v>222</v>
      </c>
      <c r="O103" s="296">
        <v>222</v>
      </c>
      <c r="P103" s="296">
        <f>AVERAGE(D103:O103)</f>
        <v>222</v>
      </c>
      <c r="Q103" s="198"/>
      <c r="R103" s="198"/>
      <c r="S103" s="198"/>
      <c r="AT103" s="331" t="str">
        <f>$P$52</f>
        <v>合计</v>
      </c>
      <c r="AU103" s="331" t="str">
        <f t="shared" ref="AU103:BD103" si="119">$P$52</f>
        <v>合计</v>
      </c>
      <c r="AV103" s="331" t="str">
        <f t="shared" si="119"/>
        <v>合计</v>
      </c>
      <c r="AW103" s="331" t="str">
        <f t="shared" si="119"/>
        <v>合计</v>
      </c>
      <c r="AX103" s="331" t="str">
        <f t="shared" si="119"/>
        <v>合计</v>
      </c>
      <c r="AY103" s="331" t="str">
        <f t="shared" si="119"/>
        <v>合计</v>
      </c>
      <c r="AZ103" s="331" t="str">
        <f t="shared" si="119"/>
        <v>合计</v>
      </c>
      <c r="BA103" s="331" t="str">
        <f t="shared" si="119"/>
        <v>合计</v>
      </c>
      <c r="BB103" s="331" t="str">
        <f t="shared" si="119"/>
        <v>合计</v>
      </c>
      <c r="BC103" s="331" t="str">
        <f t="shared" si="119"/>
        <v>合计</v>
      </c>
      <c r="BD103" s="331" t="str">
        <f t="shared" si="119"/>
        <v>合计</v>
      </c>
    </row>
    <row r="104" s="281" customFormat="1" spans="1:32">
      <c r="A104" s="299">
        <f>SUM(D104:F104)</f>
        <v>151356</v>
      </c>
      <c r="C104" s="248" t="s">
        <v>21</v>
      </c>
      <c r="D104" s="296">
        <v>50463</v>
      </c>
      <c r="E104" s="296">
        <v>50446</v>
      </c>
      <c r="F104" s="296">
        <v>50447</v>
      </c>
      <c r="G104" s="296">
        <v>48050</v>
      </c>
      <c r="H104" s="296">
        <v>36788</v>
      </c>
      <c r="I104" s="296">
        <v>53265</v>
      </c>
      <c r="J104" s="296">
        <v>42049</v>
      </c>
      <c r="K104" s="296">
        <v>39150</v>
      </c>
      <c r="L104" s="296">
        <v>53732</v>
      </c>
      <c r="M104" s="296">
        <v>48548</v>
      </c>
      <c r="N104" s="296">
        <v>51408</v>
      </c>
      <c r="O104" s="296">
        <v>40676</v>
      </c>
      <c r="P104" s="296">
        <f>SUM(D104:O104)</f>
        <v>565022</v>
      </c>
      <c r="Q104" s="323"/>
      <c r="R104" s="323"/>
      <c r="S104" s="323"/>
      <c r="T104" s="323"/>
      <c r="U104" s="346"/>
      <c r="V104" s="198">
        <f t="shared" ref="V104:V120" si="120">D104+E104</f>
        <v>100909</v>
      </c>
      <c r="W104" s="198">
        <f t="shared" ref="W104:W120" si="121">V104+F104</f>
        <v>151356</v>
      </c>
      <c r="X104" s="198">
        <f t="shared" ref="X104:X120" si="122">W104+G104</f>
        <v>199406</v>
      </c>
      <c r="Y104" s="198">
        <f t="shared" ref="Y104:Y120" si="123">X104+H104</f>
        <v>236194</v>
      </c>
      <c r="Z104" s="198">
        <f t="shared" ref="Z104:Z120" si="124">Y104+I104</f>
        <v>289459</v>
      </c>
      <c r="AA104" s="25">
        <f t="shared" ref="AA104:AA120" si="125">Z104+J104</f>
        <v>331508</v>
      </c>
      <c r="AB104" s="25">
        <f t="shared" ref="AB104:AB120" si="126">AA104+K104</f>
        <v>370658</v>
      </c>
      <c r="AC104" s="25">
        <f t="shared" ref="AC104:AC120" si="127">AB104+L104</f>
        <v>424390</v>
      </c>
      <c r="AD104" s="25">
        <f t="shared" ref="AD104:AD120" si="128">AC104+M104</f>
        <v>472938</v>
      </c>
      <c r="AE104" s="25">
        <f t="shared" ref="AE104:AE120" si="129">AD104+N104</f>
        <v>524346</v>
      </c>
      <c r="AF104" s="25">
        <f t="shared" ref="AF104:AF120" si="130">AE104+O104</f>
        <v>565022</v>
      </c>
    </row>
    <row r="105" ht="13.8" spans="1:56">
      <c r="A105" s="299">
        <f t="shared" ref="A105:A121" si="131">SUM(D105:F105)</f>
        <v>1695.82220416667</v>
      </c>
      <c r="B105" s="198" t="s">
        <v>22</v>
      </c>
      <c r="C105" s="92" t="s">
        <v>70</v>
      </c>
      <c r="D105" s="201">
        <f>SUMIFS('DW P&amp;L by account 2026'!E:E,'DW P&amp;L by account 2026'!$R:$R,洗碗机!$C105)</f>
        <v>577.480375833335</v>
      </c>
      <c r="E105" s="201">
        <f>SUMIFS('DW P&amp;L by account 2026'!F:F,'DW P&amp;L by account 2026'!$R:$R,洗碗机!$C105)</f>
        <v>536.482005833334</v>
      </c>
      <c r="F105" s="201">
        <f>SUMIFS('DW P&amp;L by account 2026'!G:G,'DW P&amp;L by account 2026'!$R:$R,洗碗机!$C105)</f>
        <v>581.859822500002</v>
      </c>
      <c r="G105" s="201">
        <f>SUMIFS('DW P&amp;L by account 2026'!H:H,'DW P&amp;L by account 2026'!$R:$R,洗碗机!$C105)</f>
        <v>568.2313525</v>
      </c>
      <c r="H105" s="201">
        <f>SUMIFS('DW P&amp;L by account 2026'!I:I,'DW P&amp;L by account 2026'!$R:$R,洗碗机!$C105)</f>
        <v>580.235282500001</v>
      </c>
      <c r="I105" s="201">
        <f>SUMIFS('DW P&amp;L by account 2026'!J:J,'DW P&amp;L by account 2026'!$R:$R,洗碗机!$C105)</f>
        <v>569.226440833335</v>
      </c>
      <c r="J105" s="201">
        <f>SUMIFS('DW P&amp;L by account 2026'!K:K,'DW P&amp;L by account 2026'!$R:$R,洗碗机!$C105)</f>
        <v>599.4040079843</v>
      </c>
      <c r="K105" s="201">
        <f>SUMIFS('DW P&amp;L by account 2026'!L:L,'DW P&amp;L by account 2026'!$R:$R,洗碗机!$C105)</f>
        <v>599.682904650966</v>
      </c>
      <c r="L105" s="201">
        <f>SUMIFS('DW P&amp;L by account 2026'!M:M,'DW P&amp;L by account 2026'!$R:$R,洗碗机!$C105)</f>
        <v>585.579164650967</v>
      </c>
      <c r="M105" s="201">
        <f>SUMIFS('DW P&amp;L by account 2026'!N:N,'DW P&amp;L by account 2026'!$R:$R,洗碗机!$C105)</f>
        <v>601.4358479843</v>
      </c>
      <c r="N105" s="201">
        <f>SUMIFS('DW P&amp;L by account 2026'!O:O,'DW P&amp;L by account 2026'!$R:$R,洗碗机!$C105)</f>
        <v>590.720931317633</v>
      </c>
      <c r="O105" s="201">
        <f>SUMIFS('DW P&amp;L by account 2026'!P:P,'DW P&amp;L by account 2026'!$R:$R,洗碗机!$C105)</f>
        <v>613.631863411828</v>
      </c>
      <c r="P105" s="296">
        <f>SUM(D105:O105)</f>
        <v>7003.97</v>
      </c>
      <c r="Q105" s="312">
        <f>P105/$P$104*1000</f>
        <v>12.3959244064833</v>
      </c>
      <c r="R105" s="313">
        <f>P105/$P$121</f>
        <v>0.310091562484892</v>
      </c>
      <c r="U105" s="348"/>
      <c r="V105" s="201">
        <f t="shared" si="120"/>
        <v>1113.96238166667</v>
      </c>
      <c r="W105" s="201">
        <f t="shared" si="121"/>
        <v>1695.82220416667</v>
      </c>
      <c r="X105" s="201">
        <f t="shared" si="122"/>
        <v>2264.05355666667</v>
      </c>
      <c r="Y105" s="201">
        <f t="shared" si="123"/>
        <v>2844.28883916667</v>
      </c>
      <c r="Z105" s="201">
        <f t="shared" si="124"/>
        <v>3413.51528000001</v>
      </c>
      <c r="AA105" s="331">
        <f t="shared" si="125"/>
        <v>4012.91928798431</v>
      </c>
      <c r="AB105" s="331">
        <f t="shared" si="126"/>
        <v>4612.60219263527</v>
      </c>
      <c r="AC105" s="331">
        <f t="shared" si="127"/>
        <v>5198.18135728624</v>
      </c>
      <c r="AD105" s="331">
        <f t="shared" si="128"/>
        <v>5799.61720527054</v>
      </c>
      <c r="AE105" s="331">
        <f t="shared" si="129"/>
        <v>6390.33813658817</v>
      </c>
      <c r="AF105" s="331">
        <f t="shared" si="130"/>
        <v>7003.97</v>
      </c>
      <c r="AH105" s="295" t="e">
        <f>V105/V$53*1000</f>
        <v>#DIV/0!</v>
      </c>
      <c r="AI105" s="295" t="e">
        <f t="shared" ref="AI105:AR121" si="132">W105/W$53*1000</f>
        <v>#DIV/0!</v>
      </c>
      <c r="AJ105" s="295" t="e">
        <f t="shared" si="132"/>
        <v>#DIV/0!</v>
      </c>
      <c r="AK105" s="295" t="e">
        <f t="shared" si="132"/>
        <v>#DIV/0!</v>
      </c>
      <c r="AL105" s="295" t="e">
        <f t="shared" si="132"/>
        <v>#DIV/0!</v>
      </c>
      <c r="AM105" s="295" t="e">
        <f t="shared" si="132"/>
        <v>#DIV/0!</v>
      </c>
      <c r="AN105" s="295" t="e">
        <f t="shared" si="132"/>
        <v>#DIV/0!</v>
      </c>
      <c r="AO105" s="295" t="e">
        <f t="shared" si="132"/>
        <v>#DIV/0!</v>
      </c>
      <c r="AP105" s="295" t="e">
        <f t="shared" si="132"/>
        <v>#DIV/0!</v>
      </c>
      <c r="AQ105" s="295" t="e">
        <f t="shared" si="132"/>
        <v>#DIV/0!</v>
      </c>
      <c r="AR105" s="295" t="e">
        <f t="shared" si="132"/>
        <v>#DIV/0!</v>
      </c>
      <c r="AT105" s="332" t="e">
        <f>AH105/AT$52</f>
        <v>#DIV/0!</v>
      </c>
      <c r="AU105" s="332" t="e">
        <f t="shared" ref="AU105:BD120" si="133">AI105/AU$52</f>
        <v>#DIV/0!</v>
      </c>
      <c r="AV105" s="332" t="e">
        <f t="shared" si="133"/>
        <v>#DIV/0!</v>
      </c>
      <c r="AW105" s="332" t="e">
        <f t="shared" si="133"/>
        <v>#DIV/0!</v>
      </c>
      <c r="AX105" s="332" t="e">
        <f t="shared" si="133"/>
        <v>#DIV/0!</v>
      </c>
      <c r="AY105" s="332" t="e">
        <f t="shared" si="133"/>
        <v>#DIV/0!</v>
      </c>
      <c r="AZ105" s="332" t="e">
        <f t="shared" si="133"/>
        <v>#DIV/0!</v>
      </c>
      <c r="BA105" s="332" t="e">
        <f t="shared" si="133"/>
        <v>#DIV/0!</v>
      </c>
      <c r="BB105" s="332" t="e">
        <f t="shared" si="133"/>
        <v>#DIV/0!</v>
      </c>
      <c r="BC105" s="332" t="e">
        <f t="shared" si="133"/>
        <v>#DIV/0!</v>
      </c>
      <c r="BD105" s="332" t="e">
        <f t="shared" si="133"/>
        <v>#DIV/0!</v>
      </c>
    </row>
    <row r="106" spans="1:56">
      <c r="A106" s="299">
        <f t="shared" si="131"/>
        <v>174.522193437759</v>
      </c>
      <c r="B106" s="198"/>
      <c r="C106" s="25" t="s">
        <v>24</v>
      </c>
      <c r="D106" s="201">
        <f>SUMIFS('DW P&amp;L by account 2026'!E:E,'DW P&amp;L by account 2026'!$R:$R,洗碗机!$C106)</f>
        <v>58.1817987764851</v>
      </c>
      <c r="E106" s="201">
        <f>SUMIFS('DW P&amp;L by account 2026'!F:F,'DW P&amp;L by account 2026'!$R:$R,洗碗机!$C106)</f>
        <v>58.5973180583644</v>
      </c>
      <c r="F106" s="201">
        <f>SUMIFS('DW P&amp;L by account 2026'!G:G,'DW P&amp;L by account 2026'!$R:$R,洗碗机!$C106)</f>
        <v>57.7430766029092</v>
      </c>
      <c r="G106" s="201">
        <f>SUMIFS('DW P&amp;L by account 2026'!H:H,'DW P&amp;L by account 2026'!$R:$R,洗碗机!$C106)</f>
        <v>57.0786419733095</v>
      </c>
      <c r="H106" s="201">
        <f>SUMIFS('DW P&amp;L by account 2026'!I:I,'DW P&amp;L by account 2026'!$R:$R,洗碗机!$C106)</f>
        <v>56.4240265746892</v>
      </c>
      <c r="I106" s="201">
        <f>SUMIFS('DW P&amp;L by account 2026'!J:J,'DW P&amp;L by account 2026'!$R:$R,洗碗机!$C106)</f>
        <v>57.2790852952603</v>
      </c>
      <c r="J106" s="201">
        <f>SUMIFS('DW P&amp;L by account 2026'!K:K,'DW P&amp;L by account 2026'!$R:$R,洗碗机!$C106)</f>
        <v>55.4378465230757</v>
      </c>
      <c r="K106" s="201">
        <f>SUMIFS('DW P&amp;L by account 2026'!L:L,'DW P&amp;L by account 2026'!$R:$R,洗碗机!$C106)</f>
        <v>55.0993159951148</v>
      </c>
      <c r="L106" s="201">
        <f>SUMIFS('DW P&amp;L by account 2026'!M:M,'DW P&amp;L by account 2026'!$R:$R,洗碗机!$C106)</f>
        <v>54.7634722173758</v>
      </c>
      <c r="M106" s="201">
        <f>SUMIFS('DW P&amp;L by account 2026'!N:N,'DW P&amp;L by account 2026'!$R:$R,洗碗机!$C106)</f>
        <v>54.0414493536862</v>
      </c>
      <c r="N106" s="201">
        <f>SUMIFS('DW P&amp;L by account 2026'!O:O,'DW P&amp;L by account 2026'!$R:$R,洗碗机!$C106)</f>
        <v>53.3318445736474</v>
      </c>
      <c r="O106" s="201">
        <f>SUMIFS('DW P&amp;L by account 2026'!P:P,'DW P&amp;L by account 2026'!$R:$R,洗碗机!$C106)</f>
        <v>55.6161327310942</v>
      </c>
      <c r="P106" s="296">
        <f t="shared" ref="P106:P116" si="134">SUM(D106:O106)</f>
        <v>673.594008675012</v>
      </c>
      <c r="Q106" s="312">
        <f t="shared" ref="Q106:Q117" si="135">P106/$P$104*1000</f>
        <v>1.1921553650566</v>
      </c>
      <c r="R106" s="313">
        <f t="shared" ref="R106:R117" si="136">P106/$P$121</f>
        <v>0.0298224890498526</v>
      </c>
      <c r="V106" s="201">
        <f t="shared" si="120"/>
        <v>116.779116834849</v>
      </c>
      <c r="W106" s="201">
        <f t="shared" si="121"/>
        <v>174.522193437759</v>
      </c>
      <c r="X106" s="201">
        <f t="shared" si="122"/>
        <v>231.600835411068</v>
      </c>
      <c r="Y106" s="201">
        <f t="shared" si="123"/>
        <v>288.024861985757</v>
      </c>
      <c r="Z106" s="201">
        <f t="shared" si="124"/>
        <v>345.303947281018</v>
      </c>
      <c r="AA106" s="331">
        <f t="shared" si="125"/>
        <v>400.741793804093</v>
      </c>
      <c r="AB106" s="331">
        <f t="shared" si="126"/>
        <v>455.841109799208</v>
      </c>
      <c r="AC106" s="331">
        <f t="shared" si="127"/>
        <v>510.604582016584</v>
      </c>
      <c r="AD106" s="331">
        <f t="shared" si="128"/>
        <v>564.64603137027</v>
      </c>
      <c r="AE106" s="331">
        <f t="shared" si="129"/>
        <v>617.977875943918</v>
      </c>
      <c r="AF106" s="331">
        <f t="shared" si="130"/>
        <v>673.594008675012</v>
      </c>
      <c r="AH106" s="295" t="e">
        <f t="shared" ref="AH106:AH109" si="137">V106/V$53*1000</f>
        <v>#DIV/0!</v>
      </c>
      <c r="AI106" s="295" t="e">
        <f t="shared" si="132"/>
        <v>#DIV/0!</v>
      </c>
      <c r="AJ106" s="295" t="e">
        <f t="shared" si="132"/>
        <v>#DIV/0!</v>
      </c>
      <c r="AK106" s="295" t="e">
        <f t="shared" si="132"/>
        <v>#DIV/0!</v>
      </c>
      <c r="AL106" s="295" t="e">
        <f t="shared" si="132"/>
        <v>#DIV/0!</v>
      </c>
      <c r="AM106" s="295" t="e">
        <f t="shared" si="132"/>
        <v>#DIV/0!</v>
      </c>
      <c r="AN106" s="295" t="e">
        <f t="shared" si="132"/>
        <v>#DIV/0!</v>
      </c>
      <c r="AO106" s="295" t="e">
        <f t="shared" si="132"/>
        <v>#DIV/0!</v>
      </c>
      <c r="AP106" s="295" t="e">
        <f t="shared" si="132"/>
        <v>#DIV/0!</v>
      </c>
      <c r="AQ106" s="295" t="e">
        <f t="shared" si="132"/>
        <v>#DIV/0!</v>
      </c>
      <c r="AR106" s="295" t="e">
        <f t="shared" si="132"/>
        <v>#DIV/0!</v>
      </c>
      <c r="AT106" s="332" t="e">
        <f t="shared" ref="AT106:AT121" si="138">AH106/AT$52</f>
        <v>#DIV/0!</v>
      </c>
      <c r="AU106" s="332" t="e">
        <f t="shared" si="133"/>
        <v>#DIV/0!</v>
      </c>
      <c r="AV106" s="332" t="e">
        <f t="shared" si="133"/>
        <v>#DIV/0!</v>
      </c>
      <c r="AW106" s="332" t="e">
        <f t="shared" si="133"/>
        <v>#DIV/0!</v>
      </c>
      <c r="AX106" s="332" t="e">
        <f t="shared" si="133"/>
        <v>#DIV/0!</v>
      </c>
      <c r="AY106" s="332" t="e">
        <f t="shared" si="133"/>
        <v>#DIV/0!</v>
      </c>
      <c r="AZ106" s="332" t="e">
        <f t="shared" si="133"/>
        <v>#DIV/0!</v>
      </c>
      <c r="BA106" s="332" t="e">
        <f t="shared" si="133"/>
        <v>#DIV/0!</v>
      </c>
      <c r="BB106" s="332" t="e">
        <f t="shared" si="133"/>
        <v>#DIV/0!</v>
      </c>
      <c r="BC106" s="332" t="e">
        <f t="shared" si="133"/>
        <v>#DIV/0!</v>
      </c>
      <c r="BD106" s="332" t="e">
        <f t="shared" si="133"/>
        <v>#DIV/0!</v>
      </c>
    </row>
    <row r="107" spans="1:56">
      <c r="A107" s="299">
        <f t="shared" si="131"/>
        <v>26.5879122554437</v>
      </c>
      <c r="B107" s="198"/>
      <c r="C107" s="25" t="s">
        <v>25</v>
      </c>
      <c r="D107" s="201">
        <f>SUMIFS('DW P&amp;L by account 2026'!E:E,'DW P&amp;L by account 2026'!$R:$R,洗碗机!$C107)</f>
        <v>9.02996118465394</v>
      </c>
      <c r="E107" s="201">
        <f>SUMIFS('DW P&amp;L by account 2026'!F:F,'DW P&amp;L by account 2026'!$R:$R,洗碗机!$C107)</f>
        <v>8.86159095648081</v>
      </c>
      <c r="F107" s="201">
        <f>SUMIFS('DW P&amp;L by account 2026'!G:G,'DW P&amp;L by account 2026'!$R:$R,洗碗机!$C107)</f>
        <v>8.69636011430894</v>
      </c>
      <c r="G107" s="201">
        <f>SUMIFS('DW P&amp;L by account 2026'!H:H,'DW P&amp;L by account 2026'!$R:$R,洗碗机!$C107)</f>
        <v>8.56784247715166</v>
      </c>
      <c r="H107" s="201">
        <f>SUMIFS('DW P&amp;L by account 2026'!I:I,'DW P&amp;L by account 2026'!$R:$R,洗碗机!$C107)</f>
        <v>8.44122411542036</v>
      </c>
      <c r="I107" s="201">
        <f>SUMIFS('DW P&amp;L by account 2026'!J:J,'DW P&amp;L by account 2026'!$R:$R,洗碗机!$C107)</f>
        <v>8.31647696100528</v>
      </c>
      <c r="J107" s="201">
        <f>SUMIFS('DW P&amp;L by account 2026'!K:K,'DW P&amp;L by account 2026'!$R:$R,洗碗机!$C107)</f>
        <v>8.25047317560047</v>
      </c>
      <c r="K107" s="201">
        <f>SUMIFS('DW P&amp;L by account 2026'!L:L,'DW P&amp;L by account 2026'!$R:$R,洗碗机!$C107)</f>
        <v>8.18499322976238</v>
      </c>
      <c r="L107" s="201">
        <f>SUMIFS('DW P&amp;L by account 2026'!M:M,'DW P&amp;L by account 2026'!$R:$R,洗碗机!$C107)</f>
        <v>8.1200329660341</v>
      </c>
      <c r="M107" s="201">
        <f>SUMIFS('DW P&amp;L by account 2026'!N:N,'DW P&amp;L by account 2026'!$R:$R,洗碗机!$C107)</f>
        <v>7.9803763793947</v>
      </c>
      <c r="N107" s="201">
        <f>SUMIFS('DW P&amp;L by account 2026'!O:O,'DW P&amp;L by account 2026'!$R:$R,洗碗机!$C107)</f>
        <v>7.84312174879085</v>
      </c>
      <c r="O107" s="201">
        <f>SUMIFS('DW P&amp;L by account 2026'!P:P,'DW P&amp;L by account 2026'!$R:$R,洗碗机!$C107)</f>
        <v>7.70822776293941</v>
      </c>
      <c r="P107" s="296">
        <f t="shared" si="134"/>
        <v>100.000681071543</v>
      </c>
      <c r="Q107" s="312">
        <f t="shared" si="135"/>
        <v>0.176985464409426</v>
      </c>
      <c r="R107" s="313">
        <f t="shared" si="136"/>
        <v>0.00442739866718847</v>
      </c>
      <c r="V107" s="201">
        <f t="shared" si="120"/>
        <v>17.8915521411347</v>
      </c>
      <c r="W107" s="201">
        <f t="shared" si="121"/>
        <v>26.5879122554437</v>
      </c>
      <c r="X107" s="201">
        <f t="shared" si="122"/>
        <v>35.1557547325953</v>
      </c>
      <c r="Y107" s="201">
        <f t="shared" si="123"/>
        <v>43.5969788480157</v>
      </c>
      <c r="Z107" s="201">
        <f t="shared" si="124"/>
        <v>51.913455809021</v>
      </c>
      <c r="AA107" s="331">
        <f t="shared" si="125"/>
        <v>60.1639289846215</v>
      </c>
      <c r="AB107" s="331">
        <f t="shared" si="126"/>
        <v>68.3489222143838</v>
      </c>
      <c r="AC107" s="331">
        <f t="shared" si="127"/>
        <v>76.4689551804179</v>
      </c>
      <c r="AD107" s="331">
        <f t="shared" si="128"/>
        <v>84.4493315598126</v>
      </c>
      <c r="AE107" s="331">
        <f t="shared" si="129"/>
        <v>92.2924533086035</v>
      </c>
      <c r="AF107" s="331">
        <f t="shared" si="130"/>
        <v>100.000681071543</v>
      </c>
      <c r="AH107" s="295" t="e">
        <f t="shared" si="137"/>
        <v>#DIV/0!</v>
      </c>
      <c r="AI107" s="295" t="e">
        <f t="shared" si="132"/>
        <v>#DIV/0!</v>
      </c>
      <c r="AJ107" s="295" t="e">
        <f t="shared" si="132"/>
        <v>#DIV/0!</v>
      </c>
      <c r="AK107" s="295" t="e">
        <f t="shared" si="132"/>
        <v>#DIV/0!</v>
      </c>
      <c r="AL107" s="295" t="e">
        <f t="shared" si="132"/>
        <v>#DIV/0!</v>
      </c>
      <c r="AM107" s="295" t="e">
        <f t="shared" si="132"/>
        <v>#DIV/0!</v>
      </c>
      <c r="AN107" s="295" t="e">
        <f t="shared" si="132"/>
        <v>#DIV/0!</v>
      </c>
      <c r="AO107" s="295" t="e">
        <f t="shared" si="132"/>
        <v>#DIV/0!</v>
      </c>
      <c r="AP107" s="295" t="e">
        <f t="shared" si="132"/>
        <v>#DIV/0!</v>
      </c>
      <c r="AQ107" s="295" t="e">
        <f t="shared" si="132"/>
        <v>#DIV/0!</v>
      </c>
      <c r="AR107" s="295" t="e">
        <f t="shared" si="132"/>
        <v>#DIV/0!</v>
      </c>
      <c r="AT107" s="332" t="e">
        <f t="shared" si="138"/>
        <v>#DIV/0!</v>
      </c>
      <c r="AU107" s="332" t="e">
        <f t="shared" si="133"/>
        <v>#DIV/0!</v>
      </c>
      <c r="AV107" s="332" t="e">
        <f t="shared" si="133"/>
        <v>#DIV/0!</v>
      </c>
      <c r="AW107" s="332" t="e">
        <f t="shared" si="133"/>
        <v>#DIV/0!</v>
      </c>
      <c r="AX107" s="332" t="e">
        <f t="shared" si="133"/>
        <v>#DIV/0!</v>
      </c>
      <c r="AY107" s="332" t="e">
        <f t="shared" si="133"/>
        <v>#DIV/0!</v>
      </c>
      <c r="AZ107" s="332" t="e">
        <f t="shared" si="133"/>
        <v>#DIV/0!</v>
      </c>
      <c r="BA107" s="332" t="e">
        <f t="shared" si="133"/>
        <v>#DIV/0!</v>
      </c>
      <c r="BB107" s="332" t="e">
        <f t="shared" si="133"/>
        <v>#DIV/0!</v>
      </c>
      <c r="BC107" s="332" t="e">
        <f t="shared" si="133"/>
        <v>#DIV/0!</v>
      </c>
      <c r="BD107" s="332" t="e">
        <f t="shared" si="133"/>
        <v>#DIV/0!</v>
      </c>
    </row>
    <row r="108" spans="1:56">
      <c r="A108" s="299">
        <f t="shared" si="131"/>
        <v>16.5111977013972</v>
      </c>
      <c r="B108" s="198"/>
      <c r="C108" s="25" t="s">
        <v>26</v>
      </c>
      <c r="D108" s="201">
        <f>SUMIFS('DW P&amp;L by account 2026'!E:E,'DW P&amp;L by account 2026'!$R:$R,洗碗机!$C108)</f>
        <v>5.45729794638834</v>
      </c>
      <c r="E108" s="201">
        <f>SUMIFS('DW P&amp;L by account 2026'!F:F,'DW P&amp;L by account 2026'!$R:$R,洗碗机!$C108)</f>
        <v>5.50620419211214</v>
      </c>
      <c r="F108" s="201">
        <f>SUMIFS('DW P&amp;L by account 2026'!G:G,'DW P&amp;L by account 2026'!$R:$R,洗碗机!$C108)</f>
        <v>5.54769556289675</v>
      </c>
      <c r="G108" s="201">
        <f>SUMIFS('DW P&amp;L by account 2026'!H:H,'DW P&amp;L by account 2026'!$R:$R,洗碗机!$C108)</f>
        <v>5.27193081247727</v>
      </c>
      <c r="H108" s="201">
        <f>SUMIFS('DW P&amp;L by account 2026'!I:I,'DW P&amp;L by account 2026'!$R:$R,洗碗机!$C108)</f>
        <v>3.52951510639449</v>
      </c>
      <c r="I108" s="201">
        <f>SUMIFS('DW P&amp;L by account 2026'!J:J,'DW P&amp;L by account 2026'!$R:$R,洗碗机!$C108)</f>
        <v>6.31733298586487</v>
      </c>
      <c r="J108" s="201">
        <f>SUMIFS('DW P&amp;L by account 2026'!K:K,'DW P&amp;L by account 2026'!$R:$R,洗碗机!$C108)</f>
        <v>4.97926079245562</v>
      </c>
      <c r="K108" s="201">
        <f>SUMIFS('DW P&amp;L by account 2026'!L:L,'DW P&amp;L by account 2026'!$R:$R,洗碗机!$C108)</f>
        <v>4.49154294393042</v>
      </c>
      <c r="L108" s="201">
        <f>SUMIFS('DW P&amp;L by account 2026'!M:M,'DW P&amp;L by account 2026'!$R:$R,洗碗机!$C108)</f>
        <v>6.7495712397685</v>
      </c>
      <c r="M108" s="201">
        <f>SUMIFS('DW P&amp;L by account 2026'!N:N,'DW P&amp;L by account 2026'!$R:$R,洗碗机!$C108)</f>
        <v>6.00585951668221</v>
      </c>
      <c r="N108" s="201">
        <f>SUMIFS('DW P&amp;L by account 2026'!O:O,'DW P&amp;L by account 2026'!$R:$R,洗碗机!$C108)</f>
        <v>6.80703887250796</v>
      </c>
      <c r="O108" s="201">
        <f>SUMIFS('DW P&amp;L by account 2026'!P:P,'DW P&amp;L by account 2026'!$R:$R,洗碗机!$C108)</f>
        <v>4.8628968279332</v>
      </c>
      <c r="P108" s="296">
        <f t="shared" si="134"/>
        <v>65.5261467994118</v>
      </c>
      <c r="Q108" s="312">
        <f t="shared" si="135"/>
        <v>0.115970965377298</v>
      </c>
      <c r="R108" s="313">
        <f t="shared" si="136"/>
        <v>0.00290108399159962</v>
      </c>
      <c r="V108" s="201">
        <f t="shared" si="120"/>
        <v>10.9635021385005</v>
      </c>
      <c r="W108" s="201">
        <f t="shared" si="121"/>
        <v>16.5111977013972</v>
      </c>
      <c r="X108" s="201">
        <f t="shared" si="122"/>
        <v>21.7831285138745</v>
      </c>
      <c r="Y108" s="201">
        <f t="shared" si="123"/>
        <v>25.312643620269</v>
      </c>
      <c r="Z108" s="201">
        <f t="shared" si="124"/>
        <v>31.6299766061339</v>
      </c>
      <c r="AA108" s="331">
        <f t="shared" si="125"/>
        <v>36.6092373985895</v>
      </c>
      <c r="AB108" s="331">
        <f t="shared" si="126"/>
        <v>41.1007803425199</v>
      </c>
      <c r="AC108" s="331">
        <f t="shared" si="127"/>
        <v>47.8503515822884</v>
      </c>
      <c r="AD108" s="331">
        <f t="shared" si="128"/>
        <v>53.8562110989706</v>
      </c>
      <c r="AE108" s="331">
        <f t="shared" si="129"/>
        <v>60.6632499714786</v>
      </c>
      <c r="AF108" s="331">
        <f t="shared" si="130"/>
        <v>65.5261467994118</v>
      </c>
      <c r="AH108" s="295" t="e">
        <f t="shared" si="137"/>
        <v>#DIV/0!</v>
      </c>
      <c r="AI108" s="295" t="e">
        <f t="shared" si="132"/>
        <v>#DIV/0!</v>
      </c>
      <c r="AJ108" s="295" t="e">
        <f t="shared" si="132"/>
        <v>#DIV/0!</v>
      </c>
      <c r="AK108" s="295" t="e">
        <f t="shared" si="132"/>
        <v>#DIV/0!</v>
      </c>
      <c r="AL108" s="295" t="e">
        <f t="shared" si="132"/>
        <v>#DIV/0!</v>
      </c>
      <c r="AM108" s="295" t="e">
        <f t="shared" si="132"/>
        <v>#DIV/0!</v>
      </c>
      <c r="AN108" s="295" t="e">
        <f t="shared" si="132"/>
        <v>#DIV/0!</v>
      </c>
      <c r="AO108" s="295" t="e">
        <f t="shared" si="132"/>
        <v>#DIV/0!</v>
      </c>
      <c r="AP108" s="295" t="e">
        <f t="shared" si="132"/>
        <v>#DIV/0!</v>
      </c>
      <c r="AQ108" s="295" t="e">
        <f t="shared" si="132"/>
        <v>#DIV/0!</v>
      </c>
      <c r="AR108" s="295" t="e">
        <f t="shared" si="132"/>
        <v>#DIV/0!</v>
      </c>
      <c r="AT108" s="332" t="e">
        <f t="shared" si="138"/>
        <v>#DIV/0!</v>
      </c>
      <c r="AU108" s="332" t="e">
        <f t="shared" si="133"/>
        <v>#DIV/0!</v>
      </c>
      <c r="AV108" s="332" t="e">
        <f t="shared" si="133"/>
        <v>#DIV/0!</v>
      </c>
      <c r="AW108" s="332" t="e">
        <f t="shared" si="133"/>
        <v>#DIV/0!</v>
      </c>
      <c r="AX108" s="332" t="e">
        <f t="shared" si="133"/>
        <v>#DIV/0!</v>
      </c>
      <c r="AY108" s="332" t="e">
        <f t="shared" si="133"/>
        <v>#DIV/0!</v>
      </c>
      <c r="AZ108" s="332" t="e">
        <f t="shared" si="133"/>
        <v>#DIV/0!</v>
      </c>
      <c r="BA108" s="332" t="e">
        <f t="shared" si="133"/>
        <v>#DIV/0!</v>
      </c>
      <c r="BB108" s="332" t="e">
        <f t="shared" si="133"/>
        <v>#DIV/0!</v>
      </c>
      <c r="BC108" s="332" t="e">
        <f t="shared" si="133"/>
        <v>#DIV/0!</v>
      </c>
      <c r="BD108" s="332" t="e">
        <f t="shared" si="133"/>
        <v>#DIV/0!</v>
      </c>
    </row>
    <row r="109" spans="1:56">
      <c r="A109" s="299">
        <f t="shared" si="131"/>
        <v>614.218521304991</v>
      </c>
      <c r="B109" s="198"/>
      <c r="C109" s="25" t="s">
        <v>27</v>
      </c>
      <c r="D109" s="201">
        <f>SUMIFS('DW P&amp;L by account 2026'!E:E,'DW P&amp;L by account 2026'!$R:$R,洗碗机!$C109)</f>
        <v>194.748953488223</v>
      </c>
      <c r="E109" s="201">
        <f>SUMIFS('DW P&amp;L by account 2026'!F:F,'DW P&amp;L by account 2026'!$R:$R,洗碗机!$C109)</f>
        <v>207.516386811601</v>
      </c>
      <c r="F109" s="201">
        <f>SUMIFS('DW P&amp;L by account 2026'!G:G,'DW P&amp;L by account 2026'!$R:$R,洗碗机!$C109)</f>
        <v>211.953181005167</v>
      </c>
      <c r="G109" s="201">
        <f>SUMIFS('DW P&amp;L by account 2026'!H:H,'DW P&amp;L by account 2026'!$R:$R,洗碗机!$C109)</f>
        <v>204.699273934209</v>
      </c>
      <c r="H109" s="201">
        <f>SUMIFS('DW P&amp;L by account 2026'!I:I,'DW P&amp;L by account 2026'!$R:$R,洗碗机!$C109)</f>
        <v>228.484987028532</v>
      </c>
      <c r="I109" s="201">
        <f>SUMIFS('DW P&amp;L by account 2026'!J:J,'DW P&amp;L by account 2026'!$R:$R,洗碗机!$C109)</f>
        <v>217.318558084708</v>
      </c>
      <c r="J109" s="201">
        <f>SUMIFS('DW P&amp;L by account 2026'!K:K,'DW P&amp;L by account 2026'!$R:$R,洗碗机!$C109)</f>
        <v>251.552220940851</v>
      </c>
      <c r="K109" s="201">
        <f>SUMIFS('DW P&amp;L by account 2026'!L:L,'DW P&amp;L by account 2026'!$R:$R,洗碗机!$C109)</f>
        <v>229.246546818395</v>
      </c>
      <c r="L109" s="201">
        <f>SUMIFS('DW P&amp;L by account 2026'!M:M,'DW P&amp;L by account 2026'!$R:$R,洗碗机!$C109)</f>
        <v>235.05248519491</v>
      </c>
      <c r="M109" s="201">
        <f>SUMIFS('DW P&amp;L by account 2026'!N:N,'DW P&amp;L by account 2026'!$R:$R,洗碗机!$C109)</f>
        <v>218.983048179345</v>
      </c>
      <c r="N109" s="201">
        <f>SUMIFS('DW P&amp;L by account 2026'!O:O,'DW P&amp;L by account 2026'!$R:$R,洗碗机!$C109)</f>
        <v>213.595903298693</v>
      </c>
      <c r="O109" s="201">
        <f>SUMIFS('DW P&amp;L by account 2026'!P:P,'DW P&amp;L by account 2026'!$R:$R,洗碗机!$C109)</f>
        <v>288.177261580331</v>
      </c>
      <c r="P109" s="296">
        <f t="shared" si="134"/>
        <v>2701.32880636497</v>
      </c>
      <c r="Q109" s="312">
        <f t="shared" si="135"/>
        <v>4.78092677163892</v>
      </c>
      <c r="R109" s="313">
        <f t="shared" si="136"/>
        <v>0.119597781022928</v>
      </c>
      <c r="V109" s="201">
        <f t="shared" si="120"/>
        <v>402.265340299824</v>
      </c>
      <c r="W109" s="201">
        <f t="shared" si="121"/>
        <v>614.218521304991</v>
      </c>
      <c r="X109" s="201">
        <f t="shared" si="122"/>
        <v>818.9177952392</v>
      </c>
      <c r="Y109" s="201">
        <f t="shared" si="123"/>
        <v>1047.40278226773</v>
      </c>
      <c r="Z109" s="201">
        <f t="shared" si="124"/>
        <v>1264.72134035244</v>
      </c>
      <c r="AA109" s="331">
        <f t="shared" si="125"/>
        <v>1516.27356129329</v>
      </c>
      <c r="AB109" s="331">
        <f t="shared" si="126"/>
        <v>1745.52010811169</v>
      </c>
      <c r="AC109" s="331">
        <f t="shared" si="127"/>
        <v>1980.5725933066</v>
      </c>
      <c r="AD109" s="331">
        <f t="shared" si="128"/>
        <v>2199.55564148594</v>
      </c>
      <c r="AE109" s="331">
        <f t="shared" si="129"/>
        <v>2413.15154478463</v>
      </c>
      <c r="AF109" s="331">
        <f t="shared" si="130"/>
        <v>2701.32880636497</v>
      </c>
      <c r="AH109" s="295" t="e">
        <f t="shared" si="137"/>
        <v>#DIV/0!</v>
      </c>
      <c r="AI109" s="295" t="e">
        <f t="shared" si="132"/>
        <v>#DIV/0!</v>
      </c>
      <c r="AJ109" s="295" t="e">
        <f t="shared" si="132"/>
        <v>#DIV/0!</v>
      </c>
      <c r="AK109" s="295" t="e">
        <f t="shared" si="132"/>
        <v>#DIV/0!</v>
      </c>
      <c r="AL109" s="295" t="e">
        <f t="shared" si="132"/>
        <v>#DIV/0!</v>
      </c>
      <c r="AM109" s="295" t="e">
        <f t="shared" si="132"/>
        <v>#DIV/0!</v>
      </c>
      <c r="AN109" s="295" t="e">
        <f t="shared" si="132"/>
        <v>#DIV/0!</v>
      </c>
      <c r="AO109" s="295" t="e">
        <f t="shared" si="132"/>
        <v>#DIV/0!</v>
      </c>
      <c r="AP109" s="295" t="e">
        <f t="shared" si="132"/>
        <v>#DIV/0!</v>
      </c>
      <c r="AQ109" s="295" t="e">
        <f t="shared" si="132"/>
        <v>#DIV/0!</v>
      </c>
      <c r="AR109" s="295" t="e">
        <f t="shared" si="132"/>
        <v>#DIV/0!</v>
      </c>
      <c r="AT109" s="332" t="e">
        <f t="shared" si="138"/>
        <v>#DIV/0!</v>
      </c>
      <c r="AU109" s="332" t="e">
        <f t="shared" si="133"/>
        <v>#DIV/0!</v>
      </c>
      <c r="AV109" s="332" t="e">
        <f t="shared" si="133"/>
        <v>#DIV/0!</v>
      </c>
      <c r="AW109" s="332" t="e">
        <f t="shared" si="133"/>
        <v>#DIV/0!</v>
      </c>
      <c r="AX109" s="332" t="e">
        <f t="shared" si="133"/>
        <v>#DIV/0!</v>
      </c>
      <c r="AY109" s="332" t="e">
        <f t="shared" si="133"/>
        <v>#DIV/0!</v>
      </c>
      <c r="AZ109" s="332" t="e">
        <f t="shared" si="133"/>
        <v>#DIV/0!</v>
      </c>
      <c r="BA109" s="332" t="e">
        <f t="shared" si="133"/>
        <v>#DIV/0!</v>
      </c>
      <c r="BB109" s="332" t="e">
        <f t="shared" si="133"/>
        <v>#DIV/0!</v>
      </c>
      <c r="BC109" s="332" t="e">
        <f t="shared" si="133"/>
        <v>#DIV/0!</v>
      </c>
      <c r="BD109" s="332" t="e">
        <f t="shared" si="133"/>
        <v>#DIV/0!</v>
      </c>
    </row>
    <row r="110" spans="1:56">
      <c r="A110" s="299">
        <f t="shared" si="131"/>
        <v>322.194006422415</v>
      </c>
      <c r="B110" s="198"/>
      <c r="C110" s="25" t="s">
        <v>28</v>
      </c>
      <c r="D110" s="201">
        <f>SUMIFS('DW P&amp;L by account 2026'!E:E,'DW P&amp;L by account 2026'!$R:$R,洗碗机!$C110)</f>
        <v>106.579995375852</v>
      </c>
      <c r="E110" s="201">
        <f>SUMIFS('DW P&amp;L by account 2026'!F:F,'DW P&amp;L by account 2026'!$R:$R,洗碗机!$C110)</f>
        <v>112.971485589759</v>
      </c>
      <c r="F110" s="201">
        <f>SUMIFS('DW P&amp;L by account 2026'!G:G,'DW P&amp;L by account 2026'!$R:$R,洗碗机!$C110)</f>
        <v>102.642525456804</v>
      </c>
      <c r="G110" s="201">
        <f>SUMIFS('DW P&amp;L by account 2026'!H:H,'DW P&amp;L by account 2026'!$R:$R,洗碗机!$C110)</f>
        <v>104.328646472686</v>
      </c>
      <c r="H110" s="201">
        <f>SUMIFS('DW P&amp;L by account 2026'!I:I,'DW P&amp;L by account 2026'!$R:$R,洗碗机!$C110)</f>
        <v>110.758169865168</v>
      </c>
      <c r="I110" s="201">
        <f>SUMIFS('DW P&amp;L by account 2026'!J:J,'DW P&amp;L by account 2026'!$R:$R,洗碗机!$C110)</f>
        <v>107.627264902579</v>
      </c>
      <c r="J110" s="201">
        <f>SUMIFS('DW P&amp;L by account 2026'!K:K,'DW P&amp;L by account 2026'!$R:$R,洗碗机!$C110)</f>
        <v>100.464113511079</v>
      </c>
      <c r="K110" s="201">
        <f>SUMIFS('DW P&amp;L by account 2026'!L:L,'DW P&amp;L by account 2026'!$R:$R,洗碗机!$C110)</f>
        <v>101.535265035301</v>
      </c>
      <c r="L110" s="201">
        <f>SUMIFS('DW P&amp;L by account 2026'!M:M,'DW P&amp;L by account 2026'!$R:$R,洗碗机!$C110)</f>
        <v>106.971876084784</v>
      </c>
      <c r="M110" s="201">
        <f>SUMIFS('DW P&amp;L by account 2026'!N:N,'DW P&amp;L by account 2026'!$R:$R,洗碗机!$C110)</f>
        <v>100.228910781881</v>
      </c>
      <c r="N110" s="201">
        <f>SUMIFS('DW P&amp;L by account 2026'!O:O,'DW P&amp;L by account 2026'!$R:$R,洗碗机!$C110)</f>
        <v>98.5050720215048</v>
      </c>
      <c r="O110" s="201">
        <f>SUMIFS('DW P&amp;L by account 2026'!P:P,'DW P&amp;L by account 2026'!$R:$R,洗碗机!$C110)</f>
        <v>96.8108815936165</v>
      </c>
      <c r="P110" s="296">
        <f t="shared" si="134"/>
        <v>1249.42420669101</v>
      </c>
      <c r="Q110" s="312">
        <f t="shared" si="135"/>
        <v>2.21128417422864</v>
      </c>
      <c r="R110" s="313">
        <f t="shared" si="136"/>
        <v>0.0553166139288521</v>
      </c>
      <c r="V110" s="201">
        <f t="shared" si="120"/>
        <v>219.551480965612</v>
      </c>
      <c r="W110" s="201">
        <f t="shared" si="121"/>
        <v>322.194006422415</v>
      </c>
      <c r="X110" s="201">
        <f t="shared" si="122"/>
        <v>426.522652895102</v>
      </c>
      <c r="Y110" s="201">
        <f t="shared" si="123"/>
        <v>537.28082276027</v>
      </c>
      <c r="Z110" s="201">
        <f t="shared" si="124"/>
        <v>644.908087662848</v>
      </c>
      <c r="AA110" s="331">
        <f t="shared" si="125"/>
        <v>745.372201173927</v>
      </c>
      <c r="AB110" s="331">
        <f t="shared" si="126"/>
        <v>846.907466209228</v>
      </c>
      <c r="AC110" s="331">
        <f t="shared" si="127"/>
        <v>953.879342294012</v>
      </c>
      <c r="AD110" s="331">
        <f t="shared" si="128"/>
        <v>1054.10825307589</v>
      </c>
      <c r="AE110" s="331">
        <f t="shared" si="129"/>
        <v>1152.6133250974</v>
      </c>
      <c r="AF110" s="331">
        <f t="shared" si="130"/>
        <v>1249.42420669101</v>
      </c>
      <c r="AH110" s="295" t="e">
        <f t="shared" ref="AH110:AH121" si="139">V110/V$53*1000</f>
        <v>#DIV/0!</v>
      </c>
      <c r="AI110" s="295" t="e">
        <f t="shared" si="132"/>
        <v>#DIV/0!</v>
      </c>
      <c r="AJ110" s="295" t="e">
        <f t="shared" si="132"/>
        <v>#DIV/0!</v>
      </c>
      <c r="AK110" s="295" t="e">
        <f t="shared" si="132"/>
        <v>#DIV/0!</v>
      </c>
      <c r="AL110" s="295" t="e">
        <f t="shared" si="132"/>
        <v>#DIV/0!</v>
      </c>
      <c r="AM110" s="295" t="e">
        <f t="shared" si="132"/>
        <v>#DIV/0!</v>
      </c>
      <c r="AN110" s="295" t="e">
        <f t="shared" si="132"/>
        <v>#DIV/0!</v>
      </c>
      <c r="AO110" s="295" t="e">
        <f t="shared" si="132"/>
        <v>#DIV/0!</v>
      </c>
      <c r="AP110" s="295" t="e">
        <f t="shared" si="132"/>
        <v>#DIV/0!</v>
      </c>
      <c r="AQ110" s="295" t="e">
        <f t="shared" si="132"/>
        <v>#DIV/0!</v>
      </c>
      <c r="AR110" s="295" t="e">
        <f t="shared" si="132"/>
        <v>#DIV/0!</v>
      </c>
      <c r="AT110" s="332" t="e">
        <f t="shared" si="138"/>
        <v>#DIV/0!</v>
      </c>
      <c r="AU110" s="332" t="e">
        <f t="shared" si="133"/>
        <v>#DIV/0!</v>
      </c>
      <c r="AV110" s="332" t="e">
        <f t="shared" si="133"/>
        <v>#DIV/0!</v>
      </c>
      <c r="AW110" s="332" t="e">
        <f t="shared" si="133"/>
        <v>#DIV/0!</v>
      </c>
      <c r="AX110" s="332" t="e">
        <f t="shared" si="133"/>
        <v>#DIV/0!</v>
      </c>
      <c r="AY110" s="332" t="e">
        <f t="shared" si="133"/>
        <v>#DIV/0!</v>
      </c>
      <c r="AZ110" s="332" t="e">
        <f t="shared" si="133"/>
        <v>#DIV/0!</v>
      </c>
      <c r="BA110" s="332" t="e">
        <f t="shared" si="133"/>
        <v>#DIV/0!</v>
      </c>
      <c r="BB110" s="332" t="e">
        <f t="shared" si="133"/>
        <v>#DIV/0!</v>
      </c>
      <c r="BC110" s="332" t="e">
        <f t="shared" si="133"/>
        <v>#DIV/0!</v>
      </c>
      <c r="BD110" s="332" t="e">
        <f t="shared" si="133"/>
        <v>#DIV/0!</v>
      </c>
    </row>
    <row r="111" spans="1:56">
      <c r="A111" s="299">
        <f t="shared" si="131"/>
        <v>539.564953213976</v>
      </c>
      <c r="B111" s="198"/>
      <c r="C111" s="25" t="s">
        <v>29</v>
      </c>
      <c r="D111" s="201">
        <f>SUMIFS('DW P&amp;L by account 2026'!E:E,'DW P&amp;L by account 2026'!$R:$R,洗碗机!$C111)</f>
        <v>183.02969054754</v>
      </c>
      <c r="E111" s="201">
        <f>SUMIFS('DW P&amp;L by account 2026'!F:F,'DW P&amp;L by account 2026'!$R:$R,洗碗机!$C111)</f>
        <v>179.835126209558</v>
      </c>
      <c r="F111" s="201">
        <f>SUMIFS('DW P&amp;L by account 2026'!G:G,'DW P&amp;L by account 2026'!$R:$R,洗碗机!$C111)</f>
        <v>176.700136456878</v>
      </c>
      <c r="G111" s="201">
        <f>SUMIFS('DW P&amp;L by account 2026'!H:H,'DW P&amp;L by account 2026'!$R:$R,洗碗机!$C111)</f>
        <v>177.199106793068</v>
      </c>
      <c r="H111" s="201">
        <f>SUMIFS('DW P&amp;L by account 2026'!I:I,'DW P&amp;L by account 2026'!$R:$R,洗碗机!$C111)</f>
        <v>155.71007432783</v>
      </c>
      <c r="I111" s="201">
        <f>SUMIFS('DW P&amp;L by account 2026'!J:J,'DW P&amp;L by account 2026'!$R:$R,洗碗机!$C111)</f>
        <v>188.378635378216</v>
      </c>
      <c r="J111" s="201">
        <f>SUMIFS('DW P&amp;L by account 2026'!K:K,'DW P&amp;L by account 2026'!$R:$R,洗碗机!$C111)</f>
        <v>178.57403780299</v>
      </c>
      <c r="K111" s="201">
        <f>SUMIFS('DW P&amp;L by account 2026'!L:L,'DW P&amp;L by account 2026'!$R:$R,洗碗机!$C111)</f>
        <v>171.833019816727</v>
      </c>
      <c r="L111" s="201">
        <f>SUMIFS('DW P&amp;L by account 2026'!M:M,'DW P&amp;L by account 2026'!$R:$R,洗碗机!$C111)</f>
        <v>193.124342083744</v>
      </c>
      <c r="M111" s="201">
        <f>SUMIFS('DW P&amp;L by account 2026'!N:N,'DW P&amp;L by account 2026'!$R:$R,洗碗机!$C111)</f>
        <v>189.782047666748</v>
      </c>
      <c r="N111" s="201">
        <f>SUMIFS('DW P&amp;L by account 2026'!O:O,'DW P&amp;L by account 2026'!$R:$R,洗碗机!$C111)</f>
        <v>184.921950747856</v>
      </c>
      <c r="O111" s="201">
        <f>SUMIFS('DW P&amp;L by account 2026'!P:P,'DW P&amp;L by account 2026'!$R:$R,洗碗机!$C111)</f>
        <v>176.721832168844</v>
      </c>
      <c r="P111" s="296">
        <f t="shared" si="134"/>
        <v>2155.81</v>
      </c>
      <c r="Q111" s="312">
        <f t="shared" si="135"/>
        <v>3.81544435437912</v>
      </c>
      <c r="R111" s="313">
        <f t="shared" si="136"/>
        <v>0.0954456531539332</v>
      </c>
      <c r="V111" s="201">
        <f t="shared" si="120"/>
        <v>362.864816757098</v>
      </c>
      <c r="W111" s="201">
        <f t="shared" si="121"/>
        <v>539.564953213976</v>
      </c>
      <c r="X111" s="201">
        <f t="shared" si="122"/>
        <v>716.764060007045</v>
      </c>
      <c r="Y111" s="201">
        <f t="shared" si="123"/>
        <v>872.474134334875</v>
      </c>
      <c r="Z111" s="201">
        <f t="shared" si="124"/>
        <v>1060.85276971309</v>
      </c>
      <c r="AA111" s="331">
        <f t="shared" si="125"/>
        <v>1239.42680751608</v>
      </c>
      <c r="AB111" s="331">
        <f t="shared" si="126"/>
        <v>1411.25982733281</v>
      </c>
      <c r="AC111" s="331">
        <f t="shared" si="127"/>
        <v>1604.38416941655</v>
      </c>
      <c r="AD111" s="331">
        <f t="shared" si="128"/>
        <v>1794.1662170833</v>
      </c>
      <c r="AE111" s="331">
        <f t="shared" si="129"/>
        <v>1979.08816783116</v>
      </c>
      <c r="AF111" s="331">
        <f t="shared" si="130"/>
        <v>2155.81</v>
      </c>
      <c r="AH111" s="295" t="e">
        <f t="shared" si="139"/>
        <v>#DIV/0!</v>
      </c>
      <c r="AI111" s="295" t="e">
        <f t="shared" si="132"/>
        <v>#DIV/0!</v>
      </c>
      <c r="AJ111" s="295" t="e">
        <f t="shared" si="132"/>
        <v>#DIV/0!</v>
      </c>
      <c r="AK111" s="295" t="e">
        <f t="shared" si="132"/>
        <v>#DIV/0!</v>
      </c>
      <c r="AL111" s="295" t="e">
        <f t="shared" si="132"/>
        <v>#DIV/0!</v>
      </c>
      <c r="AM111" s="295" t="e">
        <f t="shared" si="132"/>
        <v>#DIV/0!</v>
      </c>
      <c r="AN111" s="295" t="e">
        <f t="shared" si="132"/>
        <v>#DIV/0!</v>
      </c>
      <c r="AO111" s="295" t="e">
        <f t="shared" si="132"/>
        <v>#DIV/0!</v>
      </c>
      <c r="AP111" s="295" t="e">
        <f t="shared" si="132"/>
        <v>#DIV/0!</v>
      </c>
      <c r="AQ111" s="295" t="e">
        <f t="shared" si="132"/>
        <v>#DIV/0!</v>
      </c>
      <c r="AR111" s="295" t="e">
        <f t="shared" si="132"/>
        <v>#DIV/0!</v>
      </c>
      <c r="AT111" s="332" t="e">
        <f t="shared" si="138"/>
        <v>#DIV/0!</v>
      </c>
      <c r="AU111" s="332" t="e">
        <f t="shared" si="133"/>
        <v>#DIV/0!</v>
      </c>
      <c r="AV111" s="332" t="e">
        <f t="shared" si="133"/>
        <v>#DIV/0!</v>
      </c>
      <c r="AW111" s="332" t="e">
        <f t="shared" si="133"/>
        <v>#DIV/0!</v>
      </c>
      <c r="AX111" s="332" t="e">
        <f t="shared" si="133"/>
        <v>#DIV/0!</v>
      </c>
      <c r="AY111" s="332" t="e">
        <f t="shared" si="133"/>
        <v>#DIV/0!</v>
      </c>
      <c r="AZ111" s="332" t="e">
        <f t="shared" si="133"/>
        <v>#DIV/0!</v>
      </c>
      <c r="BA111" s="332" t="e">
        <f t="shared" si="133"/>
        <v>#DIV/0!</v>
      </c>
      <c r="BB111" s="332" t="e">
        <f t="shared" si="133"/>
        <v>#DIV/0!</v>
      </c>
      <c r="BC111" s="332" t="e">
        <f t="shared" si="133"/>
        <v>#DIV/0!</v>
      </c>
      <c r="BD111" s="332" t="e">
        <f t="shared" si="133"/>
        <v>#DIV/0!</v>
      </c>
    </row>
    <row r="112" spans="1:56">
      <c r="A112" s="299">
        <f t="shared" si="131"/>
        <v>1538.49038373893</v>
      </c>
      <c r="B112" s="198" t="s">
        <v>30</v>
      </c>
      <c r="C112" s="25" t="s">
        <v>31</v>
      </c>
      <c r="D112" s="201">
        <f>SUMIFS('DW P&amp;L by account 2026'!E:E,'DW P&amp;L by account 2026'!$R:$R,洗碗机!$C112)</f>
        <v>484.806380547116</v>
      </c>
      <c r="E112" s="201">
        <f>SUMIFS('DW P&amp;L by account 2026'!F:F,'DW P&amp;L by account 2026'!$R:$R,洗碗机!$C112)</f>
        <v>524.315303288247</v>
      </c>
      <c r="F112" s="201">
        <f>SUMIFS('DW P&amp;L by account 2026'!G:G,'DW P&amp;L by account 2026'!$R:$R,洗碗机!$C112)</f>
        <v>529.368699903566</v>
      </c>
      <c r="G112" s="201">
        <f>SUMIFS('DW P&amp;L by account 2026'!H:H,'DW P&amp;L by account 2026'!$R:$R,洗碗机!$C112)</f>
        <v>509.438537241846</v>
      </c>
      <c r="H112" s="201">
        <f>SUMIFS('DW P&amp;L by account 2026'!I:I,'DW P&amp;L by account 2026'!$R:$R,洗碗机!$C112)</f>
        <v>578.720168494663</v>
      </c>
      <c r="I112" s="201">
        <f>SUMIFS('DW P&amp;L by account 2026'!J:J,'DW P&amp;L by account 2026'!$R:$R,洗碗机!$C112)</f>
        <v>502.710509175787</v>
      </c>
      <c r="J112" s="201">
        <f>SUMIFS('DW P&amp;L by account 2026'!K:K,'DW P&amp;L by account 2026'!$R:$R,洗碗机!$C112)</f>
        <v>450.86149193711</v>
      </c>
      <c r="K112" s="201">
        <f>SUMIFS('DW P&amp;L by account 2026'!L:L,'DW P&amp;L by account 2026'!$R:$R,洗碗机!$C112)</f>
        <v>460.101357535196</v>
      </c>
      <c r="L112" s="201">
        <f>SUMIFS('DW P&amp;L by account 2026'!M:M,'DW P&amp;L by account 2026'!$R:$R,洗碗机!$C112)</f>
        <v>549.644745249955</v>
      </c>
      <c r="M112" s="201">
        <f>SUMIFS('DW P&amp;L by account 2026'!N:N,'DW P&amp;L by account 2026'!$R:$R,洗碗机!$C112)</f>
        <v>507.15553055353</v>
      </c>
      <c r="N112" s="201">
        <f>SUMIFS('DW P&amp;L by account 2026'!O:O,'DW P&amp;L by account 2026'!$R:$R,洗碗机!$C112)</f>
        <v>487.878888345277</v>
      </c>
      <c r="O112" s="201">
        <f>SUMIFS('DW P&amp;L by account 2026'!P:P,'DW P&amp;L by account 2026'!$R:$R,洗碗机!$C112)</f>
        <v>492.362311307803</v>
      </c>
      <c r="P112" s="296">
        <f t="shared" si="134"/>
        <v>6077.36392358009</v>
      </c>
      <c r="Q112" s="312">
        <f t="shared" si="135"/>
        <v>10.7559775080972</v>
      </c>
      <c r="R112" s="313">
        <f t="shared" si="136"/>
        <v>0.269067296811988</v>
      </c>
      <c r="V112" s="201">
        <f t="shared" si="120"/>
        <v>1009.12168383536</v>
      </c>
      <c r="W112" s="201">
        <f t="shared" si="121"/>
        <v>1538.49038373893</v>
      </c>
      <c r="X112" s="201">
        <f t="shared" si="122"/>
        <v>2047.92892098077</v>
      </c>
      <c r="Y112" s="201">
        <f t="shared" si="123"/>
        <v>2626.64908947544</v>
      </c>
      <c r="Z112" s="201">
        <f t="shared" si="124"/>
        <v>3129.35959865122</v>
      </c>
      <c r="AA112" s="331">
        <f t="shared" si="125"/>
        <v>3580.22109058833</v>
      </c>
      <c r="AB112" s="331">
        <f t="shared" si="126"/>
        <v>4040.32244812353</v>
      </c>
      <c r="AC112" s="331">
        <f t="shared" si="127"/>
        <v>4589.96719337348</v>
      </c>
      <c r="AD112" s="331">
        <f t="shared" si="128"/>
        <v>5097.12272392701</v>
      </c>
      <c r="AE112" s="331">
        <f t="shared" si="129"/>
        <v>5585.00161227229</v>
      </c>
      <c r="AF112" s="331">
        <f t="shared" si="130"/>
        <v>6077.36392358009</v>
      </c>
      <c r="AH112" s="295" t="e">
        <f t="shared" si="139"/>
        <v>#DIV/0!</v>
      </c>
      <c r="AI112" s="295" t="e">
        <f t="shared" si="132"/>
        <v>#DIV/0!</v>
      </c>
      <c r="AJ112" s="295" t="e">
        <f t="shared" si="132"/>
        <v>#DIV/0!</v>
      </c>
      <c r="AK112" s="295" t="e">
        <f t="shared" si="132"/>
        <v>#DIV/0!</v>
      </c>
      <c r="AL112" s="295" t="e">
        <f t="shared" si="132"/>
        <v>#DIV/0!</v>
      </c>
      <c r="AM112" s="295" t="e">
        <f t="shared" si="132"/>
        <v>#DIV/0!</v>
      </c>
      <c r="AN112" s="295" t="e">
        <f t="shared" si="132"/>
        <v>#DIV/0!</v>
      </c>
      <c r="AO112" s="295" t="e">
        <f t="shared" si="132"/>
        <v>#DIV/0!</v>
      </c>
      <c r="AP112" s="295" t="e">
        <f t="shared" si="132"/>
        <v>#DIV/0!</v>
      </c>
      <c r="AQ112" s="295" t="e">
        <f t="shared" si="132"/>
        <v>#DIV/0!</v>
      </c>
      <c r="AR112" s="295" t="e">
        <f t="shared" si="132"/>
        <v>#DIV/0!</v>
      </c>
      <c r="AT112" s="332" t="e">
        <f t="shared" si="138"/>
        <v>#DIV/0!</v>
      </c>
      <c r="AU112" s="332" t="e">
        <f t="shared" si="133"/>
        <v>#DIV/0!</v>
      </c>
      <c r="AV112" s="332" t="e">
        <f t="shared" si="133"/>
        <v>#DIV/0!</v>
      </c>
      <c r="AW112" s="332" t="e">
        <f t="shared" si="133"/>
        <v>#DIV/0!</v>
      </c>
      <c r="AX112" s="332" t="e">
        <f t="shared" si="133"/>
        <v>#DIV/0!</v>
      </c>
      <c r="AY112" s="332" t="e">
        <f t="shared" si="133"/>
        <v>#DIV/0!</v>
      </c>
      <c r="AZ112" s="332" t="e">
        <f t="shared" si="133"/>
        <v>#DIV/0!</v>
      </c>
      <c r="BA112" s="332" t="e">
        <f t="shared" si="133"/>
        <v>#DIV/0!</v>
      </c>
      <c r="BB112" s="332" t="e">
        <f t="shared" si="133"/>
        <v>#DIV/0!</v>
      </c>
      <c r="BC112" s="332" t="e">
        <f t="shared" si="133"/>
        <v>#DIV/0!</v>
      </c>
      <c r="BD112" s="332" t="e">
        <f t="shared" si="133"/>
        <v>#DIV/0!</v>
      </c>
    </row>
    <row r="113" spans="1:56">
      <c r="A113" s="299">
        <f t="shared" si="131"/>
        <v>82.3366463300163</v>
      </c>
      <c r="B113" s="198"/>
      <c r="C113" s="25" t="s">
        <v>66</v>
      </c>
      <c r="D113" s="201">
        <f>SUMIFS('DW P&amp;L by account 2026'!E:E,'DW P&amp;L by account 2026'!$R:$R,洗碗机!$C113)</f>
        <v>27.4455487766721</v>
      </c>
      <c r="E113" s="201">
        <f>SUMIFS('DW P&amp;L by account 2026'!F:F,'DW P&amp;L by account 2026'!$R:$R,洗碗机!$C113)</f>
        <v>27.4455487766721</v>
      </c>
      <c r="F113" s="201">
        <f>SUMIFS('DW P&amp;L by account 2026'!G:G,'DW P&amp;L by account 2026'!$R:$R,洗碗机!$C113)</f>
        <v>27.4455487766721</v>
      </c>
      <c r="G113" s="201">
        <f>SUMIFS('DW P&amp;L by account 2026'!H:H,'DW P&amp;L by account 2026'!$R:$R,洗碗机!$C113)</f>
        <v>19.3217713378385</v>
      </c>
      <c r="H113" s="201">
        <f>SUMIFS('DW P&amp;L by account 2026'!I:I,'DW P&amp;L by account 2026'!$R:$R,洗碗机!$C113)</f>
        <v>14.5528841436705</v>
      </c>
      <c r="I113" s="201">
        <f>SUMIFS('DW P&amp;L by account 2026'!J:J,'DW P&amp;L by account 2026'!$R:$R,洗碗机!$C113)</f>
        <v>21.2293262155057</v>
      </c>
      <c r="J113" s="201">
        <f>SUMIFS('DW P&amp;L by account 2026'!K:K,'DW P&amp;L by account 2026'!$R:$R,洗碗机!$C113)</f>
        <v>17.4142164601713</v>
      </c>
      <c r="K113" s="201">
        <f>SUMIFS('DW P&amp;L by account 2026'!L:L,'DW P&amp;L by account 2026'!$R:$R,洗碗机!$C113)</f>
        <v>15.9855456522113</v>
      </c>
      <c r="L113" s="201">
        <f>SUMIFS('DW P&amp;L by account 2026'!M:M,'DW P&amp;L by account 2026'!$R:$R,洗碗机!$C113)</f>
        <v>21.8997639130958</v>
      </c>
      <c r="M113" s="201">
        <f>SUMIFS('DW P&amp;L by account 2026'!N:N,'DW P&amp;L by account 2026'!$R:$R,洗碗机!$C113)</f>
        <v>18.9426547826536</v>
      </c>
      <c r="N113" s="201">
        <f>SUMIFS('DW P&amp;L by account 2026'!O:O,'DW P&amp;L by account 2026'!$R:$R,洗碗机!$C113)</f>
        <v>20.9140608696151</v>
      </c>
      <c r="O113" s="201">
        <f>SUMIFS('DW P&amp;L by account 2026'!P:P,'DW P&amp;L by account 2026'!$R:$R,洗碗机!$C113)</f>
        <v>16.0194666071489</v>
      </c>
      <c r="P113" s="296">
        <f t="shared" si="134"/>
        <v>248.616336311927</v>
      </c>
      <c r="Q113" s="312">
        <f t="shared" si="135"/>
        <v>0.440011780624342</v>
      </c>
      <c r="R113" s="313">
        <f t="shared" si="136"/>
        <v>0.0110071613936431</v>
      </c>
      <c r="V113" s="201">
        <f t="shared" si="120"/>
        <v>54.8910975533442</v>
      </c>
      <c r="W113" s="201">
        <f t="shared" si="121"/>
        <v>82.3366463300163</v>
      </c>
      <c r="X113" s="201">
        <f t="shared" si="122"/>
        <v>101.658417667855</v>
      </c>
      <c r="Y113" s="201">
        <f t="shared" si="123"/>
        <v>116.211301811525</v>
      </c>
      <c r="Z113" s="201">
        <f t="shared" si="124"/>
        <v>137.440628027031</v>
      </c>
      <c r="AA113" s="331">
        <f t="shared" si="125"/>
        <v>154.854844487202</v>
      </c>
      <c r="AB113" s="331">
        <f t="shared" si="126"/>
        <v>170.840390139414</v>
      </c>
      <c r="AC113" s="331">
        <f t="shared" si="127"/>
        <v>192.740154052509</v>
      </c>
      <c r="AD113" s="331">
        <f t="shared" si="128"/>
        <v>211.682808835163</v>
      </c>
      <c r="AE113" s="331">
        <f t="shared" si="129"/>
        <v>232.596869704778</v>
      </c>
      <c r="AF113" s="331">
        <f t="shared" si="130"/>
        <v>248.616336311927</v>
      </c>
      <c r="AH113" s="295" t="e">
        <f t="shared" si="139"/>
        <v>#DIV/0!</v>
      </c>
      <c r="AI113" s="295" t="e">
        <f t="shared" si="132"/>
        <v>#DIV/0!</v>
      </c>
      <c r="AJ113" s="295" t="e">
        <f t="shared" si="132"/>
        <v>#DIV/0!</v>
      </c>
      <c r="AK113" s="295" t="e">
        <f t="shared" si="132"/>
        <v>#DIV/0!</v>
      </c>
      <c r="AL113" s="295" t="e">
        <f t="shared" si="132"/>
        <v>#DIV/0!</v>
      </c>
      <c r="AM113" s="295" t="e">
        <f t="shared" si="132"/>
        <v>#DIV/0!</v>
      </c>
      <c r="AN113" s="295" t="e">
        <f t="shared" si="132"/>
        <v>#DIV/0!</v>
      </c>
      <c r="AO113" s="295" t="e">
        <f t="shared" si="132"/>
        <v>#DIV/0!</v>
      </c>
      <c r="AP113" s="295" t="e">
        <f t="shared" si="132"/>
        <v>#DIV/0!</v>
      </c>
      <c r="AQ113" s="295" t="e">
        <f t="shared" si="132"/>
        <v>#DIV/0!</v>
      </c>
      <c r="AR113" s="295" t="e">
        <f t="shared" si="132"/>
        <v>#DIV/0!</v>
      </c>
      <c r="AT113" s="332" t="e">
        <f t="shared" si="138"/>
        <v>#DIV/0!</v>
      </c>
      <c r="AU113" s="332" t="e">
        <f t="shared" si="133"/>
        <v>#DIV/0!</v>
      </c>
      <c r="AV113" s="332" t="e">
        <f t="shared" si="133"/>
        <v>#DIV/0!</v>
      </c>
      <c r="AW113" s="332" t="e">
        <f t="shared" si="133"/>
        <v>#DIV/0!</v>
      </c>
      <c r="AX113" s="332" t="e">
        <f t="shared" si="133"/>
        <v>#DIV/0!</v>
      </c>
      <c r="AY113" s="332" t="e">
        <f t="shared" si="133"/>
        <v>#DIV/0!</v>
      </c>
      <c r="AZ113" s="332" t="e">
        <f t="shared" si="133"/>
        <v>#DIV/0!</v>
      </c>
      <c r="BA113" s="332" t="e">
        <f t="shared" si="133"/>
        <v>#DIV/0!</v>
      </c>
      <c r="BB113" s="332" t="e">
        <f t="shared" si="133"/>
        <v>#DIV/0!</v>
      </c>
      <c r="BC113" s="332" t="e">
        <f t="shared" si="133"/>
        <v>#DIV/0!</v>
      </c>
      <c r="BD113" s="332" t="e">
        <f t="shared" si="133"/>
        <v>#DIV/0!</v>
      </c>
    </row>
    <row r="114" spans="1:56">
      <c r="A114" s="299">
        <f t="shared" si="131"/>
        <v>50.19</v>
      </c>
      <c r="B114" s="198"/>
      <c r="C114" s="25" t="s">
        <v>33</v>
      </c>
      <c r="D114" s="201">
        <f>SUMIFS('DW P&amp;L by account 2026'!E:E,'DW P&amp;L by account 2026'!$R:$R,洗碗机!$C114)</f>
        <v>16.73</v>
      </c>
      <c r="E114" s="201">
        <f>SUMIFS('DW P&amp;L by account 2026'!F:F,'DW P&amp;L by account 2026'!$R:$R,洗碗机!$C114)</f>
        <v>16.73</v>
      </c>
      <c r="F114" s="201">
        <f>SUMIFS('DW P&amp;L by account 2026'!G:G,'DW P&amp;L by account 2026'!$R:$R,洗碗机!$C114)</f>
        <v>16.73</v>
      </c>
      <c r="G114" s="201">
        <f>SUMIFS('DW P&amp;L by account 2026'!H:H,'DW P&amp;L by account 2026'!$R:$R,洗碗机!$C114)</f>
        <v>15.8935</v>
      </c>
      <c r="H114" s="201">
        <f>SUMIFS('DW P&amp;L by account 2026'!I:I,'DW P&amp;L by account 2026'!$R:$R,洗碗机!$C114)</f>
        <v>11.711</v>
      </c>
      <c r="I114" s="201">
        <f>SUMIFS('DW P&amp;L by account 2026'!J:J,'DW P&amp;L by account 2026'!$R:$R,洗碗机!$C114)</f>
        <v>17.5665</v>
      </c>
      <c r="J114" s="201">
        <f>SUMIFS('DW P&amp;L by account 2026'!K:K,'DW P&amp;L by account 2026'!$R:$R,洗碗机!$C114)</f>
        <v>14.2205</v>
      </c>
      <c r="K114" s="201">
        <f>SUMIFS('DW P&amp;L by account 2026'!L:L,'DW P&amp;L by account 2026'!$R:$R,洗碗机!$C114)</f>
        <v>12.9675</v>
      </c>
      <c r="L114" s="201">
        <f>SUMIFS('DW P&amp;L by account 2026'!M:M,'DW P&amp;L by account 2026'!$R:$R,洗碗机!$C114)</f>
        <v>18.1545</v>
      </c>
      <c r="M114" s="201">
        <f>SUMIFS('DW P&amp;L by account 2026'!N:N,'DW P&amp;L by account 2026'!$R:$R,洗碗机!$C114)</f>
        <v>15.561</v>
      </c>
      <c r="N114" s="201">
        <f>SUMIFS('DW P&amp;L by account 2026'!O:O,'DW P&amp;L by account 2026'!$R:$R,洗碗机!$C114)</f>
        <v>17.29</v>
      </c>
      <c r="O114" s="201">
        <f>SUMIFS('DW P&amp;L by account 2026'!P:P,'DW P&amp;L by account 2026'!$R:$R,洗碗机!$C114)</f>
        <v>11.47725</v>
      </c>
      <c r="P114" s="296">
        <f t="shared" si="134"/>
        <v>185.03175</v>
      </c>
      <c r="Q114" s="312">
        <f t="shared" si="135"/>
        <v>0.327477071689244</v>
      </c>
      <c r="R114" s="313">
        <f t="shared" si="136"/>
        <v>0.00819203743973972</v>
      </c>
      <c r="V114" s="201">
        <f t="shared" si="120"/>
        <v>33.46</v>
      </c>
      <c r="W114" s="201">
        <f t="shared" si="121"/>
        <v>50.19</v>
      </c>
      <c r="X114" s="201">
        <f t="shared" si="122"/>
        <v>66.0835</v>
      </c>
      <c r="Y114" s="201">
        <f t="shared" si="123"/>
        <v>77.7945</v>
      </c>
      <c r="Z114" s="201">
        <f t="shared" si="124"/>
        <v>95.361</v>
      </c>
      <c r="AA114" s="331">
        <f t="shared" si="125"/>
        <v>109.5815</v>
      </c>
      <c r="AB114" s="331">
        <f t="shared" si="126"/>
        <v>122.549</v>
      </c>
      <c r="AC114" s="331">
        <f t="shared" si="127"/>
        <v>140.7035</v>
      </c>
      <c r="AD114" s="331">
        <f t="shared" si="128"/>
        <v>156.2645</v>
      </c>
      <c r="AE114" s="331">
        <f t="shared" si="129"/>
        <v>173.5545</v>
      </c>
      <c r="AF114" s="331">
        <f t="shared" si="130"/>
        <v>185.03175</v>
      </c>
      <c r="AH114" s="295" t="e">
        <f t="shared" si="139"/>
        <v>#DIV/0!</v>
      </c>
      <c r="AI114" s="295" t="e">
        <f t="shared" si="132"/>
        <v>#DIV/0!</v>
      </c>
      <c r="AJ114" s="295" t="e">
        <f t="shared" si="132"/>
        <v>#DIV/0!</v>
      </c>
      <c r="AK114" s="295" t="e">
        <f t="shared" si="132"/>
        <v>#DIV/0!</v>
      </c>
      <c r="AL114" s="295" t="e">
        <f t="shared" si="132"/>
        <v>#DIV/0!</v>
      </c>
      <c r="AM114" s="295" t="e">
        <f t="shared" si="132"/>
        <v>#DIV/0!</v>
      </c>
      <c r="AN114" s="295" t="e">
        <f t="shared" si="132"/>
        <v>#DIV/0!</v>
      </c>
      <c r="AO114" s="295" t="e">
        <f t="shared" si="132"/>
        <v>#DIV/0!</v>
      </c>
      <c r="AP114" s="295" t="e">
        <f t="shared" si="132"/>
        <v>#DIV/0!</v>
      </c>
      <c r="AQ114" s="295" t="e">
        <f t="shared" si="132"/>
        <v>#DIV/0!</v>
      </c>
      <c r="AR114" s="295" t="e">
        <f t="shared" si="132"/>
        <v>#DIV/0!</v>
      </c>
      <c r="AT114" s="332" t="e">
        <f t="shared" si="138"/>
        <v>#DIV/0!</v>
      </c>
      <c r="AU114" s="332" t="e">
        <f t="shared" si="133"/>
        <v>#DIV/0!</v>
      </c>
      <c r="AV114" s="332" t="e">
        <f t="shared" si="133"/>
        <v>#DIV/0!</v>
      </c>
      <c r="AW114" s="332" t="e">
        <f t="shared" si="133"/>
        <v>#DIV/0!</v>
      </c>
      <c r="AX114" s="332" t="e">
        <f t="shared" si="133"/>
        <v>#DIV/0!</v>
      </c>
      <c r="AY114" s="332" t="e">
        <f t="shared" si="133"/>
        <v>#DIV/0!</v>
      </c>
      <c r="AZ114" s="332" t="e">
        <f t="shared" si="133"/>
        <v>#DIV/0!</v>
      </c>
      <c r="BA114" s="332" t="e">
        <f t="shared" si="133"/>
        <v>#DIV/0!</v>
      </c>
      <c r="BB114" s="332" t="e">
        <f t="shared" si="133"/>
        <v>#DIV/0!</v>
      </c>
      <c r="BC114" s="332" t="e">
        <f t="shared" si="133"/>
        <v>#DIV/0!</v>
      </c>
      <c r="BD114" s="332" t="e">
        <f t="shared" si="133"/>
        <v>#DIV/0!</v>
      </c>
    </row>
    <row r="115" spans="1:56">
      <c r="A115" s="299">
        <f t="shared" si="131"/>
        <v>-166.088404732052</v>
      </c>
      <c r="B115" s="198"/>
      <c r="C115" s="25" t="s">
        <v>67</v>
      </c>
      <c r="D115" s="201">
        <f>SUMIFS('DW P&amp;L by account 2026'!E:E,'DW P&amp;L by account 2026'!$R:$R,洗碗机!$C115)</f>
        <v>-55.206016858543</v>
      </c>
      <c r="E115" s="201">
        <f>SUMIFS('DW P&amp;L by account 2026'!F:F,'DW P&amp;L by account 2026'!$R:$R,洗碗机!$C115)</f>
        <v>-55.3784394643972</v>
      </c>
      <c r="F115" s="201">
        <f>SUMIFS('DW P&amp;L by account 2026'!G:G,'DW P&amp;L by account 2026'!$R:$R,洗碗机!$C115)</f>
        <v>-55.5039484091121</v>
      </c>
      <c r="G115" s="201">
        <f>SUMIFS('DW P&amp;L by account 2026'!H:H,'DW P&amp;L by account 2026'!$R:$R,洗碗机!$C115)</f>
        <v>-47.8477870479016</v>
      </c>
      <c r="H115" s="201">
        <f>SUMIFS('DW P&amp;L by account 2026'!I:I,'DW P&amp;L by account 2026'!$R:$R,洗碗机!$C115)</f>
        <v>-36.2076660287627</v>
      </c>
      <c r="I115" s="201">
        <f>SUMIFS('DW P&amp;L by account 2026'!J:J,'DW P&amp;L by account 2026'!$R:$R,洗碗机!$C115)</f>
        <v>-53.0574542803541</v>
      </c>
      <c r="J115" s="201">
        <f>SUMIFS('DW P&amp;L by account 2026'!K:K,'DW P&amp;L by account 2026'!$R:$R,洗碗机!$C115)</f>
        <v>-43.8081029457106</v>
      </c>
      <c r="K115" s="201">
        <f>SUMIFS('DW P&amp;L by account 2026'!L:L,'DW P&amp;L by account 2026'!$R:$R,洗碗机!$C115)</f>
        <v>-40.4250512474956</v>
      </c>
      <c r="L115" s="201">
        <f>SUMIFS('DW P&amp;L by account 2026'!M:M,'DW P&amp;L by account 2026'!$R:$R,洗碗机!$C115)</f>
        <v>-55.8686345008739</v>
      </c>
      <c r="M115" s="201">
        <f>SUMIFS('DW P&amp;L by account 2026'!N:N,'DW P&amp;L by account 2026'!$R:$R,洗碗机!$C115)</f>
        <v>-48.224784725568</v>
      </c>
      <c r="N115" s="201">
        <f>SUMIFS('DW P&amp;L by account 2026'!O:O,'DW P&amp;L by account 2026'!$R:$R,洗碗机!$C115)</f>
        <v>-53.3075664054145</v>
      </c>
      <c r="O115" s="201">
        <f>SUMIFS('DW P&amp;L by account 2026'!P:P,'DW P&amp;L by account 2026'!$R:$R,洗碗机!$C115)</f>
        <v>-40.8186892663585</v>
      </c>
      <c r="P115" s="296">
        <f t="shared" si="134"/>
        <v>-585.654141180491</v>
      </c>
      <c r="Q115" s="312">
        <f t="shared" si="135"/>
        <v>-1.03651564218825</v>
      </c>
      <c r="R115" s="313">
        <f t="shared" si="136"/>
        <v>-0.0259290670454622</v>
      </c>
      <c r="V115" s="201">
        <f t="shared" si="120"/>
        <v>-110.58445632294</v>
      </c>
      <c r="W115" s="201">
        <f t="shared" si="121"/>
        <v>-166.088404732052</v>
      </c>
      <c r="X115" s="201">
        <f t="shared" si="122"/>
        <v>-213.936191779954</v>
      </c>
      <c r="Y115" s="201">
        <f t="shared" si="123"/>
        <v>-250.143857808717</v>
      </c>
      <c r="Z115" s="201">
        <f t="shared" si="124"/>
        <v>-303.201312089071</v>
      </c>
      <c r="AA115" s="331">
        <f t="shared" si="125"/>
        <v>-347.009415034781</v>
      </c>
      <c r="AB115" s="331">
        <f t="shared" si="126"/>
        <v>-387.434466282277</v>
      </c>
      <c r="AC115" s="331">
        <f t="shared" si="127"/>
        <v>-443.303100783151</v>
      </c>
      <c r="AD115" s="331">
        <f t="shared" si="128"/>
        <v>-491.527885508719</v>
      </c>
      <c r="AE115" s="331">
        <f t="shared" si="129"/>
        <v>-544.835451914133</v>
      </c>
      <c r="AF115" s="331">
        <f t="shared" si="130"/>
        <v>-585.654141180491</v>
      </c>
      <c r="AH115" s="295" t="e">
        <f t="shared" si="139"/>
        <v>#DIV/0!</v>
      </c>
      <c r="AI115" s="295" t="e">
        <f t="shared" si="132"/>
        <v>#DIV/0!</v>
      </c>
      <c r="AJ115" s="295" t="e">
        <f t="shared" si="132"/>
        <v>#DIV/0!</v>
      </c>
      <c r="AK115" s="295" t="e">
        <f t="shared" si="132"/>
        <v>#DIV/0!</v>
      </c>
      <c r="AL115" s="295" t="e">
        <f t="shared" si="132"/>
        <v>#DIV/0!</v>
      </c>
      <c r="AM115" s="295" t="e">
        <f t="shared" si="132"/>
        <v>#DIV/0!</v>
      </c>
      <c r="AN115" s="295" t="e">
        <f t="shared" si="132"/>
        <v>#DIV/0!</v>
      </c>
      <c r="AO115" s="295" t="e">
        <f t="shared" si="132"/>
        <v>#DIV/0!</v>
      </c>
      <c r="AP115" s="295" t="e">
        <f t="shared" si="132"/>
        <v>#DIV/0!</v>
      </c>
      <c r="AQ115" s="295" t="e">
        <f t="shared" si="132"/>
        <v>#DIV/0!</v>
      </c>
      <c r="AR115" s="295" t="e">
        <f t="shared" si="132"/>
        <v>#DIV/0!</v>
      </c>
      <c r="AT115" s="332" t="e">
        <f t="shared" si="138"/>
        <v>#DIV/0!</v>
      </c>
      <c r="AU115" s="332" t="e">
        <f t="shared" si="133"/>
        <v>#DIV/0!</v>
      </c>
      <c r="AV115" s="332" t="e">
        <f t="shared" si="133"/>
        <v>#DIV/0!</v>
      </c>
      <c r="AW115" s="332" t="e">
        <f t="shared" si="133"/>
        <v>#DIV/0!</v>
      </c>
      <c r="AX115" s="332" t="e">
        <f t="shared" si="133"/>
        <v>#DIV/0!</v>
      </c>
      <c r="AY115" s="332" t="e">
        <f t="shared" si="133"/>
        <v>#DIV/0!</v>
      </c>
      <c r="AZ115" s="332" t="e">
        <f t="shared" si="133"/>
        <v>#DIV/0!</v>
      </c>
      <c r="BA115" s="332" t="e">
        <f t="shared" si="133"/>
        <v>#DIV/0!</v>
      </c>
      <c r="BB115" s="332" t="e">
        <f t="shared" si="133"/>
        <v>#DIV/0!</v>
      </c>
      <c r="BC115" s="332" t="e">
        <f t="shared" si="133"/>
        <v>#DIV/0!</v>
      </c>
      <c r="BD115" s="332" t="e">
        <f t="shared" si="133"/>
        <v>#DIV/0!</v>
      </c>
    </row>
    <row r="116" spans="1:56">
      <c r="A116" s="299">
        <f t="shared" si="131"/>
        <v>114.052636751467</v>
      </c>
      <c r="B116" s="198"/>
      <c r="C116" s="25" t="s">
        <v>35</v>
      </c>
      <c r="D116" s="201">
        <f>SUMIFS('DW P&amp;L by account 2026'!E:E,'DW P&amp;L by account 2026'!$R:$R,洗碗机!$C116)</f>
        <v>38.5167766590173</v>
      </c>
      <c r="E116" s="201">
        <f>SUMIFS('DW P&amp;L by account 2026'!F:F,'DW P&amp;L by account 2026'!$R:$R,洗碗机!$C116)</f>
        <v>37.5913015022663</v>
      </c>
      <c r="F116" s="201">
        <f>SUMIFS('DW P&amp;L by account 2026'!G:G,'DW P&amp;L by account 2026'!$R:$R,洗碗机!$C116)</f>
        <v>37.9445585901832</v>
      </c>
      <c r="G116" s="201">
        <f>SUMIFS('DW P&amp;L by account 2026'!H:H,'DW P&amp;L by account 2026'!$R:$R,洗碗机!$C116)</f>
        <v>35.7335617260167</v>
      </c>
      <c r="H116" s="201">
        <f>SUMIFS('DW P&amp;L by account 2026'!I:I,'DW P&amp;L by account 2026'!$R:$R,洗碗机!$C116)</f>
        <v>24.0211993848668</v>
      </c>
      <c r="I116" s="201">
        <f>SUMIFS('DW P&amp;L by account 2026'!J:J,'DW P&amp;L by account 2026'!$R:$R,洗碗机!$C116)</f>
        <v>35.7620381091591</v>
      </c>
      <c r="J116" s="201">
        <f>SUMIFS('DW P&amp;L by account 2026'!K:K,'DW P&amp;L by account 2026'!$R:$R,洗碗机!$C116)</f>
        <v>29.5302698163259</v>
      </c>
      <c r="K116" s="201">
        <f>SUMIFS('DW P&amp;L by account 2026'!L:L,'DW P&amp;L by account 2026'!$R:$R,洗碗机!$C116)</f>
        <v>31.2096844958037</v>
      </c>
      <c r="L116" s="201">
        <f>SUMIFS('DW P&amp;L by account 2026'!M:M,'DW P&amp;L by account 2026'!$R:$R,洗碗机!$C116)</f>
        <v>31.5561851163005</v>
      </c>
      <c r="M116" s="201">
        <f>SUMIFS('DW P&amp;L by account 2026'!N:N,'DW P&amp;L by account 2026'!$R:$R,洗碗机!$C116)</f>
        <v>30.5692312370023</v>
      </c>
      <c r="N116" s="201">
        <f>SUMIFS('DW P&amp;L by account 2026'!O:O,'DW P&amp;L by account 2026'!$R:$R,洗碗机!$C116)</f>
        <v>41.1002523513131</v>
      </c>
      <c r="O116" s="201">
        <f>SUMIFS('DW P&amp;L by account 2026'!P:P,'DW P&amp;L by account 2026'!$R:$R,洗碗机!$C116)</f>
        <v>31.7870080351881</v>
      </c>
      <c r="P116" s="296">
        <f t="shared" si="134"/>
        <v>405.322067023443</v>
      </c>
      <c r="Q116" s="312">
        <f t="shared" si="135"/>
        <v>0.717356256966</v>
      </c>
      <c r="R116" s="313">
        <f t="shared" si="136"/>
        <v>0.0179451015742365</v>
      </c>
      <c r="V116" s="201">
        <f t="shared" si="120"/>
        <v>76.1080781612836</v>
      </c>
      <c r="W116" s="201">
        <f t="shared" si="121"/>
        <v>114.052636751467</v>
      </c>
      <c r="X116" s="201">
        <f t="shared" si="122"/>
        <v>149.786198477484</v>
      </c>
      <c r="Y116" s="201">
        <f t="shared" si="123"/>
        <v>173.80739786235</v>
      </c>
      <c r="Z116" s="201">
        <f t="shared" si="124"/>
        <v>209.569435971509</v>
      </c>
      <c r="AA116" s="331">
        <f t="shared" si="125"/>
        <v>239.099705787835</v>
      </c>
      <c r="AB116" s="331">
        <f t="shared" si="126"/>
        <v>270.309390283639</v>
      </c>
      <c r="AC116" s="331">
        <f t="shared" si="127"/>
        <v>301.865575399939</v>
      </c>
      <c r="AD116" s="331">
        <f t="shared" si="128"/>
        <v>332.434806636942</v>
      </c>
      <c r="AE116" s="331">
        <f t="shared" si="129"/>
        <v>373.535058988255</v>
      </c>
      <c r="AF116" s="331">
        <f t="shared" si="130"/>
        <v>405.322067023443</v>
      </c>
      <c r="AH116" s="295" t="e">
        <f t="shared" si="139"/>
        <v>#DIV/0!</v>
      </c>
      <c r="AI116" s="295" t="e">
        <f t="shared" si="132"/>
        <v>#DIV/0!</v>
      </c>
      <c r="AJ116" s="295" t="e">
        <f t="shared" si="132"/>
        <v>#DIV/0!</v>
      </c>
      <c r="AK116" s="295" t="e">
        <f t="shared" si="132"/>
        <v>#DIV/0!</v>
      </c>
      <c r="AL116" s="295" t="e">
        <f t="shared" si="132"/>
        <v>#DIV/0!</v>
      </c>
      <c r="AM116" s="295" t="e">
        <f t="shared" si="132"/>
        <v>#DIV/0!</v>
      </c>
      <c r="AN116" s="295" t="e">
        <f t="shared" si="132"/>
        <v>#DIV/0!</v>
      </c>
      <c r="AO116" s="295" t="e">
        <f t="shared" si="132"/>
        <v>#DIV/0!</v>
      </c>
      <c r="AP116" s="295" t="e">
        <f t="shared" si="132"/>
        <v>#DIV/0!</v>
      </c>
      <c r="AQ116" s="295" t="e">
        <f t="shared" si="132"/>
        <v>#DIV/0!</v>
      </c>
      <c r="AR116" s="295" t="e">
        <f t="shared" si="132"/>
        <v>#DIV/0!</v>
      </c>
      <c r="AT116" s="332" t="e">
        <f t="shared" si="138"/>
        <v>#DIV/0!</v>
      </c>
      <c r="AU116" s="332" t="e">
        <f t="shared" si="133"/>
        <v>#DIV/0!</v>
      </c>
      <c r="AV116" s="332" t="e">
        <f t="shared" si="133"/>
        <v>#DIV/0!</v>
      </c>
      <c r="AW116" s="332" t="e">
        <f t="shared" si="133"/>
        <v>#DIV/0!</v>
      </c>
      <c r="AX116" s="332" t="e">
        <f t="shared" si="133"/>
        <v>#DIV/0!</v>
      </c>
      <c r="AY116" s="332" t="e">
        <f t="shared" si="133"/>
        <v>#DIV/0!</v>
      </c>
      <c r="AZ116" s="332" t="e">
        <f t="shared" si="133"/>
        <v>#DIV/0!</v>
      </c>
      <c r="BA116" s="332" t="e">
        <f t="shared" si="133"/>
        <v>#DIV/0!</v>
      </c>
      <c r="BB116" s="332" t="e">
        <f t="shared" si="133"/>
        <v>#DIV/0!</v>
      </c>
      <c r="BC116" s="332" t="e">
        <f t="shared" si="133"/>
        <v>#DIV/0!</v>
      </c>
      <c r="BD116" s="332" t="e">
        <f t="shared" si="133"/>
        <v>#DIV/0!</v>
      </c>
    </row>
    <row r="117" spans="1:56">
      <c r="A117" s="299">
        <f t="shared" si="131"/>
        <v>575.282242233498</v>
      </c>
      <c r="B117" s="320" t="s">
        <v>36</v>
      </c>
      <c r="C117" s="319" t="s">
        <v>37</v>
      </c>
      <c r="D117" s="341">
        <f>SUMIFS('DW P&amp;L by account 2026'!E:E,'DW P&amp;L by account 2026'!$R:$R,洗碗机!$C117)</f>
        <v>191.454863615893</v>
      </c>
      <c r="E117" s="341">
        <f>SUMIFS('DW P&amp;L by account 2026'!F:F,'DW P&amp;L by account 2026'!$R:$R,洗碗机!$C117)</f>
        <v>191.918524221513</v>
      </c>
      <c r="F117" s="341">
        <f>SUMIFS('DW P&amp;L by account 2026'!G:G,'DW P&amp;L by account 2026'!$R:$R,洗碗机!$C117)</f>
        <v>191.908854396093</v>
      </c>
      <c r="G117" s="341">
        <f>SUMIFS('DW P&amp;L by account 2026'!H:H,'DW P&amp;L by account 2026'!$R:$R,洗碗机!$C117)</f>
        <v>191.750932610307</v>
      </c>
      <c r="H117" s="341">
        <f>SUMIFS('DW P&amp;L by account 2026'!I:I,'DW P&amp;L by account 2026'!$R:$R,洗碗机!$C117)</f>
        <v>192.487976339279</v>
      </c>
      <c r="I117" s="341">
        <f>SUMIFS('DW P&amp;L by account 2026'!J:J,'DW P&amp;L by account 2026'!$R:$R,洗碗机!$C117)</f>
        <v>191.757839880185</v>
      </c>
      <c r="J117" s="341">
        <f>SUMIFS('DW P&amp;L by account 2026'!K:K,'DW P&amp;L by account 2026'!$R:$R,洗碗机!$C117)</f>
        <v>192.354763227429</v>
      </c>
      <c r="K117" s="341">
        <f>SUMIFS('DW P&amp;L by account 2026'!L:L,'DW P&amp;L by account 2026'!$R:$R,洗碗机!$C117)</f>
        <v>192.254716106237</v>
      </c>
      <c r="L117" s="341">
        <f>SUMIFS('DW P&amp;L by account 2026'!M:M,'DW P&amp;L by account 2026'!$R:$R,洗碗机!$C117)</f>
        <v>192.939285340208</v>
      </c>
      <c r="M117" s="341">
        <f>SUMIFS('DW P&amp;L by account 2026'!N:N,'DW P&amp;L by account 2026'!$R:$R,洗碗机!$C117)</f>
        <v>192.463460897634</v>
      </c>
      <c r="N117" s="341">
        <f>SUMIFS('DW P&amp;L by account 2026'!O:O,'DW P&amp;L by account 2026'!$R:$R,洗碗机!$C117)</f>
        <v>192.361267410253</v>
      </c>
      <c r="O117" s="341">
        <f>SUMIFS('DW P&amp;L by account 2026'!P:P,'DW P&amp;L by account 2026'!$R:$R,洗碗机!$C117)</f>
        <v>192.794047613144</v>
      </c>
      <c r="P117" s="303">
        <f t="shared" ref="P117:P120" si="140">SUM(D117:O117)</f>
        <v>2306.44653165817</v>
      </c>
      <c r="Q117" s="312">
        <f t="shared" si="135"/>
        <v>4.08204730374777</v>
      </c>
      <c r="R117" s="313">
        <f t="shared" si="136"/>
        <v>0.102114887526609</v>
      </c>
      <c r="V117" s="201">
        <f t="shared" si="120"/>
        <v>383.373387837406</v>
      </c>
      <c r="W117" s="201">
        <f t="shared" si="121"/>
        <v>575.282242233498</v>
      </c>
      <c r="X117" s="201">
        <f t="shared" si="122"/>
        <v>767.033174843806</v>
      </c>
      <c r="Y117" s="201">
        <f t="shared" si="123"/>
        <v>959.521151183085</v>
      </c>
      <c r="Z117" s="201">
        <f t="shared" si="124"/>
        <v>1151.27899106327</v>
      </c>
      <c r="AA117" s="331">
        <f t="shared" si="125"/>
        <v>1343.6337542907</v>
      </c>
      <c r="AB117" s="331">
        <f t="shared" si="126"/>
        <v>1535.88847039694</v>
      </c>
      <c r="AC117" s="331">
        <f t="shared" si="127"/>
        <v>1728.82775573714</v>
      </c>
      <c r="AD117" s="331">
        <f t="shared" si="128"/>
        <v>1921.29121663478</v>
      </c>
      <c r="AE117" s="331">
        <f t="shared" si="129"/>
        <v>2113.65248404503</v>
      </c>
      <c r="AF117" s="331">
        <f t="shared" si="130"/>
        <v>2306.44653165817</v>
      </c>
      <c r="AH117" s="295" t="e">
        <f t="shared" si="139"/>
        <v>#DIV/0!</v>
      </c>
      <c r="AI117" s="295" t="e">
        <f t="shared" si="132"/>
        <v>#DIV/0!</v>
      </c>
      <c r="AJ117" s="295" t="e">
        <f t="shared" si="132"/>
        <v>#DIV/0!</v>
      </c>
      <c r="AK117" s="295" t="e">
        <f t="shared" si="132"/>
        <v>#DIV/0!</v>
      </c>
      <c r="AL117" s="295" t="e">
        <f t="shared" si="132"/>
        <v>#DIV/0!</v>
      </c>
      <c r="AM117" s="295" t="e">
        <f t="shared" si="132"/>
        <v>#DIV/0!</v>
      </c>
      <c r="AN117" s="295" t="e">
        <f t="shared" si="132"/>
        <v>#DIV/0!</v>
      </c>
      <c r="AO117" s="295" t="e">
        <f t="shared" si="132"/>
        <v>#DIV/0!</v>
      </c>
      <c r="AP117" s="295" t="e">
        <f t="shared" si="132"/>
        <v>#DIV/0!</v>
      </c>
      <c r="AQ117" s="295" t="e">
        <f t="shared" si="132"/>
        <v>#DIV/0!</v>
      </c>
      <c r="AR117" s="295" t="e">
        <f t="shared" si="132"/>
        <v>#DIV/0!</v>
      </c>
      <c r="AT117" s="332" t="e">
        <f t="shared" si="138"/>
        <v>#DIV/0!</v>
      </c>
      <c r="AU117" s="332" t="e">
        <f t="shared" si="133"/>
        <v>#DIV/0!</v>
      </c>
      <c r="AV117" s="332" t="e">
        <f t="shared" si="133"/>
        <v>#DIV/0!</v>
      </c>
      <c r="AW117" s="332" t="e">
        <f t="shared" si="133"/>
        <v>#DIV/0!</v>
      </c>
      <c r="AX117" s="332" t="e">
        <f t="shared" si="133"/>
        <v>#DIV/0!</v>
      </c>
      <c r="AY117" s="332" t="e">
        <f t="shared" si="133"/>
        <v>#DIV/0!</v>
      </c>
      <c r="AZ117" s="332" t="e">
        <f t="shared" si="133"/>
        <v>#DIV/0!</v>
      </c>
      <c r="BA117" s="332" t="e">
        <f t="shared" si="133"/>
        <v>#DIV/0!</v>
      </c>
      <c r="BB117" s="332" t="e">
        <f t="shared" si="133"/>
        <v>#DIV/0!</v>
      </c>
      <c r="BC117" s="332" t="e">
        <f t="shared" si="133"/>
        <v>#DIV/0!</v>
      </c>
      <c r="BD117" s="332" t="e">
        <f t="shared" si="133"/>
        <v>#DIV/0!</v>
      </c>
    </row>
    <row r="118" spans="1:56">
      <c r="A118" s="299">
        <f t="shared" si="131"/>
        <v>272.0916675</v>
      </c>
      <c r="B118" s="320"/>
      <c r="C118" s="319" t="s">
        <v>38</v>
      </c>
      <c r="D118" s="341">
        <f>SUMIFS('DW P&amp;L by account 2026'!E:E,'DW P&amp;L by account 2026'!$R:$R,洗碗机!$C118)</f>
        <v>90.6972225</v>
      </c>
      <c r="E118" s="341">
        <f>SUMIFS('DW P&amp;L by account 2026'!F:F,'DW P&amp;L by account 2026'!$R:$R,洗碗机!$C118)</f>
        <v>90.6972225</v>
      </c>
      <c r="F118" s="341">
        <f>SUMIFS('DW P&amp;L by account 2026'!G:G,'DW P&amp;L by account 2026'!$R:$R,洗碗机!$C118)</f>
        <v>90.6972225</v>
      </c>
      <c r="G118" s="341">
        <f>SUMIFS('DW P&amp;L by account 2026'!H:H,'DW P&amp;L by account 2026'!$R:$R,洗碗机!$C118)</f>
        <v>90.6972225</v>
      </c>
      <c r="H118" s="341">
        <f>SUMIFS('DW P&amp;L by account 2026'!I:I,'DW P&amp;L by account 2026'!$R:$R,洗碗机!$C118)</f>
        <v>90.6972225</v>
      </c>
      <c r="I118" s="341">
        <f>SUMIFS('DW P&amp;L by account 2026'!J:J,'DW P&amp;L by account 2026'!$R:$R,洗碗机!$C118)</f>
        <v>90.6972225</v>
      </c>
      <c r="J118" s="341">
        <f>SUMIFS('DW P&amp;L by account 2026'!K:K,'DW P&amp;L by account 2026'!$R:$R,洗碗机!$C118)</f>
        <v>90.6972225</v>
      </c>
      <c r="K118" s="341">
        <f>SUMIFS('DW P&amp;L by account 2026'!L:L,'DW P&amp;L by account 2026'!$R:$R,洗碗机!$C118)</f>
        <v>90.6972225</v>
      </c>
      <c r="L118" s="341">
        <f>SUMIFS('DW P&amp;L by account 2026'!M:M,'DW P&amp;L by account 2026'!$R:$R,洗碗机!$C118)</f>
        <v>90.6972225</v>
      </c>
      <c r="M118" s="341">
        <f>SUMIFS('DW P&amp;L by account 2026'!N:N,'DW P&amp;L by account 2026'!$R:$R,洗碗机!$C118)</f>
        <v>90.6972225</v>
      </c>
      <c r="N118" s="341">
        <f>SUMIFS('DW P&amp;L by account 2026'!O:O,'DW P&amp;L by account 2026'!$R:$R,洗碗机!$C118)</f>
        <v>90.6972225</v>
      </c>
      <c r="O118" s="341">
        <f>SUMIFS('DW P&amp;L by account 2026'!P:P,'DW P&amp;L by account 2026'!$R:$R,洗碗机!$C118)</f>
        <v>90.6972225</v>
      </c>
      <c r="P118" s="303">
        <f t="shared" si="140"/>
        <v>1088.36667</v>
      </c>
      <c r="Q118" s="198"/>
      <c r="R118" s="198"/>
      <c r="S118" s="198"/>
      <c r="V118" s="201">
        <f t="shared" si="120"/>
        <v>181.394445</v>
      </c>
      <c r="W118" s="201">
        <f t="shared" si="121"/>
        <v>272.0916675</v>
      </c>
      <c r="X118" s="201">
        <f t="shared" si="122"/>
        <v>362.78889</v>
      </c>
      <c r="Y118" s="201">
        <f t="shared" si="123"/>
        <v>453.4861125</v>
      </c>
      <c r="Z118" s="201">
        <f t="shared" si="124"/>
        <v>544.183335</v>
      </c>
      <c r="AA118" s="331">
        <f t="shared" si="125"/>
        <v>634.8805575</v>
      </c>
      <c r="AB118" s="331">
        <f t="shared" si="126"/>
        <v>725.57778</v>
      </c>
      <c r="AC118" s="331">
        <f t="shared" si="127"/>
        <v>816.2750025</v>
      </c>
      <c r="AD118" s="331">
        <f t="shared" si="128"/>
        <v>906.972225</v>
      </c>
      <c r="AE118" s="331">
        <f t="shared" si="129"/>
        <v>997.6694475</v>
      </c>
      <c r="AF118" s="331">
        <f t="shared" si="130"/>
        <v>1088.36667</v>
      </c>
      <c r="AH118" s="295" t="e">
        <f t="shared" si="139"/>
        <v>#DIV/0!</v>
      </c>
      <c r="AI118" s="295" t="e">
        <f t="shared" si="132"/>
        <v>#DIV/0!</v>
      </c>
      <c r="AJ118" s="295" t="e">
        <f t="shared" si="132"/>
        <v>#DIV/0!</v>
      </c>
      <c r="AK118" s="295" t="e">
        <f t="shared" si="132"/>
        <v>#DIV/0!</v>
      </c>
      <c r="AL118" s="295" t="e">
        <f t="shared" si="132"/>
        <v>#DIV/0!</v>
      </c>
      <c r="AM118" s="295" t="e">
        <f t="shared" si="132"/>
        <v>#DIV/0!</v>
      </c>
      <c r="AN118" s="295" t="e">
        <f t="shared" si="132"/>
        <v>#DIV/0!</v>
      </c>
      <c r="AO118" s="295" t="e">
        <f t="shared" si="132"/>
        <v>#DIV/0!</v>
      </c>
      <c r="AP118" s="295" t="e">
        <f t="shared" si="132"/>
        <v>#DIV/0!</v>
      </c>
      <c r="AQ118" s="295" t="e">
        <f t="shared" si="132"/>
        <v>#DIV/0!</v>
      </c>
      <c r="AR118" s="295" t="e">
        <f t="shared" si="132"/>
        <v>#DIV/0!</v>
      </c>
      <c r="AT118" s="332" t="e">
        <f t="shared" si="138"/>
        <v>#DIV/0!</v>
      </c>
      <c r="AU118" s="332" t="e">
        <f t="shared" si="133"/>
        <v>#DIV/0!</v>
      </c>
      <c r="AV118" s="332" t="e">
        <f t="shared" si="133"/>
        <v>#DIV/0!</v>
      </c>
      <c r="AW118" s="332" t="e">
        <f t="shared" si="133"/>
        <v>#DIV/0!</v>
      </c>
      <c r="AX118" s="332" t="e">
        <f t="shared" si="133"/>
        <v>#DIV/0!</v>
      </c>
      <c r="AY118" s="332" t="e">
        <f t="shared" si="133"/>
        <v>#DIV/0!</v>
      </c>
      <c r="AZ118" s="332" t="e">
        <f t="shared" si="133"/>
        <v>#DIV/0!</v>
      </c>
      <c r="BA118" s="332" t="e">
        <f t="shared" si="133"/>
        <v>#DIV/0!</v>
      </c>
      <c r="BB118" s="332" t="e">
        <f t="shared" si="133"/>
        <v>#DIV/0!</v>
      </c>
      <c r="BC118" s="332" t="e">
        <f t="shared" si="133"/>
        <v>#DIV/0!</v>
      </c>
      <c r="BD118" s="332" t="e">
        <f t="shared" si="133"/>
        <v>#DIV/0!</v>
      </c>
    </row>
    <row r="119" spans="1:56">
      <c r="A119" s="299">
        <f t="shared" si="131"/>
        <v>20.2651237115878</v>
      </c>
      <c r="B119" s="320"/>
      <c r="C119" s="319" t="s">
        <v>39</v>
      </c>
      <c r="D119" s="341">
        <f>SUMIFS('DW P&amp;L by account 2026'!E:E,'DW P&amp;L by account 2026'!$R:$R,洗碗机!$C119)</f>
        <v>6.52546918407845</v>
      </c>
      <c r="E119" s="341">
        <f>SUMIFS('DW P&amp;L by account 2026'!F:F,'DW P&amp;L by account 2026'!$R:$R,洗碗机!$C119)</f>
        <v>6.87466217646497</v>
      </c>
      <c r="F119" s="341">
        <f>SUMIFS('DW P&amp;L by account 2026'!G:G,'DW P&amp;L by account 2026'!$R:$R,洗碗机!$C119)</f>
        <v>6.86499235104439</v>
      </c>
      <c r="G119" s="341">
        <f>SUMIFS('DW P&amp;L by account 2026'!H:H,'DW P&amp;L by account 2026'!$R:$R,洗碗机!$C119)</f>
        <v>6.70707056525902</v>
      </c>
      <c r="H119" s="341">
        <f>SUMIFS('DW P&amp;L by account 2026'!I:I,'DW P&amp;L by account 2026'!$R:$R,洗碗机!$C119)</f>
        <v>7.36333162061196</v>
      </c>
      <c r="I119" s="341">
        <f>SUMIFS('DW P&amp;L by account 2026'!J:J,'DW P&amp;L by account 2026'!$R:$R,洗碗机!$C119)</f>
        <v>7.02117127005382</v>
      </c>
      <c r="J119" s="341">
        <f>SUMIFS('DW P&amp;L by account 2026'!K:K,'DW P&amp;L by account 2026'!$R:$R,洗碗机!$C119)</f>
        <v>6.87082787846284</v>
      </c>
      <c r="K119" s="341">
        <f>SUMIFS('DW P&amp;L by account 2026'!L:L,'DW P&amp;L by account 2026'!$R:$R,洗碗机!$C119)</f>
        <v>6.79822216344767</v>
      </c>
      <c r="L119" s="341">
        <f>SUMIFS('DW P&amp;L by account 2026'!M:M,'DW P&amp;L by account 2026'!$R:$R,洗碗机!$C119)</f>
        <v>7.45534999124164</v>
      </c>
      <c r="M119" s="341">
        <f>SUMIFS('DW P&amp;L by account 2026'!N:N,'DW P&amp;L by account 2026'!$R:$R,洗碗机!$C119)</f>
        <v>7.03440836102026</v>
      </c>
      <c r="N119" s="341">
        <f>SUMIFS('DW P&amp;L by account 2026'!O:O,'DW P&amp;L by account 2026'!$R:$R,洗碗机!$C119)</f>
        <v>6.85996467786249</v>
      </c>
      <c r="O119" s="341">
        <f>SUMIFS('DW P&amp;L by account 2026'!P:P,'DW P&amp;L by account 2026'!$R:$R,洗碗机!$C119)</f>
        <v>7.32036005919851</v>
      </c>
      <c r="P119" s="303">
        <f t="shared" si="140"/>
        <v>83.695830298746</v>
      </c>
      <c r="Q119" s="198"/>
      <c r="R119" s="198"/>
      <c r="S119" s="198"/>
      <c r="V119" s="201">
        <f t="shared" si="120"/>
        <v>13.4001313605434</v>
      </c>
      <c r="W119" s="201">
        <f t="shared" si="121"/>
        <v>20.2651237115878</v>
      </c>
      <c r="X119" s="201">
        <f t="shared" si="122"/>
        <v>26.9721942768468</v>
      </c>
      <c r="Y119" s="201">
        <f t="shared" si="123"/>
        <v>34.3355258974588</v>
      </c>
      <c r="Z119" s="201">
        <f t="shared" si="124"/>
        <v>41.3566971675126</v>
      </c>
      <c r="AA119" s="331">
        <f t="shared" si="125"/>
        <v>48.2275250459755</v>
      </c>
      <c r="AB119" s="331">
        <f t="shared" si="126"/>
        <v>55.0257472094231</v>
      </c>
      <c r="AC119" s="331">
        <f t="shared" si="127"/>
        <v>62.4810972006648</v>
      </c>
      <c r="AD119" s="331">
        <f t="shared" si="128"/>
        <v>69.515505561685</v>
      </c>
      <c r="AE119" s="331">
        <f t="shared" si="129"/>
        <v>76.3754702395475</v>
      </c>
      <c r="AF119" s="331">
        <f t="shared" si="130"/>
        <v>83.695830298746</v>
      </c>
      <c r="AH119" s="295" t="e">
        <f t="shared" si="139"/>
        <v>#DIV/0!</v>
      </c>
      <c r="AI119" s="295" t="e">
        <f t="shared" si="132"/>
        <v>#DIV/0!</v>
      </c>
      <c r="AJ119" s="295" t="e">
        <f t="shared" si="132"/>
        <v>#DIV/0!</v>
      </c>
      <c r="AK119" s="295" t="e">
        <f t="shared" si="132"/>
        <v>#DIV/0!</v>
      </c>
      <c r="AL119" s="295" t="e">
        <f t="shared" si="132"/>
        <v>#DIV/0!</v>
      </c>
      <c r="AM119" s="295" t="e">
        <f t="shared" si="132"/>
        <v>#DIV/0!</v>
      </c>
      <c r="AN119" s="295" t="e">
        <f t="shared" si="132"/>
        <v>#DIV/0!</v>
      </c>
      <c r="AO119" s="295" t="e">
        <f t="shared" si="132"/>
        <v>#DIV/0!</v>
      </c>
      <c r="AP119" s="295" t="e">
        <f t="shared" si="132"/>
        <v>#DIV/0!</v>
      </c>
      <c r="AQ119" s="295" t="e">
        <f t="shared" si="132"/>
        <v>#DIV/0!</v>
      </c>
      <c r="AR119" s="295" t="e">
        <f t="shared" si="132"/>
        <v>#DIV/0!</v>
      </c>
      <c r="AT119" s="332" t="e">
        <f t="shared" si="138"/>
        <v>#DIV/0!</v>
      </c>
      <c r="AU119" s="332" t="e">
        <f t="shared" si="133"/>
        <v>#DIV/0!</v>
      </c>
      <c r="AV119" s="332" t="e">
        <f t="shared" si="133"/>
        <v>#DIV/0!</v>
      </c>
      <c r="AW119" s="332" t="e">
        <f t="shared" si="133"/>
        <v>#DIV/0!</v>
      </c>
      <c r="AX119" s="332" t="e">
        <f t="shared" si="133"/>
        <v>#DIV/0!</v>
      </c>
      <c r="AY119" s="332" t="e">
        <f t="shared" si="133"/>
        <v>#DIV/0!</v>
      </c>
      <c r="AZ119" s="332" t="e">
        <f t="shared" si="133"/>
        <v>#DIV/0!</v>
      </c>
      <c r="BA119" s="332" t="e">
        <f t="shared" si="133"/>
        <v>#DIV/0!</v>
      </c>
      <c r="BB119" s="332" t="e">
        <f t="shared" si="133"/>
        <v>#DIV/0!</v>
      </c>
      <c r="BC119" s="332" t="e">
        <f t="shared" si="133"/>
        <v>#DIV/0!</v>
      </c>
      <c r="BD119" s="332" t="e">
        <f t="shared" si="133"/>
        <v>#DIV/0!</v>
      </c>
    </row>
    <row r="120" spans="1:56">
      <c r="A120" s="299">
        <f t="shared" si="131"/>
        <v>282.925451021911</v>
      </c>
      <c r="B120" s="320"/>
      <c r="C120" s="319" t="s">
        <v>40</v>
      </c>
      <c r="D120" s="341">
        <f>D117-D118-D119</f>
        <v>94.2321719318142</v>
      </c>
      <c r="E120" s="341">
        <f t="shared" ref="E120:O120" si="141">E117-E118-E119</f>
        <v>94.3466395450482</v>
      </c>
      <c r="F120" s="341">
        <f t="shared" si="141"/>
        <v>94.3466395450482</v>
      </c>
      <c r="G120" s="341">
        <f t="shared" si="141"/>
        <v>94.3466395450482</v>
      </c>
      <c r="H120" s="341">
        <f t="shared" si="141"/>
        <v>94.4274222186673</v>
      </c>
      <c r="I120" s="341">
        <f t="shared" si="141"/>
        <v>94.0394461101316</v>
      </c>
      <c r="J120" s="341">
        <f t="shared" si="141"/>
        <v>94.786712848966</v>
      </c>
      <c r="K120" s="341">
        <f t="shared" si="141"/>
        <v>94.7592714427897</v>
      </c>
      <c r="L120" s="341">
        <f t="shared" si="141"/>
        <v>94.786712848966</v>
      </c>
      <c r="M120" s="341">
        <f t="shared" si="141"/>
        <v>94.7318300366134</v>
      </c>
      <c r="N120" s="341">
        <f t="shared" si="141"/>
        <v>94.8040802323905</v>
      </c>
      <c r="O120" s="341">
        <f t="shared" si="141"/>
        <v>94.7764650539452</v>
      </c>
      <c r="P120" s="303">
        <f t="shared" si="140"/>
        <v>1134.38403135943</v>
      </c>
      <c r="Q120" s="198"/>
      <c r="R120" s="198"/>
      <c r="S120" s="198"/>
      <c r="V120" s="201">
        <f t="shared" si="120"/>
        <v>188.578811476862</v>
      </c>
      <c r="W120" s="201">
        <f t="shared" si="121"/>
        <v>282.925451021911</v>
      </c>
      <c r="X120" s="201">
        <f t="shared" si="122"/>
        <v>377.272090566959</v>
      </c>
      <c r="Y120" s="201">
        <f t="shared" si="123"/>
        <v>471.699512785626</v>
      </c>
      <c r="Z120" s="201">
        <f t="shared" si="124"/>
        <v>565.738958895758</v>
      </c>
      <c r="AA120" s="331">
        <f t="shared" si="125"/>
        <v>660.525671744724</v>
      </c>
      <c r="AB120" s="331">
        <f t="shared" si="126"/>
        <v>755.284943187514</v>
      </c>
      <c r="AC120" s="331">
        <f t="shared" si="127"/>
        <v>850.07165603648</v>
      </c>
      <c r="AD120" s="331">
        <f t="shared" si="128"/>
        <v>944.803486073093</v>
      </c>
      <c r="AE120" s="331">
        <f t="shared" si="129"/>
        <v>1039.60756630548</v>
      </c>
      <c r="AF120" s="331">
        <f t="shared" si="130"/>
        <v>1134.38403135943</v>
      </c>
      <c r="AH120" s="295" t="e">
        <f t="shared" si="139"/>
        <v>#DIV/0!</v>
      </c>
      <c r="AI120" s="295" t="e">
        <f t="shared" si="132"/>
        <v>#DIV/0!</v>
      </c>
      <c r="AJ120" s="295" t="e">
        <f t="shared" si="132"/>
        <v>#DIV/0!</v>
      </c>
      <c r="AK120" s="295" t="e">
        <f t="shared" si="132"/>
        <v>#DIV/0!</v>
      </c>
      <c r="AL120" s="295" t="e">
        <f t="shared" si="132"/>
        <v>#DIV/0!</v>
      </c>
      <c r="AM120" s="295" t="e">
        <f t="shared" si="132"/>
        <v>#DIV/0!</v>
      </c>
      <c r="AN120" s="295" t="e">
        <f t="shared" si="132"/>
        <v>#DIV/0!</v>
      </c>
      <c r="AO120" s="295" t="e">
        <f t="shared" si="132"/>
        <v>#DIV/0!</v>
      </c>
      <c r="AP120" s="295" t="e">
        <f t="shared" si="132"/>
        <v>#DIV/0!</v>
      </c>
      <c r="AQ120" s="295" t="e">
        <f t="shared" si="132"/>
        <v>#DIV/0!</v>
      </c>
      <c r="AR120" s="295" t="e">
        <f t="shared" si="132"/>
        <v>#DIV/0!</v>
      </c>
      <c r="AT120" s="332" t="e">
        <f t="shared" si="138"/>
        <v>#DIV/0!</v>
      </c>
      <c r="AU120" s="332" t="e">
        <f t="shared" si="133"/>
        <v>#DIV/0!</v>
      </c>
      <c r="AV120" s="332" t="e">
        <f t="shared" si="133"/>
        <v>#DIV/0!</v>
      </c>
      <c r="AW120" s="332" t="e">
        <f t="shared" si="133"/>
        <v>#DIV/0!</v>
      </c>
      <c r="AX120" s="332" t="e">
        <f t="shared" si="133"/>
        <v>#DIV/0!</v>
      </c>
      <c r="AY120" s="332" t="e">
        <f t="shared" si="133"/>
        <v>#DIV/0!</v>
      </c>
      <c r="AZ120" s="332" t="e">
        <f t="shared" si="133"/>
        <v>#DIV/0!</v>
      </c>
      <c r="BA120" s="332" t="e">
        <f t="shared" si="133"/>
        <v>#DIV/0!</v>
      </c>
      <c r="BB120" s="332" t="e">
        <f t="shared" si="133"/>
        <v>#DIV/0!</v>
      </c>
      <c r="BC120" s="332" t="e">
        <f t="shared" si="133"/>
        <v>#DIV/0!</v>
      </c>
      <c r="BD120" s="332" t="e">
        <f t="shared" si="133"/>
        <v>#DIV/0!</v>
      </c>
    </row>
    <row r="121" spans="1:56">
      <c r="A121" s="299">
        <f t="shared" si="131"/>
        <v>5583.68449282451</v>
      </c>
      <c r="B121" s="293" t="s">
        <v>15</v>
      </c>
      <c r="C121" s="293"/>
      <c r="D121" s="296">
        <f>SUM(D105:D117)</f>
        <v>1838.25562589263</v>
      </c>
      <c r="E121" s="296">
        <f t="shared" ref="E121:P121" si="142">SUM(E105:E117)</f>
        <v>1852.39235597551</v>
      </c>
      <c r="F121" s="296">
        <f t="shared" si="142"/>
        <v>1893.03651095637</v>
      </c>
      <c r="G121" s="296">
        <f t="shared" si="142"/>
        <v>1849.66731083101</v>
      </c>
      <c r="H121" s="296">
        <f t="shared" si="142"/>
        <v>1928.86884185175</v>
      </c>
      <c r="I121" s="296">
        <f t="shared" si="142"/>
        <v>1870.43255354125</v>
      </c>
      <c r="J121" s="296">
        <f t="shared" si="142"/>
        <v>1859.23509922568</v>
      </c>
      <c r="K121" s="296">
        <f t="shared" si="142"/>
        <v>1842.16734103215</v>
      </c>
      <c r="L121" s="296">
        <f t="shared" si="142"/>
        <v>1948.68678955627</v>
      </c>
      <c r="M121" s="296">
        <f t="shared" si="142"/>
        <v>1894.92463260729</v>
      </c>
      <c r="N121" s="296">
        <f t="shared" si="142"/>
        <v>1861.96276515168</v>
      </c>
      <c r="O121" s="296">
        <f t="shared" si="142"/>
        <v>1947.15049037351</v>
      </c>
      <c r="P121" s="296">
        <f t="shared" si="142"/>
        <v>22586.7803169951</v>
      </c>
      <c r="Q121" s="198"/>
      <c r="R121" s="198"/>
      <c r="S121" s="198"/>
      <c r="V121" s="303">
        <f t="shared" ref="V121:AF121" si="143">SUM(V105:V117)</f>
        <v>3690.64798186814</v>
      </c>
      <c r="W121" s="303">
        <f t="shared" si="143"/>
        <v>5583.68449282451</v>
      </c>
      <c r="X121" s="303">
        <f t="shared" si="143"/>
        <v>7433.35180365552</v>
      </c>
      <c r="Y121" s="303">
        <f t="shared" si="143"/>
        <v>9362.22064550727</v>
      </c>
      <c r="Z121" s="303">
        <f t="shared" si="143"/>
        <v>11232.6531990485</v>
      </c>
      <c r="AA121" s="303">
        <f t="shared" si="143"/>
        <v>13091.8882982742</v>
      </c>
      <c r="AB121" s="303">
        <f t="shared" si="143"/>
        <v>14934.0556393064</v>
      </c>
      <c r="AC121" s="303">
        <f t="shared" si="143"/>
        <v>16882.7424288626</v>
      </c>
      <c r="AD121" s="303">
        <f t="shared" si="143"/>
        <v>18777.6670614699</v>
      </c>
      <c r="AE121" s="303">
        <f t="shared" si="143"/>
        <v>20639.6298266216</v>
      </c>
      <c r="AF121" s="303">
        <f t="shared" si="143"/>
        <v>22586.7803169951</v>
      </c>
      <c r="AH121" s="295" t="e">
        <f t="shared" si="139"/>
        <v>#DIV/0!</v>
      </c>
      <c r="AI121" s="295" t="e">
        <f t="shared" si="132"/>
        <v>#DIV/0!</v>
      </c>
      <c r="AJ121" s="295" t="e">
        <f t="shared" si="132"/>
        <v>#DIV/0!</v>
      </c>
      <c r="AK121" s="295" t="e">
        <f t="shared" si="132"/>
        <v>#DIV/0!</v>
      </c>
      <c r="AL121" s="295" t="e">
        <f t="shared" si="132"/>
        <v>#DIV/0!</v>
      </c>
      <c r="AM121" s="295" t="e">
        <f t="shared" si="132"/>
        <v>#DIV/0!</v>
      </c>
      <c r="AN121" s="295" t="e">
        <f t="shared" si="132"/>
        <v>#DIV/0!</v>
      </c>
      <c r="AO121" s="295" t="e">
        <f t="shared" si="132"/>
        <v>#DIV/0!</v>
      </c>
      <c r="AP121" s="295" t="e">
        <f t="shared" si="132"/>
        <v>#DIV/0!</v>
      </c>
      <c r="AQ121" s="295" t="e">
        <f t="shared" si="132"/>
        <v>#DIV/0!</v>
      </c>
      <c r="AR121" s="295" t="e">
        <f t="shared" si="132"/>
        <v>#DIV/0!</v>
      </c>
      <c r="AT121" s="332" t="e">
        <f t="shared" si="138"/>
        <v>#DIV/0!</v>
      </c>
      <c r="AU121" s="332" t="e">
        <f>AI121/AU$52</f>
        <v>#DIV/0!</v>
      </c>
      <c r="AV121" s="332" t="e">
        <f t="shared" ref="AV121:BD121" si="144">AJ121/AV$52</f>
        <v>#DIV/0!</v>
      </c>
      <c r="AW121" s="332" t="e">
        <f t="shared" si="144"/>
        <v>#DIV/0!</v>
      </c>
      <c r="AX121" s="332" t="e">
        <f t="shared" si="144"/>
        <v>#DIV/0!</v>
      </c>
      <c r="AY121" s="332" t="e">
        <f t="shared" si="144"/>
        <v>#DIV/0!</v>
      </c>
      <c r="AZ121" s="332" t="e">
        <f t="shared" si="144"/>
        <v>#DIV/0!</v>
      </c>
      <c r="BA121" s="332" t="e">
        <f t="shared" si="144"/>
        <v>#DIV/0!</v>
      </c>
      <c r="BB121" s="332" t="e">
        <f t="shared" si="144"/>
        <v>#DIV/0!</v>
      </c>
      <c r="BC121" s="332" t="e">
        <f t="shared" si="144"/>
        <v>#DIV/0!</v>
      </c>
      <c r="BD121" s="332" t="e">
        <f t="shared" si="144"/>
        <v>#DIV/0!</v>
      </c>
    </row>
    <row r="122" spans="1:52">
      <c r="A122" s="292">
        <f>A121/A104*1000</f>
        <v>36.891068030501</v>
      </c>
      <c r="B122" s="293" t="s">
        <v>16</v>
      </c>
      <c r="C122" s="293"/>
      <c r="D122" s="294">
        <f>D121/D104*1000</f>
        <v>36.4277911716036</v>
      </c>
      <c r="E122" s="294">
        <f t="shared" ref="E122:P122" si="145">E121/E104*1000</f>
        <v>36.7203020254433</v>
      </c>
      <c r="F122" s="294">
        <f t="shared" si="145"/>
        <v>37.5252544443945</v>
      </c>
      <c r="G122" s="294">
        <f t="shared" si="145"/>
        <v>38.4946370620397</v>
      </c>
      <c r="H122" s="294">
        <f t="shared" si="145"/>
        <v>52.4320115758332</v>
      </c>
      <c r="I122" s="294">
        <f t="shared" si="145"/>
        <v>35.1156022442739</v>
      </c>
      <c r="J122" s="294">
        <f t="shared" si="145"/>
        <v>44.2159171258693</v>
      </c>
      <c r="K122" s="294">
        <f t="shared" si="145"/>
        <v>47.0540827849847</v>
      </c>
      <c r="L122" s="294">
        <f t="shared" si="145"/>
        <v>36.2667831005038</v>
      </c>
      <c r="M122" s="294">
        <f t="shared" si="145"/>
        <v>39.0319813917626</v>
      </c>
      <c r="N122" s="294">
        <f t="shared" si="145"/>
        <v>36.2193192723249</v>
      </c>
      <c r="O122" s="294">
        <f t="shared" si="145"/>
        <v>47.8697632602398</v>
      </c>
      <c r="P122" s="345">
        <f t="shared" si="145"/>
        <v>39.9750457805096</v>
      </c>
      <c r="Q122" s="198"/>
      <c r="R122" s="198"/>
      <c r="S122" s="198"/>
      <c r="V122" s="292">
        <f>V121/V104*1000</f>
        <v>36.5740219590735</v>
      </c>
      <c r="W122" s="292">
        <f t="shared" ref="W122:AF122" si="146">W121/W104*1000</f>
        <v>36.891068030501</v>
      </c>
      <c r="X122" s="292">
        <f t="shared" si="146"/>
        <v>37.2774731134245</v>
      </c>
      <c r="Y122" s="292">
        <f t="shared" si="146"/>
        <v>39.6378428135654</v>
      </c>
      <c r="Z122" s="292">
        <f t="shared" si="146"/>
        <v>38.8056795575488</v>
      </c>
      <c r="AA122" s="292">
        <f t="shared" si="146"/>
        <v>39.491922663327</v>
      </c>
      <c r="AB122" s="292">
        <f t="shared" si="146"/>
        <v>40.2906604991835</v>
      </c>
      <c r="AC122" s="292">
        <f t="shared" si="146"/>
        <v>39.7811975514565</v>
      </c>
      <c r="AD122" s="292">
        <f t="shared" si="146"/>
        <v>39.7042890642535</v>
      </c>
      <c r="AE122" s="292">
        <f t="shared" si="146"/>
        <v>39.3626151942068</v>
      </c>
      <c r="AF122" s="292">
        <f t="shared" si="146"/>
        <v>39.9750457805096</v>
      </c>
      <c r="AZ122" s="349" t="e">
        <f>AZ98-AZ121</f>
        <v>#DIV/0!</v>
      </c>
    </row>
    <row r="123" spans="1:44">
      <c r="A123" s="299">
        <f>SUM(D123:F123)</f>
        <v>1260</v>
      </c>
      <c r="B123" s="293" t="s">
        <v>42</v>
      </c>
      <c r="C123" s="293"/>
      <c r="D123" s="201">
        <v>420</v>
      </c>
      <c r="E123" s="201">
        <v>420</v>
      </c>
      <c r="F123" s="201">
        <v>420</v>
      </c>
      <c r="G123" s="201">
        <v>420</v>
      </c>
      <c r="H123" s="201">
        <v>420</v>
      </c>
      <c r="I123" s="201">
        <v>420</v>
      </c>
      <c r="J123" s="201">
        <v>420</v>
      </c>
      <c r="K123" s="201">
        <v>420</v>
      </c>
      <c r="L123" s="201">
        <v>420</v>
      </c>
      <c r="M123" s="201">
        <v>420</v>
      </c>
      <c r="N123" s="201">
        <v>420</v>
      </c>
      <c r="O123" s="201">
        <v>420</v>
      </c>
      <c r="P123" s="201"/>
      <c r="Q123" s="312">
        <f>P123/$P$53*1000</f>
        <v>0</v>
      </c>
      <c r="V123" s="201">
        <f>D123+E123</f>
        <v>840</v>
      </c>
      <c r="W123" s="201">
        <f t="shared" ref="W123:AF123" si="147">V123+F123</f>
        <v>1260</v>
      </c>
      <c r="X123" s="201">
        <f t="shared" si="147"/>
        <v>1680</v>
      </c>
      <c r="Y123" s="201">
        <f t="shared" si="147"/>
        <v>2100</v>
      </c>
      <c r="Z123" s="201">
        <f t="shared" si="147"/>
        <v>2520</v>
      </c>
      <c r="AA123" s="331">
        <f t="shared" si="147"/>
        <v>2940</v>
      </c>
      <c r="AB123" s="331">
        <f t="shared" si="147"/>
        <v>3360</v>
      </c>
      <c r="AC123" s="331">
        <f t="shared" si="147"/>
        <v>3780</v>
      </c>
      <c r="AD123" s="331">
        <f t="shared" si="147"/>
        <v>4200</v>
      </c>
      <c r="AE123" s="331">
        <f t="shared" si="147"/>
        <v>4620</v>
      </c>
      <c r="AF123" s="331">
        <f t="shared" si="147"/>
        <v>5040</v>
      </c>
      <c r="AH123" s="295" t="e">
        <f>V123/V$53*1000</f>
        <v>#DIV/0!</v>
      </c>
      <c r="AI123" s="295" t="e">
        <f t="shared" ref="AI123:AR123" si="148">W123/W$53*1000</f>
        <v>#DIV/0!</v>
      </c>
      <c r="AJ123" s="295" t="e">
        <f t="shared" si="148"/>
        <v>#DIV/0!</v>
      </c>
      <c r="AK123" s="295" t="e">
        <f t="shared" si="148"/>
        <v>#DIV/0!</v>
      </c>
      <c r="AL123" s="295" t="e">
        <f t="shared" si="148"/>
        <v>#DIV/0!</v>
      </c>
      <c r="AM123" s="295" t="e">
        <f t="shared" si="148"/>
        <v>#DIV/0!</v>
      </c>
      <c r="AN123" s="295" t="e">
        <f t="shared" si="148"/>
        <v>#DIV/0!</v>
      </c>
      <c r="AO123" s="295" t="e">
        <f t="shared" si="148"/>
        <v>#DIV/0!</v>
      </c>
      <c r="AP123" s="295" t="e">
        <f t="shared" si="148"/>
        <v>#DIV/0!</v>
      </c>
      <c r="AQ123" s="295" t="e">
        <f t="shared" si="148"/>
        <v>#DIV/0!</v>
      </c>
      <c r="AR123" s="295" t="e">
        <f t="shared" si="148"/>
        <v>#DIV/0!</v>
      </c>
    </row>
    <row r="124" spans="1:16">
      <c r="A124" s="301">
        <f>A122/A103</f>
        <v>0.166175982119374</v>
      </c>
      <c r="B124" s="293" t="s">
        <v>68</v>
      </c>
      <c r="C124" s="293"/>
      <c r="D124" s="279">
        <f>D122/D103</f>
        <v>0.164089149421638</v>
      </c>
      <c r="E124" s="279">
        <f t="shared" ref="E124:P124" si="149">E122/E103</f>
        <v>0.165406765880375</v>
      </c>
      <c r="F124" s="279">
        <f t="shared" si="149"/>
        <v>0.169032677677453</v>
      </c>
      <c r="G124" s="279">
        <f t="shared" si="149"/>
        <v>0.173399266045224</v>
      </c>
      <c r="H124" s="279">
        <f t="shared" si="149"/>
        <v>0.236180232323573</v>
      </c>
      <c r="I124" s="279">
        <f t="shared" si="149"/>
        <v>0.15817838848772</v>
      </c>
      <c r="J124" s="279">
        <f t="shared" si="149"/>
        <v>0.199170797864276</v>
      </c>
      <c r="K124" s="279">
        <f t="shared" si="149"/>
        <v>0.211955327860291</v>
      </c>
      <c r="L124" s="279">
        <f t="shared" si="149"/>
        <v>0.163363887840107</v>
      </c>
      <c r="M124" s="279">
        <f t="shared" si="149"/>
        <v>0.17581973599893</v>
      </c>
      <c r="N124" s="279">
        <f t="shared" si="149"/>
        <v>0.163150086812274</v>
      </c>
      <c r="O124" s="279">
        <f t="shared" si="149"/>
        <v>0.215629564235314</v>
      </c>
      <c r="P124" s="279">
        <f t="shared" si="149"/>
        <v>0.180067773786079</v>
      </c>
    </row>
  </sheetData>
  <mergeCells count="44">
    <mergeCell ref="C2:P2"/>
    <mergeCell ref="V2:AF2"/>
    <mergeCell ref="AH2:AR2"/>
    <mergeCell ref="AT2:BD2"/>
    <mergeCell ref="B4:C4"/>
    <mergeCell ref="B5:C5"/>
    <mergeCell ref="B26:C26"/>
    <mergeCell ref="C28:P28"/>
    <mergeCell ref="B30:C30"/>
    <mergeCell ref="B48:C48"/>
    <mergeCell ref="B49:C49"/>
    <mergeCell ref="B50:C50"/>
    <mergeCell ref="C51:P51"/>
    <mergeCell ref="B53:C53"/>
    <mergeCell ref="B71:C71"/>
    <mergeCell ref="B72:C72"/>
    <mergeCell ref="B73:C73"/>
    <mergeCell ref="C76:P76"/>
    <mergeCell ref="B78:C78"/>
    <mergeCell ref="B96:C96"/>
    <mergeCell ref="B97:C97"/>
    <mergeCell ref="B98:C98"/>
    <mergeCell ref="C99:D99"/>
    <mergeCell ref="C101:P101"/>
    <mergeCell ref="B103:C103"/>
    <mergeCell ref="B121:C121"/>
    <mergeCell ref="B122:C122"/>
    <mergeCell ref="B123:C123"/>
    <mergeCell ref="B124:C124"/>
    <mergeCell ref="B6:B12"/>
    <mergeCell ref="B13:B17"/>
    <mergeCell ref="B18:B21"/>
    <mergeCell ref="B32:B38"/>
    <mergeCell ref="B39:B43"/>
    <mergeCell ref="B44:B47"/>
    <mergeCell ref="B55:B61"/>
    <mergeCell ref="B62:B66"/>
    <mergeCell ref="B67:B70"/>
    <mergeCell ref="B80:B86"/>
    <mergeCell ref="B87:B91"/>
    <mergeCell ref="B92:B95"/>
    <mergeCell ref="B105:B111"/>
    <mergeCell ref="B112:B116"/>
    <mergeCell ref="B117:B120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6"/>
  <sheetViews>
    <sheetView zoomScale="85" zoomScaleNormal="85" topLeftCell="A13" workbookViewId="0">
      <selection activeCell="L4" sqref="L4:T19"/>
    </sheetView>
  </sheetViews>
  <sheetFormatPr defaultColWidth="9" defaultRowHeight="13.8"/>
  <cols>
    <col min="2" max="2" width="19.5" customWidth="1"/>
    <col min="3" max="3" width="9.5" customWidth="1"/>
    <col min="4" max="4" width="8.75" customWidth="1"/>
    <col min="5" max="5" width="9.5" customWidth="1"/>
    <col min="6" max="20" width="8.75" customWidth="1"/>
  </cols>
  <sheetData>
    <row r="1" ht="14.55" spans="1:20">
      <c r="A1" s="236"/>
      <c r="B1" s="237"/>
      <c r="C1" s="238" t="s">
        <v>94</v>
      </c>
      <c r="D1" s="239"/>
      <c r="E1" s="239"/>
      <c r="F1" s="239"/>
      <c r="G1" s="239"/>
      <c r="H1" s="239"/>
      <c r="I1" s="239"/>
      <c r="J1" s="239"/>
      <c r="K1" s="266"/>
      <c r="L1" s="238" t="s">
        <v>95</v>
      </c>
      <c r="M1" s="239"/>
      <c r="N1" s="239"/>
      <c r="O1" s="239"/>
      <c r="P1" s="239"/>
      <c r="Q1" s="239"/>
      <c r="R1" s="239"/>
      <c r="S1" s="239"/>
      <c r="T1" s="266"/>
    </row>
    <row r="2" ht="23.55" spans="1:20">
      <c r="A2" s="240"/>
      <c r="C2" s="241" t="s">
        <v>96</v>
      </c>
      <c r="D2" s="242" t="s">
        <v>97</v>
      </c>
      <c r="E2" s="242" t="s">
        <v>98</v>
      </c>
      <c r="F2" s="242" t="s">
        <v>97</v>
      </c>
      <c r="G2" s="242" t="s">
        <v>99</v>
      </c>
      <c r="H2" s="242" t="s">
        <v>97</v>
      </c>
      <c r="I2" s="267" t="s">
        <v>100</v>
      </c>
      <c r="J2" s="268" t="s">
        <v>101</v>
      </c>
      <c r="K2" s="269" t="s">
        <v>102</v>
      </c>
      <c r="L2" s="242" t="s">
        <v>96</v>
      </c>
      <c r="M2" s="242" t="s">
        <v>97</v>
      </c>
      <c r="N2" s="242" t="s">
        <v>98</v>
      </c>
      <c r="O2" s="242" t="s">
        <v>97</v>
      </c>
      <c r="P2" s="242" t="s">
        <v>99</v>
      </c>
      <c r="Q2" s="242" t="s">
        <v>97</v>
      </c>
      <c r="R2" s="267" t="s">
        <v>100</v>
      </c>
      <c r="S2" s="268" t="s">
        <v>101</v>
      </c>
      <c r="T2" s="269" t="s">
        <v>102</v>
      </c>
    </row>
    <row r="3" hidden="1" outlineLevel="1" spans="1:20">
      <c r="A3" s="240"/>
      <c r="B3" s="243" t="s">
        <v>20</v>
      </c>
      <c r="C3" s="244">
        <f>厨电!G103</f>
        <v>121</v>
      </c>
      <c r="D3" s="245"/>
      <c r="E3" s="245">
        <f>厨电!G78</f>
        <v>115.563747723</v>
      </c>
      <c r="F3" s="245"/>
      <c r="G3" s="246">
        <f>厨电!G30</f>
        <v>125.483652411664</v>
      </c>
      <c r="H3" s="245"/>
      <c r="I3" s="270"/>
      <c r="J3" s="271"/>
      <c r="K3" s="272"/>
      <c r="L3" s="245">
        <f>洗碗机!G103</f>
        <v>222</v>
      </c>
      <c r="M3" s="245"/>
      <c r="N3" s="245">
        <f>洗碗机!G78</f>
        <v>216.654673560447</v>
      </c>
      <c r="O3" s="245"/>
      <c r="P3" s="245">
        <f>洗碗机!G30</f>
        <v>218.888461795825</v>
      </c>
      <c r="Q3" s="245"/>
      <c r="R3" s="270"/>
      <c r="S3" s="271"/>
      <c r="T3" s="272"/>
    </row>
    <row r="4" collapsed="1" spans="1:20">
      <c r="A4" s="247"/>
      <c r="B4" s="248" t="s">
        <v>21</v>
      </c>
      <c r="C4" s="244">
        <f>厨电!G104</f>
        <v>104704</v>
      </c>
      <c r="D4" s="246"/>
      <c r="E4" s="245">
        <f>厨电!G79</f>
        <v>110370</v>
      </c>
      <c r="F4" s="246"/>
      <c r="G4" s="246">
        <f>厨电!G31</f>
        <v>98687</v>
      </c>
      <c r="H4" s="246"/>
      <c r="I4" s="273">
        <f>E4/G4-1</f>
        <v>0.118384387001327</v>
      </c>
      <c r="J4" s="274"/>
      <c r="K4" s="275"/>
      <c r="L4" s="245">
        <f>洗碗机!G104</f>
        <v>48050</v>
      </c>
      <c r="M4" s="246"/>
      <c r="N4" s="245" t="str">
        <f>洗碗机!G79</f>
        <v>40890</v>
      </c>
      <c r="O4" s="246"/>
      <c r="P4" s="245">
        <f>洗碗机!G31</f>
        <v>49363</v>
      </c>
      <c r="Q4" s="246"/>
      <c r="R4" s="273">
        <f>N4/P4-1</f>
        <v>-0.171646779976906</v>
      </c>
      <c r="S4" s="274"/>
      <c r="T4" s="275"/>
    </row>
    <row r="5" spans="1:20">
      <c r="A5" s="249"/>
      <c r="B5" s="248" t="s">
        <v>103</v>
      </c>
      <c r="C5" s="250">
        <f>SUM(C7:C19)</f>
        <v>2463.98812901056</v>
      </c>
      <c r="D5" s="251">
        <f>C5/C4*1000</f>
        <v>23.5328939583068</v>
      </c>
      <c r="E5" s="251">
        <f>SUM(E7:E19)</f>
        <v>2090.01067970365</v>
      </c>
      <c r="F5" s="251">
        <f>E5/E4*1000</f>
        <v>18.9364019181267</v>
      </c>
      <c r="G5" s="251">
        <f>SUM(G7:G19)</f>
        <v>2556.69212</v>
      </c>
      <c r="H5" s="251">
        <f>G5/G4*1000</f>
        <v>25.9070811758388</v>
      </c>
      <c r="I5" s="256">
        <f>F5-H5</f>
        <v>-6.97067925771202</v>
      </c>
      <c r="J5" s="257">
        <f>SUM(J6:J19)</f>
        <v>-2.74234329416802</v>
      </c>
      <c r="K5" s="276">
        <f>SUM(K6:K19)</f>
        <v>-4.22833596354401</v>
      </c>
      <c r="L5" s="251">
        <f>SUM(L7:L19)</f>
        <v>1849.66731083101</v>
      </c>
      <c r="M5" s="251">
        <f>L5/L4*1000</f>
        <v>38.4946370620397</v>
      </c>
      <c r="N5" s="251">
        <f>SUM(N7:N19)</f>
        <v>901.66915</v>
      </c>
      <c r="O5" s="251">
        <f>N5/N4*1000</f>
        <v>22.051091954023</v>
      </c>
      <c r="P5" s="251">
        <f>SUM(P7:P19)</f>
        <v>1591.59675947</v>
      </c>
      <c r="Q5" s="251">
        <f>P5/P4*1000</f>
        <v>32.2427072801491</v>
      </c>
      <c r="R5" s="256">
        <f>O5-Q5</f>
        <v>-10.1916153261261</v>
      </c>
      <c r="S5" s="257">
        <f>SUM(S6:S19)</f>
        <v>6.6811557540891</v>
      </c>
      <c r="T5" s="276">
        <f>SUM(T6:T19)</f>
        <v>-16.8727710802152</v>
      </c>
    </row>
    <row r="6" hidden="1" outlineLevel="1" spans="1:20">
      <c r="A6" s="247"/>
      <c r="B6" s="248" t="s">
        <v>18</v>
      </c>
      <c r="C6" s="252">
        <f>D5/C3</f>
        <v>0.194486726928156</v>
      </c>
      <c r="D6" s="246"/>
      <c r="E6" s="253">
        <f>A5/E3</f>
        <v>0</v>
      </c>
      <c r="F6" s="246"/>
      <c r="G6" s="254">
        <f>H5/G3</f>
        <v>0.206457818830835</v>
      </c>
      <c r="H6" s="246"/>
      <c r="I6" s="277">
        <f>E6-G6</f>
        <v>-0.206457818830835</v>
      </c>
      <c r="J6" s="274"/>
      <c r="K6" s="275"/>
      <c r="L6" s="254">
        <v>0.101201325632085</v>
      </c>
      <c r="M6" s="246"/>
      <c r="N6" s="254">
        <f>O5/N3</f>
        <v>0.101779904359509</v>
      </c>
      <c r="O6" s="246"/>
      <c r="P6" s="254">
        <f>Q5/P3</f>
        <v>0.147301995800147</v>
      </c>
      <c r="Q6" s="246"/>
      <c r="R6" s="277">
        <f>N6-P6</f>
        <v>-0.0455220914406374</v>
      </c>
      <c r="S6" s="274"/>
      <c r="T6" s="275"/>
    </row>
    <row r="7" collapsed="1" spans="1:20">
      <c r="A7" s="255" t="s">
        <v>22</v>
      </c>
      <c r="B7" s="25" t="s">
        <v>65</v>
      </c>
      <c r="C7" s="256">
        <f>厨电!G105</f>
        <v>815.980523836223</v>
      </c>
      <c r="D7" s="257">
        <f>C7/C$4*1000</f>
        <v>7.79321252135757</v>
      </c>
      <c r="E7" s="257">
        <f>厨电!G80</f>
        <v>466.69395</v>
      </c>
      <c r="F7" s="257">
        <f t="shared" ref="F7:F19" si="0">E7/E$4*1000</f>
        <v>4.22844930687687</v>
      </c>
      <c r="G7" s="257">
        <f>厨电!G32</f>
        <v>766.01624</v>
      </c>
      <c r="H7" s="257">
        <f t="shared" ref="H7:H19" si="1">G7/G$4*1000</f>
        <v>7.76207849058133</v>
      </c>
      <c r="I7" s="256">
        <f t="shared" ref="I7:I19" si="2">F7-H7</f>
        <v>-3.53362918370446</v>
      </c>
      <c r="J7" s="257">
        <f t="shared" ref="J7:J19" si="3">G7/E$4*1000-H7</f>
        <v>-0.821639603202516</v>
      </c>
      <c r="K7" s="276">
        <f>I7-J7</f>
        <v>-2.71198958050195</v>
      </c>
      <c r="L7" s="257">
        <f>洗碗机!G105</f>
        <v>568.2313525</v>
      </c>
      <c r="M7" s="257">
        <f>L7/L$4*1000</f>
        <v>11.8258345993757</v>
      </c>
      <c r="N7" s="257">
        <f>洗碗机!G80</f>
        <v>29.8973</v>
      </c>
      <c r="O7" s="257">
        <f t="shared" ref="O7:O19" si="4">N7/N$4*1000</f>
        <v>0.731164098801663</v>
      </c>
      <c r="P7" s="257">
        <f>洗碗机!G32</f>
        <v>550.63785</v>
      </c>
      <c r="Q7" s="257">
        <f>P7/P$4*1000</f>
        <v>11.1548700443652</v>
      </c>
      <c r="R7" s="256">
        <f t="shared" ref="R7:R19" si="5">O7-Q7</f>
        <v>-10.4237059455636</v>
      </c>
      <c r="S7" s="257">
        <f t="shared" ref="S7:S19" si="6">P7/N$4*1000-Q7</f>
        <v>2.31145057192239</v>
      </c>
      <c r="T7" s="276">
        <f>R7-S7</f>
        <v>-12.7351565174859</v>
      </c>
    </row>
    <row r="8" spans="1:20">
      <c r="A8" s="255"/>
      <c r="B8" s="25" t="s">
        <v>24</v>
      </c>
      <c r="C8" s="256">
        <f>厨电!G106</f>
        <v>92.4707709078908</v>
      </c>
      <c r="D8" s="257">
        <f t="shared" ref="D8:D19" si="7">C8/C$4*1000</f>
        <v>0.883163689141683</v>
      </c>
      <c r="E8" s="257">
        <f>厨电!G81</f>
        <v>80.12026</v>
      </c>
      <c r="F8" s="257">
        <f t="shared" si="0"/>
        <v>0.725924254779378</v>
      </c>
      <c r="G8" s="257">
        <f>厨电!G33</f>
        <v>12.16119</v>
      </c>
      <c r="H8" s="257">
        <f t="shared" si="1"/>
        <v>0.123229908701247</v>
      </c>
      <c r="I8" s="256">
        <f t="shared" si="2"/>
        <v>0.602694346078131</v>
      </c>
      <c r="J8" s="257">
        <f t="shared" si="3"/>
        <v>-0.0130442604272599</v>
      </c>
      <c r="K8" s="276">
        <f t="shared" ref="K8:K19" si="8">I8-J8</f>
        <v>0.615738606505391</v>
      </c>
      <c r="L8" s="257">
        <f>洗碗机!G106</f>
        <v>57.0786419733095</v>
      </c>
      <c r="M8" s="257">
        <f t="shared" ref="M8:M19" si="9">L8/L$4*1000</f>
        <v>1.18790097759229</v>
      </c>
      <c r="N8" s="257">
        <f>洗碗机!G81</f>
        <v>-0.0372799999999942</v>
      </c>
      <c r="O8" s="257">
        <f t="shared" si="4"/>
        <v>-0.000911714355588022</v>
      </c>
      <c r="P8" s="257">
        <f>洗碗机!G33</f>
        <v>40.60267</v>
      </c>
      <c r="Q8" s="257">
        <f t="shared" ref="Q8:Q19" si="10">P8/P$4*1000</f>
        <v>0.822532463586087</v>
      </c>
      <c r="R8" s="256">
        <f t="shared" si="5"/>
        <v>-0.823444177941675</v>
      </c>
      <c r="S8" s="257">
        <f t="shared" si="6"/>
        <v>0.170440634971018</v>
      </c>
      <c r="T8" s="276">
        <f t="shared" ref="T8:T19" si="11">R8-S8</f>
        <v>-0.993884812912692</v>
      </c>
    </row>
    <row r="9" spans="1:20">
      <c r="A9" s="255"/>
      <c r="B9" s="25" t="s">
        <v>25</v>
      </c>
      <c r="C9" s="256">
        <f>厨电!G107</f>
        <v>12.5</v>
      </c>
      <c r="D9" s="257">
        <f t="shared" si="7"/>
        <v>0.119384168704156</v>
      </c>
      <c r="E9" s="257">
        <f>厨电!G82</f>
        <v>12.5</v>
      </c>
      <c r="F9" s="257">
        <f t="shared" si="0"/>
        <v>0.11325541360877</v>
      </c>
      <c r="G9" s="257">
        <f>厨电!G34</f>
        <v>28.85478</v>
      </c>
      <c r="H9" s="257">
        <f t="shared" si="1"/>
        <v>0.292386839198679</v>
      </c>
      <c r="I9" s="256">
        <f t="shared" si="2"/>
        <v>-0.179131425589908</v>
      </c>
      <c r="J9" s="257">
        <f t="shared" si="3"/>
        <v>-0.0309500357194724</v>
      </c>
      <c r="K9" s="276">
        <f t="shared" si="8"/>
        <v>-0.148181389870436</v>
      </c>
      <c r="L9" s="257">
        <f>洗碗机!G107</f>
        <v>8.56784247715166</v>
      </c>
      <c r="M9" s="257">
        <f t="shared" si="9"/>
        <v>0.178310977672251</v>
      </c>
      <c r="N9" s="257">
        <f>洗碗机!G82</f>
        <v>-177.1679</v>
      </c>
      <c r="O9" s="257">
        <f t="shared" si="4"/>
        <v>-4.3327928588897</v>
      </c>
      <c r="P9" s="257">
        <f>洗碗机!G34</f>
        <v>2.08333</v>
      </c>
      <c r="Q9" s="257">
        <f t="shared" si="10"/>
        <v>0.042204282559812</v>
      </c>
      <c r="R9" s="256">
        <f t="shared" si="5"/>
        <v>-4.37499714144952</v>
      </c>
      <c r="S9" s="257">
        <f t="shared" si="6"/>
        <v>0.00874533837440174</v>
      </c>
      <c r="T9" s="276">
        <f t="shared" si="11"/>
        <v>-4.38374247982392</v>
      </c>
    </row>
    <row r="10" spans="1:20">
      <c r="A10" s="255"/>
      <c r="B10" s="25" t="s">
        <v>26</v>
      </c>
      <c r="C10" s="256">
        <f>厨电!G108</f>
        <v>28.4991363037167</v>
      </c>
      <c r="D10" s="257">
        <f t="shared" si="7"/>
        <v>0.272187655712453</v>
      </c>
      <c r="E10" s="257">
        <f>厨电!G83</f>
        <v>28.54195</v>
      </c>
      <c r="F10" s="257">
        <f t="shared" si="0"/>
        <v>0.258602428196068</v>
      </c>
      <c r="G10" s="257">
        <f>厨电!G35</f>
        <v>5.08957</v>
      </c>
      <c r="H10" s="257">
        <f t="shared" si="1"/>
        <v>0.0515728515407298</v>
      </c>
      <c r="I10" s="256">
        <f t="shared" si="2"/>
        <v>0.207029576655338</v>
      </c>
      <c r="J10" s="257">
        <f t="shared" si="3"/>
        <v>-0.00545914310546657</v>
      </c>
      <c r="K10" s="276">
        <f t="shared" si="8"/>
        <v>0.212488719760805</v>
      </c>
      <c r="L10" s="257">
        <f>洗碗机!G108</f>
        <v>5.27193081247727</v>
      </c>
      <c r="M10" s="257">
        <f t="shared" si="9"/>
        <v>0.109717602757071</v>
      </c>
      <c r="N10" s="257">
        <f>洗碗机!G83</f>
        <v>3.80533</v>
      </c>
      <c r="O10" s="257">
        <f t="shared" si="4"/>
        <v>0.0930626069943752</v>
      </c>
      <c r="P10" s="257">
        <f>洗碗机!G35</f>
        <v>5.51342947</v>
      </c>
      <c r="Q10" s="257">
        <f t="shared" si="10"/>
        <v>0.111691539614691</v>
      </c>
      <c r="R10" s="256">
        <f t="shared" si="5"/>
        <v>-0.018628932620316</v>
      </c>
      <c r="S10" s="257">
        <f t="shared" si="6"/>
        <v>0.0231441040634698</v>
      </c>
      <c r="T10" s="276">
        <f t="shared" si="11"/>
        <v>-0.0417730366837858</v>
      </c>
    </row>
    <row r="11" spans="1:20">
      <c r="A11" s="255"/>
      <c r="B11" s="25" t="s">
        <v>27</v>
      </c>
      <c r="C11" s="256">
        <f>厨电!G109</f>
        <v>323.528532202514</v>
      </c>
      <c r="D11" s="257">
        <f t="shared" si="7"/>
        <v>3.08993478952585</v>
      </c>
      <c r="E11" s="257">
        <f>厨电!G84</f>
        <v>338.494118358663</v>
      </c>
      <c r="F11" s="257">
        <f t="shared" si="0"/>
        <v>3.06690331030772</v>
      </c>
      <c r="G11" s="257">
        <f>厨电!G36</f>
        <v>403.07668</v>
      </c>
      <c r="H11" s="257">
        <f t="shared" si="1"/>
        <v>4.08439490510402</v>
      </c>
      <c r="I11" s="256">
        <f t="shared" si="2"/>
        <v>-1.0174915947963</v>
      </c>
      <c r="J11" s="257">
        <f t="shared" si="3"/>
        <v>-0.432345616348014</v>
      </c>
      <c r="K11" s="276">
        <f t="shared" si="8"/>
        <v>-0.585145978448287</v>
      </c>
      <c r="L11" s="257">
        <f>洗碗机!G109</f>
        <v>204.699273934209</v>
      </c>
      <c r="M11" s="257">
        <f t="shared" si="9"/>
        <v>4.26013057095128</v>
      </c>
      <c r="N11" s="257">
        <f>洗碗机!G84</f>
        <v>211.920007372182</v>
      </c>
      <c r="O11" s="257">
        <f t="shared" si="4"/>
        <v>5.18268543341116</v>
      </c>
      <c r="P11" s="257">
        <f>洗碗机!G36</f>
        <v>210.35834</v>
      </c>
      <c r="Q11" s="257">
        <f t="shared" si="10"/>
        <v>4.26145777201548</v>
      </c>
      <c r="R11" s="256">
        <f t="shared" si="5"/>
        <v>0.92122766139568</v>
      </c>
      <c r="S11" s="257">
        <f t="shared" si="6"/>
        <v>0.883035747182371</v>
      </c>
      <c r="T11" s="276">
        <f t="shared" si="11"/>
        <v>0.0381919142133089</v>
      </c>
    </row>
    <row r="12" spans="1:20">
      <c r="A12" s="255"/>
      <c r="B12" s="25" t="s">
        <v>28</v>
      </c>
      <c r="C12" s="256">
        <f>厨电!G110</f>
        <v>150.272649072884</v>
      </c>
      <c r="D12" s="257">
        <f t="shared" si="7"/>
        <v>1.43521402308301</v>
      </c>
      <c r="E12" s="257">
        <f>厨电!G85</f>
        <v>79.74634</v>
      </c>
      <c r="F12" s="257">
        <f t="shared" si="0"/>
        <v>0.722536377638851</v>
      </c>
      <c r="G12" s="257">
        <f>厨电!G37</f>
        <v>149.25268</v>
      </c>
      <c r="H12" s="257">
        <f t="shared" si="1"/>
        <v>1.51238440726742</v>
      </c>
      <c r="I12" s="256">
        <f t="shared" si="2"/>
        <v>-0.78984802962857</v>
      </c>
      <c r="J12" s="257">
        <f t="shared" si="3"/>
        <v>-0.160090486818024</v>
      </c>
      <c r="K12" s="276">
        <f t="shared" si="8"/>
        <v>-0.629757542810546</v>
      </c>
      <c r="L12" s="257">
        <f>洗碗机!G110</f>
        <v>104.328646472686</v>
      </c>
      <c r="M12" s="257">
        <f t="shared" si="9"/>
        <v>2.17125174761054</v>
      </c>
      <c r="N12" s="257">
        <f>洗碗机!G85</f>
        <v>86.26424</v>
      </c>
      <c r="O12" s="257">
        <f t="shared" si="4"/>
        <v>2.10966593299095</v>
      </c>
      <c r="P12" s="257">
        <f>洗碗机!G37</f>
        <v>56.46471</v>
      </c>
      <c r="Q12" s="257">
        <f t="shared" si="10"/>
        <v>1.14386706642627</v>
      </c>
      <c r="R12" s="256">
        <f t="shared" si="5"/>
        <v>0.965798866564681</v>
      </c>
      <c r="S12" s="257">
        <f t="shared" si="6"/>
        <v>0.237025816919291</v>
      </c>
      <c r="T12" s="276">
        <f t="shared" si="11"/>
        <v>0.72877304964539</v>
      </c>
    </row>
    <row r="13" spans="1:20">
      <c r="A13" s="255"/>
      <c r="B13" s="25" t="s">
        <v>29</v>
      </c>
      <c r="C13" s="256">
        <f>厨电!G111</f>
        <v>156.090921657542</v>
      </c>
      <c r="D13" s="257">
        <f t="shared" si="7"/>
        <v>1.4907827939481</v>
      </c>
      <c r="E13" s="257">
        <f>厨电!G86</f>
        <v>204.70201</v>
      </c>
      <c r="F13" s="257">
        <f t="shared" si="0"/>
        <v>1.85468886472773</v>
      </c>
      <c r="G13" s="257">
        <f>厨电!G38</f>
        <v>147.58937</v>
      </c>
      <c r="H13" s="257">
        <f t="shared" si="1"/>
        <v>1.49553000901841</v>
      </c>
      <c r="I13" s="256">
        <f t="shared" si="2"/>
        <v>0.359158855709321</v>
      </c>
      <c r="J13" s="257">
        <f t="shared" si="3"/>
        <v>-0.158306397529782</v>
      </c>
      <c r="K13" s="276">
        <f t="shared" si="8"/>
        <v>0.517465253239104</v>
      </c>
      <c r="L13" s="257">
        <f>洗碗机!G111</f>
        <v>177.199106793068</v>
      </c>
      <c r="M13" s="257">
        <f t="shared" si="9"/>
        <v>3.6878065929879</v>
      </c>
      <c r="N13" s="257">
        <f>洗碗机!G86</f>
        <v>86.23783</v>
      </c>
      <c r="O13" s="257">
        <f t="shared" si="4"/>
        <v>2.10902005380289</v>
      </c>
      <c r="P13" s="257">
        <f>洗碗机!G38</f>
        <v>126.39878</v>
      </c>
      <c r="Q13" s="257">
        <f t="shared" si="10"/>
        <v>2.56059761359723</v>
      </c>
      <c r="R13" s="256">
        <f t="shared" si="5"/>
        <v>-0.451577559794343</v>
      </c>
      <c r="S13" s="257">
        <f t="shared" si="6"/>
        <v>0.530592897530186</v>
      </c>
      <c r="T13" s="276">
        <f t="shared" si="11"/>
        <v>-0.982170457324529</v>
      </c>
    </row>
    <row r="14" spans="1:20">
      <c r="A14" s="255" t="s">
        <v>30</v>
      </c>
      <c r="B14" s="25" t="s">
        <v>31</v>
      </c>
      <c r="C14" s="256">
        <f>厨电!G112</f>
        <v>568.246378806799</v>
      </c>
      <c r="D14" s="257">
        <f t="shared" si="7"/>
        <v>5.42716972423975</v>
      </c>
      <c r="E14" s="257">
        <f>厨电!G87</f>
        <v>662.674591344985</v>
      </c>
      <c r="F14" s="257">
        <f t="shared" si="0"/>
        <v>6.00411879446394</v>
      </c>
      <c r="G14" s="257">
        <f>厨电!G39</f>
        <v>573.04516</v>
      </c>
      <c r="H14" s="257">
        <f t="shared" si="1"/>
        <v>5.80669348546414</v>
      </c>
      <c r="I14" s="256">
        <f t="shared" si="2"/>
        <v>0.197425308999794</v>
      </c>
      <c r="J14" s="257">
        <f t="shared" si="3"/>
        <v>-0.614656156479819</v>
      </c>
      <c r="K14" s="276">
        <f t="shared" si="8"/>
        <v>0.812081465479612</v>
      </c>
      <c r="L14" s="257">
        <f>洗碗机!G112</f>
        <v>509.438537241846</v>
      </c>
      <c r="M14" s="257">
        <f t="shared" si="9"/>
        <v>10.6022588395806</v>
      </c>
      <c r="N14" s="257">
        <f>洗碗机!G87</f>
        <v>363.734432627818</v>
      </c>
      <c r="O14" s="257">
        <f t="shared" si="4"/>
        <v>8.89543733499187</v>
      </c>
      <c r="P14" s="257">
        <f>洗碗机!G39</f>
        <v>469.10102</v>
      </c>
      <c r="Q14" s="257">
        <f t="shared" si="10"/>
        <v>9.50308976358811</v>
      </c>
      <c r="R14" s="256">
        <f t="shared" si="5"/>
        <v>-0.607652428596239</v>
      </c>
      <c r="S14" s="257">
        <f t="shared" si="6"/>
        <v>1.96917778348941</v>
      </c>
      <c r="T14" s="276">
        <f t="shared" si="11"/>
        <v>-2.57683021208565</v>
      </c>
    </row>
    <row r="15" spans="1:20">
      <c r="A15" s="255"/>
      <c r="B15" s="25" t="s">
        <v>66</v>
      </c>
      <c r="C15" s="256">
        <f>厨电!G113</f>
        <v>59.5121822232476</v>
      </c>
      <c r="D15" s="257">
        <f t="shared" si="7"/>
        <v>0.568384992199415</v>
      </c>
      <c r="E15" s="257">
        <f>厨电!G88</f>
        <v>59.13461</v>
      </c>
      <c r="F15" s="257">
        <f t="shared" si="0"/>
        <v>0.535785177131467</v>
      </c>
      <c r="G15" s="257">
        <f>厨电!G40</f>
        <v>38.25359</v>
      </c>
      <c r="H15" s="257">
        <f t="shared" si="1"/>
        <v>0.387625421788078</v>
      </c>
      <c r="I15" s="256">
        <f t="shared" si="2"/>
        <v>0.148159755343389</v>
      </c>
      <c r="J15" s="257">
        <f t="shared" si="3"/>
        <v>-0.0410313291904513</v>
      </c>
      <c r="K15" s="276">
        <f t="shared" si="8"/>
        <v>0.189191084533841</v>
      </c>
      <c r="L15" s="257">
        <f>洗碗机!G113</f>
        <v>19.3217713378385</v>
      </c>
      <c r="M15" s="257">
        <f t="shared" si="9"/>
        <v>0.402118029923798</v>
      </c>
      <c r="N15" s="257">
        <f>洗碗机!G88</f>
        <v>50.45741</v>
      </c>
      <c r="O15" s="257">
        <f t="shared" si="4"/>
        <v>1.2339792125214</v>
      </c>
      <c r="P15" s="257">
        <f>洗碗机!G40</f>
        <v>22.60069</v>
      </c>
      <c r="Q15" s="257">
        <f t="shared" si="10"/>
        <v>0.457846767822053</v>
      </c>
      <c r="R15" s="256">
        <f t="shared" si="5"/>
        <v>0.776132444699346</v>
      </c>
      <c r="S15" s="257">
        <f t="shared" si="6"/>
        <v>0.0948724789375461</v>
      </c>
      <c r="T15" s="276">
        <f t="shared" si="11"/>
        <v>0.6812599657618</v>
      </c>
    </row>
    <row r="16" spans="1:20">
      <c r="A16" s="255"/>
      <c r="B16" s="25" t="s">
        <v>33</v>
      </c>
      <c r="C16" s="256">
        <f>厨电!G114</f>
        <v>32.6064898858705</v>
      </c>
      <c r="D16" s="257">
        <f t="shared" si="7"/>
        <v>0.311415895150811</v>
      </c>
      <c r="E16" s="257">
        <f>厨电!G89</f>
        <v>11.92993</v>
      </c>
      <c r="F16" s="257">
        <f t="shared" si="0"/>
        <v>0.108090332517894</v>
      </c>
      <c r="G16" s="257">
        <f>厨电!G41</f>
        <v>-10.03154</v>
      </c>
      <c r="H16" s="257">
        <f t="shared" si="1"/>
        <v>-0.101650065358153</v>
      </c>
      <c r="I16" s="256">
        <f t="shared" si="2"/>
        <v>0.209740397876047</v>
      </c>
      <c r="J16" s="257">
        <f t="shared" si="3"/>
        <v>0.0107599684115185</v>
      </c>
      <c r="K16" s="276">
        <f t="shared" si="8"/>
        <v>0.198980429464528</v>
      </c>
      <c r="L16" s="257">
        <f>洗碗机!G114</f>
        <v>15.8935</v>
      </c>
      <c r="M16" s="257">
        <f t="shared" si="9"/>
        <v>0.330770031217482</v>
      </c>
      <c r="N16" s="257">
        <f>洗碗机!G89</f>
        <v>103.77396</v>
      </c>
      <c r="O16" s="257">
        <f t="shared" si="4"/>
        <v>2.53788114453412</v>
      </c>
      <c r="P16" s="257">
        <f>洗碗机!G41</f>
        <v>-5.81218</v>
      </c>
      <c r="Q16" s="257">
        <f t="shared" si="10"/>
        <v>-0.117743654153921</v>
      </c>
      <c r="R16" s="256">
        <f t="shared" si="5"/>
        <v>2.65562479868804</v>
      </c>
      <c r="S16" s="257">
        <f t="shared" si="6"/>
        <v>-0.0243981898177102</v>
      </c>
      <c r="T16" s="276">
        <f t="shared" si="11"/>
        <v>2.68002298850575</v>
      </c>
    </row>
    <row r="17" spans="1:20">
      <c r="A17" s="255"/>
      <c r="B17" s="25" t="s">
        <v>67</v>
      </c>
      <c r="C17" s="256">
        <f>厨电!G115</f>
        <v>-70.0492177918793</v>
      </c>
      <c r="D17" s="257">
        <f t="shared" si="7"/>
        <v>-0.669021410756794</v>
      </c>
      <c r="E17" s="257">
        <f>厨电!G90</f>
        <v>-84.25962</v>
      </c>
      <c r="F17" s="257">
        <f t="shared" si="0"/>
        <v>-0.763428649089426</v>
      </c>
      <c r="G17" s="257">
        <f>厨电!G42</f>
        <v>-84.58556</v>
      </c>
      <c r="H17" s="257">
        <f t="shared" si="1"/>
        <v>-0.85710944703963</v>
      </c>
      <c r="I17" s="256">
        <f t="shared" si="2"/>
        <v>0.093680797950204</v>
      </c>
      <c r="J17" s="257">
        <f t="shared" si="3"/>
        <v>0.0907276403892724</v>
      </c>
      <c r="K17" s="276">
        <f t="shared" si="8"/>
        <v>0.00295315756093162</v>
      </c>
      <c r="L17" s="257">
        <f>洗碗机!G115</f>
        <v>-47.8477870479016</v>
      </c>
      <c r="M17" s="257">
        <f t="shared" si="9"/>
        <v>-0.995791613900137</v>
      </c>
      <c r="N17" s="257">
        <f>洗碗机!G90</f>
        <v>-53.89348</v>
      </c>
      <c r="O17" s="257">
        <f t="shared" si="4"/>
        <v>-1.3180112496943</v>
      </c>
      <c r="P17" s="257">
        <f>洗碗机!G42</f>
        <v>-75.04936</v>
      </c>
      <c r="Q17" s="257">
        <f t="shared" si="10"/>
        <v>-1.52035654234953</v>
      </c>
      <c r="R17" s="256">
        <f t="shared" si="5"/>
        <v>0.202345292655231</v>
      </c>
      <c r="S17" s="257">
        <f t="shared" si="6"/>
        <v>-0.315039887095319</v>
      </c>
      <c r="T17" s="276">
        <f t="shared" si="11"/>
        <v>0.51738517975055</v>
      </c>
    </row>
    <row r="18" spans="1:20">
      <c r="A18" s="255"/>
      <c r="B18" s="25" t="s">
        <v>35</v>
      </c>
      <c r="C18" s="256">
        <f>厨电!G116</f>
        <v>79.1163887841866</v>
      </c>
      <c r="D18" s="257">
        <f t="shared" si="7"/>
        <v>0.755619544469997</v>
      </c>
      <c r="E18" s="257">
        <f>厨电!G91</f>
        <v>34.37261</v>
      </c>
      <c r="F18" s="257">
        <f t="shared" si="0"/>
        <v>0.311430732989037</v>
      </c>
      <c r="G18" s="257">
        <f>厨电!G43</f>
        <v>73.26051</v>
      </c>
      <c r="H18" s="257">
        <f t="shared" si="1"/>
        <v>0.74235218417826</v>
      </c>
      <c r="I18" s="256">
        <f t="shared" si="2"/>
        <v>-0.430921451189224</v>
      </c>
      <c r="J18" s="257">
        <f t="shared" si="3"/>
        <v>-0.0785802352791031</v>
      </c>
      <c r="K18" s="276">
        <f t="shared" si="8"/>
        <v>-0.35234121591012</v>
      </c>
      <c r="L18" s="257">
        <f>洗碗机!G116</f>
        <v>35.7335617260167</v>
      </c>
      <c r="M18" s="257">
        <f t="shared" si="9"/>
        <v>0.743674541644469</v>
      </c>
      <c r="N18" s="257">
        <f>洗碗机!G91</f>
        <v>28.06842</v>
      </c>
      <c r="O18" s="257">
        <f t="shared" si="4"/>
        <v>0.686437270726339</v>
      </c>
      <c r="P18" s="257">
        <f>洗碗机!G43</f>
        <v>27.43437</v>
      </c>
      <c r="Q18" s="257">
        <f t="shared" si="10"/>
        <v>0.555767882827219</v>
      </c>
      <c r="R18" s="256">
        <f t="shared" si="5"/>
        <v>0.13066938789912</v>
      </c>
      <c r="S18" s="257">
        <f t="shared" si="6"/>
        <v>0.11516315165554</v>
      </c>
      <c r="T18" s="276">
        <f t="shared" si="11"/>
        <v>0.0155062362435802</v>
      </c>
    </row>
    <row r="19" ht="14.55" spans="1:20">
      <c r="A19" s="258" t="s">
        <v>36</v>
      </c>
      <c r="B19" s="259" t="s">
        <v>104</v>
      </c>
      <c r="C19" s="260">
        <f>厨电!G117</f>
        <v>215.213373121563</v>
      </c>
      <c r="D19" s="261">
        <f t="shared" si="7"/>
        <v>2.05544557153082</v>
      </c>
      <c r="E19" s="261">
        <f>厨电!G92</f>
        <v>195.35993</v>
      </c>
      <c r="F19" s="261">
        <f t="shared" si="0"/>
        <v>1.77004557397844</v>
      </c>
      <c r="G19" s="261">
        <f>厨电!G44</f>
        <v>454.70945</v>
      </c>
      <c r="H19" s="261">
        <f t="shared" si="1"/>
        <v>4.60759218539422</v>
      </c>
      <c r="I19" s="260">
        <f t="shared" si="2"/>
        <v>-2.83754661141579</v>
      </c>
      <c r="J19" s="261">
        <f t="shared" si="3"/>
        <v>-0.487727638868902</v>
      </c>
      <c r="K19" s="278">
        <f t="shared" si="8"/>
        <v>-2.34981897254688</v>
      </c>
      <c r="L19" s="261">
        <f>洗碗机!G117</f>
        <v>191.750932610307</v>
      </c>
      <c r="M19" s="261">
        <f t="shared" si="9"/>
        <v>3.99065416462658</v>
      </c>
      <c r="N19" s="261">
        <f>洗碗机!G92</f>
        <v>168.60888</v>
      </c>
      <c r="O19" s="261">
        <f t="shared" si="4"/>
        <v>4.12347468818782</v>
      </c>
      <c r="P19" s="261">
        <f>洗碗机!G44</f>
        <v>161.26311</v>
      </c>
      <c r="Q19" s="261">
        <f t="shared" si="10"/>
        <v>3.26688228025039</v>
      </c>
      <c r="R19" s="260">
        <f t="shared" si="5"/>
        <v>0.856592407937431</v>
      </c>
      <c r="S19" s="261">
        <f t="shared" si="6"/>
        <v>0.676945305956507</v>
      </c>
      <c r="T19" s="278">
        <f t="shared" si="11"/>
        <v>0.179647101980924</v>
      </c>
    </row>
    <row r="20" spans="12:13">
      <c r="L20" s="279"/>
      <c r="M20" s="279"/>
    </row>
    <row r="22" spans="2:2">
      <c r="B22" s="25" t="s">
        <v>105</v>
      </c>
    </row>
    <row r="23" spans="2:2">
      <c r="B23" s="25" t="s">
        <v>106</v>
      </c>
    </row>
    <row r="24" ht="15.6" spans="2:2">
      <c r="B24" s="262" t="s">
        <v>107</v>
      </c>
    </row>
    <row r="25" ht="17.5" customHeight="1" spans="2:2">
      <c r="B25" s="262" t="s">
        <v>108</v>
      </c>
    </row>
    <row r="26" ht="14" hidden="1" customHeight="1" spans="1:1">
      <c r="A26" t="s">
        <v>45</v>
      </c>
    </row>
    <row r="27" ht="14.55" hidden="1" spans="1:20">
      <c r="A27" s="236"/>
      <c r="B27" s="237"/>
      <c r="C27" s="241" t="s">
        <v>94</v>
      </c>
      <c r="D27" s="242"/>
      <c r="E27" s="242"/>
      <c r="F27" s="242"/>
      <c r="G27" s="242"/>
      <c r="H27" s="242"/>
      <c r="I27" s="242"/>
      <c r="J27" s="242"/>
      <c r="K27" s="280"/>
      <c r="L27" s="241" t="s">
        <v>95</v>
      </c>
      <c r="M27" s="242"/>
      <c r="N27" s="242"/>
      <c r="O27" s="242"/>
      <c r="P27" s="242"/>
      <c r="Q27" s="242"/>
      <c r="R27" s="242"/>
      <c r="S27" s="242"/>
      <c r="T27" s="280"/>
    </row>
    <row r="28" ht="23.55" hidden="1" spans="1:20">
      <c r="A28" s="240"/>
      <c r="C28" s="241" t="s">
        <v>96</v>
      </c>
      <c r="D28" s="242" t="s">
        <v>97</v>
      </c>
      <c r="E28" s="242" t="s">
        <v>98</v>
      </c>
      <c r="F28" s="242" t="s">
        <v>97</v>
      </c>
      <c r="G28" s="242" t="s">
        <v>99</v>
      </c>
      <c r="H28" s="242" t="s">
        <v>97</v>
      </c>
      <c r="I28" s="267" t="s">
        <v>100</v>
      </c>
      <c r="J28" s="268" t="s">
        <v>101</v>
      </c>
      <c r="K28" s="269" t="s">
        <v>102</v>
      </c>
      <c r="L28" s="242" t="s">
        <v>96</v>
      </c>
      <c r="M28" s="242" t="s">
        <v>97</v>
      </c>
      <c r="N28" s="242" t="s">
        <v>98</v>
      </c>
      <c r="O28" s="242" t="s">
        <v>97</v>
      </c>
      <c r="P28" s="242" t="s">
        <v>99</v>
      </c>
      <c r="Q28" s="242" t="s">
        <v>97</v>
      </c>
      <c r="R28" s="267" t="s">
        <v>100</v>
      </c>
      <c r="S28" s="268" t="s">
        <v>101</v>
      </c>
      <c r="T28" s="269" t="s">
        <v>102</v>
      </c>
    </row>
    <row r="29" hidden="1" spans="1:20">
      <c r="A29" s="240"/>
      <c r="B29" s="243" t="s">
        <v>20</v>
      </c>
      <c r="C29" s="263"/>
      <c r="D29" s="245"/>
      <c r="E29" s="263"/>
      <c r="F29" s="245"/>
      <c r="G29" s="263"/>
      <c r="H29" s="245"/>
      <c r="I29" s="270"/>
      <c r="J29" s="271"/>
      <c r="K29" s="272"/>
      <c r="L29" s="263"/>
      <c r="M29" s="245"/>
      <c r="N29" s="263"/>
      <c r="O29" s="245"/>
      <c r="P29" s="263"/>
      <c r="Q29" s="245"/>
      <c r="R29" s="270"/>
      <c r="S29" s="271"/>
      <c r="T29" s="272"/>
    </row>
    <row r="30" hidden="1" spans="1:20">
      <c r="A30" s="247"/>
      <c r="B30" s="248" t="s">
        <v>21</v>
      </c>
      <c r="C30" s="263"/>
      <c r="D30" s="246"/>
      <c r="E30" s="263"/>
      <c r="F30" s="246"/>
      <c r="G30" s="263"/>
      <c r="H30" s="246"/>
      <c r="I30" s="273" t="e">
        <f>E30/G30-1</f>
        <v>#DIV/0!</v>
      </c>
      <c r="J30" s="274"/>
      <c r="K30" s="275"/>
      <c r="L30" s="263"/>
      <c r="M30" s="246"/>
      <c r="N30" s="263"/>
      <c r="O30" s="246"/>
      <c r="P30" s="263"/>
      <c r="Q30" s="246"/>
      <c r="R30" s="273" t="e">
        <f>N30/P30-1</f>
        <v>#DIV/0!</v>
      </c>
      <c r="S30" s="274"/>
      <c r="T30" s="275"/>
    </row>
    <row r="31" hidden="1" spans="1:20">
      <c r="A31" s="249"/>
      <c r="B31" s="248" t="s">
        <v>103</v>
      </c>
      <c r="C31" s="250">
        <f>SUM(C33:C45)</f>
        <v>0</v>
      </c>
      <c r="D31" s="251" t="e">
        <f>C31/C30*1000</f>
        <v>#DIV/0!</v>
      </c>
      <c r="E31" s="250">
        <f>SUM(E33:E45)</f>
        <v>0</v>
      </c>
      <c r="F31" s="251" t="e">
        <f>E31/E30*1000</f>
        <v>#DIV/0!</v>
      </c>
      <c r="G31" s="250">
        <f>SUM(G33:G45)</f>
        <v>0</v>
      </c>
      <c r="H31" s="251" t="e">
        <f>G31/G30*1000</f>
        <v>#DIV/0!</v>
      </c>
      <c r="I31" s="256" t="e">
        <f>F31-H31</f>
        <v>#DIV/0!</v>
      </c>
      <c r="J31" s="257">
        <f>SUM(J32:J45)</f>
        <v>0</v>
      </c>
      <c r="K31" s="276">
        <f>SUM(K32:K45)</f>
        <v>0</v>
      </c>
      <c r="L31" s="250">
        <f>SUM(L33:L45)</f>
        <v>0</v>
      </c>
      <c r="M31" s="251" t="e">
        <f>L31/L30*1000</f>
        <v>#DIV/0!</v>
      </c>
      <c r="N31" s="250">
        <f>SUM(N33:N45)</f>
        <v>0</v>
      </c>
      <c r="O31" s="251" t="e">
        <f>N31/N30*1000</f>
        <v>#DIV/0!</v>
      </c>
      <c r="P31" s="250">
        <f>SUM(P33:P45)</f>
        <v>0</v>
      </c>
      <c r="Q31" s="251" t="e">
        <f>P31/P30*1000</f>
        <v>#DIV/0!</v>
      </c>
      <c r="R31" s="256" t="e">
        <f>O31-Q31</f>
        <v>#DIV/0!</v>
      </c>
      <c r="S31" s="257">
        <f>SUM(S32:S45)</f>
        <v>0</v>
      </c>
      <c r="T31" s="276">
        <f>SUM(T32:T45)</f>
        <v>0</v>
      </c>
    </row>
    <row r="32" hidden="1" spans="1:20">
      <c r="A32" s="247"/>
      <c r="B32" s="248" t="s">
        <v>18</v>
      </c>
      <c r="C32" s="252" t="e">
        <f>D31/C29</f>
        <v>#DIV/0!</v>
      </c>
      <c r="D32" s="246"/>
      <c r="E32" s="252" t="e">
        <f>F31/E29</f>
        <v>#DIV/0!</v>
      </c>
      <c r="F32" s="246"/>
      <c r="G32" s="252" t="e">
        <f>H31/G29</f>
        <v>#DIV/0!</v>
      </c>
      <c r="H32" s="246"/>
      <c r="I32" s="277" t="e">
        <f>E32-G32</f>
        <v>#DIV/0!</v>
      </c>
      <c r="J32" s="274"/>
      <c r="K32" s="275"/>
      <c r="L32" s="252">
        <v>0.101201325632085</v>
      </c>
      <c r="M32" s="246"/>
      <c r="N32" s="252" t="e">
        <f>O31/N29</f>
        <v>#DIV/0!</v>
      </c>
      <c r="O32" s="246"/>
      <c r="P32" s="252" t="e">
        <f>Q31/P29</f>
        <v>#DIV/0!</v>
      </c>
      <c r="Q32" s="246"/>
      <c r="R32" s="277" t="e">
        <f>N32-P32</f>
        <v>#DIV/0!</v>
      </c>
      <c r="S32" s="274"/>
      <c r="T32" s="275"/>
    </row>
    <row r="33" hidden="1" spans="1:20">
      <c r="A33" s="255" t="s">
        <v>22</v>
      </c>
      <c r="B33" s="25" t="s">
        <v>65</v>
      </c>
      <c r="C33" s="264"/>
      <c r="D33" s="257">
        <f>C33/C$4*1000</f>
        <v>0</v>
      </c>
      <c r="E33" s="264"/>
      <c r="F33" s="257">
        <f t="shared" ref="F33:F45" si="12">E33/E$4*1000</f>
        <v>0</v>
      </c>
      <c r="G33" s="264"/>
      <c r="H33" s="257">
        <f t="shared" ref="H33:H45" si="13">G33/G$4*1000</f>
        <v>0</v>
      </c>
      <c r="I33" s="256">
        <f t="shared" ref="I33:I45" si="14">F33-H33</f>
        <v>0</v>
      </c>
      <c r="J33" s="257">
        <f t="shared" ref="J33:J45" si="15">G33/E$4*1000-H33</f>
        <v>0</v>
      </c>
      <c r="K33" s="276">
        <f>I33-J33</f>
        <v>0</v>
      </c>
      <c r="L33" s="264"/>
      <c r="M33" s="257">
        <f>L33/L$4*1000</f>
        <v>0</v>
      </c>
      <c r="N33" s="264"/>
      <c r="O33" s="257">
        <f t="shared" ref="O33:O45" si="16">N33/N$4*1000</f>
        <v>0</v>
      </c>
      <c r="P33" s="264"/>
      <c r="Q33" s="257">
        <f>P33/P$4*1000</f>
        <v>0</v>
      </c>
      <c r="R33" s="256">
        <f t="shared" ref="R33:R45" si="17">O33-Q33</f>
        <v>0</v>
      </c>
      <c r="S33" s="257">
        <f t="shared" ref="S33:S45" si="18">P33/N$4*1000-Q33</f>
        <v>0</v>
      </c>
      <c r="T33" s="276">
        <f>R33-S33</f>
        <v>0</v>
      </c>
    </row>
    <row r="34" hidden="1" spans="1:20">
      <c r="A34" s="255"/>
      <c r="B34" s="25" t="s">
        <v>24</v>
      </c>
      <c r="C34" s="264"/>
      <c r="D34" s="257">
        <f t="shared" ref="D34:D45" si="19">C34/C$4*1000</f>
        <v>0</v>
      </c>
      <c r="E34" s="264"/>
      <c r="F34" s="257">
        <f t="shared" si="12"/>
        <v>0</v>
      </c>
      <c r="G34" s="264"/>
      <c r="H34" s="257">
        <f t="shared" si="13"/>
        <v>0</v>
      </c>
      <c r="I34" s="256">
        <f t="shared" si="14"/>
        <v>0</v>
      </c>
      <c r="J34" s="257">
        <f t="shared" si="15"/>
        <v>0</v>
      </c>
      <c r="K34" s="276">
        <f t="shared" ref="K34:K45" si="20">I34-J34</f>
        <v>0</v>
      </c>
      <c r="L34" s="264"/>
      <c r="M34" s="257">
        <f t="shared" ref="M34:M45" si="21">L34/L$4*1000</f>
        <v>0</v>
      </c>
      <c r="N34" s="264"/>
      <c r="O34" s="257">
        <f t="shared" si="16"/>
        <v>0</v>
      </c>
      <c r="P34" s="264"/>
      <c r="Q34" s="257">
        <f t="shared" ref="Q34:Q45" si="22">P34/P$4*1000</f>
        <v>0</v>
      </c>
      <c r="R34" s="256">
        <f t="shared" si="17"/>
        <v>0</v>
      </c>
      <c r="S34" s="257">
        <f t="shared" si="18"/>
        <v>0</v>
      </c>
      <c r="T34" s="276">
        <f t="shared" ref="T34:T45" si="23">R34-S34</f>
        <v>0</v>
      </c>
    </row>
    <row r="35" hidden="1" spans="1:20">
      <c r="A35" s="255"/>
      <c r="B35" s="25" t="s">
        <v>25</v>
      </c>
      <c r="C35" s="264"/>
      <c r="D35" s="257">
        <f t="shared" si="19"/>
        <v>0</v>
      </c>
      <c r="E35" s="264"/>
      <c r="F35" s="257">
        <f t="shared" si="12"/>
        <v>0</v>
      </c>
      <c r="G35" s="264"/>
      <c r="H35" s="257">
        <f t="shared" si="13"/>
        <v>0</v>
      </c>
      <c r="I35" s="256">
        <f t="shared" si="14"/>
        <v>0</v>
      </c>
      <c r="J35" s="257">
        <f t="shared" si="15"/>
        <v>0</v>
      </c>
      <c r="K35" s="276">
        <f t="shared" si="20"/>
        <v>0</v>
      </c>
      <c r="L35" s="264"/>
      <c r="M35" s="257">
        <f t="shared" si="21"/>
        <v>0</v>
      </c>
      <c r="N35" s="264"/>
      <c r="O35" s="257">
        <f t="shared" si="16"/>
        <v>0</v>
      </c>
      <c r="P35" s="264"/>
      <c r="Q35" s="257">
        <f t="shared" si="22"/>
        <v>0</v>
      </c>
      <c r="R35" s="256">
        <f t="shared" si="17"/>
        <v>0</v>
      </c>
      <c r="S35" s="257">
        <f t="shared" si="18"/>
        <v>0</v>
      </c>
      <c r="T35" s="276">
        <f t="shared" si="23"/>
        <v>0</v>
      </c>
    </row>
    <row r="36" hidden="1" spans="1:20">
      <c r="A36" s="255"/>
      <c r="B36" s="25" t="s">
        <v>26</v>
      </c>
      <c r="C36" s="264"/>
      <c r="D36" s="257">
        <f t="shared" si="19"/>
        <v>0</v>
      </c>
      <c r="E36" s="264"/>
      <c r="F36" s="257">
        <f t="shared" si="12"/>
        <v>0</v>
      </c>
      <c r="G36" s="264"/>
      <c r="H36" s="257">
        <f t="shared" si="13"/>
        <v>0</v>
      </c>
      <c r="I36" s="256">
        <f t="shared" si="14"/>
        <v>0</v>
      </c>
      <c r="J36" s="257">
        <f t="shared" si="15"/>
        <v>0</v>
      </c>
      <c r="K36" s="276">
        <f t="shared" si="20"/>
        <v>0</v>
      </c>
      <c r="L36" s="264"/>
      <c r="M36" s="257">
        <f t="shared" si="21"/>
        <v>0</v>
      </c>
      <c r="N36" s="264"/>
      <c r="O36" s="257">
        <f t="shared" si="16"/>
        <v>0</v>
      </c>
      <c r="P36" s="264"/>
      <c r="Q36" s="257">
        <f t="shared" si="22"/>
        <v>0</v>
      </c>
      <c r="R36" s="256">
        <f t="shared" si="17"/>
        <v>0</v>
      </c>
      <c r="S36" s="257">
        <f t="shared" si="18"/>
        <v>0</v>
      </c>
      <c r="T36" s="276">
        <f t="shared" si="23"/>
        <v>0</v>
      </c>
    </row>
    <row r="37" hidden="1" spans="1:20">
      <c r="A37" s="255"/>
      <c r="B37" s="25" t="s">
        <v>27</v>
      </c>
      <c r="C37" s="264"/>
      <c r="D37" s="257">
        <f t="shared" si="19"/>
        <v>0</v>
      </c>
      <c r="E37" s="264"/>
      <c r="F37" s="257">
        <f t="shared" si="12"/>
        <v>0</v>
      </c>
      <c r="G37" s="264"/>
      <c r="H37" s="257">
        <f t="shared" si="13"/>
        <v>0</v>
      </c>
      <c r="I37" s="256">
        <f t="shared" si="14"/>
        <v>0</v>
      </c>
      <c r="J37" s="257">
        <f t="shared" si="15"/>
        <v>0</v>
      </c>
      <c r="K37" s="276">
        <f t="shared" si="20"/>
        <v>0</v>
      </c>
      <c r="L37" s="264"/>
      <c r="M37" s="257">
        <f t="shared" si="21"/>
        <v>0</v>
      </c>
      <c r="N37" s="264"/>
      <c r="O37" s="257">
        <f t="shared" si="16"/>
        <v>0</v>
      </c>
      <c r="P37" s="264"/>
      <c r="Q37" s="257">
        <f t="shared" si="22"/>
        <v>0</v>
      </c>
      <c r="R37" s="256">
        <f t="shared" si="17"/>
        <v>0</v>
      </c>
      <c r="S37" s="257">
        <f t="shared" si="18"/>
        <v>0</v>
      </c>
      <c r="T37" s="276">
        <f t="shared" si="23"/>
        <v>0</v>
      </c>
    </row>
    <row r="38" hidden="1" spans="1:20">
      <c r="A38" s="255"/>
      <c r="B38" s="25" t="s">
        <v>28</v>
      </c>
      <c r="C38" s="264"/>
      <c r="D38" s="257">
        <f t="shared" si="19"/>
        <v>0</v>
      </c>
      <c r="E38" s="264"/>
      <c r="F38" s="257">
        <f t="shared" si="12"/>
        <v>0</v>
      </c>
      <c r="G38" s="264"/>
      <c r="H38" s="257">
        <f t="shared" si="13"/>
        <v>0</v>
      </c>
      <c r="I38" s="256">
        <f t="shared" si="14"/>
        <v>0</v>
      </c>
      <c r="J38" s="257">
        <f t="shared" si="15"/>
        <v>0</v>
      </c>
      <c r="K38" s="276">
        <f t="shared" si="20"/>
        <v>0</v>
      </c>
      <c r="L38" s="264"/>
      <c r="M38" s="257">
        <f t="shared" si="21"/>
        <v>0</v>
      </c>
      <c r="N38" s="264"/>
      <c r="O38" s="257">
        <f t="shared" si="16"/>
        <v>0</v>
      </c>
      <c r="P38" s="264"/>
      <c r="Q38" s="257">
        <f t="shared" si="22"/>
        <v>0</v>
      </c>
      <c r="R38" s="256">
        <f t="shared" si="17"/>
        <v>0</v>
      </c>
      <c r="S38" s="257">
        <f t="shared" si="18"/>
        <v>0</v>
      </c>
      <c r="T38" s="276">
        <f t="shared" si="23"/>
        <v>0</v>
      </c>
    </row>
    <row r="39" hidden="1" spans="1:20">
      <c r="A39" s="255"/>
      <c r="B39" s="25" t="s">
        <v>29</v>
      </c>
      <c r="C39" s="264"/>
      <c r="D39" s="257">
        <f t="shared" si="19"/>
        <v>0</v>
      </c>
      <c r="E39" s="264"/>
      <c r="F39" s="257">
        <f t="shared" si="12"/>
        <v>0</v>
      </c>
      <c r="G39" s="264"/>
      <c r="H39" s="257">
        <f t="shared" si="13"/>
        <v>0</v>
      </c>
      <c r="I39" s="256">
        <f t="shared" si="14"/>
        <v>0</v>
      </c>
      <c r="J39" s="257">
        <f t="shared" si="15"/>
        <v>0</v>
      </c>
      <c r="K39" s="276">
        <f t="shared" si="20"/>
        <v>0</v>
      </c>
      <c r="L39" s="264"/>
      <c r="M39" s="257">
        <f t="shared" si="21"/>
        <v>0</v>
      </c>
      <c r="N39" s="264"/>
      <c r="O39" s="257">
        <f t="shared" si="16"/>
        <v>0</v>
      </c>
      <c r="P39" s="264"/>
      <c r="Q39" s="257">
        <f t="shared" si="22"/>
        <v>0</v>
      </c>
      <c r="R39" s="256">
        <f t="shared" si="17"/>
        <v>0</v>
      </c>
      <c r="S39" s="257">
        <f t="shared" si="18"/>
        <v>0</v>
      </c>
      <c r="T39" s="276">
        <f t="shared" si="23"/>
        <v>0</v>
      </c>
    </row>
    <row r="40" hidden="1" spans="1:20">
      <c r="A40" s="255" t="s">
        <v>30</v>
      </c>
      <c r="B40" s="25" t="s">
        <v>31</v>
      </c>
      <c r="C40" s="264"/>
      <c r="D40" s="257">
        <f t="shared" si="19"/>
        <v>0</v>
      </c>
      <c r="E40" s="264"/>
      <c r="F40" s="257">
        <f t="shared" si="12"/>
        <v>0</v>
      </c>
      <c r="G40" s="264"/>
      <c r="H40" s="257">
        <f t="shared" si="13"/>
        <v>0</v>
      </c>
      <c r="I40" s="256">
        <f t="shared" si="14"/>
        <v>0</v>
      </c>
      <c r="J40" s="257">
        <f t="shared" si="15"/>
        <v>0</v>
      </c>
      <c r="K40" s="276">
        <f t="shared" si="20"/>
        <v>0</v>
      </c>
      <c r="L40" s="264"/>
      <c r="M40" s="257">
        <f t="shared" si="21"/>
        <v>0</v>
      </c>
      <c r="N40" s="264"/>
      <c r="O40" s="257">
        <f t="shared" si="16"/>
        <v>0</v>
      </c>
      <c r="P40" s="264"/>
      <c r="Q40" s="257">
        <f t="shared" si="22"/>
        <v>0</v>
      </c>
      <c r="R40" s="256">
        <f t="shared" si="17"/>
        <v>0</v>
      </c>
      <c r="S40" s="257">
        <f t="shared" si="18"/>
        <v>0</v>
      </c>
      <c r="T40" s="276">
        <f t="shared" si="23"/>
        <v>0</v>
      </c>
    </row>
    <row r="41" hidden="1" spans="1:20">
      <c r="A41" s="255"/>
      <c r="B41" s="25" t="s">
        <v>66</v>
      </c>
      <c r="C41" s="264"/>
      <c r="D41" s="257">
        <f t="shared" si="19"/>
        <v>0</v>
      </c>
      <c r="E41" s="264"/>
      <c r="F41" s="257">
        <f t="shared" si="12"/>
        <v>0</v>
      </c>
      <c r="G41" s="264"/>
      <c r="H41" s="257">
        <f t="shared" si="13"/>
        <v>0</v>
      </c>
      <c r="I41" s="256">
        <f t="shared" si="14"/>
        <v>0</v>
      </c>
      <c r="J41" s="257">
        <f t="shared" si="15"/>
        <v>0</v>
      </c>
      <c r="K41" s="276">
        <f t="shared" si="20"/>
        <v>0</v>
      </c>
      <c r="L41" s="264"/>
      <c r="M41" s="257">
        <f t="shared" si="21"/>
        <v>0</v>
      </c>
      <c r="N41" s="264"/>
      <c r="O41" s="257">
        <f t="shared" si="16"/>
        <v>0</v>
      </c>
      <c r="P41" s="264"/>
      <c r="Q41" s="257">
        <f t="shared" si="22"/>
        <v>0</v>
      </c>
      <c r="R41" s="256">
        <f t="shared" si="17"/>
        <v>0</v>
      </c>
      <c r="S41" s="257">
        <f t="shared" si="18"/>
        <v>0</v>
      </c>
      <c r="T41" s="276">
        <f t="shared" si="23"/>
        <v>0</v>
      </c>
    </row>
    <row r="42" hidden="1" spans="1:20">
      <c r="A42" s="255"/>
      <c r="B42" s="25" t="s">
        <v>33</v>
      </c>
      <c r="C42" s="264"/>
      <c r="D42" s="257">
        <f t="shared" si="19"/>
        <v>0</v>
      </c>
      <c r="E42" s="264"/>
      <c r="F42" s="257">
        <f t="shared" si="12"/>
        <v>0</v>
      </c>
      <c r="G42" s="264"/>
      <c r="H42" s="257">
        <f t="shared" si="13"/>
        <v>0</v>
      </c>
      <c r="I42" s="256">
        <f t="shared" si="14"/>
        <v>0</v>
      </c>
      <c r="J42" s="257">
        <f t="shared" si="15"/>
        <v>0</v>
      </c>
      <c r="K42" s="276">
        <f t="shared" si="20"/>
        <v>0</v>
      </c>
      <c r="L42" s="264"/>
      <c r="M42" s="257">
        <f t="shared" si="21"/>
        <v>0</v>
      </c>
      <c r="N42" s="264"/>
      <c r="O42" s="257">
        <f t="shared" si="16"/>
        <v>0</v>
      </c>
      <c r="P42" s="264"/>
      <c r="Q42" s="257">
        <f t="shared" si="22"/>
        <v>0</v>
      </c>
      <c r="R42" s="256">
        <f t="shared" si="17"/>
        <v>0</v>
      </c>
      <c r="S42" s="257">
        <f t="shared" si="18"/>
        <v>0</v>
      </c>
      <c r="T42" s="276">
        <f t="shared" si="23"/>
        <v>0</v>
      </c>
    </row>
    <row r="43" hidden="1" spans="1:20">
      <c r="A43" s="255"/>
      <c r="B43" s="25" t="s">
        <v>67</v>
      </c>
      <c r="C43" s="264"/>
      <c r="D43" s="257">
        <f t="shared" si="19"/>
        <v>0</v>
      </c>
      <c r="E43" s="264"/>
      <c r="F43" s="257">
        <f t="shared" si="12"/>
        <v>0</v>
      </c>
      <c r="G43" s="264"/>
      <c r="H43" s="257">
        <f t="shared" si="13"/>
        <v>0</v>
      </c>
      <c r="I43" s="256">
        <f t="shared" si="14"/>
        <v>0</v>
      </c>
      <c r="J43" s="257">
        <f t="shared" si="15"/>
        <v>0</v>
      </c>
      <c r="K43" s="276">
        <f t="shared" si="20"/>
        <v>0</v>
      </c>
      <c r="L43" s="264"/>
      <c r="M43" s="257">
        <f t="shared" si="21"/>
        <v>0</v>
      </c>
      <c r="N43" s="264"/>
      <c r="O43" s="257">
        <f t="shared" si="16"/>
        <v>0</v>
      </c>
      <c r="P43" s="264"/>
      <c r="Q43" s="257">
        <f t="shared" si="22"/>
        <v>0</v>
      </c>
      <c r="R43" s="256">
        <f t="shared" si="17"/>
        <v>0</v>
      </c>
      <c r="S43" s="257">
        <f t="shared" si="18"/>
        <v>0</v>
      </c>
      <c r="T43" s="276">
        <f t="shared" si="23"/>
        <v>0</v>
      </c>
    </row>
    <row r="44" hidden="1" spans="1:20">
      <c r="A44" s="255"/>
      <c r="B44" s="25" t="s">
        <v>35</v>
      </c>
      <c r="C44" s="264"/>
      <c r="D44" s="257">
        <f t="shared" si="19"/>
        <v>0</v>
      </c>
      <c r="E44" s="264"/>
      <c r="F44" s="257">
        <f t="shared" si="12"/>
        <v>0</v>
      </c>
      <c r="G44" s="264"/>
      <c r="H44" s="257">
        <f t="shared" si="13"/>
        <v>0</v>
      </c>
      <c r="I44" s="256">
        <f t="shared" si="14"/>
        <v>0</v>
      </c>
      <c r="J44" s="257">
        <f t="shared" si="15"/>
        <v>0</v>
      </c>
      <c r="K44" s="276">
        <f t="shared" si="20"/>
        <v>0</v>
      </c>
      <c r="L44" s="264"/>
      <c r="M44" s="257">
        <f t="shared" si="21"/>
        <v>0</v>
      </c>
      <c r="N44" s="264"/>
      <c r="O44" s="257">
        <f t="shared" si="16"/>
        <v>0</v>
      </c>
      <c r="P44" s="264"/>
      <c r="Q44" s="257">
        <f t="shared" si="22"/>
        <v>0</v>
      </c>
      <c r="R44" s="256">
        <f t="shared" si="17"/>
        <v>0</v>
      </c>
      <c r="S44" s="257">
        <f t="shared" si="18"/>
        <v>0</v>
      </c>
      <c r="T44" s="276">
        <f t="shared" si="23"/>
        <v>0</v>
      </c>
    </row>
    <row r="45" ht="14.55" hidden="1" spans="1:20">
      <c r="A45" s="258" t="s">
        <v>36</v>
      </c>
      <c r="B45" s="259" t="s">
        <v>104</v>
      </c>
      <c r="C45" s="265"/>
      <c r="D45" s="261">
        <f t="shared" si="19"/>
        <v>0</v>
      </c>
      <c r="E45" s="265"/>
      <c r="F45" s="261">
        <f t="shared" si="12"/>
        <v>0</v>
      </c>
      <c r="G45" s="265"/>
      <c r="H45" s="261">
        <f t="shared" si="13"/>
        <v>0</v>
      </c>
      <c r="I45" s="260">
        <f t="shared" si="14"/>
        <v>0</v>
      </c>
      <c r="J45" s="261">
        <f t="shared" si="15"/>
        <v>0</v>
      </c>
      <c r="K45" s="278">
        <f t="shared" si="20"/>
        <v>0</v>
      </c>
      <c r="L45" s="265"/>
      <c r="M45" s="261">
        <f t="shared" si="21"/>
        <v>0</v>
      </c>
      <c r="N45" s="265"/>
      <c r="O45" s="261">
        <f t="shared" si="16"/>
        <v>0</v>
      </c>
      <c r="P45" s="265"/>
      <c r="Q45" s="261">
        <f t="shared" si="22"/>
        <v>0</v>
      </c>
      <c r="R45" s="260">
        <f t="shared" si="17"/>
        <v>0</v>
      </c>
      <c r="S45" s="261">
        <f t="shared" si="18"/>
        <v>0</v>
      </c>
      <c r="T45" s="278">
        <f t="shared" si="23"/>
        <v>0</v>
      </c>
    </row>
    <row r="46" hidden="1"/>
  </sheetData>
  <mergeCells count="8">
    <mergeCell ref="C1:K1"/>
    <mergeCell ref="L1:T1"/>
    <mergeCell ref="C27:K27"/>
    <mergeCell ref="L27:T27"/>
    <mergeCell ref="A7:A13"/>
    <mergeCell ref="A14:A18"/>
    <mergeCell ref="A33:A39"/>
    <mergeCell ref="A40:A44"/>
  </mergeCells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showGridLines="0" zoomScale="70" zoomScaleNormal="70" workbookViewId="0">
      <selection activeCell="F51" sqref="F51"/>
    </sheetView>
  </sheetViews>
  <sheetFormatPr defaultColWidth="9" defaultRowHeight="13.8"/>
  <cols>
    <col min="2" max="2" width="10.75" customWidth="1"/>
    <col min="3" max="15" width="8.66666666666667" style="233"/>
  </cols>
  <sheetData>
    <row r="1" spans="1:14">
      <c r="A1" t="s">
        <v>94</v>
      </c>
      <c r="B1" s="234"/>
      <c r="C1" s="235" t="s">
        <v>109</v>
      </c>
      <c r="D1" s="235" t="s">
        <v>110</v>
      </c>
      <c r="E1" s="235" t="s">
        <v>111</v>
      </c>
      <c r="F1" s="235" t="s">
        <v>112</v>
      </c>
      <c r="G1" s="235" t="s">
        <v>113</v>
      </c>
      <c r="H1" s="235" t="s">
        <v>114</v>
      </c>
      <c r="I1" s="235" t="s">
        <v>115</v>
      </c>
      <c r="J1" s="235" t="s">
        <v>116</v>
      </c>
      <c r="K1" s="235" t="s">
        <v>117</v>
      </c>
      <c r="L1" s="235" t="s">
        <v>118</v>
      </c>
      <c r="M1" s="235" t="s">
        <v>119</v>
      </c>
      <c r="N1" s="235" t="s">
        <v>120</v>
      </c>
    </row>
    <row r="2" spans="2:14">
      <c r="B2" s="234" t="s">
        <v>99</v>
      </c>
      <c r="C2" s="235">
        <v>34.9554951575672</v>
      </c>
      <c r="D2" s="235">
        <v>32.7910305097132</v>
      </c>
      <c r="E2" s="235">
        <v>32.1556536473229</v>
      </c>
      <c r="F2" s="235">
        <v>25.9070811758388</v>
      </c>
      <c r="G2" s="235">
        <v>30.1653256992277</v>
      </c>
      <c r="H2" s="235">
        <v>36.5277907100623</v>
      </c>
      <c r="I2" s="235">
        <v>30.4450404246841</v>
      </c>
      <c r="J2" s="235">
        <v>36.6214204584098</v>
      </c>
      <c r="K2" s="235">
        <v>13.6287438618898</v>
      </c>
      <c r="L2" s="235">
        <v>20.771014770731</v>
      </c>
      <c r="M2" s="235">
        <v>23.4580335946249</v>
      </c>
      <c r="N2" s="235">
        <v>21.0503589485666</v>
      </c>
    </row>
    <row r="3" spans="2:14">
      <c r="B3" s="234" t="s">
        <v>98</v>
      </c>
      <c r="C3" s="235">
        <v>25.5481477497413</v>
      </c>
      <c r="D3" s="235">
        <v>22.1245799386607</v>
      </c>
      <c r="E3" s="235">
        <v>24.1452398115035</v>
      </c>
      <c r="F3" s="235">
        <v>18.9364019181267</v>
      </c>
      <c r="G3" s="235"/>
      <c r="H3" s="235"/>
      <c r="I3" s="235"/>
      <c r="J3" s="235"/>
      <c r="K3" s="235"/>
      <c r="L3" s="235"/>
      <c r="M3" s="235"/>
      <c r="N3" s="235"/>
    </row>
    <row r="4" spans="2:14">
      <c r="B4" s="234"/>
      <c r="C4" s="235"/>
      <c r="D4" s="235"/>
      <c r="E4" s="235"/>
      <c r="F4" s="235"/>
      <c r="G4" s="235"/>
      <c r="H4" s="235"/>
      <c r="I4" s="235"/>
      <c r="J4" s="235"/>
      <c r="K4" s="235"/>
      <c r="L4" s="235"/>
      <c r="M4" s="235"/>
      <c r="N4" s="235"/>
    </row>
    <row r="5" spans="1:14">
      <c r="A5" t="s">
        <v>95</v>
      </c>
      <c r="B5" s="234" t="s">
        <v>99</v>
      </c>
      <c r="C5" s="235">
        <v>35.0460413781429</v>
      </c>
      <c r="D5" s="235">
        <v>35.4578978148285</v>
      </c>
      <c r="E5" s="235">
        <v>39.4479541187388</v>
      </c>
      <c r="F5" s="235">
        <v>32.2427072801491</v>
      </c>
      <c r="G5" s="235">
        <v>34.7643938872157</v>
      </c>
      <c r="H5" s="235">
        <v>58.5861653856526</v>
      </c>
      <c r="I5" s="235">
        <v>39.1191987003369</v>
      </c>
      <c r="J5" s="235">
        <v>47.9577673875191</v>
      </c>
      <c r="K5" s="235">
        <v>56.5252341870666</v>
      </c>
      <c r="L5" s="235">
        <v>55.0566479722254</v>
      </c>
      <c r="M5" s="235">
        <v>51.6842838488685</v>
      </c>
      <c r="N5" s="235">
        <v>35.6900871878935</v>
      </c>
    </row>
    <row r="6" spans="2:14">
      <c r="B6" s="234" t="s">
        <v>98</v>
      </c>
      <c r="C6" s="235">
        <v>37.5517870642144</v>
      </c>
      <c r="D6" s="235">
        <v>41.114903622661</v>
      </c>
      <c r="E6" s="235">
        <v>74.4665303017129</v>
      </c>
      <c r="F6" s="235">
        <v>22.051091954023</v>
      </c>
      <c r="G6" s="235"/>
      <c r="H6" s="235"/>
      <c r="I6" s="235"/>
      <c r="J6" s="235"/>
      <c r="K6" s="235"/>
      <c r="L6" s="235"/>
      <c r="M6" s="235"/>
      <c r="N6" s="235"/>
    </row>
    <row r="7" spans="2:14">
      <c r="B7" s="234"/>
      <c r="C7" s="235"/>
      <c r="D7" s="235"/>
      <c r="E7" s="235"/>
      <c r="F7" s="235"/>
      <c r="G7" s="235"/>
      <c r="H7" s="235"/>
      <c r="I7" s="235"/>
      <c r="J7" s="235"/>
      <c r="K7" s="235"/>
      <c r="L7" s="235"/>
      <c r="M7" s="235"/>
      <c r="N7" s="235"/>
    </row>
    <row r="8" spans="2:14">
      <c r="B8" s="234"/>
      <c r="C8" s="235"/>
      <c r="D8" s="235"/>
      <c r="E8" s="235"/>
      <c r="F8" s="235"/>
      <c r="G8" s="235"/>
      <c r="H8" s="235"/>
      <c r="I8" s="235"/>
      <c r="J8" s="235"/>
      <c r="K8" s="235"/>
      <c r="L8" s="235"/>
      <c r="M8" s="235"/>
      <c r="N8" s="235"/>
    </row>
    <row r="9" spans="2:14">
      <c r="B9" s="234"/>
      <c r="C9" s="235"/>
      <c r="D9" s="235"/>
      <c r="E9" s="235"/>
      <c r="F9" s="235"/>
      <c r="G9" s="235"/>
      <c r="H9" s="235"/>
      <c r="I9" s="235"/>
      <c r="J9" s="235"/>
      <c r="K9" s="235"/>
      <c r="L9" s="235"/>
      <c r="M9" s="235"/>
      <c r="N9" s="235"/>
    </row>
    <row r="10" spans="2:14">
      <c r="B10" s="234"/>
      <c r="C10" s="235"/>
      <c r="D10" s="235"/>
      <c r="E10" s="235"/>
      <c r="F10" s="235"/>
      <c r="G10" s="235"/>
      <c r="H10" s="235"/>
      <c r="I10" s="235"/>
      <c r="J10" s="235"/>
      <c r="K10" s="235"/>
      <c r="L10" s="235"/>
      <c r="M10" s="235"/>
      <c r="N10" s="235"/>
    </row>
    <row r="13" spans="2:14">
      <c r="B13" s="234"/>
      <c r="C13" s="235"/>
      <c r="D13" s="235"/>
      <c r="E13" s="235"/>
      <c r="F13" s="235"/>
      <c r="G13" s="235"/>
      <c r="H13" s="235"/>
      <c r="I13" s="235"/>
      <c r="J13" s="235"/>
      <c r="K13" s="235"/>
      <c r="L13" s="235"/>
      <c r="M13" s="235"/>
      <c r="N13" s="235"/>
    </row>
  </sheetData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N23"/>
  <sheetViews>
    <sheetView workbookViewId="0">
      <selection activeCell="G35" sqref="G35"/>
    </sheetView>
  </sheetViews>
  <sheetFormatPr defaultColWidth="9" defaultRowHeight="13.8"/>
  <cols>
    <col min="1" max="1" width="28.3333333333333" customWidth="1"/>
    <col min="2" max="2" width="14.5833333333333" customWidth="1"/>
    <col min="3" max="3" width="15.6666666666667" customWidth="1"/>
    <col min="4" max="4" width="15.1666666666667" customWidth="1"/>
    <col min="5" max="13" width="10.5" customWidth="1"/>
    <col min="14" max="14" width="11.9166666666667" customWidth="1"/>
  </cols>
  <sheetData>
    <row r="7" ht="14.55" spans="1:14">
      <c r="A7" s="209" t="s">
        <v>121</v>
      </c>
      <c r="B7" s="209"/>
      <c r="C7" s="209"/>
      <c r="D7" s="209"/>
      <c r="E7" s="209"/>
      <c r="F7" s="209"/>
      <c r="G7" s="209"/>
      <c r="H7" s="209"/>
      <c r="I7" s="209"/>
      <c r="J7" s="209"/>
      <c r="K7" s="209"/>
      <c r="L7" s="209"/>
      <c r="M7" s="209"/>
      <c r="N7" s="209"/>
    </row>
    <row r="8" ht="14.55" spans="1:14">
      <c r="A8" s="210"/>
      <c r="B8" s="211" t="s">
        <v>122</v>
      </c>
      <c r="C8" s="211" t="s">
        <v>123</v>
      </c>
      <c r="D8" s="211" t="s">
        <v>124</v>
      </c>
      <c r="E8" s="211" t="s">
        <v>125</v>
      </c>
      <c r="F8" s="211" t="s">
        <v>126</v>
      </c>
      <c r="G8" s="211" t="s">
        <v>127</v>
      </c>
      <c r="H8" s="211" t="s">
        <v>128</v>
      </c>
      <c r="I8" s="211" t="s">
        <v>129</v>
      </c>
      <c r="J8" s="211" t="s">
        <v>130</v>
      </c>
      <c r="K8" s="211" t="s">
        <v>131</v>
      </c>
      <c r="L8" s="211" t="s">
        <v>132</v>
      </c>
      <c r="M8" s="211" t="s">
        <v>133</v>
      </c>
      <c r="N8" s="231" t="s">
        <v>134</v>
      </c>
    </row>
    <row r="9" ht="14.55" spans="1:14">
      <c r="A9" s="210" t="s">
        <v>135</v>
      </c>
      <c r="B9" s="212" t="s">
        <v>136</v>
      </c>
      <c r="C9" s="212" t="s">
        <v>137</v>
      </c>
      <c r="D9" s="212" t="s">
        <v>138</v>
      </c>
      <c r="E9" s="212" t="s">
        <v>139</v>
      </c>
      <c r="F9" s="212" t="s">
        <v>140</v>
      </c>
      <c r="G9" s="212" t="s">
        <v>141</v>
      </c>
      <c r="H9" s="212" t="s">
        <v>142</v>
      </c>
      <c r="I9" s="212" t="s">
        <v>143</v>
      </c>
      <c r="J9" s="212" t="s">
        <v>144</v>
      </c>
      <c r="K9" s="212" t="s">
        <v>145</v>
      </c>
      <c r="L9" s="212" t="s">
        <v>146</v>
      </c>
      <c r="M9" s="212" t="s">
        <v>147</v>
      </c>
      <c r="N9" s="229" t="s">
        <v>148</v>
      </c>
    </row>
    <row r="10" ht="14.55" spans="1:14">
      <c r="A10" s="210" t="s">
        <v>149</v>
      </c>
      <c r="B10" s="213" t="s">
        <v>150</v>
      </c>
      <c r="C10" s="213" t="s">
        <v>150</v>
      </c>
      <c r="D10" s="214" t="s">
        <v>150</v>
      </c>
      <c r="E10" s="215">
        <v>-530340.03</v>
      </c>
      <c r="F10" s="216">
        <v>-135049.23</v>
      </c>
      <c r="G10" s="216">
        <v>-132585.21</v>
      </c>
      <c r="H10" s="216">
        <v>-135048.46</v>
      </c>
      <c r="I10" s="216">
        <v>-135042.68</v>
      </c>
      <c r="J10" s="216">
        <v>-132130.96</v>
      </c>
      <c r="K10" s="216">
        <v>-134574.27</v>
      </c>
      <c r="L10" s="216">
        <v>-132107.03</v>
      </c>
      <c r="M10" s="216">
        <v>-134287.34</v>
      </c>
      <c r="N10" s="213">
        <f>SUM(B10:M10)</f>
        <v>-1601165.21</v>
      </c>
    </row>
    <row r="11" ht="14.55" spans="1:14">
      <c r="A11" s="217" t="s">
        <v>151</v>
      </c>
      <c r="B11" s="218" t="s">
        <v>136</v>
      </c>
      <c r="C11" s="218" t="s">
        <v>137</v>
      </c>
      <c r="D11" s="218" t="s">
        <v>138</v>
      </c>
      <c r="E11" s="218" t="s">
        <v>152</v>
      </c>
      <c r="F11" s="218" t="s">
        <v>153</v>
      </c>
      <c r="G11" s="218" t="s">
        <v>154</v>
      </c>
      <c r="H11" s="218" t="s">
        <v>155</v>
      </c>
      <c r="I11" s="218" t="s">
        <v>156</v>
      </c>
      <c r="J11" s="218" t="s">
        <v>157</v>
      </c>
      <c r="K11" s="218" t="s">
        <v>158</v>
      </c>
      <c r="L11" s="218" t="s">
        <v>159</v>
      </c>
      <c r="M11" s="218" t="s">
        <v>160</v>
      </c>
      <c r="N11" s="218" t="s">
        <v>161</v>
      </c>
    </row>
    <row r="12" ht="14.55" spans="1:14">
      <c r="A12" s="217" t="s">
        <v>162</v>
      </c>
      <c r="B12" s="218">
        <v>50463</v>
      </c>
      <c r="C12" s="218">
        <v>50446</v>
      </c>
      <c r="D12" s="219">
        <v>50447</v>
      </c>
      <c r="E12" s="220">
        <v>48050</v>
      </c>
      <c r="F12" s="221">
        <v>36788</v>
      </c>
      <c r="G12" s="221">
        <v>53265</v>
      </c>
      <c r="H12" s="221">
        <v>42049</v>
      </c>
      <c r="I12" s="221">
        <v>39150</v>
      </c>
      <c r="J12" s="221">
        <v>53732</v>
      </c>
      <c r="K12" s="221">
        <v>48548</v>
      </c>
      <c r="L12" s="221">
        <v>51408</v>
      </c>
      <c r="M12" s="221">
        <v>40676</v>
      </c>
      <c r="N12" s="218">
        <f>SUM(B12:M12)</f>
        <v>565022</v>
      </c>
    </row>
    <row r="13" ht="14.55" spans="1:14">
      <c r="A13" s="217"/>
      <c r="B13" s="218"/>
      <c r="C13" s="218"/>
      <c r="D13" s="219"/>
      <c r="E13" s="220"/>
      <c r="F13" s="221"/>
      <c r="G13" s="221"/>
      <c r="H13" s="221"/>
      <c r="I13" s="221"/>
      <c r="J13" s="221"/>
      <c r="K13" s="221"/>
      <c r="L13" s="221"/>
      <c r="M13" s="221"/>
      <c r="N13" s="218"/>
    </row>
    <row r="14" ht="14.55" spans="1:14">
      <c r="A14" s="217" t="s">
        <v>163</v>
      </c>
      <c r="B14" s="218"/>
      <c r="C14" s="218"/>
      <c r="D14" s="219"/>
      <c r="E14" s="222">
        <f t="shared" ref="E14:N14" si="0">E10/E12</f>
        <v>-11.0372534859521</v>
      </c>
      <c r="F14" s="223">
        <f t="shared" si="0"/>
        <v>-3.67101310209851</v>
      </c>
      <c r="G14" s="223">
        <f t="shared" si="0"/>
        <v>-2.48916192621797</v>
      </c>
      <c r="H14" s="223">
        <f t="shared" si="0"/>
        <v>-3.21169254916883</v>
      </c>
      <c r="I14" s="223">
        <f t="shared" si="0"/>
        <v>-3.44936602809706</v>
      </c>
      <c r="J14" s="223">
        <f t="shared" si="0"/>
        <v>-2.45907392242984</v>
      </c>
      <c r="K14" s="223">
        <f t="shared" si="0"/>
        <v>-2.77198380983769</v>
      </c>
      <c r="L14" s="223">
        <f t="shared" si="0"/>
        <v>-2.56977571584189</v>
      </c>
      <c r="M14" s="223">
        <f t="shared" si="0"/>
        <v>-3.30139000885043</v>
      </c>
      <c r="N14" s="227">
        <f t="shared" si="0"/>
        <v>-2.83381038260457</v>
      </c>
    </row>
    <row r="15" spans="1:14">
      <c r="A15" s="224"/>
      <c r="B15" s="224"/>
      <c r="C15" s="224"/>
      <c r="D15" s="224"/>
      <c r="E15" s="224"/>
      <c r="F15" s="224"/>
      <c r="G15" s="224"/>
      <c r="H15" s="224"/>
      <c r="I15" s="224"/>
      <c r="J15" s="224"/>
      <c r="K15" s="224"/>
      <c r="L15" s="224"/>
      <c r="M15" s="224"/>
      <c r="N15" s="224"/>
    </row>
    <row r="16" ht="14.55" spans="1:14">
      <c r="A16" s="209" t="s">
        <v>164</v>
      </c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</row>
    <row r="17" ht="14.55" spans="1:14">
      <c r="A17" s="225"/>
      <c r="B17" s="226" t="s">
        <v>122</v>
      </c>
      <c r="C17" s="226" t="s">
        <v>123</v>
      </c>
      <c r="D17" s="226" t="s">
        <v>124</v>
      </c>
      <c r="E17" s="226" t="s">
        <v>165</v>
      </c>
      <c r="F17" s="226" t="s">
        <v>126</v>
      </c>
      <c r="G17" s="226" t="s">
        <v>166</v>
      </c>
      <c r="H17" s="226" t="s">
        <v>128</v>
      </c>
      <c r="I17" s="226" t="s">
        <v>167</v>
      </c>
      <c r="J17" s="226" t="s">
        <v>130</v>
      </c>
      <c r="K17" s="226" t="s">
        <v>168</v>
      </c>
      <c r="L17" s="226" t="s">
        <v>132</v>
      </c>
      <c r="M17" s="226" t="s">
        <v>133</v>
      </c>
      <c r="N17" s="232" t="s">
        <v>134</v>
      </c>
    </row>
    <row r="18" ht="14.55" spans="1:14">
      <c r="A18" s="210" t="s">
        <v>135</v>
      </c>
      <c r="B18" s="211" t="s">
        <v>169</v>
      </c>
      <c r="C18" s="211" t="s">
        <v>170</v>
      </c>
      <c r="D18" s="211" t="s">
        <v>171</v>
      </c>
      <c r="E18" s="211" t="s">
        <v>172</v>
      </c>
      <c r="F18" s="211" t="s">
        <v>173</v>
      </c>
      <c r="G18" s="211" t="s">
        <v>174</v>
      </c>
      <c r="H18" s="211" t="s">
        <v>175</v>
      </c>
      <c r="I18" s="211" t="s">
        <v>176</v>
      </c>
      <c r="J18" s="211" t="s">
        <v>177</v>
      </c>
      <c r="K18" s="211" t="s">
        <v>178</v>
      </c>
      <c r="L18" s="211" t="s">
        <v>179</v>
      </c>
      <c r="M18" s="211" t="s">
        <v>180</v>
      </c>
      <c r="N18" s="231" t="s">
        <v>181</v>
      </c>
    </row>
    <row r="19" ht="14.55" spans="1:14">
      <c r="A19" s="210" t="s">
        <v>149</v>
      </c>
      <c r="B19" s="213" t="s">
        <v>150</v>
      </c>
      <c r="C19" s="213" t="s">
        <v>150</v>
      </c>
      <c r="D19" s="214" t="s">
        <v>150</v>
      </c>
      <c r="E19" s="215">
        <v>-275964.11</v>
      </c>
      <c r="F19" s="216">
        <v>-72423.19</v>
      </c>
      <c r="G19" s="216">
        <v>-71725.23</v>
      </c>
      <c r="H19" s="216">
        <v>-72423.15</v>
      </c>
      <c r="I19" s="216">
        <v>-72423.15</v>
      </c>
      <c r="J19" s="216">
        <v>-71725.31</v>
      </c>
      <c r="K19" s="216">
        <v>-72423.03</v>
      </c>
      <c r="L19" s="216">
        <v>-71725.34</v>
      </c>
      <c r="M19" s="216">
        <v>-72423.1</v>
      </c>
      <c r="N19" s="213">
        <v>-853255.61</v>
      </c>
    </row>
    <row r="20" ht="14.55" spans="1:14">
      <c r="A20" s="210" t="s">
        <v>151</v>
      </c>
      <c r="B20" s="227" t="s">
        <v>169</v>
      </c>
      <c r="C20" s="227" t="s">
        <v>170</v>
      </c>
      <c r="D20" s="228" t="s">
        <v>171</v>
      </c>
      <c r="E20" s="222" t="s">
        <v>182</v>
      </c>
      <c r="F20" s="223">
        <v>687279.83</v>
      </c>
      <c r="G20" s="223" t="s">
        <v>183</v>
      </c>
      <c r="H20" s="223" t="s">
        <v>184</v>
      </c>
      <c r="I20" s="223" t="s">
        <v>185</v>
      </c>
      <c r="J20" s="223" t="s">
        <v>186</v>
      </c>
      <c r="K20" s="223" t="s">
        <v>187</v>
      </c>
      <c r="L20" s="223" t="s">
        <v>188</v>
      </c>
      <c r="M20" s="223" t="s">
        <v>189</v>
      </c>
      <c r="N20" s="227" t="s">
        <v>190</v>
      </c>
    </row>
    <row r="21" ht="14.55" spans="1:14">
      <c r="A21" s="210" t="s">
        <v>162</v>
      </c>
      <c r="B21" s="218">
        <v>116704</v>
      </c>
      <c r="C21" s="218">
        <v>116204</v>
      </c>
      <c r="D21" s="218">
        <v>106704</v>
      </c>
      <c r="E21" s="218">
        <v>104704</v>
      </c>
      <c r="F21" s="218">
        <v>71805</v>
      </c>
      <c r="G21" s="218">
        <v>110105</v>
      </c>
      <c r="H21" s="218">
        <v>86206</v>
      </c>
      <c r="I21" s="218">
        <v>81605</v>
      </c>
      <c r="J21" s="218">
        <v>117305</v>
      </c>
      <c r="K21" s="218">
        <v>121005</v>
      </c>
      <c r="L21" s="218">
        <v>130155</v>
      </c>
      <c r="M21" s="218">
        <v>91305</v>
      </c>
      <c r="N21" s="218">
        <f>SUM(B21:M21)</f>
        <v>1253807</v>
      </c>
    </row>
    <row r="22" ht="14.55" spans="1:14">
      <c r="A22" s="210"/>
      <c r="B22" s="229"/>
      <c r="C22" s="229"/>
      <c r="D22" s="230"/>
      <c r="E22" s="220"/>
      <c r="F22" s="221"/>
      <c r="G22" s="221"/>
      <c r="H22" s="221"/>
      <c r="I22" s="221"/>
      <c r="J22" s="221"/>
      <c r="K22" s="221"/>
      <c r="L22" s="221"/>
      <c r="M22" s="221"/>
      <c r="N22" s="218"/>
    </row>
    <row r="23" ht="14.55" spans="1:14">
      <c r="A23" s="217" t="s">
        <v>163</v>
      </c>
      <c r="B23" s="229"/>
      <c r="C23" s="229"/>
      <c r="D23" s="230"/>
      <c r="E23" s="222">
        <f t="shared" ref="E23:N23" si="1">E19/E21</f>
        <v>-2.63565966916259</v>
      </c>
      <c r="F23" s="223">
        <f t="shared" si="1"/>
        <v>-1.00860928904672</v>
      </c>
      <c r="G23" s="223">
        <f t="shared" si="1"/>
        <v>-0.651425729985014</v>
      </c>
      <c r="H23" s="223">
        <f t="shared" si="1"/>
        <v>-0.840117277219683</v>
      </c>
      <c r="I23" s="223">
        <f t="shared" si="1"/>
        <v>-0.887484222780467</v>
      </c>
      <c r="J23" s="223">
        <f t="shared" si="1"/>
        <v>-0.611442905247006</v>
      </c>
      <c r="K23" s="223">
        <f t="shared" si="1"/>
        <v>-0.598512706086525</v>
      </c>
      <c r="L23" s="223">
        <f t="shared" si="1"/>
        <v>-0.551076332065614</v>
      </c>
      <c r="M23" s="223">
        <f t="shared" si="1"/>
        <v>-0.793199715240129</v>
      </c>
      <c r="N23" s="227">
        <f t="shared" si="1"/>
        <v>-0.680531860166676</v>
      </c>
    </row>
  </sheetData>
  <mergeCells count="2">
    <mergeCell ref="A7:N7"/>
    <mergeCell ref="A16:N16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70" zoomScaleNormal="70" workbookViewId="0">
      <selection activeCell="A1" sqref="A1"/>
    </sheetView>
  </sheetViews>
  <sheetFormatPr defaultColWidth="9" defaultRowHeight="13.8"/>
  <sheetData/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Q46"/>
  <sheetViews>
    <sheetView tabSelected="1" zoomScale="70" zoomScaleNormal="70" workbookViewId="0">
      <selection activeCell="Z27" sqref="Y27:Z27"/>
    </sheetView>
  </sheetViews>
  <sheetFormatPr defaultColWidth="9" defaultRowHeight="13.8"/>
  <cols>
    <col min="1" max="1" width="3.08333333333333" customWidth="1"/>
    <col min="3" max="14" width="9.08333333333333" customWidth="1"/>
    <col min="15" max="15" width="9.08333333333333" style="21"/>
    <col min="16" max="16" width="11.75" style="195" customWidth="1"/>
    <col min="17" max="17" width="9.08333333333333" style="21"/>
  </cols>
  <sheetData>
    <row r="2" spans="2:14">
      <c r="B2" s="196" t="s">
        <v>191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</row>
    <row r="3" spans="2:17">
      <c r="B3" s="197" t="s">
        <v>192</v>
      </c>
      <c r="C3" s="197" t="s">
        <v>193</v>
      </c>
      <c r="D3" s="197" t="s">
        <v>194</v>
      </c>
      <c r="E3" s="197" t="s">
        <v>195</v>
      </c>
      <c r="F3" s="197" t="s">
        <v>196</v>
      </c>
      <c r="G3" s="197" t="s">
        <v>197</v>
      </c>
      <c r="H3" s="197" t="s">
        <v>198</v>
      </c>
      <c r="I3" s="197" t="s">
        <v>199</v>
      </c>
      <c r="J3" s="197" t="s">
        <v>200</v>
      </c>
      <c r="K3" s="197" t="s">
        <v>201</v>
      </c>
      <c r="L3" s="197" t="s">
        <v>202</v>
      </c>
      <c r="M3" s="197" t="s">
        <v>203</v>
      </c>
      <c r="N3" s="197" t="s">
        <v>204</v>
      </c>
      <c r="O3" s="197" t="s">
        <v>205</v>
      </c>
      <c r="P3" s="206" t="s">
        <v>206</v>
      </c>
      <c r="Q3" s="197" t="s">
        <v>207</v>
      </c>
    </row>
    <row r="4" spans="2:17">
      <c r="B4" s="198" t="s">
        <v>208</v>
      </c>
      <c r="C4" s="198">
        <v>303</v>
      </c>
      <c r="D4" s="198">
        <v>305</v>
      </c>
      <c r="E4" s="198">
        <v>348</v>
      </c>
      <c r="F4" s="198">
        <v>466</v>
      </c>
      <c r="G4" s="198">
        <v>457</v>
      </c>
      <c r="H4" s="198">
        <v>448</v>
      </c>
      <c r="I4" s="198">
        <v>440</v>
      </c>
      <c r="J4" s="198">
        <v>410</v>
      </c>
      <c r="K4" s="198">
        <v>333</v>
      </c>
      <c r="L4" s="198">
        <v>336</v>
      </c>
      <c r="M4" s="198">
        <v>320</v>
      </c>
      <c r="N4" s="198">
        <v>294</v>
      </c>
      <c r="O4" s="198">
        <f>SUM(C4:N4)</f>
        <v>4460</v>
      </c>
      <c r="P4" s="201">
        <v>6732.59688342105</v>
      </c>
      <c r="Q4" s="208">
        <f>P4/O4*12</f>
        <v>18.1146104486665</v>
      </c>
    </row>
    <row r="5" spans="2:17">
      <c r="B5" s="198" t="s">
        <v>209</v>
      </c>
      <c r="C5" s="198">
        <v>279</v>
      </c>
      <c r="D5" s="198">
        <v>296</v>
      </c>
      <c r="E5" s="198">
        <v>293</v>
      </c>
      <c r="F5" s="198">
        <v>296</v>
      </c>
      <c r="G5" s="198">
        <v>293</v>
      </c>
      <c r="H5" s="199">
        <v>281</v>
      </c>
      <c r="I5" s="198">
        <v>247</v>
      </c>
      <c r="J5" s="198">
        <v>239</v>
      </c>
      <c r="K5" s="198">
        <v>248</v>
      </c>
      <c r="L5" s="198">
        <v>310</v>
      </c>
      <c r="M5" s="198">
        <v>310</v>
      </c>
      <c r="N5" s="198">
        <v>280</v>
      </c>
      <c r="O5" s="198">
        <f>SUM(C5:N5)</f>
        <v>3372</v>
      </c>
      <c r="P5" s="201">
        <f>厨电!P39</f>
        <v>6743.41694</v>
      </c>
      <c r="Q5" s="208">
        <f>P5/O5*12</f>
        <v>23.9979250533808</v>
      </c>
    </row>
    <row r="6" spans="2:17">
      <c r="B6" s="198" t="s">
        <v>210</v>
      </c>
      <c r="C6" s="198">
        <v>294</v>
      </c>
      <c r="D6" s="198">
        <v>294</v>
      </c>
      <c r="E6" s="198">
        <v>325</v>
      </c>
      <c r="F6" s="198">
        <v>227</v>
      </c>
      <c r="G6" s="198"/>
      <c r="H6" s="199"/>
      <c r="I6" s="198"/>
      <c r="J6" s="198"/>
      <c r="K6" s="198"/>
      <c r="L6" s="198"/>
      <c r="M6" s="198"/>
      <c r="N6" s="198"/>
      <c r="O6" s="198">
        <f>SUM(C6:N6)</f>
        <v>1140</v>
      </c>
      <c r="P6" s="201">
        <f>厨电!P87</f>
        <v>2681.46912134499</v>
      </c>
      <c r="Q6" s="208"/>
    </row>
    <row r="7" spans="2:17">
      <c r="B7" s="198" t="s">
        <v>19</v>
      </c>
      <c r="C7" s="198">
        <f>C6-C5</f>
        <v>15</v>
      </c>
      <c r="D7" s="198">
        <f t="shared" ref="D7:N7" si="0">D6-D5</f>
        <v>-2</v>
      </c>
      <c r="E7" s="198">
        <f t="shared" si="0"/>
        <v>32</v>
      </c>
      <c r="F7" s="198">
        <f t="shared" si="0"/>
        <v>-69</v>
      </c>
      <c r="G7" s="198">
        <f t="shared" si="0"/>
        <v>-293</v>
      </c>
      <c r="H7" s="198">
        <f t="shared" si="0"/>
        <v>-281</v>
      </c>
      <c r="I7" s="198">
        <f t="shared" si="0"/>
        <v>-247</v>
      </c>
      <c r="J7" s="198">
        <f t="shared" si="0"/>
        <v>-239</v>
      </c>
      <c r="K7" s="198">
        <f t="shared" si="0"/>
        <v>-248</v>
      </c>
      <c r="L7" s="198">
        <f t="shared" si="0"/>
        <v>-310</v>
      </c>
      <c r="M7" s="198">
        <f t="shared" si="0"/>
        <v>-310</v>
      </c>
      <c r="N7" s="198">
        <f t="shared" si="0"/>
        <v>-280</v>
      </c>
      <c r="O7" s="198"/>
      <c r="Q7" s="194">
        <f>Q5/Q4-1</f>
        <v>0.324782838769099</v>
      </c>
    </row>
    <row r="8" spans="2:14">
      <c r="B8" s="196" t="s">
        <v>211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</row>
    <row r="9" spans="2:14">
      <c r="B9" s="197" t="s">
        <v>192</v>
      </c>
      <c r="C9" s="197" t="s">
        <v>193</v>
      </c>
      <c r="D9" s="197" t="s">
        <v>194</v>
      </c>
      <c r="E9" s="197" t="s">
        <v>195</v>
      </c>
      <c r="F9" s="197" t="s">
        <v>196</v>
      </c>
      <c r="G9" s="197" t="s">
        <v>197</v>
      </c>
      <c r="H9" s="197" t="s">
        <v>198</v>
      </c>
      <c r="I9" s="197" t="s">
        <v>199</v>
      </c>
      <c r="J9" s="197" t="s">
        <v>200</v>
      </c>
      <c r="K9" s="197" t="s">
        <v>201</v>
      </c>
      <c r="L9" s="197" t="s">
        <v>202</v>
      </c>
      <c r="M9" s="197" t="s">
        <v>203</v>
      </c>
      <c r="N9" s="197" t="s">
        <v>204</v>
      </c>
    </row>
    <row r="10" spans="2:17">
      <c r="B10" s="198" t="s">
        <v>208</v>
      </c>
      <c r="C10" s="198">
        <v>188</v>
      </c>
      <c r="D10" s="198">
        <v>188</v>
      </c>
      <c r="E10" s="198">
        <v>198</v>
      </c>
      <c r="F10" s="198">
        <v>216</v>
      </c>
      <c r="G10" s="198">
        <v>218</v>
      </c>
      <c r="H10" s="198">
        <v>218</v>
      </c>
      <c r="I10" s="198">
        <v>215</v>
      </c>
      <c r="J10" s="198">
        <v>213</v>
      </c>
      <c r="K10" s="198">
        <v>204</v>
      </c>
      <c r="L10" s="198">
        <v>203</v>
      </c>
      <c r="M10" s="198">
        <v>200</v>
      </c>
      <c r="N10" s="198">
        <v>192</v>
      </c>
      <c r="O10" s="198">
        <f>SUM(C10:N10)</f>
        <v>2453</v>
      </c>
      <c r="P10" s="201">
        <v>5078.66670078947</v>
      </c>
      <c r="Q10" s="208">
        <f>P10/O10*12</f>
        <v>24.8446801506212</v>
      </c>
    </row>
    <row r="11" spans="2:17">
      <c r="B11" s="198" t="s">
        <v>209</v>
      </c>
      <c r="C11" s="198">
        <v>170</v>
      </c>
      <c r="D11" s="198">
        <v>181</v>
      </c>
      <c r="E11" s="198">
        <v>180</v>
      </c>
      <c r="F11" s="198">
        <v>182</v>
      </c>
      <c r="G11" s="198">
        <v>178</v>
      </c>
      <c r="H11" s="199">
        <v>141</v>
      </c>
      <c r="I11" s="198">
        <v>126</v>
      </c>
      <c r="J11" s="198">
        <v>127</v>
      </c>
      <c r="K11" s="198">
        <v>120</v>
      </c>
      <c r="L11" s="198">
        <v>132</v>
      </c>
      <c r="M11" s="198">
        <v>134</v>
      </c>
      <c r="N11" s="198">
        <v>133</v>
      </c>
      <c r="O11" s="198">
        <f>SUM(C11:N11)</f>
        <v>1804</v>
      </c>
      <c r="P11" s="201">
        <f>厨电!P36</f>
        <v>4551.81979</v>
      </c>
      <c r="Q11" s="208">
        <f>P11/O11*12</f>
        <v>30.278180421286</v>
      </c>
    </row>
    <row r="12" spans="2:17">
      <c r="B12" s="198" t="s">
        <v>210</v>
      </c>
      <c r="C12" s="198">
        <v>127</v>
      </c>
      <c r="D12" s="198">
        <v>127</v>
      </c>
      <c r="E12" s="198">
        <v>125</v>
      </c>
      <c r="F12" s="198">
        <v>113</v>
      </c>
      <c r="G12" s="198"/>
      <c r="H12" s="199"/>
      <c r="I12" s="198"/>
      <c r="J12" s="198"/>
      <c r="K12" s="198"/>
      <c r="L12" s="198"/>
      <c r="M12" s="198"/>
      <c r="N12" s="198"/>
      <c r="O12" s="198">
        <f>SUM(C12:N12)</f>
        <v>492</v>
      </c>
      <c r="P12" s="201">
        <f>厨电!P84</f>
        <v>1338.66297835866</v>
      </c>
      <c r="Q12" s="208"/>
    </row>
    <row r="13" spans="2:17">
      <c r="B13" s="198" t="s">
        <v>19</v>
      </c>
      <c r="C13" s="198">
        <f>C12-C11</f>
        <v>-43</v>
      </c>
      <c r="D13" s="198">
        <f t="shared" ref="D13:N13" si="1">D12-D11</f>
        <v>-54</v>
      </c>
      <c r="E13" s="198">
        <f t="shared" si="1"/>
        <v>-55</v>
      </c>
      <c r="F13" s="198">
        <f t="shared" si="1"/>
        <v>-69</v>
      </c>
      <c r="G13" s="198">
        <f t="shared" si="1"/>
        <v>-178</v>
      </c>
      <c r="H13" s="198">
        <f t="shared" si="1"/>
        <v>-141</v>
      </c>
      <c r="I13" s="198">
        <f t="shared" si="1"/>
        <v>-126</v>
      </c>
      <c r="J13" s="198">
        <f t="shared" si="1"/>
        <v>-127</v>
      </c>
      <c r="K13" s="198">
        <f t="shared" si="1"/>
        <v>-120</v>
      </c>
      <c r="L13" s="198">
        <f t="shared" si="1"/>
        <v>-132</v>
      </c>
      <c r="M13" s="198">
        <f t="shared" si="1"/>
        <v>-134</v>
      </c>
      <c r="N13" s="198">
        <f t="shared" si="1"/>
        <v>-133</v>
      </c>
      <c r="Q13" s="194">
        <f>Q11/Q10-1</f>
        <v>0.218698741047348</v>
      </c>
    </row>
    <row r="14" spans="2:14">
      <c r="B14" s="196" t="s">
        <v>212</v>
      </c>
      <c r="C14" s="196"/>
      <c r="D14" s="196"/>
      <c r="E14" s="196"/>
      <c r="F14" s="196"/>
      <c r="G14" s="196"/>
      <c r="H14" s="196"/>
      <c r="I14" s="196"/>
      <c r="J14" s="196"/>
      <c r="K14" s="196"/>
      <c r="L14" s="196"/>
      <c r="M14" s="196"/>
      <c r="N14" s="196"/>
    </row>
    <row r="15" spans="2:14">
      <c r="B15" s="197" t="s">
        <v>192</v>
      </c>
      <c r="C15" s="197" t="s">
        <v>193</v>
      </c>
      <c r="D15" s="197" t="s">
        <v>194</v>
      </c>
      <c r="E15" s="197" t="s">
        <v>195</v>
      </c>
      <c r="F15" s="197" t="s">
        <v>196</v>
      </c>
      <c r="G15" s="197" t="s">
        <v>197</v>
      </c>
      <c r="H15" s="197" t="s">
        <v>198</v>
      </c>
      <c r="I15" s="197" t="s">
        <v>199</v>
      </c>
      <c r="J15" s="197" t="s">
        <v>200</v>
      </c>
      <c r="K15" s="197" t="s">
        <v>201</v>
      </c>
      <c r="L15" s="197" t="s">
        <v>202</v>
      </c>
      <c r="M15" s="197" t="s">
        <v>203</v>
      </c>
      <c r="N15" s="197" t="s">
        <v>204</v>
      </c>
    </row>
    <row r="16" spans="2:17">
      <c r="B16" s="198" t="s">
        <v>208</v>
      </c>
      <c r="C16" s="200">
        <v>53.38</v>
      </c>
      <c r="D16" s="200">
        <v>54</v>
      </c>
      <c r="E16" s="200">
        <v>55</v>
      </c>
      <c r="F16" s="200">
        <v>61</v>
      </c>
      <c r="G16" s="200">
        <v>62</v>
      </c>
      <c r="H16" s="200">
        <v>61</v>
      </c>
      <c r="I16" s="200">
        <v>61.5</v>
      </c>
      <c r="J16" s="200">
        <v>61</v>
      </c>
      <c r="K16" s="200">
        <v>58</v>
      </c>
      <c r="L16" s="200">
        <v>56.5</v>
      </c>
      <c r="M16" s="200">
        <v>57.5</v>
      </c>
      <c r="N16" s="200">
        <v>57.5</v>
      </c>
      <c r="O16" s="198">
        <f>SUM(C16:N16)</f>
        <v>698.38</v>
      </c>
      <c r="P16" s="201">
        <v>2090.57114447368</v>
      </c>
      <c r="Q16" s="208">
        <f>P16/O16*12</f>
        <v>35.9214950795902</v>
      </c>
    </row>
    <row r="17" spans="2:17">
      <c r="B17" s="198" t="s">
        <v>209</v>
      </c>
      <c r="C17" s="200">
        <v>58</v>
      </c>
      <c r="D17" s="200">
        <v>58</v>
      </c>
      <c r="E17" s="200">
        <v>55.5</v>
      </c>
      <c r="F17" s="200">
        <v>54.75</v>
      </c>
      <c r="G17" s="201">
        <v>54</v>
      </c>
      <c r="H17" s="202">
        <v>38</v>
      </c>
      <c r="I17" s="201">
        <v>35</v>
      </c>
      <c r="J17" s="201">
        <v>38</v>
      </c>
      <c r="K17" s="201">
        <v>33</v>
      </c>
      <c r="L17" s="198">
        <v>32</v>
      </c>
      <c r="M17" s="201">
        <v>31</v>
      </c>
      <c r="N17" s="201">
        <v>31</v>
      </c>
      <c r="O17" s="198">
        <f>SUM(C17:N17)</f>
        <v>518.25</v>
      </c>
      <c r="P17" s="201">
        <f>厨电!P37</f>
        <v>1938.13553</v>
      </c>
      <c r="Q17" s="208">
        <f>P17/O17*12</f>
        <v>44.8772336903039</v>
      </c>
    </row>
    <row r="18" spans="2:17">
      <c r="B18" s="198" t="s">
        <v>210</v>
      </c>
      <c r="C18" s="200">
        <v>31</v>
      </c>
      <c r="D18" s="200">
        <v>31</v>
      </c>
      <c r="E18" s="200">
        <v>31</v>
      </c>
      <c r="F18" s="200">
        <v>29</v>
      </c>
      <c r="G18" s="201"/>
      <c r="H18" s="202"/>
      <c r="I18" s="201"/>
      <c r="J18" s="201"/>
      <c r="K18" s="201"/>
      <c r="L18" s="198"/>
      <c r="M18" s="201"/>
      <c r="N18" s="201"/>
      <c r="O18" s="198"/>
      <c r="P18" s="201">
        <f>厨电!P85</f>
        <v>564.13453</v>
      </c>
      <c r="Q18" s="208"/>
    </row>
    <row r="19" spans="2:17">
      <c r="B19" s="198" t="s">
        <v>19</v>
      </c>
      <c r="C19" s="198">
        <f>C18-C17</f>
        <v>-27</v>
      </c>
      <c r="D19" s="198">
        <f t="shared" ref="D19:N19" si="2">D18-D17</f>
        <v>-27</v>
      </c>
      <c r="E19" s="198">
        <f t="shared" si="2"/>
        <v>-24.5</v>
      </c>
      <c r="F19" s="198">
        <f t="shared" si="2"/>
        <v>-25.75</v>
      </c>
      <c r="G19" s="198">
        <f t="shared" si="2"/>
        <v>-54</v>
      </c>
      <c r="H19" s="198">
        <f t="shared" si="2"/>
        <v>-38</v>
      </c>
      <c r="I19" s="198">
        <f t="shared" si="2"/>
        <v>-35</v>
      </c>
      <c r="J19" s="198">
        <f t="shared" si="2"/>
        <v>-38</v>
      </c>
      <c r="K19" s="198">
        <f t="shared" si="2"/>
        <v>-33</v>
      </c>
      <c r="L19" s="198">
        <f t="shared" si="2"/>
        <v>-32</v>
      </c>
      <c r="M19" s="198">
        <f t="shared" si="2"/>
        <v>-31</v>
      </c>
      <c r="N19" s="198">
        <f t="shared" si="2"/>
        <v>-31</v>
      </c>
      <c r="Q19" s="194">
        <f>Q17/Q16-1</f>
        <v>0.249314194491925</v>
      </c>
    </row>
    <row r="20" spans="2:17">
      <c r="B20" s="198"/>
      <c r="C20" s="201"/>
      <c r="D20" s="201"/>
      <c r="E20" s="201"/>
      <c r="F20" s="201"/>
      <c r="G20" s="201"/>
      <c r="H20" s="201"/>
      <c r="I20" s="201"/>
      <c r="J20" s="198"/>
      <c r="K20" s="201"/>
      <c r="L20" s="201"/>
      <c r="M20" s="201"/>
      <c r="N20" s="198"/>
      <c r="O20" s="21"/>
      <c r="Q20" s="194"/>
    </row>
    <row r="21" spans="2:17">
      <c r="B21" s="198" t="s">
        <v>208</v>
      </c>
      <c r="C21" s="203">
        <f>C16+C10+C4</f>
        <v>544.38</v>
      </c>
      <c r="D21" s="203">
        <f t="shared" ref="D21:N21" si="3">D16+D10+D4</f>
        <v>547</v>
      </c>
      <c r="E21" s="203">
        <f t="shared" si="3"/>
        <v>601</v>
      </c>
      <c r="F21" s="203">
        <f t="shared" si="3"/>
        <v>743</v>
      </c>
      <c r="G21" s="203">
        <f t="shared" si="3"/>
        <v>737</v>
      </c>
      <c r="H21" s="203">
        <f t="shared" si="3"/>
        <v>727</v>
      </c>
      <c r="I21" s="203">
        <f t="shared" si="3"/>
        <v>716.5</v>
      </c>
      <c r="J21" s="203">
        <f t="shared" si="3"/>
        <v>684</v>
      </c>
      <c r="K21" s="203">
        <f t="shared" si="3"/>
        <v>595</v>
      </c>
      <c r="L21" s="203">
        <f t="shared" si="3"/>
        <v>595.5</v>
      </c>
      <c r="M21" s="203">
        <f t="shared" si="3"/>
        <v>577.5</v>
      </c>
      <c r="N21" s="203">
        <f t="shared" si="3"/>
        <v>543.5</v>
      </c>
      <c r="O21" s="198">
        <f>O4+O10+O16</f>
        <v>7611.38</v>
      </c>
      <c r="P21" s="201">
        <f>P4+P10+P16</f>
        <v>13901.8347286842</v>
      </c>
      <c r="Q21" s="195">
        <f>P21/O21*12</f>
        <v>21.9174468682697</v>
      </c>
    </row>
    <row r="22" spans="2:17">
      <c r="B22" s="198" t="s">
        <v>209</v>
      </c>
      <c r="C22" s="203">
        <f>C17+C11+C5</f>
        <v>507</v>
      </c>
      <c r="D22" s="203">
        <f t="shared" ref="D22:N22" si="4">D17+D11+D5</f>
        <v>535</v>
      </c>
      <c r="E22" s="203">
        <f t="shared" si="4"/>
        <v>528.5</v>
      </c>
      <c r="F22" s="203">
        <f t="shared" si="4"/>
        <v>532.75</v>
      </c>
      <c r="G22" s="203">
        <f t="shared" si="4"/>
        <v>525</v>
      </c>
      <c r="H22" s="203">
        <f t="shared" si="4"/>
        <v>460</v>
      </c>
      <c r="I22" s="203">
        <f t="shared" si="4"/>
        <v>408</v>
      </c>
      <c r="J22" s="203">
        <f t="shared" si="4"/>
        <v>404</v>
      </c>
      <c r="K22" s="203">
        <f t="shared" si="4"/>
        <v>401</v>
      </c>
      <c r="L22" s="203">
        <f t="shared" si="4"/>
        <v>474</v>
      </c>
      <c r="M22" s="203">
        <f t="shared" si="4"/>
        <v>475</v>
      </c>
      <c r="N22" s="203">
        <f t="shared" si="4"/>
        <v>444</v>
      </c>
      <c r="O22" s="198">
        <f>O5+O11+O17</f>
        <v>5694.25</v>
      </c>
      <c r="P22" s="201">
        <f>P5+P11+P17</f>
        <v>13233.37226</v>
      </c>
      <c r="Q22" s="195">
        <f>P22/O22*12</f>
        <v>27.887863567634</v>
      </c>
    </row>
    <row r="23" spans="2:17">
      <c r="B23" s="198" t="s">
        <v>210</v>
      </c>
      <c r="C23" s="203">
        <f>C18+C12+C6</f>
        <v>452</v>
      </c>
      <c r="D23" s="203">
        <f>D18+D12+D6</f>
        <v>452</v>
      </c>
      <c r="E23" s="203">
        <f t="shared" ref="E23:F23" si="5">E18+E12+E6</f>
        <v>481</v>
      </c>
      <c r="F23" s="203">
        <f t="shared" si="5"/>
        <v>369</v>
      </c>
      <c r="G23" s="203"/>
      <c r="H23" s="203"/>
      <c r="I23" s="203"/>
      <c r="J23" s="203"/>
      <c r="K23" s="203"/>
      <c r="L23" s="203"/>
      <c r="M23" s="203"/>
      <c r="N23" s="203"/>
      <c r="O23" s="198"/>
      <c r="P23" s="201"/>
      <c r="Q23" s="195"/>
    </row>
    <row r="24" spans="2:17">
      <c r="B24" s="198"/>
      <c r="C24" s="204"/>
      <c r="D24" s="204"/>
      <c r="E24" s="204"/>
      <c r="F24" s="204"/>
      <c r="G24" s="204"/>
      <c r="H24" s="204"/>
      <c r="I24" s="204"/>
      <c r="J24" s="204"/>
      <c r="K24" s="204"/>
      <c r="L24" s="204"/>
      <c r="O24" s="198"/>
      <c r="P24" s="201"/>
      <c r="Q24" s="194">
        <f>Q22/Q21-1</f>
        <v>0.272404752946285</v>
      </c>
    </row>
    <row r="25" spans="2:17">
      <c r="B25" s="196" t="s">
        <v>191</v>
      </c>
      <c r="C25" s="196"/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Q25" s="194"/>
    </row>
    <row r="26" spans="2:17">
      <c r="B26" s="205" t="s">
        <v>95</v>
      </c>
      <c r="C26" s="205" t="s">
        <v>193</v>
      </c>
      <c r="D26" s="205" t="s">
        <v>194</v>
      </c>
      <c r="E26" s="205" t="s">
        <v>195</v>
      </c>
      <c r="F26" s="205" t="s">
        <v>196</v>
      </c>
      <c r="G26" s="205" t="s">
        <v>197</v>
      </c>
      <c r="H26" s="205" t="s">
        <v>198</v>
      </c>
      <c r="I26" s="205" t="s">
        <v>199</v>
      </c>
      <c r="J26" s="205" t="s">
        <v>200</v>
      </c>
      <c r="K26" s="205" t="s">
        <v>201</v>
      </c>
      <c r="L26" s="205" t="s">
        <v>202</v>
      </c>
      <c r="M26" s="205" t="s">
        <v>203</v>
      </c>
      <c r="N26" s="205" t="s">
        <v>204</v>
      </c>
      <c r="O26" s="205" t="s">
        <v>205</v>
      </c>
      <c r="P26" s="207" t="s">
        <v>206</v>
      </c>
      <c r="Q26" s="205" t="s">
        <v>207</v>
      </c>
    </row>
    <row r="27" spans="2:17">
      <c r="B27" s="198" t="s">
        <v>208</v>
      </c>
      <c r="C27" s="198">
        <v>122</v>
      </c>
      <c r="D27" s="198">
        <v>120</v>
      </c>
      <c r="E27" s="198">
        <v>119</v>
      </c>
      <c r="F27" s="198">
        <v>196</v>
      </c>
      <c r="G27" s="198">
        <v>226</v>
      </c>
      <c r="H27" s="198">
        <v>223</v>
      </c>
      <c r="I27" s="198">
        <v>228</v>
      </c>
      <c r="J27" s="198">
        <v>227</v>
      </c>
      <c r="K27" s="198">
        <v>225</v>
      </c>
      <c r="L27" s="198">
        <v>220</v>
      </c>
      <c r="M27" s="198">
        <v>220</v>
      </c>
      <c r="N27" s="198">
        <v>218</v>
      </c>
      <c r="O27" s="198">
        <f>SUM(C27:N27)</f>
        <v>2344</v>
      </c>
      <c r="P27" s="201">
        <f>洗碗机!P13</f>
        <v>3988.59964947673</v>
      </c>
      <c r="Q27" s="208">
        <f>P27/O27*12</f>
        <v>20.4194521304269</v>
      </c>
    </row>
    <row r="28" spans="2:17">
      <c r="B28" s="198" t="s">
        <v>209</v>
      </c>
      <c r="C28" s="198">
        <v>218</v>
      </c>
      <c r="D28" s="198">
        <v>218</v>
      </c>
      <c r="E28" s="198">
        <v>209</v>
      </c>
      <c r="F28" s="198">
        <v>208</v>
      </c>
      <c r="G28" s="198">
        <v>226</v>
      </c>
      <c r="H28" s="198">
        <v>239</v>
      </c>
      <c r="I28" s="198">
        <v>222</v>
      </c>
      <c r="J28" s="198">
        <v>133</v>
      </c>
      <c r="K28" s="198">
        <v>132</v>
      </c>
      <c r="L28" s="198">
        <v>132</v>
      </c>
      <c r="M28" s="198">
        <v>182</v>
      </c>
      <c r="N28" s="198">
        <v>234</v>
      </c>
      <c r="O28" s="198">
        <f>SUM(C28:N28)</f>
        <v>2353</v>
      </c>
      <c r="P28" s="201">
        <f>洗碗机!P39</f>
        <v>5181.007</v>
      </c>
      <c r="Q28" s="208">
        <f>P28/O28*12</f>
        <v>26.4224751381215</v>
      </c>
    </row>
    <row r="29" spans="2:17">
      <c r="B29" s="198" t="s">
        <v>210</v>
      </c>
      <c r="C29" s="198">
        <v>237</v>
      </c>
      <c r="D29" s="198">
        <v>215</v>
      </c>
      <c r="E29" s="198">
        <v>132</v>
      </c>
      <c r="F29" s="198">
        <v>222</v>
      </c>
      <c r="G29" s="198"/>
      <c r="H29" s="198"/>
      <c r="I29" s="198"/>
      <c r="J29" s="198"/>
      <c r="K29" s="198"/>
      <c r="L29" s="198"/>
      <c r="M29" s="198"/>
      <c r="N29" s="198"/>
      <c r="O29" s="198"/>
      <c r="P29" s="201"/>
      <c r="Q29" s="208"/>
    </row>
    <row r="30" spans="2:17">
      <c r="B30" s="198" t="s">
        <v>19</v>
      </c>
      <c r="C30" s="198">
        <f>C28-C27</f>
        <v>96</v>
      </c>
      <c r="D30" s="198">
        <f t="shared" ref="D30:G30" si="6">D28-D27</f>
        <v>98</v>
      </c>
      <c r="E30" s="198">
        <f t="shared" si="6"/>
        <v>90</v>
      </c>
      <c r="F30" s="198">
        <f t="shared" si="6"/>
        <v>12</v>
      </c>
      <c r="G30" s="198">
        <f t="shared" si="6"/>
        <v>0</v>
      </c>
      <c r="H30" s="198">
        <f t="shared" ref="H30:N30" si="7">H28-H27</f>
        <v>16</v>
      </c>
      <c r="I30" s="198">
        <f t="shared" si="7"/>
        <v>-6</v>
      </c>
      <c r="J30" s="198">
        <f t="shared" si="7"/>
        <v>-94</v>
      </c>
      <c r="K30" s="198">
        <f t="shared" si="7"/>
        <v>-93</v>
      </c>
      <c r="L30" s="198">
        <f t="shared" si="7"/>
        <v>-88</v>
      </c>
      <c r="M30" s="198">
        <f t="shared" si="7"/>
        <v>-38</v>
      </c>
      <c r="N30" s="198">
        <f t="shared" si="7"/>
        <v>16</v>
      </c>
      <c r="Q30" s="194">
        <f>Q28/Q27-1</f>
        <v>0.293985508002418</v>
      </c>
    </row>
    <row r="31" spans="2:14">
      <c r="B31" s="196" t="s">
        <v>211</v>
      </c>
      <c r="C31" s="196"/>
      <c r="D31" s="196"/>
      <c r="E31" s="196"/>
      <c r="F31" s="196"/>
      <c r="G31" s="196"/>
      <c r="H31" s="196"/>
      <c r="I31" s="196"/>
      <c r="J31" s="196"/>
      <c r="K31" s="196"/>
      <c r="L31" s="196"/>
      <c r="M31" s="196"/>
      <c r="N31" s="196"/>
    </row>
    <row r="32" spans="2:14">
      <c r="B32" s="205" t="s">
        <v>95</v>
      </c>
      <c r="C32" s="205" t="s">
        <v>193</v>
      </c>
      <c r="D32" s="205" t="s">
        <v>194</v>
      </c>
      <c r="E32" s="205" t="s">
        <v>195</v>
      </c>
      <c r="F32" s="205" t="s">
        <v>196</v>
      </c>
      <c r="G32" s="205" t="s">
        <v>197</v>
      </c>
      <c r="H32" s="205" t="s">
        <v>198</v>
      </c>
      <c r="I32" s="205" t="s">
        <v>199</v>
      </c>
      <c r="J32" s="205" t="s">
        <v>200</v>
      </c>
      <c r="K32" s="205" t="s">
        <v>201</v>
      </c>
      <c r="L32" s="205" t="s">
        <v>202</v>
      </c>
      <c r="M32" s="205" t="s">
        <v>203</v>
      </c>
      <c r="N32" s="205" t="s">
        <v>204</v>
      </c>
    </row>
    <row r="33" spans="2:17">
      <c r="B33" s="198" t="s">
        <v>208</v>
      </c>
      <c r="C33" s="198">
        <v>86</v>
      </c>
      <c r="D33" s="198">
        <v>87</v>
      </c>
      <c r="E33" s="198">
        <v>87</v>
      </c>
      <c r="F33" s="198">
        <v>100</v>
      </c>
      <c r="G33" s="198">
        <v>102</v>
      </c>
      <c r="H33" s="198">
        <v>102</v>
      </c>
      <c r="I33" s="198">
        <v>102</v>
      </c>
      <c r="J33" s="198">
        <v>100</v>
      </c>
      <c r="K33" s="198">
        <v>93</v>
      </c>
      <c r="L33" s="198">
        <v>92</v>
      </c>
      <c r="M33" s="198">
        <v>87</v>
      </c>
      <c r="N33" s="198">
        <v>87</v>
      </c>
      <c r="O33" s="198">
        <f>SUM(C33:N33)</f>
        <v>1125</v>
      </c>
      <c r="P33" s="201">
        <f>洗碗机!P10</f>
        <v>2417.75415759451</v>
      </c>
      <c r="Q33" s="208">
        <f>P33/O33*12</f>
        <v>25.7893776810081</v>
      </c>
    </row>
    <row r="34" spans="2:17">
      <c r="B34" s="198" t="s">
        <v>209</v>
      </c>
      <c r="C34" s="198">
        <v>87</v>
      </c>
      <c r="D34" s="198">
        <v>85</v>
      </c>
      <c r="E34" s="198">
        <v>94</v>
      </c>
      <c r="F34" s="198">
        <v>93</v>
      </c>
      <c r="G34" s="198">
        <v>93</v>
      </c>
      <c r="H34" s="198">
        <v>91</v>
      </c>
      <c r="I34" s="198">
        <v>85</v>
      </c>
      <c r="J34" s="198">
        <v>70</v>
      </c>
      <c r="K34" s="198">
        <v>70</v>
      </c>
      <c r="L34" s="198">
        <v>70</v>
      </c>
      <c r="M34" s="198">
        <v>77</v>
      </c>
      <c r="N34" s="198">
        <v>85</v>
      </c>
      <c r="O34" s="198">
        <f>SUM(C34:N34)</f>
        <v>1000</v>
      </c>
      <c r="P34" s="201">
        <f>洗碗机!P36</f>
        <v>2574.93792</v>
      </c>
      <c r="Q34" s="208">
        <f>P34/O34*12</f>
        <v>30.89925504</v>
      </c>
    </row>
    <row r="35" spans="2:17">
      <c r="B35" s="198" t="s">
        <v>210</v>
      </c>
      <c r="C35" s="198">
        <v>85</v>
      </c>
      <c r="D35" s="198">
        <v>82</v>
      </c>
      <c r="E35" s="198">
        <v>69</v>
      </c>
      <c r="F35" s="198">
        <v>79</v>
      </c>
      <c r="G35" s="198"/>
      <c r="H35" s="198"/>
      <c r="I35" s="198"/>
      <c r="J35" s="198"/>
      <c r="K35" s="198"/>
      <c r="L35" s="198"/>
      <c r="M35" s="198"/>
      <c r="N35" s="198"/>
      <c r="O35" s="198"/>
      <c r="P35" s="201"/>
      <c r="Q35" s="208"/>
    </row>
    <row r="36" spans="2:17">
      <c r="B36" s="198" t="s">
        <v>19</v>
      </c>
      <c r="C36" s="198">
        <f>C34-C33</f>
        <v>1</v>
      </c>
      <c r="D36" s="198">
        <f t="shared" ref="D36:N36" si="8">D34-D33</f>
        <v>-2</v>
      </c>
      <c r="E36" s="198">
        <f t="shared" si="8"/>
        <v>7</v>
      </c>
      <c r="F36" s="198">
        <f t="shared" si="8"/>
        <v>-7</v>
      </c>
      <c r="G36" s="198">
        <f t="shared" si="8"/>
        <v>-9</v>
      </c>
      <c r="H36" s="198">
        <f t="shared" si="8"/>
        <v>-11</v>
      </c>
      <c r="I36" s="198">
        <f t="shared" si="8"/>
        <v>-17</v>
      </c>
      <c r="J36" s="198">
        <f t="shared" si="8"/>
        <v>-30</v>
      </c>
      <c r="K36" s="198">
        <f t="shared" si="8"/>
        <v>-23</v>
      </c>
      <c r="L36" s="198">
        <f t="shared" si="8"/>
        <v>-22</v>
      </c>
      <c r="M36" s="198">
        <f t="shared" si="8"/>
        <v>-10</v>
      </c>
      <c r="N36" s="198">
        <f t="shared" si="8"/>
        <v>-2</v>
      </c>
      <c r="Q36" s="194">
        <f>Q34/Q33-1</f>
        <v>0.19813883926152</v>
      </c>
    </row>
    <row r="37" spans="2:14">
      <c r="B37" s="196" t="s">
        <v>212</v>
      </c>
      <c r="C37" s="196"/>
      <c r="D37" s="196"/>
      <c r="E37" s="196"/>
      <c r="F37" s="196"/>
      <c r="G37" s="196"/>
      <c r="H37" s="196"/>
      <c r="I37" s="196"/>
      <c r="J37" s="196"/>
      <c r="K37" s="196"/>
      <c r="L37" s="196"/>
      <c r="M37" s="196"/>
      <c r="N37" s="196"/>
    </row>
    <row r="38" spans="2:14">
      <c r="B38" s="205" t="s">
        <v>95</v>
      </c>
      <c r="C38" s="205" t="s">
        <v>193</v>
      </c>
      <c r="D38" s="205" t="s">
        <v>194</v>
      </c>
      <c r="E38" s="205" t="s">
        <v>195</v>
      </c>
      <c r="F38" s="205" t="s">
        <v>196</v>
      </c>
      <c r="G38" s="205" t="s">
        <v>197</v>
      </c>
      <c r="H38" s="205" t="s">
        <v>198</v>
      </c>
      <c r="I38" s="205" t="s">
        <v>199</v>
      </c>
      <c r="J38" s="205" t="s">
        <v>200</v>
      </c>
      <c r="K38" s="205" t="s">
        <v>201</v>
      </c>
      <c r="L38" s="205" t="s">
        <v>202</v>
      </c>
      <c r="M38" s="205" t="s">
        <v>203</v>
      </c>
      <c r="N38" s="205" t="s">
        <v>204</v>
      </c>
    </row>
    <row r="39" spans="2:17">
      <c r="B39" s="198" t="s">
        <v>208</v>
      </c>
      <c r="C39" s="200">
        <v>2</v>
      </c>
      <c r="D39" s="200">
        <v>29</v>
      </c>
      <c r="E39" s="200">
        <v>29</v>
      </c>
      <c r="F39" s="200">
        <v>29</v>
      </c>
      <c r="G39" s="200">
        <v>29</v>
      </c>
      <c r="H39" s="200">
        <v>29</v>
      </c>
      <c r="I39" s="200">
        <v>29</v>
      </c>
      <c r="J39" s="200">
        <v>29</v>
      </c>
      <c r="K39" s="200">
        <v>27</v>
      </c>
      <c r="L39" s="200">
        <v>27</v>
      </c>
      <c r="M39" s="200">
        <v>27</v>
      </c>
      <c r="N39" s="200">
        <v>25</v>
      </c>
      <c r="O39" s="198">
        <f>SUM(C39:N39)</f>
        <v>311</v>
      </c>
      <c r="P39" s="201">
        <f>洗碗机!P11</f>
        <v>1091.03216733659</v>
      </c>
      <c r="Q39" s="208">
        <f>P39/O39*12</f>
        <v>42.0977042059133</v>
      </c>
    </row>
    <row r="40" spans="2:17">
      <c r="B40" s="198" t="s">
        <v>209</v>
      </c>
      <c r="C40" s="200">
        <v>24.5</v>
      </c>
      <c r="D40" s="200">
        <v>22.5</v>
      </c>
      <c r="E40" s="200">
        <v>22</v>
      </c>
      <c r="F40" s="200">
        <v>23</v>
      </c>
      <c r="G40" s="200">
        <v>22</v>
      </c>
      <c r="H40" s="200">
        <v>26.79</v>
      </c>
      <c r="I40" s="200">
        <v>26.5</v>
      </c>
      <c r="J40" s="200">
        <v>25.33</v>
      </c>
      <c r="K40" s="200">
        <v>25</v>
      </c>
      <c r="L40" s="200">
        <v>25</v>
      </c>
      <c r="M40" s="201">
        <v>25</v>
      </c>
      <c r="N40" s="201">
        <v>25</v>
      </c>
      <c r="O40" s="198">
        <f>SUM(C40:N40)</f>
        <v>292.62</v>
      </c>
      <c r="P40" s="201">
        <f>洗碗机!P37</f>
        <v>1046.67094</v>
      </c>
      <c r="Q40" s="208">
        <f>P40/O40*12</f>
        <v>42.9227369284396</v>
      </c>
    </row>
    <row r="41" spans="2:17">
      <c r="B41" s="198" t="s">
        <v>210</v>
      </c>
      <c r="C41" s="200">
        <v>26</v>
      </c>
      <c r="D41" s="200">
        <v>26</v>
      </c>
      <c r="E41" s="200">
        <v>26</v>
      </c>
      <c r="F41" s="200">
        <v>25</v>
      </c>
      <c r="G41" s="200"/>
      <c r="H41" s="200"/>
      <c r="I41" s="200"/>
      <c r="J41" s="200"/>
      <c r="K41" s="200"/>
      <c r="L41" s="200"/>
      <c r="M41" s="201"/>
      <c r="N41" s="201"/>
      <c r="O41" s="198"/>
      <c r="P41" s="201"/>
      <c r="Q41" s="208"/>
    </row>
    <row r="42" spans="2:17">
      <c r="B42" s="198" t="s">
        <v>19</v>
      </c>
      <c r="C42" s="200">
        <f>C40-C39</f>
        <v>22.5</v>
      </c>
      <c r="D42" s="200">
        <f t="shared" ref="D42:N42" si="9">D40-D39</f>
        <v>-6.5</v>
      </c>
      <c r="E42" s="200">
        <f t="shared" si="9"/>
        <v>-7</v>
      </c>
      <c r="F42" s="200">
        <v>25</v>
      </c>
      <c r="G42" s="200">
        <f t="shared" si="9"/>
        <v>-7</v>
      </c>
      <c r="H42" s="200">
        <f t="shared" si="9"/>
        <v>-2.21</v>
      </c>
      <c r="I42" s="200">
        <f t="shared" si="9"/>
        <v>-2.5</v>
      </c>
      <c r="J42" s="200">
        <f t="shared" si="9"/>
        <v>-3.67</v>
      </c>
      <c r="K42" s="200">
        <f t="shared" si="9"/>
        <v>-2</v>
      </c>
      <c r="L42" s="200">
        <f t="shared" si="9"/>
        <v>-2</v>
      </c>
      <c r="M42" s="200">
        <f t="shared" si="9"/>
        <v>-2</v>
      </c>
      <c r="N42" s="200">
        <f t="shared" si="9"/>
        <v>0</v>
      </c>
      <c r="Q42" s="194">
        <f>Q40/Q39-1</f>
        <v>0.0195980455012648</v>
      </c>
    </row>
    <row r="43" spans="17:17">
      <c r="Q43" s="194"/>
    </row>
    <row r="44" spans="2:17">
      <c r="B44" s="198" t="s">
        <v>208</v>
      </c>
      <c r="C44" s="203">
        <f>C39+C33+C27</f>
        <v>210</v>
      </c>
      <c r="D44" s="203">
        <f t="shared" ref="D44:N44" si="10">D39+D33+D27</f>
        <v>236</v>
      </c>
      <c r="E44" s="203">
        <f t="shared" si="10"/>
        <v>235</v>
      </c>
      <c r="F44" s="203">
        <f t="shared" si="10"/>
        <v>325</v>
      </c>
      <c r="G44" s="203">
        <f t="shared" si="10"/>
        <v>357</v>
      </c>
      <c r="H44" s="203">
        <f t="shared" si="10"/>
        <v>354</v>
      </c>
      <c r="I44" s="203">
        <f t="shared" si="10"/>
        <v>359</v>
      </c>
      <c r="J44" s="203">
        <f t="shared" si="10"/>
        <v>356</v>
      </c>
      <c r="K44" s="203">
        <f t="shared" si="10"/>
        <v>345</v>
      </c>
      <c r="L44" s="203">
        <f t="shared" si="10"/>
        <v>339</v>
      </c>
      <c r="M44" s="203">
        <f t="shared" si="10"/>
        <v>334</v>
      </c>
      <c r="N44" s="203">
        <f t="shared" si="10"/>
        <v>330</v>
      </c>
      <c r="O44" s="198">
        <f>O27+O33+O39</f>
        <v>3780</v>
      </c>
      <c r="P44" s="201">
        <f>P27+P33+P39</f>
        <v>7497.38597440782</v>
      </c>
      <c r="Q44" s="195">
        <f>P44/O44*12</f>
        <v>23.8012253155804</v>
      </c>
    </row>
    <row r="45" spans="2:17">
      <c r="B45" s="198" t="s">
        <v>209</v>
      </c>
      <c r="C45" s="203">
        <f>C40+C34+C28</f>
        <v>329.5</v>
      </c>
      <c r="D45" s="203">
        <f t="shared" ref="D45:N45" si="11">D40+D34+D28</f>
        <v>325.5</v>
      </c>
      <c r="E45" s="203">
        <f t="shared" si="11"/>
        <v>325</v>
      </c>
      <c r="F45" s="203">
        <f t="shared" si="11"/>
        <v>324</v>
      </c>
      <c r="G45" s="203">
        <f t="shared" si="11"/>
        <v>341</v>
      </c>
      <c r="H45" s="203">
        <f t="shared" si="11"/>
        <v>356.79</v>
      </c>
      <c r="I45" s="203">
        <f t="shared" si="11"/>
        <v>333.5</v>
      </c>
      <c r="J45" s="203">
        <f t="shared" si="11"/>
        <v>228.33</v>
      </c>
      <c r="K45" s="203">
        <f t="shared" si="11"/>
        <v>227</v>
      </c>
      <c r="L45" s="203">
        <f t="shared" si="11"/>
        <v>227</v>
      </c>
      <c r="M45" s="203">
        <f t="shared" si="11"/>
        <v>284</v>
      </c>
      <c r="N45" s="203">
        <f t="shared" si="11"/>
        <v>344</v>
      </c>
      <c r="O45" s="198">
        <f>O28+O34+O40</f>
        <v>3645.62</v>
      </c>
      <c r="P45" s="201">
        <f>P28+P34+P40</f>
        <v>8802.61586</v>
      </c>
      <c r="Q45" s="195">
        <f>P45/O45*12</f>
        <v>28.9748767891333</v>
      </c>
    </row>
    <row r="46" spans="2:17">
      <c r="B46" s="198" t="s">
        <v>210</v>
      </c>
      <c r="C46" s="203">
        <f>C41+C35+C29</f>
        <v>348</v>
      </c>
      <c r="D46" s="203">
        <f>D41+D35+D29</f>
        <v>323</v>
      </c>
      <c r="E46" s="203">
        <f t="shared" ref="E46:F46" si="12">E41+E35+E29</f>
        <v>227</v>
      </c>
      <c r="F46" s="203">
        <f t="shared" si="12"/>
        <v>326</v>
      </c>
      <c r="Q46" s="194">
        <f>Q45/Q44-1</f>
        <v>0.217369123015955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2060"/>
    <pageSetUpPr autoPageBreaks="0"/>
  </sheetPr>
  <dimension ref="A1:U259"/>
  <sheetViews>
    <sheetView showGridLines="0" zoomScale="70" zoomScaleNormal="70" workbookViewId="0">
      <pane xSplit="4" ySplit="4" topLeftCell="E5" activePane="bottomRight" state="frozen"/>
      <selection/>
      <selection pane="topRight"/>
      <selection pane="bottomLeft"/>
      <selection pane="bottomRight" activeCell="E14" sqref="E14"/>
    </sheetView>
  </sheetViews>
  <sheetFormatPr defaultColWidth="8.08333333333333" defaultRowHeight="13.8"/>
  <cols>
    <col min="1" max="1" width="19.1666666666667" style="159" customWidth="1"/>
    <col min="2" max="2" width="12.75" style="160" customWidth="1"/>
    <col min="3" max="3" width="47.5833333333333" style="160" customWidth="1"/>
    <col min="4" max="4" width="45.8333333333333" style="160" customWidth="1"/>
    <col min="5" max="5" width="17" style="158" customWidth="1"/>
    <col min="6" max="11" width="15.1666666666667" style="158" customWidth="1"/>
    <col min="12" max="17" width="15" style="158" customWidth="1"/>
    <col min="18" max="18" width="12.6666666666667" style="71" customWidth="1"/>
    <col min="19" max="19" width="15.3333333333333" style="71" customWidth="1"/>
    <col min="20" max="20" width="13" style="71" customWidth="1"/>
    <col min="21" max="21" width="13.0833333333333" style="71" customWidth="1"/>
    <col min="22" max="16384" width="8.08333333333333" style="71"/>
  </cols>
  <sheetData>
    <row r="1" s="90" customFormat="1" ht="15" spans="1:17">
      <c r="A1" s="161"/>
      <c r="B1" s="162" t="s">
        <v>213</v>
      </c>
      <c r="C1" s="163"/>
      <c r="D1" s="76" t="s">
        <v>214</v>
      </c>
      <c r="E1" s="164">
        <v>116704.083333333</v>
      </c>
      <c r="F1" s="164">
        <v>116204.083333333</v>
      </c>
      <c r="G1" s="164">
        <v>106704.083333333</v>
      </c>
      <c r="H1" s="164">
        <v>104704.083333333</v>
      </c>
      <c r="I1" s="164">
        <v>71805.0833333333</v>
      </c>
      <c r="J1" s="164">
        <v>110105.083333333</v>
      </c>
      <c r="K1" s="164">
        <v>86206.0833333333</v>
      </c>
      <c r="L1" s="164">
        <v>81605.0833333333</v>
      </c>
      <c r="M1" s="164">
        <v>117305.083333333</v>
      </c>
      <c r="N1" s="164">
        <v>121005.083333333</v>
      </c>
      <c r="O1" s="164">
        <v>130155.083333333</v>
      </c>
      <c r="P1" s="164">
        <v>91305.0833333333</v>
      </c>
      <c r="Q1" s="164">
        <f>+E1+F1+G1+H1+I1+J1+K1+L1+M1+N1+O1+P1</f>
        <v>1253808</v>
      </c>
    </row>
    <row r="2" s="90" customFormat="1" spans="1:17">
      <c r="A2" s="161"/>
      <c r="B2" s="163"/>
      <c r="C2" s="163"/>
      <c r="D2" s="76" t="s">
        <v>215</v>
      </c>
      <c r="E2" s="165">
        <v>52.48869</v>
      </c>
      <c r="F2" s="165">
        <v>53.48597511</v>
      </c>
      <c r="G2" s="165">
        <v>54.50220863709</v>
      </c>
      <c r="H2" s="165">
        <v>55.3197417666463</v>
      </c>
      <c r="I2" s="165">
        <v>56.149537893146</v>
      </c>
      <c r="J2" s="165">
        <v>56.9917809615432</v>
      </c>
      <c r="K2" s="165">
        <v>57.4477152092355</v>
      </c>
      <c r="L2" s="165">
        <v>57.9072969309094</v>
      </c>
      <c r="M2" s="165">
        <v>58.3705553063567</v>
      </c>
      <c r="N2" s="165">
        <v>59.392040024218</v>
      </c>
      <c r="O2" s="165">
        <v>60.4314007246418</v>
      </c>
      <c r="P2" s="165">
        <v>61.488950237323</v>
      </c>
      <c r="Q2" s="165">
        <f>AVERAGE(E2:P2)</f>
        <v>56.9979910667592</v>
      </c>
    </row>
    <row r="3" spans="2:20">
      <c r="B3" s="166"/>
      <c r="S3" s="174" t="s">
        <v>216</v>
      </c>
      <c r="T3" s="174" t="s">
        <v>217</v>
      </c>
    </row>
    <row r="4" spans="1:17">
      <c r="A4" s="167" t="s">
        <v>218</v>
      </c>
      <c r="E4" s="168" t="s">
        <v>219</v>
      </c>
      <c r="F4" s="168" t="s">
        <v>220</v>
      </c>
      <c r="G4" s="168" t="s">
        <v>221</v>
      </c>
      <c r="H4" s="168" t="s">
        <v>222</v>
      </c>
      <c r="I4" s="168" t="s">
        <v>223</v>
      </c>
      <c r="J4" s="168" t="s">
        <v>224</v>
      </c>
      <c r="K4" s="168" t="s">
        <v>225</v>
      </c>
      <c r="L4" s="168" t="s">
        <v>226</v>
      </c>
      <c r="M4" s="168" t="s">
        <v>227</v>
      </c>
      <c r="N4" s="168" t="s">
        <v>228</v>
      </c>
      <c r="O4" s="168" t="s">
        <v>229</v>
      </c>
      <c r="P4" s="168" t="s">
        <v>230</v>
      </c>
      <c r="Q4" s="168" t="s">
        <v>231</v>
      </c>
    </row>
    <row r="5" outlineLevel="1" spans="1:19">
      <c r="A5" s="159" t="s">
        <v>232</v>
      </c>
      <c r="B5" s="169">
        <v>6666110101</v>
      </c>
      <c r="C5" s="169" t="s">
        <v>233</v>
      </c>
      <c r="D5" s="169" t="s">
        <v>234</v>
      </c>
      <c r="E5" s="83">
        <v>73.4377955833334</v>
      </c>
      <c r="F5" s="83">
        <v>67.0631255833333</v>
      </c>
      <c r="G5" s="83">
        <v>73.9343418509899</v>
      </c>
      <c r="H5" s="83">
        <v>71.8093918509899</v>
      </c>
      <c r="I5" s="83">
        <v>73.9342818509899</v>
      </c>
      <c r="J5" s="83">
        <v>71.8093718509899</v>
      </c>
      <c r="K5" s="83">
        <v>73.9342718509899</v>
      </c>
      <c r="L5" s="83">
        <v>73.9342818509899</v>
      </c>
      <c r="M5" s="83">
        <v>71.8093818509899</v>
      </c>
      <c r="N5" s="83">
        <v>73.9342918509899</v>
      </c>
      <c r="O5" s="83">
        <v>71.8094218509899</v>
      </c>
      <c r="P5" s="83">
        <v>73.9343018509899</v>
      </c>
      <c r="Q5" s="91">
        <f t="shared" ref="Q5:Q13" si="0">F5+E5+G5+H5+I5+J5+K5+L5+M5+N5+O5+P5</f>
        <v>871.344259676566</v>
      </c>
      <c r="R5" s="92"/>
      <c r="S5" s="71" t="s">
        <v>235</v>
      </c>
    </row>
    <row r="6" outlineLevel="1" spans="1:19">
      <c r="A6" s="159" t="s">
        <v>232</v>
      </c>
      <c r="B6" s="169">
        <v>6666110106</v>
      </c>
      <c r="C6" s="169" t="s">
        <v>236</v>
      </c>
      <c r="D6" s="169" t="s">
        <v>234</v>
      </c>
      <c r="E6" s="83">
        <v>0</v>
      </c>
      <c r="F6" s="83">
        <v>0</v>
      </c>
      <c r="G6" s="83">
        <v>0</v>
      </c>
      <c r="H6" s="83">
        <v>0</v>
      </c>
      <c r="I6" s="83">
        <v>0</v>
      </c>
      <c r="J6" s="83">
        <v>0</v>
      </c>
      <c r="K6" s="83">
        <v>0</v>
      </c>
      <c r="L6" s="83">
        <v>0</v>
      </c>
      <c r="M6" s="83">
        <v>0</v>
      </c>
      <c r="N6" s="83">
        <v>0</v>
      </c>
      <c r="O6" s="83">
        <v>0</v>
      </c>
      <c r="P6" s="83">
        <v>0</v>
      </c>
      <c r="Q6" s="91">
        <f t="shared" si="0"/>
        <v>0</v>
      </c>
      <c r="R6" s="92"/>
      <c r="S6" s="71" t="s">
        <v>235</v>
      </c>
    </row>
    <row r="7" outlineLevel="1" spans="1:19">
      <c r="A7" s="159" t="s">
        <v>232</v>
      </c>
      <c r="B7" s="169">
        <v>6666110107</v>
      </c>
      <c r="C7" s="169" t="s">
        <v>237</v>
      </c>
      <c r="D7" s="169" t="s">
        <v>234</v>
      </c>
      <c r="E7" s="83">
        <v>204.715834916667</v>
      </c>
      <c r="F7" s="83">
        <v>200.435464916667</v>
      </c>
      <c r="G7" s="83">
        <v>208.701252297127</v>
      </c>
      <c r="H7" s="83">
        <v>207.274442297127</v>
      </c>
      <c r="I7" s="83">
        <v>208.701582297127</v>
      </c>
      <c r="J7" s="83">
        <v>213.841118963794</v>
      </c>
      <c r="K7" s="83">
        <v>215.267648963794</v>
      </c>
      <c r="L7" s="83">
        <v>215.267548963794</v>
      </c>
      <c r="M7" s="83">
        <v>214.366488963794</v>
      </c>
      <c r="N7" s="83">
        <v>215.793648963794</v>
      </c>
      <c r="O7" s="83">
        <v>214.294108963794</v>
      </c>
      <c r="P7" s="83">
        <v>214.337928963794</v>
      </c>
      <c r="Q7" s="91">
        <f t="shared" si="0"/>
        <v>2532.99706947127</v>
      </c>
      <c r="R7" s="92"/>
      <c r="S7" s="71" t="s">
        <v>235</v>
      </c>
    </row>
    <row r="8" outlineLevel="1" spans="1:19">
      <c r="A8" s="159" t="s">
        <v>232</v>
      </c>
      <c r="B8" s="169">
        <v>6666110110</v>
      </c>
      <c r="C8" s="169" t="s">
        <v>238</v>
      </c>
      <c r="D8" s="169" t="s">
        <v>234</v>
      </c>
      <c r="E8" s="83">
        <v>446.500440418501</v>
      </c>
      <c r="F8" s="83">
        <v>423.324633975431</v>
      </c>
      <c r="G8" s="83">
        <v>451.366726578527</v>
      </c>
      <c r="H8" s="83">
        <v>444.210309452253</v>
      </c>
      <c r="I8" s="83">
        <v>451.932195556262</v>
      </c>
      <c r="J8" s="83">
        <v>442.77443910096</v>
      </c>
      <c r="K8" s="83">
        <v>500.507439683957</v>
      </c>
      <c r="L8" s="83">
        <v>510.562194271891</v>
      </c>
      <c r="M8" s="83">
        <v>502.917338945578</v>
      </c>
      <c r="N8" s="83">
        <v>514.306846189372</v>
      </c>
      <c r="O8" s="83">
        <v>506.663388994094</v>
      </c>
      <c r="P8" s="83">
        <v>515.396894296095</v>
      </c>
      <c r="Q8" s="91">
        <f t="shared" si="0"/>
        <v>5710.46284746292</v>
      </c>
      <c r="R8" s="92"/>
      <c r="S8" s="71" t="s">
        <v>235</v>
      </c>
    </row>
    <row r="9" outlineLevel="1" spans="1:19">
      <c r="A9" s="159" t="s">
        <v>232</v>
      </c>
      <c r="B9" s="169">
        <v>6666110112</v>
      </c>
      <c r="C9" s="169" t="s">
        <v>239</v>
      </c>
      <c r="D9" s="169" t="s">
        <v>234</v>
      </c>
      <c r="E9" s="83">
        <v>58.8558284722222</v>
      </c>
      <c r="F9" s="83">
        <v>57.0299784722222</v>
      </c>
      <c r="G9" s="83">
        <v>60.9329521419523</v>
      </c>
      <c r="H9" s="83">
        <v>60.4956154752856</v>
      </c>
      <c r="I9" s="83">
        <v>61.0215654752857</v>
      </c>
      <c r="J9" s="83">
        <v>61.2722354752856</v>
      </c>
      <c r="K9" s="83">
        <v>61.8766954752856</v>
      </c>
      <c r="L9" s="83">
        <v>61.8102154752857</v>
      </c>
      <c r="M9" s="83">
        <v>61.1615054752857</v>
      </c>
      <c r="N9" s="83">
        <v>61.7613254752856</v>
      </c>
      <c r="O9" s="83">
        <v>61.1540954752857</v>
      </c>
      <c r="P9" s="83">
        <v>61.3194054752857</v>
      </c>
      <c r="Q9" s="91">
        <f t="shared" si="0"/>
        <v>728.691418363968</v>
      </c>
      <c r="R9" s="92"/>
      <c r="S9" s="71" t="s">
        <v>235</v>
      </c>
    </row>
    <row r="10" outlineLevel="1" spans="1:19">
      <c r="A10" s="159" t="s">
        <v>232</v>
      </c>
      <c r="B10" s="169">
        <v>6666110204</v>
      </c>
      <c r="C10" s="169" t="s">
        <v>240</v>
      </c>
      <c r="D10" s="169" t="s">
        <v>234</v>
      </c>
      <c r="E10" s="83">
        <v>32.15703</v>
      </c>
      <c r="F10" s="83">
        <v>31.78315</v>
      </c>
      <c r="G10" s="83">
        <v>32.3153547605672</v>
      </c>
      <c r="H10" s="83">
        <v>32.1907647605672</v>
      </c>
      <c r="I10" s="83">
        <v>32.3154447605672</v>
      </c>
      <c r="J10" s="83">
        <v>32.1907647605672</v>
      </c>
      <c r="K10" s="83">
        <v>32.3152847605672</v>
      </c>
      <c r="L10" s="83">
        <v>32.3140647605672</v>
      </c>
      <c r="M10" s="83">
        <v>32.1285747605672</v>
      </c>
      <c r="N10" s="83">
        <v>32.2511347605672</v>
      </c>
      <c r="O10" s="83">
        <v>31.7741747605672</v>
      </c>
      <c r="P10" s="83">
        <v>31.8848947605672</v>
      </c>
      <c r="Q10" s="91">
        <f t="shared" si="0"/>
        <v>385.620637605672</v>
      </c>
      <c r="R10" s="92"/>
      <c r="S10" s="71" t="s">
        <v>235</v>
      </c>
    </row>
    <row r="11" outlineLevel="1" spans="1:19">
      <c r="A11" s="159" t="s">
        <v>232</v>
      </c>
      <c r="B11" s="169">
        <v>6666110207</v>
      </c>
      <c r="C11" s="169" t="s">
        <v>241</v>
      </c>
      <c r="D11" s="169" t="s">
        <v>234</v>
      </c>
      <c r="E11" s="83">
        <v>0</v>
      </c>
      <c r="F11" s="83">
        <v>0</v>
      </c>
      <c r="G11" s="83">
        <v>0</v>
      </c>
      <c r="H11" s="83">
        <v>0</v>
      </c>
      <c r="I11" s="83">
        <v>0</v>
      </c>
      <c r="J11" s="83">
        <v>0</v>
      </c>
      <c r="K11" s="83">
        <v>0</v>
      </c>
      <c r="L11" s="83">
        <v>0</v>
      </c>
      <c r="M11" s="83">
        <v>0</v>
      </c>
      <c r="N11" s="83">
        <v>0</v>
      </c>
      <c r="O11" s="83">
        <v>0</v>
      </c>
      <c r="P11" s="83">
        <v>0</v>
      </c>
      <c r="Q11" s="91">
        <f t="shared" si="0"/>
        <v>0</v>
      </c>
      <c r="R11" s="92"/>
      <c r="S11" s="71" t="s">
        <v>235</v>
      </c>
    </row>
    <row r="12" outlineLevel="1" spans="1:19">
      <c r="A12" s="159" t="s">
        <v>232</v>
      </c>
      <c r="B12" s="169">
        <v>6666110506</v>
      </c>
      <c r="C12" s="169" t="s">
        <v>242</v>
      </c>
      <c r="D12" s="169" t="s">
        <v>234</v>
      </c>
      <c r="E12" s="83">
        <v>0</v>
      </c>
      <c r="F12" s="83">
        <v>0</v>
      </c>
      <c r="G12" s="83">
        <v>0</v>
      </c>
      <c r="H12" s="83">
        <v>0</v>
      </c>
      <c r="I12" s="83">
        <v>0</v>
      </c>
      <c r="J12" s="83">
        <v>0</v>
      </c>
      <c r="K12" s="83">
        <v>0</v>
      </c>
      <c r="L12" s="83">
        <v>0</v>
      </c>
      <c r="M12" s="83">
        <v>0</v>
      </c>
      <c r="N12" s="83">
        <v>0</v>
      </c>
      <c r="O12" s="83">
        <v>0</v>
      </c>
      <c r="P12" s="83">
        <v>0</v>
      </c>
      <c r="Q12" s="91">
        <f t="shared" si="0"/>
        <v>0</v>
      </c>
      <c r="R12" s="92"/>
      <c r="S12" s="71" t="s">
        <v>235</v>
      </c>
    </row>
    <row r="13" outlineLevel="1" spans="1:19">
      <c r="A13" s="159" t="s">
        <v>232</v>
      </c>
      <c r="B13" s="169" t="s">
        <v>243</v>
      </c>
      <c r="C13" s="169" t="s">
        <v>244</v>
      </c>
      <c r="D13" s="169" t="s">
        <v>234</v>
      </c>
      <c r="E13" s="83">
        <v>0</v>
      </c>
      <c r="F13" s="83">
        <v>0</v>
      </c>
      <c r="G13" s="83">
        <v>0</v>
      </c>
      <c r="H13" s="83">
        <v>0</v>
      </c>
      <c r="I13" s="83">
        <v>0</v>
      </c>
      <c r="J13" s="83">
        <v>0</v>
      </c>
      <c r="K13" s="83">
        <v>0</v>
      </c>
      <c r="L13" s="83">
        <v>0</v>
      </c>
      <c r="M13" s="83">
        <v>0</v>
      </c>
      <c r="N13" s="83">
        <v>0</v>
      </c>
      <c r="O13" s="83">
        <v>0</v>
      </c>
      <c r="P13" s="83">
        <v>0</v>
      </c>
      <c r="Q13" s="91">
        <f t="shared" si="0"/>
        <v>0</v>
      </c>
      <c r="S13" s="71" t="s">
        <v>235</v>
      </c>
    </row>
    <row r="14" s="155" customFormat="1" spans="1:18">
      <c r="A14" s="159"/>
      <c r="B14" s="170" t="s">
        <v>245</v>
      </c>
      <c r="C14" s="171" t="s">
        <v>234</v>
      </c>
      <c r="D14" s="172"/>
      <c r="E14" s="87">
        <f t="shared" ref="E14:Q14" si="1">SUM(E5:E13)</f>
        <v>815.666929390723</v>
      </c>
      <c r="F14" s="87">
        <f t="shared" si="1"/>
        <v>779.636352947654</v>
      </c>
      <c r="G14" s="88">
        <f t="shared" si="1"/>
        <v>827.250627629163</v>
      </c>
      <c r="H14" s="88">
        <f t="shared" si="1"/>
        <v>815.980523836223</v>
      </c>
      <c r="I14" s="88">
        <f t="shared" si="1"/>
        <v>827.905069940232</v>
      </c>
      <c r="J14" s="88">
        <f t="shared" si="1"/>
        <v>821.887930151596</v>
      </c>
      <c r="K14" s="88">
        <f t="shared" si="1"/>
        <v>883.901340734594</v>
      </c>
      <c r="L14" s="88">
        <f t="shared" si="1"/>
        <v>893.888305322527</v>
      </c>
      <c r="M14" s="88">
        <f t="shared" si="1"/>
        <v>882.383289996215</v>
      </c>
      <c r="N14" s="88">
        <f t="shared" si="1"/>
        <v>898.047247240008</v>
      </c>
      <c r="O14" s="88">
        <f t="shared" si="1"/>
        <v>885.695190044731</v>
      </c>
      <c r="P14" s="88">
        <f t="shared" si="1"/>
        <v>896.873425346731</v>
      </c>
      <c r="Q14" s="87">
        <f t="shared" si="1"/>
        <v>10229.1162325804</v>
      </c>
      <c r="R14" s="92" t="s">
        <v>70</v>
      </c>
    </row>
    <row r="15" outlineLevel="1" spans="1:21">
      <c r="A15" s="159" t="s">
        <v>232</v>
      </c>
      <c r="B15" s="169">
        <v>5001010205</v>
      </c>
      <c r="C15" s="169" t="s">
        <v>246</v>
      </c>
      <c r="D15" s="169" t="s">
        <v>247</v>
      </c>
      <c r="E15" s="83">
        <v>9.37760305622184</v>
      </c>
      <c r="F15" s="83">
        <v>10.9848046018103</v>
      </c>
      <c r="G15" s="83">
        <v>10.9703920866633</v>
      </c>
      <c r="H15" s="83">
        <v>9.2379410878654</v>
      </c>
      <c r="I15" s="83">
        <v>10.5882983963446</v>
      </c>
      <c r="J15" s="83">
        <v>9.91923158127639</v>
      </c>
      <c r="K15" s="83">
        <v>8.97392411341387</v>
      </c>
      <c r="L15" s="83">
        <v>9.03995254976427</v>
      </c>
      <c r="M15" s="83">
        <v>11.6615025551707</v>
      </c>
      <c r="N15" s="83">
        <v>10.7623723737295</v>
      </c>
      <c r="O15" s="83">
        <v>11.2767156800139</v>
      </c>
      <c r="P15" s="83">
        <v>11.3233057667734</v>
      </c>
      <c r="Q15" s="91">
        <f t="shared" ref="Q15:Q22" si="2">F15+E15+G15+H15+I15+J15+K15+L15+M15+N15+O15+P15</f>
        <v>124.116043849047</v>
      </c>
      <c r="R15" s="92"/>
      <c r="S15" s="71" t="s">
        <v>248</v>
      </c>
      <c r="T15" s="71" t="s">
        <v>248</v>
      </c>
      <c r="U15" s="177" t="s">
        <v>249</v>
      </c>
    </row>
    <row r="16" outlineLevel="1" spans="1:21">
      <c r="A16" s="159" t="s">
        <v>232</v>
      </c>
      <c r="B16" s="169">
        <v>6666010380</v>
      </c>
      <c r="C16" s="169" t="s">
        <v>250</v>
      </c>
      <c r="D16" s="169" t="s">
        <v>247</v>
      </c>
      <c r="E16" s="83">
        <v>-24.9169347391352</v>
      </c>
      <c r="F16" s="83">
        <v>-28.8719166874249</v>
      </c>
      <c r="G16" s="83">
        <v>-28.8032353547264</v>
      </c>
      <c r="H16" s="83">
        <v>-23.7158612448825</v>
      </c>
      <c r="I16" s="83">
        <v>-27.0252831399607</v>
      </c>
      <c r="J16" s="83">
        <v>-25.3636223614896</v>
      </c>
      <c r="K16" s="83">
        <v>-23.0299873091477</v>
      </c>
      <c r="L16" s="83">
        <v>-23.1853693882434</v>
      </c>
      <c r="M16" s="83">
        <v>-29.667870664854</v>
      </c>
      <c r="N16" s="83">
        <v>-27.4349451617485</v>
      </c>
      <c r="O16" s="83">
        <v>-28.7189633209911</v>
      </c>
      <c r="P16" s="83">
        <v>-28.818904069219</v>
      </c>
      <c r="Q16" s="91">
        <f t="shared" si="2"/>
        <v>-319.552893441823</v>
      </c>
      <c r="R16" s="92"/>
      <c r="S16" s="71" t="s">
        <v>248</v>
      </c>
      <c r="T16" s="71" t="s">
        <v>248</v>
      </c>
      <c r="U16" s="177" t="s">
        <v>249</v>
      </c>
    </row>
    <row r="17" outlineLevel="1" spans="1:21">
      <c r="A17" s="159" t="s">
        <v>232</v>
      </c>
      <c r="B17" s="169">
        <v>6666010019</v>
      </c>
      <c r="C17" s="169" t="s">
        <v>251</v>
      </c>
      <c r="D17" s="169" t="s">
        <v>247</v>
      </c>
      <c r="E17" s="83">
        <v>97.2926317083015</v>
      </c>
      <c r="F17" s="83">
        <v>113.967347743782</v>
      </c>
      <c r="G17" s="83">
        <v>113.817817899131</v>
      </c>
      <c r="H17" s="83">
        <v>95.8436387866034</v>
      </c>
      <c r="I17" s="83">
        <v>109.853595862076</v>
      </c>
      <c r="J17" s="83">
        <v>102.912027655742</v>
      </c>
      <c r="K17" s="83">
        <v>93.1044626766688</v>
      </c>
      <c r="L17" s="83">
        <v>93.7895077038042</v>
      </c>
      <c r="M17" s="83">
        <v>120.988089009896</v>
      </c>
      <c r="N17" s="83">
        <v>111.659613377443</v>
      </c>
      <c r="O17" s="83">
        <v>116.995925180145</v>
      </c>
      <c r="P17" s="83">
        <v>117.479297330273</v>
      </c>
      <c r="Q17" s="91">
        <f t="shared" si="2"/>
        <v>1287.70395493387</v>
      </c>
      <c r="R17" s="92"/>
      <c r="S17" s="71" t="s">
        <v>248</v>
      </c>
      <c r="T17" s="71" t="s">
        <v>248</v>
      </c>
      <c r="U17" s="177" t="s">
        <v>249</v>
      </c>
    </row>
    <row r="18" outlineLevel="1" spans="1:21">
      <c r="A18" s="159" t="s">
        <v>232</v>
      </c>
      <c r="B18" s="169">
        <v>6666010183</v>
      </c>
      <c r="C18" s="169" t="s">
        <v>252</v>
      </c>
      <c r="D18" s="169" t="s">
        <v>247</v>
      </c>
      <c r="E18" s="83">
        <v>0</v>
      </c>
      <c r="F18" s="83">
        <v>0</v>
      </c>
      <c r="G18" s="83">
        <v>0</v>
      </c>
      <c r="H18" s="83">
        <v>0</v>
      </c>
      <c r="I18" s="83">
        <v>0</v>
      </c>
      <c r="J18" s="83">
        <v>0</v>
      </c>
      <c r="K18" s="83">
        <v>0</v>
      </c>
      <c r="L18" s="83">
        <v>0</v>
      </c>
      <c r="M18" s="83">
        <v>0</v>
      </c>
      <c r="N18" s="83">
        <v>0</v>
      </c>
      <c r="O18" s="83">
        <v>0</v>
      </c>
      <c r="P18" s="83">
        <v>0</v>
      </c>
      <c r="Q18" s="91">
        <f t="shared" si="2"/>
        <v>0</v>
      </c>
      <c r="R18" s="92"/>
      <c r="S18" s="71" t="s">
        <v>248</v>
      </c>
      <c r="T18" s="71" t="s">
        <v>248</v>
      </c>
      <c r="U18" s="177" t="s">
        <v>249</v>
      </c>
    </row>
    <row r="19" outlineLevel="1" spans="1:21">
      <c r="A19" s="159" t="s">
        <v>232</v>
      </c>
      <c r="B19" s="169">
        <v>6666010229</v>
      </c>
      <c r="C19" s="169" t="s">
        <v>253</v>
      </c>
      <c r="D19" s="169" t="s">
        <v>247</v>
      </c>
      <c r="E19" s="83">
        <v>18.3543930009948</v>
      </c>
      <c r="F19" s="83">
        <v>18.0121619244306</v>
      </c>
      <c r="G19" s="83">
        <v>17.6763119964971</v>
      </c>
      <c r="H19" s="83">
        <v>17.4150857108346</v>
      </c>
      <c r="I19" s="83">
        <v>17.1577199121523</v>
      </c>
      <c r="J19" s="83">
        <v>16.9041575489186</v>
      </c>
      <c r="K19" s="83">
        <v>16.7699975683716</v>
      </c>
      <c r="L19" s="83">
        <v>16.636902349575</v>
      </c>
      <c r="M19" s="83">
        <v>16.5048634420387</v>
      </c>
      <c r="N19" s="83">
        <v>16.2209960118316</v>
      </c>
      <c r="O19" s="83">
        <v>15.9420108224389</v>
      </c>
      <c r="P19" s="83">
        <v>15.6678239041169</v>
      </c>
      <c r="Q19" s="91">
        <f t="shared" si="2"/>
        <v>203.262424192201</v>
      </c>
      <c r="R19" s="92"/>
      <c r="S19" s="71" t="s">
        <v>248</v>
      </c>
      <c r="T19" s="71" t="s">
        <v>248</v>
      </c>
      <c r="U19" s="177" t="s">
        <v>249</v>
      </c>
    </row>
    <row r="20" outlineLevel="1" spans="1:21">
      <c r="A20" s="159" t="s">
        <v>232</v>
      </c>
      <c r="B20" s="169">
        <v>6666010188</v>
      </c>
      <c r="C20" s="169" t="s">
        <v>254</v>
      </c>
      <c r="D20" s="169" t="s">
        <v>247</v>
      </c>
      <c r="E20" s="83">
        <v>477.618655829551</v>
      </c>
      <c r="F20" s="83">
        <v>558.643453551725</v>
      </c>
      <c r="G20" s="83">
        <v>557.747497818157</v>
      </c>
      <c r="H20" s="83">
        <v>469.465574466378</v>
      </c>
      <c r="I20" s="83">
        <v>536.871589839999</v>
      </c>
      <c r="J20" s="83">
        <v>503.308051992653</v>
      </c>
      <c r="K20" s="83">
        <v>455.984373258822</v>
      </c>
      <c r="L20" s="83">
        <v>459.227952476436</v>
      </c>
      <c r="M20" s="83">
        <v>646.35194476386</v>
      </c>
      <c r="N20" s="83">
        <v>546.565597800096</v>
      </c>
      <c r="O20" s="83">
        <v>679.993091583666</v>
      </c>
      <c r="P20" s="83">
        <v>681.592926803565</v>
      </c>
      <c r="Q20" s="91">
        <f t="shared" si="2"/>
        <v>6573.37071018491</v>
      </c>
      <c r="R20" s="92"/>
      <c r="S20" s="71" t="s">
        <v>248</v>
      </c>
      <c r="T20" s="71" t="s">
        <v>248</v>
      </c>
      <c r="U20" s="177" t="s">
        <v>249</v>
      </c>
    </row>
    <row r="21" outlineLevel="1" spans="1:21">
      <c r="A21" s="159" t="s">
        <v>232</v>
      </c>
      <c r="B21" s="169">
        <v>5102040406</v>
      </c>
      <c r="C21" s="169" t="s">
        <v>255</v>
      </c>
      <c r="D21" s="169" t="s">
        <v>247</v>
      </c>
      <c r="E21" s="83">
        <v>0</v>
      </c>
      <c r="F21" s="83">
        <v>0</v>
      </c>
      <c r="G21" s="83">
        <v>0</v>
      </c>
      <c r="H21" s="83">
        <v>0</v>
      </c>
      <c r="I21" s="83">
        <v>0</v>
      </c>
      <c r="J21" s="83">
        <v>0</v>
      </c>
      <c r="K21" s="83">
        <v>0</v>
      </c>
      <c r="L21" s="83">
        <v>0</v>
      </c>
      <c r="M21" s="83">
        <v>0</v>
      </c>
      <c r="N21" s="83">
        <v>0</v>
      </c>
      <c r="O21" s="83">
        <v>0</v>
      </c>
      <c r="P21" s="83">
        <v>0</v>
      </c>
      <c r="Q21" s="91">
        <f t="shared" si="2"/>
        <v>0</v>
      </c>
      <c r="R21" s="92"/>
      <c r="S21" s="71" t="s">
        <v>248</v>
      </c>
      <c r="T21" s="71" t="s">
        <v>248</v>
      </c>
      <c r="U21" s="177" t="s">
        <v>249</v>
      </c>
    </row>
    <row r="22" outlineLevel="1" spans="1:21">
      <c r="A22" s="159" t="s">
        <v>232</v>
      </c>
      <c r="B22" s="169">
        <v>6666010115</v>
      </c>
      <c r="C22" s="169" t="s">
        <v>256</v>
      </c>
      <c r="D22" s="169" t="s">
        <v>247</v>
      </c>
      <c r="E22" s="83">
        <v>0</v>
      </c>
      <c r="F22" s="83">
        <v>0</v>
      </c>
      <c r="G22" s="83">
        <v>0</v>
      </c>
      <c r="H22" s="83">
        <v>0</v>
      </c>
      <c r="I22" s="83">
        <v>0</v>
      </c>
      <c r="J22" s="83">
        <v>0</v>
      </c>
      <c r="K22" s="83">
        <v>0</v>
      </c>
      <c r="L22" s="83">
        <v>0</v>
      </c>
      <c r="M22" s="83">
        <v>0</v>
      </c>
      <c r="N22" s="83">
        <v>0</v>
      </c>
      <c r="O22" s="83">
        <v>0</v>
      </c>
      <c r="P22" s="83">
        <v>0</v>
      </c>
      <c r="Q22" s="91">
        <f t="shared" si="2"/>
        <v>0</v>
      </c>
      <c r="S22" s="71" t="s">
        <v>248</v>
      </c>
      <c r="T22" s="71" t="s">
        <v>248</v>
      </c>
      <c r="U22" s="177" t="s">
        <v>249</v>
      </c>
    </row>
    <row r="23" s="156" customFormat="1" spans="1:18">
      <c r="A23" s="159"/>
      <c r="B23" s="170" t="s">
        <v>257</v>
      </c>
      <c r="C23" s="171" t="s">
        <v>247</v>
      </c>
      <c r="D23" s="172"/>
      <c r="E23" s="87">
        <f t="shared" ref="E23:Q23" si="3">SUM(E15:E22)</f>
        <v>577.726348855934</v>
      </c>
      <c r="F23" s="88">
        <f t="shared" si="3"/>
        <v>672.735851134323</v>
      </c>
      <c r="G23" s="88">
        <f t="shared" si="3"/>
        <v>671.408784445722</v>
      </c>
      <c r="H23" s="88">
        <f t="shared" si="3"/>
        <v>568.246378806799</v>
      </c>
      <c r="I23" s="88">
        <f t="shared" si="3"/>
        <v>647.445920870611</v>
      </c>
      <c r="J23" s="88">
        <f t="shared" si="3"/>
        <v>607.679846417101</v>
      </c>
      <c r="K23" s="88">
        <f t="shared" si="3"/>
        <v>551.802770308128</v>
      </c>
      <c r="L23" s="88">
        <f t="shared" si="3"/>
        <v>555.508945691336</v>
      </c>
      <c r="M23" s="88">
        <f t="shared" si="3"/>
        <v>765.838529106112</v>
      </c>
      <c r="N23" s="88">
        <f t="shared" si="3"/>
        <v>657.773634401352</v>
      </c>
      <c r="O23" s="88">
        <f t="shared" si="3"/>
        <v>795.488779945273</v>
      </c>
      <c r="P23" s="88">
        <f t="shared" si="3"/>
        <v>797.24444973551</v>
      </c>
      <c r="Q23" s="87">
        <f t="shared" si="3"/>
        <v>7868.9002397182</v>
      </c>
      <c r="R23" s="92" t="s">
        <v>31</v>
      </c>
    </row>
    <row r="24" outlineLevel="1" spans="1:21">
      <c r="A24" s="159" t="s">
        <v>258</v>
      </c>
      <c r="B24" s="169">
        <v>8701530201</v>
      </c>
      <c r="C24" s="169" t="s">
        <v>259</v>
      </c>
      <c r="D24" s="169" t="s">
        <v>260</v>
      </c>
      <c r="E24" s="83">
        <v>0</v>
      </c>
      <c r="F24" s="83">
        <v>0</v>
      </c>
      <c r="G24" s="83">
        <v>0</v>
      </c>
      <c r="H24" s="83">
        <v>0</v>
      </c>
      <c r="I24" s="83">
        <v>0</v>
      </c>
      <c r="J24" s="83">
        <v>0</v>
      </c>
      <c r="K24" s="83">
        <v>0</v>
      </c>
      <c r="L24" s="83">
        <v>0</v>
      </c>
      <c r="M24" s="83">
        <v>0</v>
      </c>
      <c r="N24" s="83">
        <v>0</v>
      </c>
      <c r="O24" s="83">
        <v>0</v>
      </c>
      <c r="P24" s="83">
        <v>0</v>
      </c>
      <c r="Q24" s="91">
        <f>F24+E24+G24+H24+I24+J24+K24+L24+M24+N24+O24+P24</f>
        <v>0</v>
      </c>
      <c r="R24" s="92"/>
      <c r="S24" s="71" t="s">
        <v>261</v>
      </c>
      <c r="T24" s="71" t="s">
        <v>261</v>
      </c>
      <c r="U24" s="177" t="s">
        <v>262</v>
      </c>
    </row>
    <row r="25" outlineLevel="1" spans="1:21">
      <c r="A25" s="159" t="s">
        <v>258</v>
      </c>
      <c r="B25" s="169">
        <v>6666050309</v>
      </c>
      <c r="C25" s="169" t="s">
        <v>263</v>
      </c>
      <c r="D25" s="169" t="s">
        <v>260</v>
      </c>
      <c r="E25" s="83">
        <v>0</v>
      </c>
      <c r="F25" s="83">
        <v>0</v>
      </c>
      <c r="G25" s="83">
        <v>0</v>
      </c>
      <c r="H25" s="83">
        <v>0</v>
      </c>
      <c r="I25" s="83">
        <v>0</v>
      </c>
      <c r="J25" s="83">
        <v>0</v>
      </c>
      <c r="K25" s="83">
        <v>0</v>
      </c>
      <c r="L25" s="83">
        <v>0</v>
      </c>
      <c r="M25" s="83">
        <v>0</v>
      </c>
      <c r="N25" s="83">
        <v>0</v>
      </c>
      <c r="O25" s="83">
        <v>0</v>
      </c>
      <c r="P25" s="83">
        <v>0</v>
      </c>
      <c r="Q25" s="91">
        <f>F25+E25+G25+H25+I25+J25+K25+L25+M25+N25+O25+P25</f>
        <v>0</v>
      </c>
      <c r="R25" s="92"/>
      <c r="S25" s="71" t="s">
        <v>261</v>
      </c>
      <c r="T25" s="71" t="s">
        <v>261</v>
      </c>
      <c r="U25" s="177" t="s">
        <v>262</v>
      </c>
    </row>
    <row r="26" outlineLevel="1" spans="1:21">
      <c r="A26" s="159" t="s">
        <v>258</v>
      </c>
      <c r="B26" s="169">
        <v>6666050308</v>
      </c>
      <c r="C26" s="169" t="s">
        <v>264</v>
      </c>
      <c r="D26" s="169" t="s">
        <v>260</v>
      </c>
      <c r="E26" s="83">
        <v>57.711166346792</v>
      </c>
      <c r="F26" s="83">
        <v>70.4974906683187</v>
      </c>
      <c r="G26" s="83">
        <v>62.4610197310306</v>
      </c>
      <c r="H26" s="83">
        <v>59.5121822232476</v>
      </c>
      <c r="I26" s="83">
        <v>40.486032926229</v>
      </c>
      <c r="J26" s="83">
        <v>62.9866066710495</v>
      </c>
      <c r="K26" s="83">
        <v>49.0119568226701</v>
      </c>
      <c r="L26" s="83">
        <v>46.241393132178</v>
      </c>
      <c r="M26" s="83">
        <v>67.7192945656517</v>
      </c>
      <c r="N26" s="83">
        <v>68.459882806192</v>
      </c>
      <c r="O26" s="83">
        <v>72.7487237764565</v>
      </c>
      <c r="P26" s="83">
        <v>50.0455481493154</v>
      </c>
      <c r="Q26" s="91">
        <f>F26+E26+G26+H26+I26+J26+K26+L26+M26+N26+O26+P26</f>
        <v>707.881297819131</v>
      </c>
      <c r="R26" s="92"/>
      <c r="S26" s="71" t="s">
        <v>261</v>
      </c>
      <c r="T26" s="71" t="s">
        <v>261</v>
      </c>
      <c r="U26" s="177" t="s">
        <v>262</v>
      </c>
    </row>
    <row r="27" outlineLevel="1" spans="1:21">
      <c r="A27" s="159" t="s">
        <v>258</v>
      </c>
      <c r="B27" s="169">
        <v>6666050306</v>
      </c>
      <c r="C27" s="169" t="s">
        <v>265</v>
      </c>
      <c r="D27" s="169" t="s">
        <v>260</v>
      </c>
      <c r="E27" s="83">
        <v>0</v>
      </c>
      <c r="F27" s="83">
        <v>0</v>
      </c>
      <c r="G27" s="83">
        <v>0</v>
      </c>
      <c r="H27" s="83">
        <v>0</v>
      </c>
      <c r="I27" s="83">
        <v>0</v>
      </c>
      <c r="J27" s="83">
        <v>0</v>
      </c>
      <c r="K27" s="83">
        <v>0</v>
      </c>
      <c r="L27" s="83">
        <v>0</v>
      </c>
      <c r="M27" s="83">
        <v>0</v>
      </c>
      <c r="N27" s="83">
        <v>0</v>
      </c>
      <c r="O27" s="83">
        <v>0</v>
      </c>
      <c r="P27" s="83">
        <v>0</v>
      </c>
      <c r="Q27" s="91">
        <f>F27+E27+G27+H27+I27+J27+K27+L27+M27+N27+O27+P27</f>
        <v>0</v>
      </c>
      <c r="S27" s="71" t="s">
        <v>261</v>
      </c>
      <c r="T27" s="71" t="s">
        <v>261</v>
      </c>
      <c r="U27" s="177" t="s">
        <v>262</v>
      </c>
    </row>
    <row r="28" s="156" customFormat="1" spans="1:18">
      <c r="A28" s="159"/>
      <c r="B28" s="170" t="s">
        <v>257</v>
      </c>
      <c r="C28" s="171" t="s">
        <v>260</v>
      </c>
      <c r="D28" s="172"/>
      <c r="E28" s="87">
        <f t="shared" ref="E28:Q28" si="4">SUM(E24:E27)</f>
        <v>57.711166346792</v>
      </c>
      <c r="F28" s="88">
        <f t="shared" si="4"/>
        <v>70.4974906683187</v>
      </c>
      <c r="G28" s="88">
        <f t="shared" si="4"/>
        <v>62.4610197310306</v>
      </c>
      <c r="H28" s="88">
        <f t="shared" si="4"/>
        <v>59.5121822232476</v>
      </c>
      <c r="I28" s="88">
        <f t="shared" si="4"/>
        <v>40.486032926229</v>
      </c>
      <c r="J28" s="88">
        <f t="shared" si="4"/>
        <v>62.9866066710495</v>
      </c>
      <c r="K28" s="88">
        <f t="shared" si="4"/>
        <v>49.0119568226701</v>
      </c>
      <c r="L28" s="88">
        <f t="shared" si="4"/>
        <v>46.241393132178</v>
      </c>
      <c r="M28" s="88">
        <f t="shared" si="4"/>
        <v>67.7192945656517</v>
      </c>
      <c r="N28" s="88">
        <f t="shared" si="4"/>
        <v>68.459882806192</v>
      </c>
      <c r="O28" s="88">
        <f t="shared" si="4"/>
        <v>72.7487237764565</v>
      </c>
      <c r="P28" s="88">
        <f t="shared" si="4"/>
        <v>50.0455481493154</v>
      </c>
      <c r="Q28" s="87">
        <f t="shared" si="4"/>
        <v>707.881297819131</v>
      </c>
      <c r="R28" s="92" t="s">
        <v>66</v>
      </c>
    </row>
    <row r="29" outlineLevel="1" spans="1:19">
      <c r="A29" s="159" t="s">
        <v>232</v>
      </c>
      <c r="B29" s="169">
        <v>5102010151</v>
      </c>
      <c r="C29" s="169" t="s">
        <v>266</v>
      </c>
      <c r="D29" s="169" t="s">
        <v>267</v>
      </c>
      <c r="E29" s="83">
        <v>0</v>
      </c>
      <c r="F29" s="83">
        <v>0</v>
      </c>
      <c r="G29" s="83">
        <v>0</v>
      </c>
      <c r="H29" s="83">
        <v>0</v>
      </c>
      <c r="I29" s="83">
        <v>0</v>
      </c>
      <c r="J29" s="83">
        <v>0</v>
      </c>
      <c r="K29" s="83">
        <v>0</v>
      </c>
      <c r="L29" s="83">
        <v>0</v>
      </c>
      <c r="M29" s="83">
        <v>0</v>
      </c>
      <c r="N29" s="83">
        <v>0</v>
      </c>
      <c r="O29" s="83">
        <v>0</v>
      </c>
      <c r="P29" s="83">
        <v>0</v>
      </c>
      <c r="Q29" s="91">
        <f t="shared" ref="Q29:Q75" si="5">F29+E29+G29+H29+I29+J29+K29+L29+M29+N29+O29+P29</f>
        <v>0</v>
      </c>
      <c r="R29" s="92"/>
      <c r="S29" s="71" t="s">
        <v>268</v>
      </c>
    </row>
    <row r="30" outlineLevel="1" spans="1:19">
      <c r="A30" s="159" t="s">
        <v>232</v>
      </c>
      <c r="B30" s="169">
        <v>5001010200</v>
      </c>
      <c r="C30" s="169" t="s">
        <v>269</v>
      </c>
      <c r="D30" s="169" t="s">
        <v>267</v>
      </c>
      <c r="E30" s="83">
        <v>0</v>
      </c>
      <c r="F30" s="83">
        <v>0</v>
      </c>
      <c r="G30" s="83">
        <v>0</v>
      </c>
      <c r="H30" s="83">
        <v>0</v>
      </c>
      <c r="I30" s="83">
        <v>0</v>
      </c>
      <c r="J30" s="83">
        <v>0</v>
      </c>
      <c r="K30" s="83">
        <v>0</v>
      </c>
      <c r="L30" s="83">
        <v>0</v>
      </c>
      <c r="M30" s="83">
        <v>0</v>
      </c>
      <c r="N30" s="83">
        <v>0</v>
      </c>
      <c r="O30" s="83">
        <v>0</v>
      </c>
      <c r="P30" s="83">
        <v>0</v>
      </c>
      <c r="Q30" s="91">
        <f t="shared" si="5"/>
        <v>0</v>
      </c>
      <c r="R30" s="92"/>
      <c r="S30" s="71" t="s">
        <v>268</v>
      </c>
    </row>
    <row r="31" outlineLevel="1" spans="1:19">
      <c r="A31" s="159" t="s">
        <v>232</v>
      </c>
      <c r="B31" s="169">
        <v>5001010201</v>
      </c>
      <c r="C31" s="169" t="s">
        <v>270</v>
      </c>
      <c r="D31" s="169" t="s">
        <v>267</v>
      </c>
      <c r="E31" s="83">
        <v>0</v>
      </c>
      <c r="F31" s="83">
        <v>0</v>
      </c>
      <c r="G31" s="83">
        <v>0</v>
      </c>
      <c r="H31" s="83">
        <v>0</v>
      </c>
      <c r="I31" s="83">
        <v>0</v>
      </c>
      <c r="J31" s="83">
        <v>0</v>
      </c>
      <c r="K31" s="83">
        <v>0</v>
      </c>
      <c r="L31" s="83">
        <v>0</v>
      </c>
      <c r="M31" s="83">
        <v>0</v>
      </c>
      <c r="N31" s="83">
        <v>0</v>
      </c>
      <c r="O31" s="83">
        <v>0</v>
      </c>
      <c r="P31" s="83">
        <v>0</v>
      </c>
      <c r="Q31" s="91">
        <f t="shared" si="5"/>
        <v>0</v>
      </c>
      <c r="R31" s="92"/>
      <c r="S31" s="71" t="s">
        <v>268</v>
      </c>
    </row>
    <row r="32" outlineLevel="1" spans="1:19">
      <c r="A32" s="173" t="s">
        <v>258</v>
      </c>
      <c r="B32" s="169">
        <v>5207000011</v>
      </c>
      <c r="C32" s="169" t="s">
        <v>271</v>
      </c>
      <c r="D32" s="169" t="s">
        <v>267</v>
      </c>
      <c r="E32" s="83">
        <v>0</v>
      </c>
      <c r="F32" s="83">
        <v>0</v>
      </c>
      <c r="G32" s="83">
        <v>0</v>
      </c>
      <c r="H32" s="83">
        <v>0</v>
      </c>
      <c r="I32" s="83">
        <v>0</v>
      </c>
      <c r="J32" s="83">
        <v>0</v>
      </c>
      <c r="K32" s="83">
        <v>0</v>
      </c>
      <c r="L32" s="83">
        <v>0</v>
      </c>
      <c r="M32" s="83">
        <v>0</v>
      </c>
      <c r="N32" s="83">
        <v>0</v>
      </c>
      <c r="O32" s="83">
        <v>0</v>
      </c>
      <c r="P32" s="83">
        <v>0</v>
      </c>
      <c r="Q32" s="91">
        <f t="shared" si="5"/>
        <v>0</v>
      </c>
      <c r="R32" s="92"/>
      <c r="S32" s="71" t="s">
        <v>268</v>
      </c>
    </row>
    <row r="33" outlineLevel="1" spans="1:19">
      <c r="A33" s="173" t="s">
        <v>258</v>
      </c>
      <c r="B33" s="169">
        <v>5207000012</v>
      </c>
      <c r="C33" s="169" t="s">
        <v>272</v>
      </c>
      <c r="D33" s="169" t="s">
        <v>267</v>
      </c>
      <c r="E33" s="83">
        <v>0</v>
      </c>
      <c r="F33" s="83">
        <v>0</v>
      </c>
      <c r="G33" s="83">
        <v>0</v>
      </c>
      <c r="H33" s="83">
        <v>0</v>
      </c>
      <c r="I33" s="83">
        <v>0</v>
      </c>
      <c r="J33" s="83">
        <v>0</v>
      </c>
      <c r="K33" s="83">
        <v>0</v>
      </c>
      <c r="L33" s="83">
        <v>0</v>
      </c>
      <c r="M33" s="83">
        <v>0</v>
      </c>
      <c r="N33" s="83">
        <v>0</v>
      </c>
      <c r="O33" s="83">
        <v>0</v>
      </c>
      <c r="P33" s="83">
        <v>0</v>
      </c>
      <c r="Q33" s="91">
        <f t="shared" si="5"/>
        <v>0</v>
      </c>
      <c r="R33" s="92"/>
      <c r="S33" s="71" t="s">
        <v>268</v>
      </c>
    </row>
    <row r="34" outlineLevel="1" spans="1:19">
      <c r="A34" s="173" t="s">
        <v>258</v>
      </c>
      <c r="B34" s="169">
        <v>5207000022</v>
      </c>
      <c r="C34" s="169" t="s">
        <v>273</v>
      </c>
      <c r="D34" s="169" t="s">
        <v>267</v>
      </c>
      <c r="E34" s="83">
        <v>0</v>
      </c>
      <c r="F34" s="83">
        <v>0</v>
      </c>
      <c r="G34" s="83">
        <v>0</v>
      </c>
      <c r="H34" s="83">
        <v>0</v>
      </c>
      <c r="I34" s="83">
        <v>0</v>
      </c>
      <c r="J34" s="83">
        <v>0</v>
      </c>
      <c r="K34" s="83">
        <v>0</v>
      </c>
      <c r="L34" s="83">
        <v>0</v>
      </c>
      <c r="M34" s="83">
        <v>0</v>
      </c>
      <c r="N34" s="83">
        <v>0</v>
      </c>
      <c r="O34" s="83">
        <v>0</v>
      </c>
      <c r="P34" s="83">
        <v>0</v>
      </c>
      <c r="Q34" s="91">
        <f t="shared" si="5"/>
        <v>0</v>
      </c>
      <c r="R34" s="92"/>
      <c r="S34" s="71" t="s">
        <v>268</v>
      </c>
    </row>
    <row r="35" outlineLevel="1" spans="1:19">
      <c r="A35" s="159" t="s">
        <v>232</v>
      </c>
      <c r="B35" s="169">
        <v>5301060000</v>
      </c>
      <c r="C35" s="169" t="s">
        <v>274</v>
      </c>
      <c r="D35" s="169" t="s">
        <v>267</v>
      </c>
      <c r="E35" s="83">
        <v>0</v>
      </c>
      <c r="F35" s="83">
        <v>0</v>
      </c>
      <c r="G35" s="83">
        <v>0</v>
      </c>
      <c r="H35" s="83">
        <v>0</v>
      </c>
      <c r="I35" s="83">
        <v>0</v>
      </c>
      <c r="J35" s="83">
        <v>0</v>
      </c>
      <c r="K35" s="83">
        <v>0</v>
      </c>
      <c r="L35" s="83">
        <v>0</v>
      </c>
      <c r="M35" s="83">
        <v>0</v>
      </c>
      <c r="N35" s="83">
        <v>0</v>
      </c>
      <c r="O35" s="83">
        <v>0</v>
      </c>
      <c r="P35" s="83">
        <v>0</v>
      </c>
      <c r="Q35" s="91">
        <f t="shared" si="5"/>
        <v>0</v>
      </c>
      <c r="R35" s="92"/>
      <c r="S35" s="71" t="s">
        <v>268</v>
      </c>
    </row>
    <row r="36" outlineLevel="1" spans="1:19">
      <c r="A36" s="159" t="s">
        <v>232</v>
      </c>
      <c r="B36" s="169">
        <v>5301999999</v>
      </c>
      <c r="C36" s="169" t="s">
        <v>275</v>
      </c>
      <c r="D36" s="169" t="s">
        <v>267</v>
      </c>
      <c r="E36" s="83">
        <v>0</v>
      </c>
      <c r="F36" s="83">
        <v>0</v>
      </c>
      <c r="G36" s="83">
        <v>0</v>
      </c>
      <c r="H36" s="83">
        <v>0</v>
      </c>
      <c r="I36" s="83">
        <v>0</v>
      </c>
      <c r="J36" s="83">
        <v>0</v>
      </c>
      <c r="K36" s="83">
        <v>0</v>
      </c>
      <c r="L36" s="83">
        <v>0</v>
      </c>
      <c r="M36" s="83">
        <v>0</v>
      </c>
      <c r="N36" s="83">
        <v>0</v>
      </c>
      <c r="O36" s="83">
        <v>0</v>
      </c>
      <c r="P36" s="83">
        <v>0</v>
      </c>
      <c r="Q36" s="91">
        <f t="shared" si="5"/>
        <v>0</v>
      </c>
      <c r="R36" s="92"/>
      <c r="S36" s="71" t="s">
        <v>268</v>
      </c>
    </row>
    <row r="37" outlineLevel="1" spans="1:19">
      <c r="A37" s="159" t="s">
        <v>232</v>
      </c>
      <c r="B37" s="169">
        <v>5405030000</v>
      </c>
      <c r="C37" s="169" t="s">
        <v>276</v>
      </c>
      <c r="D37" s="169" t="s">
        <v>267</v>
      </c>
      <c r="E37" s="83">
        <v>0</v>
      </c>
      <c r="F37" s="83">
        <v>0</v>
      </c>
      <c r="G37" s="83">
        <v>0</v>
      </c>
      <c r="H37" s="83">
        <v>0</v>
      </c>
      <c r="I37" s="83">
        <v>0</v>
      </c>
      <c r="J37" s="83">
        <v>0</v>
      </c>
      <c r="K37" s="83">
        <v>0</v>
      </c>
      <c r="L37" s="83">
        <v>0</v>
      </c>
      <c r="M37" s="83">
        <v>0</v>
      </c>
      <c r="N37" s="83">
        <v>0</v>
      </c>
      <c r="O37" s="83">
        <v>0</v>
      </c>
      <c r="P37" s="83">
        <v>0</v>
      </c>
      <c r="Q37" s="91">
        <f t="shared" si="5"/>
        <v>0</v>
      </c>
      <c r="R37" s="92"/>
      <c r="S37" s="71" t="s">
        <v>268</v>
      </c>
    </row>
    <row r="38" outlineLevel="1" spans="1:19">
      <c r="A38" s="159" t="s">
        <v>232</v>
      </c>
      <c r="B38" s="169">
        <v>5601050000</v>
      </c>
      <c r="C38" s="169" t="s">
        <v>277</v>
      </c>
      <c r="D38" s="169" t="s">
        <v>267</v>
      </c>
      <c r="E38" s="83">
        <v>0</v>
      </c>
      <c r="F38" s="83">
        <v>0</v>
      </c>
      <c r="G38" s="83">
        <v>0</v>
      </c>
      <c r="H38" s="83">
        <v>0</v>
      </c>
      <c r="I38" s="83">
        <v>0</v>
      </c>
      <c r="J38" s="83">
        <v>0</v>
      </c>
      <c r="K38" s="83">
        <v>0</v>
      </c>
      <c r="L38" s="83">
        <v>0</v>
      </c>
      <c r="M38" s="83">
        <v>0</v>
      </c>
      <c r="N38" s="83">
        <v>0</v>
      </c>
      <c r="O38" s="83">
        <v>0</v>
      </c>
      <c r="P38" s="83">
        <v>0</v>
      </c>
      <c r="Q38" s="91">
        <f t="shared" si="5"/>
        <v>0</v>
      </c>
      <c r="R38" s="92"/>
      <c r="S38" s="71" t="s">
        <v>268</v>
      </c>
    </row>
    <row r="39" outlineLevel="1" spans="1:19">
      <c r="A39" s="159" t="s">
        <v>232</v>
      </c>
      <c r="B39" s="169">
        <v>5601050100</v>
      </c>
      <c r="C39" s="169" t="s">
        <v>278</v>
      </c>
      <c r="D39" s="169" t="s">
        <v>267</v>
      </c>
      <c r="E39" s="83">
        <v>0</v>
      </c>
      <c r="F39" s="83">
        <v>0</v>
      </c>
      <c r="G39" s="83">
        <v>0</v>
      </c>
      <c r="H39" s="83">
        <v>0</v>
      </c>
      <c r="I39" s="83">
        <v>0</v>
      </c>
      <c r="J39" s="83">
        <v>0</v>
      </c>
      <c r="K39" s="83">
        <v>0</v>
      </c>
      <c r="L39" s="83">
        <v>0</v>
      </c>
      <c r="M39" s="83">
        <v>0</v>
      </c>
      <c r="N39" s="83">
        <v>0</v>
      </c>
      <c r="O39" s="83">
        <v>0</v>
      </c>
      <c r="P39" s="83">
        <v>0</v>
      </c>
      <c r="Q39" s="91">
        <f t="shared" si="5"/>
        <v>0</v>
      </c>
      <c r="R39" s="92"/>
      <c r="S39" s="71" t="s">
        <v>268</v>
      </c>
    </row>
    <row r="40" outlineLevel="1" spans="1:19">
      <c r="A40" s="159" t="s">
        <v>232</v>
      </c>
      <c r="B40" s="169">
        <v>5102040893</v>
      </c>
      <c r="C40" s="169" t="s">
        <v>279</v>
      </c>
      <c r="D40" s="169" t="s">
        <v>267</v>
      </c>
      <c r="E40" s="83">
        <v>0</v>
      </c>
      <c r="F40" s="83">
        <v>0</v>
      </c>
      <c r="G40" s="83">
        <v>0</v>
      </c>
      <c r="H40" s="83">
        <v>0</v>
      </c>
      <c r="I40" s="83">
        <v>0</v>
      </c>
      <c r="J40" s="83">
        <v>0</v>
      </c>
      <c r="K40" s="83">
        <v>0</v>
      </c>
      <c r="L40" s="83">
        <v>0</v>
      </c>
      <c r="M40" s="83">
        <v>0</v>
      </c>
      <c r="N40" s="83">
        <v>0</v>
      </c>
      <c r="O40" s="83">
        <v>0</v>
      </c>
      <c r="P40" s="83">
        <v>0</v>
      </c>
      <c r="Q40" s="91">
        <f t="shared" si="5"/>
        <v>0</v>
      </c>
      <c r="R40" s="92"/>
      <c r="S40" s="71" t="s">
        <v>268</v>
      </c>
    </row>
    <row r="41" outlineLevel="1" spans="1:19">
      <c r="A41" s="159" t="s">
        <v>232</v>
      </c>
      <c r="B41" s="169">
        <v>5801000041</v>
      </c>
      <c r="C41" s="169" t="s">
        <v>280</v>
      </c>
      <c r="D41" s="169" t="s">
        <v>267</v>
      </c>
      <c r="E41" s="83">
        <v>0</v>
      </c>
      <c r="F41" s="83">
        <v>0</v>
      </c>
      <c r="G41" s="83">
        <v>0</v>
      </c>
      <c r="H41" s="83">
        <v>0</v>
      </c>
      <c r="I41" s="83">
        <v>0</v>
      </c>
      <c r="J41" s="83">
        <v>0</v>
      </c>
      <c r="K41" s="83">
        <v>0</v>
      </c>
      <c r="L41" s="83">
        <v>0</v>
      </c>
      <c r="M41" s="83">
        <v>0</v>
      </c>
      <c r="N41" s="83">
        <v>0</v>
      </c>
      <c r="O41" s="83">
        <v>0</v>
      </c>
      <c r="P41" s="83">
        <v>0</v>
      </c>
      <c r="Q41" s="91">
        <f t="shared" si="5"/>
        <v>0</v>
      </c>
      <c r="R41" s="92"/>
      <c r="S41" s="71" t="s">
        <v>268</v>
      </c>
    </row>
    <row r="42" outlineLevel="1" spans="1:19">
      <c r="A42" s="159" t="s">
        <v>232</v>
      </c>
      <c r="B42" s="169">
        <v>6666010322</v>
      </c>
      <c r="C42" s="169" t="s">
        <v>281</v>
      </c>
      <c r="D42" s="169" t="s">
        <v>267</v>
      </c>
      <c r="E42" s="83">
        <v>3.24056739651914</v>
      </c>
      <c r="F42" s="83">
        <v>3.18014464820327</v>
      </c>
      <c r="G42" s="83">
        <v>3.12084852620537</v>
      </c>
      <c r="H42" s="83">
        <v>3.074727612025</v>
      </c>
      <c r="I42" s="83">
        <v>3.02928828770936</v>
      </c>
      <c r="J42" s="83">
        <v>2.98452048050183</v>
      </c>
      <c r="K42" s="83">
        <v>2.96083381002166</v>
      </c>
      <c r="L42" s="83">
        <v>2.93733512898974</v>
      </c>
      <c r="M42" s="83">
        <v>2.91402294542633</v>
      </c>
      <c r="N42" s="83">
        <v>2.86390461466961</v>
      </c>
      <c r="O42" s="83">
        <v>2.81464826994556</v>
      </c>
      <c r="P42" s="83">
        <v>2.76623908594158</v>
      </c>
      <c r="Q42" s="91">
        <f t="shared" si="5"/>
        <v>35.8870808061585</v>
      </c>
      <c r="R42" s="92"/>
      <c r="S42" s="71" t="s">
        <v>268</v>
      </c>
    </row>
    <row r="43" outlineLevel="1" spans="1:19">
      <c r="A43" s="159" t="s">
        <v>232</v>
      </c>
      <c r="B43" s="169">
        <v>6666020101</v>
      </c>
      <c r="C43" s="169" t="s">
        <v>282</v>
      </c>
      <c r="D43" s="169" t="s">
        <v>267</v>
      </c>
      <c r="E43" s="83">
        <v>7.85938837490515</v>
      </c>
      <c r="F43" s="83">
        <v>7.71284433258601</v>
      </c>
      <c r="G43" s="83">
        <v>7.56903271107558</v>
      </c>
      <c r="H43" s="83">
        <v>7.45717508480353</v>
      </c>
      <c r="I43" s="83">
        <v>7.34697052690003</v>
      </c>
      <c r="J43" s="83">
        <v>7.23839460778328</v>
      </c>
      <c r="K43" s="83">
        <v>7.18094703153103</v>
      </c>
      <c r="L43" s="83">
        <v>7.12395538842364</v>
      </c>
      <c r="M43" s="83">
        <v>7.06741605994409</v>
      </c>
      <c r="N43" s="83">
        <v>6.9458634495765</v>
      </c>
      <c r="O43" s="83">
        <v>6.82640142464521</v>
      </c>
      <c r="P43" s="83">
        <v>6.70899402913534</v>
      </c>
      <c r="Q43" s="91">
        <f t="shared" si="5"/>
        <v>87.0373830213094</v>
      </c>
      <c r="R43" s="92"/>
      <c r="S43" s="71" t="s">
        <v>268</v>
      </c>
    </row>
    <row r="44" outlineLevel="1" spans="1:19">
      <c r="A44" s="159" t="s">
        <v>232</v>
      </c>
      <c r="B44" s="169">
        <v>6666020201</v>
      </c>
      <c r="C44" s="169" t="s">
        <v>283</v>
      </c>
      <c r="D44" s="169" t="s">
        <v>267</v>
      </c>
      <c r="E44" s="83">
        <v>0</v>
      </c>
      <c r="F44" s="83">
        <v>0</v>
      </c>
      <c r="G44" s="83">
        <v>0</v>
      </c>
      <c r="H44" s="83">
        <v>0</v>
      </c>
      <c r="I44" s="83">
        <v>0</v>
      </c>
      <c r="J44" s="83">
        <v>0</v>
      </c>
      <c r="K44" s="83">
        <v>0</v>
      </c>
      <c r="L44" s="83">
        <v>0</v>
      </c>
      <c r="M44" s="83">
        <v>0</v>
      </c>
      <c r="N44" s="83">
        <v>0</v>
      </c>
      <c r="O44" s="83">
        <v>0</v>
      </c>
      <c r="P44" s="83">
        <v>0</v>
      </c>
      <c r="Q44" s="91">
        <f t="shared" si="5"/>
        <v>0</v>
      </c>
      <c r="R44" s="92"/>
      <c r="S44" s="71" t="s">
        <v>268</v>
      </c>
    </row>
    <row r="45" outlineLevel="1" spans="1:19">
      <c r="A45" s="159" t="s">
        <v>232</v>
      </c>
      <c r="B45" s="169">
        <v>6666020202</v>
      </c>
      <c r="C45" s="169" t="s">
        <v>284</v>
      </c>
      <c r="D45" s="169" t="s">
        <v>267</v>
      </c>
      <c r="E45" s="83">
        <v>0</v>
      </c>
      <c r="F45" s="83">
        <v>0</v>
      </c>
      <c r="G45" s="83">
        <v>0</v>
      </c>
      <c r="H45" s="83">
        <v>0</v>
      </c>
      <c r="I45" s="83">
        <v>0</v>
      </c>
      <c r="J45" s="83">
        <v>0</v>
      </c>
      <c r="K45" s="83">
        <v>0</v>
      </c>
      <c r="L45" s="83">
        <v>0</v>
      </c>
      <c r="M45" s="83">
        <v>0</v>
      </c>
      <c r="N45" s="83">
        <v>0</v>
      </c>
      <c r="O45" s="83">
        <v>0</v>
      </c>
      <c r="P45" s="83">
        <v>0</v>
      </c>
      <c r="Q45" s="91">
        <f t="shared" si="5"/>
        <v>0</v>
      </c>
      <c r="R45" s="92"/>
      <c r="S45" s="71" t="s">
        <v>268</v>
      </c>
    </row>
    <row r="46" outlineLevel="1" spans="1:19">
      <c r="A46" s="159" t="s">
        <v>232</v>
      </c>
      <c r="B46" s="169">
        <v>6666020204</v>
      </c>
      <c r="C46" s="169" t="s">
        <v>285</v>
      </c>
      <c r="D46" s="169" t="s">
        <v>267</v>
      </c>
      <c r="E46" s="83">
        <v>3.82137978767653</v>
      </c>
      <c r="F46" s="83">
        <v>0.745334328323389</v>
      </c>
      <c r="G46" s="83">
        <v>3.68020350116821</v>
      </c>
      <c r="H46" s="83">
        <v>3.62581625730859</v>
      </c>
      <c r="I46" s="83">
        <v>0.709977941567343</v>
      </c>
      <c r="J46" s="83">
        <v>0.699485656716594</v>
      </c>
      <c r="K46" s="83">
        <v>3.49150907598451</v>
      </c>
      <c r="L46" s="83">
        <v>3.46379868649256</v>
      </c>
      <c r="M46" s="83">
        <v>0.682963064581158</v>
      </c>
      <c r="N46" s="83">
        <v>0.671216771087133</v>
      </c>
      <c r="O46" s="83">
        <v>3.31912245359936</v>
      </c>
      <c r="P46" s="83">
        <v>3.26203680943426</v>
      </c>
      <c r="Q46" s="91">
        <f t="shared" si="5"/>
        <v>28.1728443339396</v>
      </c>
      <c r="R46" s="92"/>
      <c r="S46" s="71" t="s">
        <v>268</v>
      </c>
    </row>
    <row r="47" outlineLevel="1" spans="1:19">
      <c r="A47" s="159" t="s">
        <v>232</v>
      </c>
      <c r="B47" s="169">
        <v>6666020205</v>
      </c>
      <c r="C47" s="169" t="s">
        <v>286</v>
      </c>
      <c r="D47" s="169" t="s">
        <v>267</v>
      </c>
      <c r="E47" s="83">
        <v>0</v>
      </c>
      <c r="F47" s="83">
        <v>0</v>
      </c>
      <c r="G47" s="83">
        <v>0</v>
      </c>
      <c r="H47" s="83">
        <v>0</v>
      </c>
      <c r="I47" s="83">
        <v>0</v>
      </c>
      <c r="J47" s="83">
        <v>0</v>
      </c>
      <c r="K47" s="83">
        <v>0</v>
      </c>
      <c r="L47" s="83">
        <v>0</v>
      </c>
      <c r="M47" s="83">
        <v>0</v>
      </c>
      <c r="N47" s="83">
        <v>0</v>
      </c>
      <c r="O47" s="83">
        <v>0</v>
      </c>
      <c r="P47" s="83">
        <v>0</v>
      </c>
      <c r="Q47" s="91">
        <f t="shared" si="5"/>
        <v>0</v>
      </c>
      <c r="R47" s="92"/>
      <c r="S47" s="71" t="s">
        <v>268</v>
      </c>
    </row>
    <row r="48" outlineLevel="1" spans="1:19">
      <c r="A48" s="159" t="s">
        <v>232</v>
      </c>
      <c r="B48" s="169">
        <v>6666020301</v>
      </c>
      <c r="C48" s="169" t="s">
        <v>287</v>
      </c>
      <c r="D48" s="169" t="s">
        <v>267</v>
      </c>
      <c r="E48" s="83">
        <v>0</v>
      </c>
      <c r="F48" s="83">
        <v>0</v>
      </c>
      <c r="G48" s="83">
        <v>0</v>
      </c>
      <c r="H48" s="83">
        <v>0</v>
      </c>
      <c r="I48" s="83">
        <v>0</v>
      </c>
      <c r="J48" s="83">
        <v>0</v>
      </c>
      <c r="K48" s="83">
        <v>0</v>
      </c>
      <c r="L48" s="83">
        <v>0</v>
      </c>
      <c r="M48" s="83">
        <v>0</v>
      </c>
      <c r="N48" s="83">
        <v>0</v>
      </c>
      <c r="O48" s="83">
        <v>0</v>
      </c>
      <c r="P48" s="83">
        <v>0</v>
      </c>
      <c r="Q48" s="91">
        <f t="shared" si="5"/>
        <v>0</v>
      </c>
      <c r="R48" s="92"/>
      <c r="S48" s="71" t="s">
        <v>268</v>
      </c>
    </row>
    <row r="49" outlineLevel="1" spans="1:19">
      <c r="A49" s="159" t="s">
        <v>232</v>
      </c>
      <c r="B49" s="169">
        <v>6666020302</v>
      </c>
      <c r="C49" s="169" t="s">
        <v>288</v>
      </c>
      <c r="D49" s="169" t="s">
        <v>267</v>
      </c>
      <c r="E49" s="83">
        <v>1.23071785559899</v>
      </c>
      <c r="F49" s="83">
        <v>1.20777022139253</v>
      </c>
      <c r="G49" s="83">
        <v>1.18525046260307</v>
      </c>
      <c r="H49" s="83">
        <v>1.16773444591436</v>
      </c>
      <c r="I49" s="83">
        <v>1.15047728661513</v>
      </c>
      <c r="J49" s="83">
        <v>1.13347515922673</v>
      </c>
      <c r="K49" s="83">
        <v>1.12447932462969</v>
      </c>
      <c r="L49" s="83">
        <v>1.11555488554533</v>
      </c>
      <c r="M49" s="83">
        <v>1.10670127534259</v>
      </c>
      <c r="N49" s="83">
        <v>1.0876671010738</v>
      </c>
      <c r="O49" s="83">
        <v>1.06896029589562</v>
      </c>
      <c r="P49" s="83">
        <v>1.05057522938145</v>
      </c>
      <c r="Q49" s="91">
        <f t="shared" si="5"/>
        <v>13.6293635432193</v>
      </c>
      <c r="R49" s="92"/>
      <c r="S49" s="71" t="s">
        <v>268</v>
      </c>
    </row>
    <row r="50" outlineLevel="1" spans="1:19">
      <c r="A50" s="159" t="s">
        <v>232</v>
      </c>
      <c r="B50" s="169" t="s">
        <v>289</v>
      </c>
      <c r="C50" s="169" t="s">
        <v>290</v>
      </c>
      <c r="D50" s="169" t="s">
        <v>267</v>
      </c>
      <c r="E50" s="83">
        <v>0</v>
      </c>
      <c r="F50" s="83">
        <v>0</v>
      </c>
      <c r="G50" s="83">
        <v>0</v>
      </c>
      <c r="H50" s="83">
        <v>0</v>
      </c>
      <c r="I50" s="83">
        <v>0</v>
      </c>
      <c r="J50" s="83">
        <v>0</v>
      </c>
      <c r="K50" s="83">
        <v>0</v>
      </c>
      <c r="L50" s="83">
        <v>0</v>
      </c>
      <c r="M50" s="83">
        <v>0</v>
      </c>
      <c r="N50" s="83">
        <v>0</v>
      </c>
      <c r="O50" s="83">
        <v>0</v>
      </c>
      <c r="P50" s="83">
        <v>0</v>
      </c>
      <c r="Q50" s="91">
        <f t="shared" si="5"/>
        <v>0</v>
      </c>
      <c r="R50" s="92"/>
      <c r="S50" s="71" t="s">
        <v>268</v>
      </c>
    </row>
    <row r="51" outlineLevel="1" spans="1:19">
      <c r="A51" s="159" t="s">
        <v>232</v>
      </c>
      <c r="B51" s="169">
        <v>6666020405</v>
      </c>
      <c r="C51" s="169" t="s">
        <v>291</v>
      </c>
      <c r="D51" s="169" t="s">
        <v>267</v>
      </c>
      <c r="E51" s="83">
        <v>0</v>
      </c>
      <c r="F51" s="83">
        <v>0</v>
      </c>
      <c r="G51" s="83">
        <v>0</v>
      </c>
      <c r="H51" s="83">
        <v>0</v>
      </c>
      <c r="I51" s="83">
        <v>0</v>
      </c>
      <c r="J51" s="83">
        <v>0</v>
      </c>
      <c r="K51" s="83">
        <v>0</v>
      </c>
      <c r="L51" s="83">
        <v>0</v>
      </c>
      <c r="M51" s="83">
        <v>0</v>
      </c>
      <c r="N51" s="83">
        <v>0</v>
      </c>
      <c r="O51" s="83">
        <v>0</v>
      </c>
      <c r="P51" s="83">
        <v>0</v>
      </c>
      <c r="Q51" s="91">
        <f t="shared" si="5"/>
        <v>0</v>
      </c>
      <c r="R51" s="92"/>
      <c r="S51" s="71" t="s">
        <v>268</v>
      </c>
    </row>
    <row r="52" outlineLevel="1" spans="1:19">
      <c r="A52" s="159" t="s">
        <v>232</v>
      </c>
      <c r="B52" s="169">
        <v>6666020495</v>
      </c>
      <c r="C52" s="169" t="s">
        <v>292</v>
      </c>
      <c r="D52" s="169" t="s">
        <v>267</v>
      </c>
      <c r="E52" s="83">
        <v>0</v>
      </c>
      <c r="F52" s="83">
        <v>0</v>
      </c>
      <c r="G52" s="83">
        <v>0</v>
      </c>
      <c r="H52" s="83">
        <v>0</v>
      </c>
      <c r="I52" s="83">
        <v>0</v>
      </c>
      <c r="J52" s="83">
        <v>0</v>
      </c>
      <c r="K52" s="83">
        <v>0</v>
      </c>
      <c r="L52" s="83">
        <v>0</v>
      </c>
      <c r="M52" s="83">
        <v>0</v>
      </c>
      <c r="N52" s="83">
        <v>0</v>
      </c>
      <c r="O52" s="83">
        <v>0</v>
      </c>
      <c r="P52" s="83">
        <v>0</v>
      </c>
      <c r="Q52" s="91">
        <f t="shared" si="5"/>
        <v>0</v>
      </c>
      <c r="R52" s="92"/>
      <c r="S52" s="71" t="s">
        <v>268</v>
      </c>
    </row>
    <row r="53" outlineLevel="1" spans="1:19">
      <c r="A53" s="159" t="s">
        <v>232</v>
      </c>
      <c r="B53" s="169">
        <v>6666020504</v>
      </c>
      <c r="C53" s="169" t="s">
        <v>293</v>
      </c>
      <c r="D53" s="169" t="s">
        <v>267</v>
      </c>
      <c r="E53" s="83">
        <v>0</v>
      </c>
      <c r="F53" s="83">
        <v>0</v>
      </c>
      <c r="G53" s="83">
        <v>0</v>
      </c>
      <c r="H53" s="83">
        <v>0</v>
      </c>
      <c r="I53" s="83">
        <v>0</v>
      </c>
      <c r="J53" s="83">
        <v>0</v>
      </c>
      <c r="K53" s="83">
        <v>0</v>
      </c>
      <c r="L53" s="83">
        <v>0</v>
      </c>
      <c r="M53" s="83">
        <v>0</v>
      </c>
      <c r="N53" s="83">
        <v>0</v>
      </c>
      <c r="O53" s="83">
        <v>0</v>
      </c>
      <c r="P53" s="83">
        <v>0</v>
      </c>
      <c r="Q53" s="91">
        <f t="shared" si="5"/>
        <v>0</v>
      </c>
      <c r="R53" s="92"/>
      <c r="S53" s="71" t="s">
        <v>268</v>
      </c>
    </row>
    <row r="54" outlineLevel="1" spans="1:19">
      <c r="A54" s="159" t="s">
        <v>232</v>
      </c>
      <c r="B54" s="169">
        <v>6666020508</v>
      </c>
      <c r="C54" s="169" t="s">
        <v>294</v>
      </c>
      <c r="D54" s="169" t="s">
        <v>267</v>
      </c>
      <c r="E54" s="83">
        <v>0</v>
      </c>
      <c r="F54" s="83">
        <v>0</v>
      </c>
      <c r="G54" s="83">
        <v>0</v>
      </c>
      <c r="H54" s="83">
        <v>0</v>
      </c>
      <c r="I54" s="83">
        <v>0</v>
      </c>
      <c r="J54" s="83">
        <v>0</v>
      </c>
      <c r="K54" s="83">
        <v>0</v>
      </c>
      <c r="L54" s="83">
        <v>0</v>
      </c>
      <c r="M54" s="83">
        <v>0</v>
      </c>
      <c r="N54" s="83">
        <v>0</v>
      </c>
      <c r="O54" s="83">
        <v>0</v>
      </c>
      <c r="P54" s="83">
        <v>0</v>
      </c>
      <c r="Q54" s="91">
        <f t="shared" si="5"/>
        <v>0</v>
      </c>
      <c r="R54" s="92"/>
      <c r="S54" s="71" t="s">
        <v>268</v>
      </c>
    </row>
    <row r="55" outlineLevel="1" spans="1:19">
      <c r="A55" s="159" t="s">
        <v>232</v>
      </c>
      <c r="B55" s="169">
        <v>6666020602</v>
      </c>
      <c r="C55" s="169" t="s">
        <v>295</v>
      </c>
      <c r="D55" s="169" t="s">
        <v>267</v>
      </c>
      <c r="E55" s="83">
        <v>0.402729491924783</v>
      </c>
      <c r="F55" s="83">
        <v>0.395220306108717</v>
      </c>
      <c r="G55" s="83">
        <v>0.387851134552225</v>
      </c>
      <c r="H55" s="83">
        <v>0.382119344386428</v>
      </c>
      <c r="I55" s="83">
        <v>0.37647226047924</v>
      </c>
      <c r="J55" s="83">
        <v>0.370908631014029</v>
      </c>
      <c r="K55" s="83">
        <v>0.367964911720267</v>
      </c>
      <c r="L55" s="83">
        <v>0.365044555278043</v>
      </c>
      <c r="M55" s="83">
        <v>0.3621473762679</v>
      </c>
      <c r="N55" s="83">
        <v>0.355918797314889</v>
      </c>
      <c r="O55" s="83">
        <v>0.349797343798417</v>
      </c>
      <c r="P55" s="83">
        <v>0.343781173266257</v>
      </c>
      <c r="Q55" s="91">
        <f t="shared" si="5"/>
        <v>4.4599553261112</v>
      </c>
      <c r="R55" s="92"/>
      <c r="S55" s="71" t="s">
        <v>268</v>
      </c>
    </row>
    <row r="56" outlineLevel="1" spans="1:19">
      <c r="A56" s="159" t="s">
        <v>232</v>
      </c>
      <c r="B56" s="169">
        <v>6666020701</v>
      </c>
      <c r="C56" s="169" t="s">
        <v>296</v>
      </c>
      <c r="D56" s="169" t="s">
        <v>267</v>
      </c>
      <c r="E56" s="83">
        <v>0</v>
      </c>
      <c r="F56" s="83">
        <v>0</v>
      </c>
      <c r="G56" s="83">
        <v>0</v>
      </c>
      <c r="H56" s="83">
        <v>0</v>
      </c>
      <c r="I56" s="83">
        <v>0</v>
      </c>
      <c r="J56" s="83">
        <v>0</v>
      </c>
      <c r="K56" s="83">
        <v>0</v>
      </c>
      <c r="L56" s="83">
        <v>0</v>
      </c>
      <c r="M56" s="83">
        <v>0</v>
      </c>
      <c r="N56" s="83">
        <v>0</v>
      </c>
      <c r="O56" s="83">
        <v>0</v>
      </c>
      <c r="P56" s="83">
        <v>0</v>
      </c>
      <c r="Q56" s="91">
        <f t="shared" si="5"/>
        <v>0</v>
      </c>
      <c r="R56" s="92"/>
      <c r="S56" s="71" t="s">
        <v>268</v>
      </c>
    </row>
    <row r="57" outlineLevel="1" spans="1:19">
      <c r="A57" s="159" t="s">
        <v>232</v>
      </c>
      <c r="B57" s="169">
        <v>6666020802</v>
      </c>
      <c r="C57" s="169" t="s">
        <v>297</v>
      </c>
      <c r="D57" s="169" t="s">
        <v>267</v>
      </c>
      <c r="E57" s="83">
        <v>20.409</v>
      </c>
      <c r="F57" s="83">
        <v>20.409</v>
      </c>
      <c r="G57" s="83">
        <v>20.409</v>
      </c>
      <c r="H57" s="83">
        <v>20.409</v>
      </c>
      <c r="I57" s="83">
        <v>20.409</v>
      </c>
      <c r="J57" s="83">
        <v>20.409</v>
      </c>
      <c r="K57" s="83">
        <v>20.409</v>
      </c>
      <c r="L57" s="83">
        <v>20.409</v>
      </c>
      <c r="M57" s="83">
        <v>20.409</v>
      </c>
      <c r="N57" s="83">
        <v>20.409</v>
      </c>
      <c r="O57" s="83">
        <v>20.409</v>
      </c>
      <c r="P57" s="83">
        <v>20.409</v>
      </c>
      <c r="Q57" s="91">
        <f t="shared" si="5"/>
        <v>244.908</v>
      </c>
      <c r="R57" s="92"/>
      <c r="S57" s="71" t="s">
        <v>268</v>
      </c>
    </row>
    <row r="58" outlineLevel="1" spans="1:19">
      <c r="A58" s="159" t="s">
        <v>232</v>
      </c>
      <c r="B58" s="169">
        <v>6666020803</v>
      </c>
      <c r="C58" s="169" t="s">
        <v>298</v>
      </c>
      <c r="D58" s="169" t="s">
        <v>267</v>
      </c>
      <c r="E58" s="83">
        <v>3.46246019856849</v>
      </c>
      <c r="F58" s="83">
        <v>3.39790009673061</v>
      </c>
      <c r="G58" s="83">
        <v>3.33454376519196</v>
      </c>
      <c r="H58" s="83">
        <v>3.28526479329258</v>
      </c>
      <c r="I58" s="83">
        <v>3.23671408206165</v>
      </c>
      <c r="J58" s="83">
        <v>3.18888086902626</v>
      </c>
      <c r="K58" s="83">
        <v>3.16357229070065</v>
      </c>
      <c r="L58" s="83">
        <v>3.13846457410779</v>
      </c>
      <c r="M58" s="83">
        <v>3.11355612510693</v>
      </c>
      <c r="N58" s="83">
        <v>3.06000601976111</v>
      </c>
      <c r="O58" s="83">
        <v>3.00737692359815</v>
      </c>
      <c r="P58" s="83">
        <v>2.95565299616525</v>
      </c>
      <c r="Q58" s="91">
        <f t="shared" si="5"/>
        <v>38.3443927343114</v>
      </c>
      <c r="R58" s="92"/>
      <c r="S58" s="71" t="s">
        <v>268</v>
      </c>
    </row>
    <row r="59" outlineLevel="1" spans="1:19">
      <c r="A59" s="159" t="s">
        <v>232</v>
      </c>
      <c r="B59" s="169">
        <v>6666021100</v>
      </c>
      <c r="C59" s="169" t="s">
        <v>299</v>
      </c>
      <c r="D59" s="169" t="s">
        <v>267</v>
      </c>
      <c r="E59" s="83">
        <v>17.6861510263767</v>
      </c>
      <c r="F59" s="83">
        <v>17.3563798099869</v>
      </c>
      <c r="G59" s="83">
        <v>17.0327574190254</v>
      </c>
      <c r="H59" s="83">
        <v>16.7810417921433</v>
      </c>
      <c r="I59" s="83">
        <v>16.5330461006338</v>
      </c>
      <c r="J59" s="83">
        <v>16.2887153700825</v>
      </c>
      <c r="K59" s="83">
        <v>16.1594398512724</v>
      </c>
      <c r="L59" s="83">
        <v>16.0311903286432</v>
      </c>
      <c r="M59" s="83">
        <v>15.9039586593683</v>
      </c>
      <c r="N59" s="83">
        <v>15.6304262008533</v>
      </c>
      <c r="O59" s="83">
        <v>15.3615982317969</v>
      </c>
      <c r="P59" s="83">
        <v>15.0973938396038</v>
      </c>
      <c r="Q59" s="91">
        <f t="shared" si="5"/>
        <v>195.862098629787</v>
      </c>
      <c r="R59" s="92"/>
      <c r="S59" s="71" t="s">
        <v>268</v>
      </c>
    </row>
    <row r="60" outlineLevel="1" spans="1:19">
      <c r="A60" s="159" t="s">
        <v>232</v>
      </c>
      <c r="B60" s="169">
        <v>6666021104</v>
      </c>
      <c r="C60" s="169" t="s">
        <v>300</v>
      </c>
      <c r="D60" s="169" t="s">
        <v>267</v>
      </c>
      <c r="E60" s="83">
        <v>0</v>
      </c>
      <c r="F60" s="83">
        <v>0</v>
      </c>
      <c r="G60" s="83">
        <v>0</v>
      </c>
      <c r="H60" s="83">
        <v>0</v>
      </c>
      <c r="I60" s="83">
        <v>0</v>
      </c>
      <c r="J60" s="83">
        <v>0</v>
      </c>
      <c r="K60" s="83">
        <v>0</v>
      </c>
      <c r="L60" s="83">
        <v>0</v>
      </c>
      <c r="M60" s="83">
        <v>0</v>
      </c>
      <c r="N60" s="83">
        <v>0</v>
      </c>
      <c r="O60" s="83">
        <v>0</v>
      </c>
      <c r="P60" s="83">
        <v>0</v>
      </c>
      <c r="Q60" s="91">
        <f t="shared" si="5"/>
        <v>0</v>
      </c>
      <c r="R60" s="92"/>
      <c r="S60" s="71" t="s">
        <v>268</v>
      </c>
    </row>
    <row r="61" outlineLevel="1" spans="1:19">
      <c r="A61" s="159" t="s">
        <v>232</v>
      </c>
      <c r="B61" s="169">
        <v>6666021902</v>
      </c>
      <c r="C61" s="169" t="s">
        <v>301</v>
      </c>
      <c r="D61" s="169" t="s">
        <v>267</v>
      </c>
      <c r="E61" s="83">
        <v>10.8825405290592</v>
      </c>
      <c r="F61" s="83">
        <v>10.6796276045723</v>
      </c>
      <c r="G61" s="83">
        <v>10.4804981399139</v>
      </c>
      <c r="H61" s="83">
        <v>10.3256139309497</v>
      </c>
      <c r="I61" s="83">
        <v>10.173018651182</v>
      </c>
      <c r="J61" s="83">
        <v>10.0226784740709</v>
      </c>
      <c r="K61" s="83">
        <v>9.94313340681636</v>
      </c>
      <c r="L61" s="83">
        <v>9.8642196496194</v>
      </c>
      <c r="M61" s="83">
        <v>9.78593219208274</v>
      </c>
      <c r="N61" s="83">
        <v>9.61762377600269</v>
      </c>
      <c r="O61" s="83">
        <v>9.45221009926554</v>
      </c>
      <c r="P61" s="83">
        <v>9.28964137519955</v>
      </c>
      <c r="Q61" s="91">
        <f t="shared" si="5"/>
        <v>120.516737828734</v>
      </c>
      <c r="R61" s="92"/>
      <c r="S61" s="71" t="s">
        <v>268</v>
      </c>
    </row>
    <row r="62" s="157" customFormat="1" outlineLevel="1" spans="1:19">
      <c r="A62" s="174" t="s">
        <v>232</v>
      </c>
      <c r="B62" s="175">
        <v>6666022100</v>
      </c>
      <c r="C62" s="175" t="s">
        <v>302</v>
      </c>
      <c r="D62" s="175" t="s">
        <v>267</v>
      </c>
      <c r="E62" s="176">
        <v>13.7668100750848</v>
      </c>
      <c r="F62" s="176">
        <v>13.510117836197</v>
      </c>
      <c r="G62" s="176">
        <v>13.2582118117733</v>
      </c>
      <c r="H62" s="176">
        <v>13.0622776470673</v>
      </c>
      <c r="I62" s="176">
        <v>12.8692390611501</v>
      </c>
      <c r="J62" s="176">
        <v>12.6790532622168</v>
      </c>
      <c r="K62" s="176">
        <v>12.5784258553738</v>
      </c>
      <c r="L62" s="176">
        <v>12.4785970787439</v>
      </c>
      <c r="M62" s="176">
        <v>12.3795605939919</v>
      </c>
      <c r="N62" s="176">
        <v>12.1666443184196</v>
      </c>
      <c r="O62" s="176">
        <v>11.9573899935328</v>
      </c>
      <c r="P62" s="176">
        <v>11.7517346373786</v>
      </c>
      <c r="Q62" s="178">
        <f t="shared" si="5"/>
        <v>152.45806217093</v>
      </c>
      <c r="R62" s="93"/>
      <c r="S62" s="71" t="s">
        <v>268</v>
      </c>
    </row>
    <row r="63" outlineLevel="1" spans="1:19">
      <c r="A63" s="159" t="s">
        <v>232</v>
      </c>
      <c r="B63" s="169">
        <v>6666022300</v>
      </c>
      <c r="C63" s="169" t="s">
        <v>303</v>
      </c>
      <c r="D63" s="169" t="s">
        <v>267</v>
      </c>
      <c r="E63" s="83">
        <v>0</v>
      </c>
      <c r="F63" s="83">
        <v>0</v>
      </c>
      <c r="G63" s="83">
        <v>0</v>
      </c>
      <c r="H63" s="83">
        <v>0</v>
      </c>
      <c r="I63" s="83">
        <v>0</v>
      </c>
      <c r="J63" s="83">
        <v>0</v>
      </c>
      <c r="K63" s="83">
        <v>0</v>
      </c>
      <c r="L63" s="83">
        <v>0</v>
      </c>
      <c r="M63" s="83">
        <v>0</v>
      </c>
      <c r="N63" s="83">
        <v>0</v>
      </c>
      <c r="O63" s="83">
        <v>0</v>
      </c>
      <c r="P63" s="83">
        <v>0</v>
      </c>
      <c r="Q63" s="91">
        <f t="shared" si="5"/>
        <v>0</v>
      </c>
      <c r="R63" s="92"/>
      <c r="S63" s="71" t="s">
        <v>268</v>
      </c>
    </row>
    <row r="64" outlineLevel="1" spans="1:19">
      <c r="A64" s="159" t="s">
        <v>232</v>
      </c>
      <c r="B64" s="169">
        <v>6666029700</v>
      </c>
      <c r="C64" s="169" t="s">
        <v>304</v>
      </c>
      <c r="D64" s="169" t="s">
        <v>267</v>
      </c>
      <c r="E64" s="83">
        <v>0</v>
      </c>
      <c r="F64" s="83">
        <v>0</v>
      </c>
      <c r="G64" s="83">
        <v>0</v>
      </c>
      <c r="H64" s="83">
        <v>0</v>
      </c>
      <c r="I64" s="83">
        <v>0</v>
      </c>
      <c r="J64" s="83">
        <v>0</v>
      </c>
      <c r="K64" s="83">
        <v>0</v>
      </c>
      <c r="L64" s="83">
        <v>0</v>
      </c>
      <c r="M64" s="83">
        <v>0</v>
      </c>
      <c r="N64" s="83">
        <v>0</v>
      </c>
      <c r="O64" s="83">
        <v>0</v>
      </c>
      <c r="P64" s="83">
        <v>0</v>
      </c>
      <c r="Q64" s="91">
        <f t="shared" si="5"/>
        <v>0</v>
      </c>
      <c r="R64" s="92"/>
      <c r="S64" s="71" t="s">
        <v>268</v>
      </c>
    </row>
    <row r="65" outlineLevel="1" spans="1:19">
      <c r="A65" s="159" t="s">
        <v>232</v>
      </c>
      <c r="B65" s="169">
        <v>6666029900</v>
      </c>
      <c r="C65" s="169" t="s">
        <v>305</v>
      </c>
      <c r="D65" s="169" t="s">
        <v>267</v>
      </c>
      <c r="E65" s="83">
        <v>0</v>
      </c>
      <c r="F65" s="83">
        <v>0</v>
      </c>
      <c r="G65" s="83">
        <v>0</v>
      </c>
      <c r="H65" s="83">
        <v>0</v>
      </c>
      <c r="I65" s="83">
        <v>0</v>
      </c>
      <c r="J65" s="83">
        <v>0</v>
      </c>
      <c r="K65" s="83">
        <v>0</v>
      </c>
      <c r="L65" s="83">
        <v>0</v>
      </c>
      <c r="M65" s="83">
        <v>0</v>
      </c>
      <c r="N65" s="83">
        <v>0</v>
      </c>
      <c r="O65" s="83">
        <v>0</v>
      </c>
      <c r="P65" s="83">
        <v>0</v>
      </c>
      <c r="Q65" s="91">
        <f t="shared" si="5"/>
        <v>0</v>
      </c>
      <c r="R65" s="92"/>
      <c r="S65" s="71" t="s">
        <v>268</v>
      </c>
    </row>
    <row r="66" outlineLevel="1" spans="1:19">
      <c r="A66" s="159" t="s">
        <v>232</v>
      </c>
      <c r="B66" s="169">
        <v>6666029996</v>
      </c>
      <c r="C66" s="169" t="s">
        <v>306</v>
      </c>
      <c r="D66" s="169" t="s">
        <v>267</v>
      </c>
      <c r="E66" s="83">
        <v>0</v>
      </c>
      <c r="F66" s="83">
        <v>0</v>
      </c>
      <c r="G66" s="83">
        <v>0</v>
      </c>
      <c r="H66" s="83">
        <v>0</v>
      </c>
      <c r="I66" s="83">
        <v>0</v>
      </c>
      <c r="J66" s="83">
        <v>0</v>
      </c>
      <c r="K66" s="83">
        <v>0</v>
      </c>
      <c r="L66" s="83">
        <v>0</v>
      </c>
      <c r="M66" s="83">
        <v>0</v>
      </c>
      <c r="N66" s="83">
        <v>0</v>
      </c>
      <c r="O66" s="83">
        <v>0</v>
      </c>
      <c r="P66" s="83">
        <v>0</v>
      </c>
      <c r="Q66" s="91">
        <f t="shared" si="5"/>
        <v>0</v>
      </c>
      <c r="R66" s="92"/>
      <c r="S66" s="71" t="s">
        <v>268</v>
      </c>
    </row>
    <row r="67" outlineLevel="1" spans="1:19">
      <c r="A67" s="159" t="s">
        <v>232</v>
      </c>
      <c r="B67" s="169">
        <v>6666029997</v>
      </c>
      <c r="C67" s="169" t="s">
        <v>307</v>
      </c>
      <c r="D67" s="169" t="s">
        <v>267</v>
      </c>
      <c r="E67" s="83">
        <v>0</v>
      </c>
      <c r="F67" s="83">
        <v>0</v>
      </c>
      <c r="G67" s="83">
        <v>0</v>
      </c>
      <c r="H67" s="83">
        <v>0</v>
      </c>
      <c r="I67" s="83">
        <v>0</v>
      </c>
      <c r="J67" s="83">
        <v>0</v>
      </c>
      <c r="K67" s="83">
        <v>0</v>
      </c>
      <c r="L67" s="83">
        <v>0</v>
      </c>
      <c r="M67" s="83">
        <v>0</v>
      </c>
      <c r="N67" s="83">
        <v>0</v>
      </c>
      <c r="O67" s="83">
        <v>0</v>
      </c>
      <c r="P67" s="83">
        <v>0</v>
      </c>
      <c r="Q67" s="91">
        <f t="shared" si="5"/>
        <v>0</v>
      </c>
      <c r="R67" s="92"/>
      <c r="S67" s="71" t="s">
        <v>268</v>
      </c>
    </row>
    <row r="68" outlineLevel="1" spans="1:19">
      <c r="A68" s="159" t="s">
        <v>232</v>
      </c>
      <c r="B68" s="169">
        <v>6666030702</v>
      </c>
      <c r="C68" s="169" t="s">
        <v>308</v>
      </c>
      <c r="D68" s="169" t="s">
        <v>267</v>
      </c>
      <c r="E68" s="83">
        <v>0</v>
      </c>
      <c r="F68" s="83">
        <v>0</v>
      </c>
      <c r="G68" s="83">
        <v>0</v>
      </c>
      <c r="H68" s="83">
        <v>0</v>
      </c>
      <c r="I68" s="83">
        <v>0</v>
      </c>
      <c r="J68" s="83">
        <v>0</v>
      </c>
      <c r="K68" s="83">
        <v>0</v>
      </c>
      <c r="L68" s="83">
        <v>0</v>
      </c>
      <c r="M68" s="83">
        <v>0</v>
      </c>
      <c r="N68" s="83">
        <v>0</v>
      </c>
      <c r="O68" s="83">
        <v>0</v>
      </c>
      <c r="P68" s="83">
        <v>0</v>
      </c>
      <c r="Q68" s="91">
        <f t="shared" si="5"/>
        <v>0</v>
      </c>
      <c r="R68" s="92"/>
      <c r="S68" s="71" t="s">
        <v>268</v>
      </c>
    </row>
    <row r="69" outlineLevel="1" spans="1:19">
      <c r="A69" s="159" t="s">
        <v>232</v>
      </c>
      <c r="B69" s="169">
        <v>6666031200</v>
      </c>
      <c r="C69" s="169" t="s">
        <v>309</v>
      </c>
      <c r="D69" s="169" t="s">
        <v>267</v>
      </c>
      <c r="E69" s="83">
        <v>0</v>
      </c>
      <c r="F69" s="83">
        <v>0</v>
      </c>
      <c r="G69" s="83">
        <v>0</v>
      </c>
      <c r="H69" s="83">
        <v>0</v>
      </c>
      <c r="I69" s="83">
        <v>0</v>
      </c>
      <c r="J69" s="83">
        <v>0</v>
      </c>
      <c r="K69" s="83">
        <v>0</v>
      </c>
      <c r="L69" s="83">
        <v>0</v>
      </c>
      <c r="M69" s="83">
        <v>0</v>
      </c>
      <c r="N69" s="83">
        <v>0</v>
      </c>
      <c r="O69" s="83">
        <v>0</v>
      </c>
      <c r="P69" s="83">
        <v>0</v>
      </c>
      <c r="Q69" s="91">
        <f t="shared" si="5"/>
        <v>0</v>
      </c>
      <c r="R69" s="92"/>
      <c r="S69" s="71" t="s">
        <v>268</v>
      </c>
    </row>
    <row r="70" outlineLevel="1" spans="1:19">
      <c r="A70" s="159" t="s">
        <v>232</v>
      </c>
      <c r="B70" s="169">
        <v>6666050107</v>
      </c>
      <c r="C70" s="169" t="s">
        <v>310</v>
      </c>
      <c r="D70" s="169" t="s">
        <v>267</v>
      </c>
      <c r="E70" s="83">
        <v>0</v>
      </c>
      <c r="F70" s="83">
        <v>0</v>
      </c>
      <c r="G70" s="83">
        <v>0</v>
      </c>
      <c r="H70" s="83">
        <v>0</v>
      </c>
      <c r="I70" s="83">
        <v>0</v>
      </c>
      <c r="J70" s="83">
        <v>0</v>
      </c>
      <c r="K70" s="83">
        <v>0</v>
      </c>
      <c r="L70" s="83">
        <v>0</v>
      </c>
      <c r="M70" s="83">
        <v>0</v>
      </c>
      <c r="N70" s="83">
        <v>0</v>
      </c>
      <c r="O70" s="83">
        <v>0</v>
      </c>
      <c r="P70" s="83">
        <v>0</v>
      </c>
      <c r="Q70" s="91">
        <f t="shared" si="5"/>
        <v>0</v>
      </c>
      <c r="R70" s="92"/>
      <c r="S70" s="71" t="s">
        <v>268</v>
      </c>
    </row>
    <row r="71" outlineLevel="1" spans="1:19">
      <c r="A71" s="159" t="s">
        <v>232</v>
      </c>
      <c r="B71" s="169">
        <v>6666070100</v>
      </c>
      <c r="C71" s="169" t="s">
        <v>311</v>
      </c>
      <c r="D71" s="169" t="s">
        <v>267</v>
      </c>
      <c r="E71" s="83">
        <v>0</v>
      </c>
      <c r="F71" s="83">
        <v>0</v>
      </c>
      <c r="G71" s="83">
        <v>0</v>
      </c>
      <c r="H71" s="83">
        <v>0</v>
      </c>
      <c r="I71" s="83">
        <v>0</v>
      </c>
      <c r="J71" s="83">
        <v>0</v>
      </c>
      <c r="K71" s="83">
        <v>0</v>
      </c>
      <c r="L71" s="83">
        <v>0</v>
      </c>
      <c r="M71" s="83">
        <v>0</v>
      </c>
      <c r="N71" s="83">
        <v>0</v>
      </c>
      <c r="O71" s="83">
        <v>0</v>
      </c>
      <c r="P71" s="83">
        <v>0</v>
      </c>
      <c r="Q71" s="91">
        <f t="shared" si="5"/>
        <v>0</v>
      </c>
      <c r="R71" s="92"/>
      <c r="S71" s="71" t="s">
        <v>268</v>
      </c>
    </row>
    <row r="72" outlineLevel="1" spans="1:19">
      <c r="A72" s="159" t="s">
        <v>232</v>
      </c>
      <c r="B72" s="169">
        <v>6666070300</v>
      </c>
      <c r="C72" s="169" t="s">
        <v>312</v>
      </c>
      <c r="D72" s="169" t="s">
        <v>267</v>
      </c>
      <c r="E72" s="83">
        <v>0</v>
      </c>
      <c r="F72" s="83">
        <v>0</v>
      </c>
      <c r="G72" s="83">
        <v>0</v>
      </c>
      <c r="H72" s="83">
        <v>0</v>
      </c>
      <c r="I72" s="83">
        <v>0</v>
      </c>
      <c r="J72" s="83">
        <v>0</v>
      </c>
      <c r="K72" s="83">
        <v>0</v>
      </c>
      <c r="L72" s="83">
        <v>0</v>
      </c>
      <c r="M72" s="83">
        <v>0</v>
      </c>
      <c r="N72" s="83">
        <v>0</v>
      </c>
      <c r="O72" s="83">
        <v>0</v>
      </c>
      <c r="P72" s="83">
        <v>0</v>
      </c>
      <c r="Q72" s="91">
        <f t="shared" si="5"/>
        <v>0</v>
      </c>
      <c r="R72" s="92"/>
      <c r="S72" s="71" t="s">
        <v>268</v>
      </c>
    </row>
    <row r="73" s="157" customFormat="1" outlineLevel="1" spans="1:19">
      <c r="A73" s="174" t="s">
        <v>232</v>
      </c>
      <c r="B73" s="175">
        <v>6666070400</v>
      </c>
      <c r="C73" s="175" t="s">
        <v>313</v>
      </c>
      <c r="D73" s="175" t="s">
        <v>267</v>
      </c>
      <c r="E73" s="176">
        <v>14.9</v>
      </c>
      <c r="F73" s="176">
        <v>36.4</v>
      </c>
      <c r="G73" s="176">
        <v>11.9</v>
      </c>
      <c r="H73" s="176">
        <v>12.9</v>
      </c>
      <c r="I73" s="176">
        <v>12.4</v>
      </c>
      <c r="J73" s="176">
        <v>17.9</v>
      </c>
      <c r="K73" s="176">
        <v>18.2</v>
      </c>
      <c r="L73" s="176">
        <v>12.9</v>
      </c>
      <c r="M73" s="176">
        <v>13.4</v>
      </c>
      <c r="N73" s="176">
        <v>27.9</v>
      </c>
      <c r="O73" s="176">
        <v>17.9</v>
      </c>
      <c r="P73" s="176">
        <v>11.9</v>
      </c>
      <c r="Q73" s="178">
        <f t="shared" si="5"/>
        <v>208.6</v>
      </c>
      <c r="R73" s="93"/>
      <c r="S73" s="71" t="s">
        <v>268</v>
      </c>
    </row>
    <row r="74" outlineLevel="1" spans="1:19">
      <c r="A74" s="159" t="s">
        <v>232</v>
      </c>
      <c r="B74" s="169">
        <v>5401050201</v>
      </c>
      <c r="C74" s="169" t="s">
        <v>314</v>
      </c>
      <c r="D74" s="169" t="s">
        <v>267</v>
      </c>
      <c r="E74" s="83">
        <v>0</v>
      </c>
      <c r="F74" s="83">
        <v>0</v>
      </c>
      <c r="G74" s="83">
        <v>0</v>
      </c>
      <c r="H74" s="83">
        <v>0</v>
      </c>
      <c r="I74" s="83">
        <v>0</v>
      </c>
      <c r="J74" s="83">
        <v>0</v>
      </c>
      <c r="K74" s="83">
        <v>0</v>
      </c>
      <c r="L74" s="83">
        <v>0</v>
      </c>
      <c r="M74" s="83">
        <v>0</v>
      </c>
      <c r="N74" s="83">
        <v>0</v>
      </c>
      <c r="O74" s="83">
        <v>0</v>
      </c>
      <c r="P74" s="83">
        <v>0</v>
      </c>
      <c r="Q74" s="91">
        <f t="shared" si="5"/>
        <v>0</v>
      </c>
      <c r="R74" s="92"/>
      <c r="S74" s="71" t="s">
        <v>268</v>
      </c>
    </row>
    <row r="75" outlineLevel="1" spans="1:19">
      <c r="A75" s="159" t="s">
        <v>232</v>
      </c>
      <c r="B75" s="169">
        <v>5401020212</v>
      </c>
      <c r="C75" s="169" t="s">
        <v>315</v>
      </c>
      <c r="D75" s="169" t="s">
        <v>267</v>
      </c>
      <c r="E75" s="83">
        <v>0</v>
      </c>
      <c r="F75" s="83">
        <v>0</v>
      </c>
      <c r="G75" s="83">
        <v>0</v>
      </c>
      <c r="H75" s="83">
        <v>0</v>
      </c>
      <c r="I75" s="83">
        <v>0</v>
      </c>
      <c r="J75" s="83">
        <v>0</v>
      </c>
      <c r="K75" s="83">
        <v>0</v>
      </c>
      <c r="L75" s="83">
        <v>0</v>
      </c>
      <c r="M75" s="83">
        <v>0</v>
      </c>
      <c r="N75" s="83">
        <v>0</v>
      </c>
      <c r="O75" s="83">
        <v>0</v>
      </c>
      <c r="P75" s="83">
        <v>0</v>
      </c>
      <c r="Q75" s="91">
        <f t="shared" si="5"/>
        <v>0</v>
      </c>
      <c r="S75" s="71" t="s">
        <v>268</v>
      </c>
    </row>
    <row r="76" s="156" customFormat="1" spans="1:18">
      <c r="A76" s="159"/>
      <c r="B76" s="170" t="s">
        <v>245</v>
      </c>
      <c r="C76" s="171" t="s">
        <v>267</v>
      </c>
      <c r="D76" s="172"/>
      <c r="E76" s="87">
        <f t="shared" ref="E76:Q76" si="6">SUM(E29:E75)</f>
        <v>97.6617447357137</v>
      </c>
      <c r="F76" s="88">
        <f t="shared" si="6"/>
        <v>114.994339184101</v>
      </c>
      <c r="G76" s="88">
        <f t="shared" si="6"/>
        <v>92.3581974715091</v>
      </c>
      <c r="H76" s="88">
        <f t="shared" si="6"/>
        <v>92.4707709078908</v>
      </c>
      <c r="I76" s="88">
        <f t="shared" si="6"/>
        <v>88.2342041982986</v>
      </c>
      <c r="J76" s="88">
        <f t="shared" si="6"/>
        <v>92.9151125106389</v>
      </c>
      <c r="K76" s="88">
        <f t="shared" si="6"/>
        <v>95.5793055580503</v>
      </c>
      <c r="L76" s="88">
        <f t="shared" si="6"/>
        <v>89.8271602758436</v>
      </c>
      <c r="M76" s="88">
        <f t="shared" si="6"/>
        <v>87.125258292112</v>
      </c>
      <c r="N76" s="88">
        <f t="shared" si="6"/>
        <v>100.708271048759</v>
      </c>
      <c r="O76" s="88">
        <f t="shared" si="6"/>
        <v>92.4665050360775</v>
      </c>
      <c r="P76" s="88">
        <f t="shared" si="6"/>
        <v>85.5350491755061</v>
      </c>
      <c r="Q76" s="87">
        <f t="shared" si="6"/>
        <v>1129.8759183945</v>
      </c>
      <c r="R76" s="102" t="s">
        <v>24</v>
      </c>
    </row>
    <row r="77" outlineLevel="1" spans="1:19">
      <c r="A77" s="159" t="s">
        <v>232</v>
      </c>
      <c r="B77" s="169">
        <v>6666110203</v>
      </c>
      <c r="C77" s="169" t="s">
        <v>316</v>
      </c>
      <c r="D77" s="169" t="s">
        <v>317</v>
      </c>
      <c r="E77" s="83">
        <v>41.2010853976622</v>
      </c>
      <c r="F77" s="83">
        <v>32.2345972632191</v>
      </c>
      <c r="G77" s="83">
        <v>33.6177054829041</v>
      </c>
      <c r="H77" s="83">
        <v>32.6064898858705</v>
      </c>
      <c r="I77" s="83">
        <v>33.9416691718126</v>
      </c>
      <c r="J77" s="83">
        <v>31.5212629020943</v>
      </c>
      <c r="K77" s="83">
        <v>33.8386487948939</v>
      </c>
      <c r="L77" s="83">
        <v>30.1710893642987</v>
      </c>
      <c r="M77" s="83">
        <v>28.7567802126095</v>
      </c>
      <c r="N77" s="83">
        <v>25.7683055452965</v>
      </c>
      <c r="O77" s="83">
        <v>26.7231140811858</v>
      </c>
      <c r="P77" s="83">
        <v>26.6746798775107</v>
      </c>
      <c r="Q77" s="91">
        <f>F77+E77+G77+H77+I77+J77+K77+L77+M77+N77+O77+P77</f>
        <v>377.055427979358</v>
      </c>
      <c r="S77" s="71" t="s">
        <v>318</v>
      </c>
    </row>
    <row r="78" outlineLevel="1" spans="1:19">
      <c r="A78" s="159" t="s">
        <v>232</v>
      </c>
      <c r="B78" s="169">
        <v>5102040000</v>
      </c>
      <c r="C78" s="169" t="s">
        <v>319</v>
      </c>
      <c r="D78" s="169" t="s">
        <v>317</v>
      </c>
      <c r="E78" s="83">
        <v>0</v>
      </c>
      <c r="F78" s="83">
        <v>0</v>
      </c>
      <c r="G78" s="83">
        <v>0</v>
      </c>
      <c r="H78" s="83">
        <v>0</v>
      </c>
      <c r="I78" s="83">
        <v>0</v>
      </c>
      <c r="J78" s="83">
        <v>0</v>
      </c>
      <c r="K78" s="83">
        <v>0</v>
      </c>
      <c r="L78" s="83">
        <v>0</v>
      </c>
      <c r="M78" s="83">
        <v>0</v>
      </c>
      <c r="N78" s="83">
        <v>0</v>
      </c>
      <c r="O78" s="83">
        <v>0</v>
      </c>
      <c r="P78" s="83">
        <v>0</v>
      </c>
      <c r="Q78" s="91"/>
      <c r="S78" s="71" t="s">
        <v>318</v>
      </c>
    </row>
    <row r="79" outlineLevel="1" spans="1:19">
      <c r="A79" s="159" t="s">
        <v>258</v>
      </c>
      <c r="B79" s="169">
        <v>6666050307</v>
      </c>
      <c r="C79" s="169" t="s">
        <v>320</v>
      </c>
      <c r="D79" s="169" t="s">
        <v>317</v>
      </c>
      <c r="E79" s="83">
        <v>0</v>
      </c>
      <c r="F79" s="83">
        <v>0</v>
      </c>
      <c r="G79" s="83">
        <v>0</v>
      </c>
      <c r="H79" s="83">
        <v>0</v>
      </c>
      <c r="I79" s="83">
        <v>0</v>
      </c>
      <c r="J79" s="83">
        <v>0</v>
      </c>
      <c r="K79" s="83">
        <v>0</v>
      </c>
      <c r="L79" s="83">
        <v>0</v>
      </c>
      <c r="M79" s="83">
        <v>0</v>
      </c>
      <c r="N79" s="83">
        <v>0</v>
      </c>
      <c r="O79" s="83">
        <v>0</v>
      </c>
      <c r="P79" s="83">
        <v>0</v>
      </c>
      <c r="Q79" s="91"/>
      <c r="S79" s="71" t="s">
        <v>318</v>
      </c>
    </row>
    <row r="80" outlineLevel="1" spans="1:19">
      <c r="A80" s="159" t="s">
        <v>258</v>
      </c>
      <c r="B80" s="169">
        <v>6666050312</v>
      </c>
      <c r="C80" s="169" t="s">
        <v>321</v>
      </c>
      <c r="D80" s="169" t="s">
        <v>267</v>
      </c>
      <c r="E80" s="83">
        <v>0</v>
      </c>
      <c r="F80" s="83">
        <v>0</v>
      </c>
      <c r="G80" s="83">
        <v>0</v>
      </c>
      <c r="H80" s="83">
        <v>0</v>
      </c>
      <c r="I80" s="83">
        <v>0</v>
      </c>
      <c r="J80" s="83">
        <v>0</v>
      </c>
      <c r="K80" s="83">
        <v>0</v>
      </c>
      <c r="L80" s="83">
        <v>0</v>
      </c>
      <c r="M80" s="83">
        <v>0</v>
      </c>
      <c r="N80" s="83">
        <v>0</v>
      </c>
      <c r="O80" s="83">
        <v>0</v>
      </c>
      <c r="P80" s="83">
        <v>0</v>
      </c>
      <c r="Q80" s="91"/>
      <c r="S80" s="71" t="s">
        <v>318</v>
      </c>
    </row>
    <row r="81" s="156" customFormat="1" spans="1:18">
      <c r="A81" s="159"/>
      <c r="B81" s="170" t="s">
        <v>257</v>
      </c>
      <c r="C81" s="171" t="s">
        <v>317</v>
      </c>
      <c r="D81" s="172"/>
      <c r="E81" s="87">
        <f t="shared" ref="E81:Q81" si="7">SUM(E77:E80)</f>
        <v>41.2010853976622</v>
      </c>
      <c r="F81" s="88">
        <f t="shared" si="7"/>
        <v>32.2345972632191</v>
      </c>
      <c r="G81" s="88">
        <f t="shared" si="7"/>
        <v>33.6177054829041</v>
      </c>
      <c r="H81" s="88">
        <f t="shared" si="7"/>
        <v>32.6064898858705</v>
      </c>
      <c r="I81" s="88">
        <f t="shared" si="7"/>
        <v>33.9416691718126</v>
      </c>
      <c r="J81" s="88">
        <f t="shared" si="7"/>
        <v>31.5212629020943</v>
      </c>
      <c r="K81" s="88">
        <f t="shared" si="7"/>
        <v>33.8386487948939</v>
      </c>
      <c r="L81" s="88">
        <f t="shared" si="7"/>
        <v>30.1710893642987</v>
      </c>
      <c r="M81" s="88">
        <f t="shared" si="7"/>
        <v>28.7567802126095</v>
      </c>
      <c r="N81" s="88">
        <f t="shared" si="7"/>
        <v>25.7683055452965</v>
      </c>
      <c r="O81" s="88">
        <f t="shared" si="7"/>
        <v>26.7231140811858</v>
      </c>
      <c r="P81" s="88">
        <f t="shared" si="7"/>
        <v>26.6746798775107</v>
      </c>
      <c r="Q81" s="87">
        <f t="shared" si="7"/>
        <v>377.055427979358</v>
      </c>
      <c r="R81" s="92" t="s">
        <v>33</v>
      </c>
    </row>
    <row r="82" outlineLevel="1" spans="1:19">
      <c r="A82" s="159" t="s">
        <v>258</v>
      </c>
      <c r="B82" s="169">
        <v>6666100203</v>
      </c>
      <c r="C82" s="169" t="s">
        <v>322</v>
      </c>
      <c r="D82" s="169" t="s">
        <v>323</v>
      </c>
      <c r="E82" s="83">
        <v>12.5</v>
      </c>
      <c r="F82" s="83">
        <v>12.5</v>
      </c>
      <c r="G82" s="83">
        <v>12.5</v>
      </c>
      <c r="H82" s="83">
        <v>12.5</v>
      </c>
      <c r="I82" s="83">
        <v>12.5</v>
      </c>
      <c r="J82" s="83">
        <v>12.5</v>
      </c>
      <c r="K82" s="83">
        <v>12.5</v>
      </c>
      <c r="L82" s="83">
        <v>12.5</v>
      </c>
      <c r="M82" s="83">
        <v>12.5</v>
      </c>
      <c r="N82" s="83">
        <v>12.5</v>
      </c>
      <c r="O82" s="83">
        <v>12.5</v>
      </c>
      <c r="P82" s="83">
        <v>12.5</v>
      </c>
      <c r="Q82" s="91">
        <f>F82+E82+G82+H82+I82+J82+K82+L82+M82+N82+O82+P82</f>
        <v>150</v>
      </c>
      <c r="S82" s="71" t="s">
        <v>324</v>
      </c>
    </row>
    <row r="83" s="156" customFormat="1" spans="1:18">
      <c r="A83" s="159"/>
      <c r="B83" s="170" t="s">
        <v>245</v>
      </c>
      <c r="C83" s="171" t="s">
        <v>323</v>
      </c>
      <c r="D83" s="172"/>
      <c r="E83" s="87">
        <f>SUM(E82)</f>
        <v>12.5</v>
      </c>
      <c r="F83" s="88">
        <f t="shared" ref="F83:Q83" si="8">+F82</f>
        <v>12.5</v>
      </c>
      <c r="G83" s="88">
        <f t="shared" si="8"/>
        <v>12.5</v>
      </c>
      <c r="H83" s="88">
        <f t="shared" si="8"/>
        <v>12.5</v>
      </c>
      <c r="I83" s="88">
        <f t="shared" si="8"/>
        <v>12.5</v>
      </c>
      <c r="J83" s="88">
        <f t="shared" si="8"/>
        <v>12.5</v>
      </c>
      <c r="K83" s="88">
        <f t="shared" si="8"/>
        <v>12.5</v>
      </c>
      <c r="L83" s="88">
        <f t="shared" si="8"/>
        <v>12.5</v>
      </c>
      <c r="M83" s="88">
        <f t="shared" si="8"/>
        <v>12.5</v>
      </c>
      <c r="N83" s="88">
        <f t="shared" si="8"/>
        <v>12.5</v>
      </c>
      <c r="O83" s="88">
        <f t="shared" si="8"/>
        <v>12.5</v>
      </c>
      <c r="P83" s="88">
        <f t="shared" si="8"/>
        <v>12.5</v>
      </c>
      <c r="Q83" s="87">
        <f t="shared" si="8"/>
        <v>150</v>
      </c>
      <c r="R83" s="92" t="s">
        <v>25</v>
      </c>
    </row>
    <row r="84" outlineLevel="1" spans="1:19">
      <c r="A84" s="159" t="s">
        <v>258</v>
      </c>
      <c r="B84" s="169">
        <v>5301070000</v>
      </c>
      <c r="C84" s="169" t="s">
        <v>325</v>
      </c>
      <c r="D84" s="169" t="s">
        <v>326</v>
      </c>
      <c r="E84" s="83">
        <v>-86.744226252433</v>
      </c>
      <c r="F84" s="83">
        <v>-87.0987213016729</v>
      </c>
      <c r="G84" s="83">
        <v>-78.9735176991816</v>
      </c>
      <c r="H84" s="83">
        <v>-70.0492177918793</v>
      </c>
      <c r="I84" s="83">
        <v>-48.1632716185249</v>
      </c>
      <c r="J84" s="83">
        <v>-73.7839660259257</v>
      </c>
      <c r="K84" s="83">
        <v>-57.9731331742127</v>
      </c>
      <c r="L84" s="83">
        <v>-60.8417190031558</v>
      </c>
      <c r="M84" s="83">
        <v>-95.2253698152689</v>
      </c>
      <c r="N84" s="83">
        <v>-113.247971233584</v>
      </c>
      <c r="O84" s="83">
        <v>-119.413864470724</v>
      </c>
      <c r="P84" s="83">
        <v>-83.5489520580217</v>
      </c>
      <c r="Q84" s="91">
        <f>F84+E84+G84+H84+I84+J84+K84+L84+M84+N84+O84+P84</f>
        <v>-975.063930444584</v>
      </c>
      <c r="S84" s="71" t="s">
        <v>327</v>
      </c>
    </row>
    <row r="85" s="156" customFormat="1" spans="1:18">
      <c r="A85" s="159"/>
      <c r="B85" s="170" t="s">
        <v>257</v>
      </c>
      <c r="C85" s="171" t="s">
        <v>326</v>
      </c>
      <c r="D85" s="172"/>
      <c r="E85" s="87">
        <f>SUM(E84)</f>
        <v>-86.744226252433</v>
      </c>
      <c r="F85" s="88">
        <f t="shared" ref="F85:Q85" si="9">+F84</f>
        <v>-87.0987213016729</v>
      </c>
      <c r="G85" s="88">
        <f t="shared" si="9"/>
        <v>-78.9735176991816</v>
      </c>
      <c r="H85" s="88">
        <f t="shared" si="9"/>
        <v>-70.0492177918793</v>
      </c>
      <c r="I85" s="88">
        <f t="shared" si="9"/>
        <v>-48.1632716185249</v>
      </c>
      <c r="J85" s="88">
        <f t="shared" si="9"/>
        <v>-73.7839660259257</v>
      </c>
      <c r="K85" s="88">
        <f t="shared" si="9"/>
        <v>-57.9731331742127</v>
      </c>
      <c r="L85" s="88">
        <f t="shared" si="9"/>
        <v>-60.8417190031558</v>
      </c>
      <c r="M85" s="88">
        <f t="shared" si="9"/>
        <v>-95.2253698152689</v>
      </c>
      <c r="N85" s="88">
        <f t="shared" si="9"/>
        <v>-113.247971233584</v>
      </c>
      <c r="O85" s="88">
        <f t="shared" si="9"/>
        <v>-119.413864470724</v>
      </c>
      <c r="P85" s="88">
        <f t="shared" si="9"/>
        <v>-83.5489520580217</v>
      </c>
      <c r="Q85" s="87">
        <f t="shared" si="9"/>
        <v>-975.063930444584</v>
      </c>
      <c r="R85" s="92" t="s">
        <v>67</v>
      </c>
    </row>
    <row r="86" outlineLevel="1" spans="1:19">
      <c r="A86" s="159" t="s">
        <v>232</v>
      </c>
      <c r="B86" s="169">
        <v>6666021602</v>
      </c>
      <c r="C86" s="169" t="s">
        <v>328</v>
      </c>
      <c r="D86" s="169" t="s">
        <v>329</v>
      </c>
      <c r="E86" s="83">
        <v>32.9004364138743</v>
      </c>
      <c r="F86" s="83">
        <v>32.6037790899268</v>
      </c>
      <c r="G86" s="83">
        <v>32.1610746618354</v>
      </c>
      <c r="H86" s="83">
        <v>28.4991363037167</v>
      </c>
      <c r="I86" s="83">
        <v>26.8340304934761</v>
      </c>
      <c r="J86" s="83">
        <v>27.2532991159048</v>
      </c>
      <c r="K86" s="83">
        <v>31.4702527968799</v>
      </c>
      <c r="L86" s="83">
        <v>26.876367017101</v>
      </c>
      <c r="M86" s="83">
        <v>26.9342333142595</v>
      </c>
      <c r="N86" s="83">
        <v>33.8275904114051</v>
      </c>
      <c r="O86" s="83">
        <v>34.5691365252196</v>
      </c>
      <c r="P86" s="83">
        <v>35.6941383035586</v>
      </c>
      <c r="Q86" s="91">
        <f>F86+E86+G86+H86+I86+J86+K86+L86+M86+N86+O86+P86</f>
        <v>369.623474447158</v>
      </c>
      <c r="S86" s="71" t="s">
        <v>330</v>
      </c>
    </row>
    <row r="87" s="156" customFormat="1" spans="1:18">
      <c r="A87" s="159"/>
      <c r="B87" s="170" t="s">
        <v>245</v>
      </c>
      <c r="C87" s="171" t="s">
        <v>329</v>
      </c>
      <c r="D87" s="172"/>
      <c r="E87" s="87">
        <f>SUM(E86:E86)</f>
        <v>32.9004364138743</v>
      </c>
      <c r="F87" s="88">
        <f t="shared" ref="F87:P87" si="10">+SUM(F86:F86)</f>
        <v>32.6037790899268</v>
      </c>
      <c r="G87" s="88">
        <f t="shared" si="10"/>
        <v>32.1610746618354</v>
      </c>
      <c r="H87" s="88">
        <f t="shared" si="10"/>
        <v>28.4991363037167</v>
      </c>
      <c r="I87" s="88">
        <f t="shared" si="10"/>
        <v>26.8340304934761</v>
      </c>
      <c r="J87" s="88">
        <f t="shared" si="10"/>
        <v>27.2532991159048</v>
      </c>
      <c r="K87" s="88">
        <f t="shared" si="10"/>
        <v>31.4702527968799</v>
      </c>
      <c r="L87" s="88">
        <f t="shared" si="10"/>
        <v>26.876367017101</v>
      </c>
      <c r="M87" s="88">
        <f t="shared" si="10"/>
        <v>26.9342333142595</v>
      </c>
      <c r="N87" s="88">
        <f t="shared" si="10"/>
        <v>33.8275904114051</v>
      </c>
      <c r="O87" s="88">
        <f t="shared" si="10"/>
        <v>34.5691365252196</v>
      </c>
      <c r="P87" s="88">
        <f t="shared" si="10"/>
        <v>35.6941383035586</v>
      </c>
      <c r="Q87" s="87">
        <f>SUM(Q86:Q86)</f>
        <v>369.623474447158</v>
      </c>
      <c r="R87" s="92" t="s">
        <v>26</v>
      </c>
    </row>
    <row r="88" outlineLevel="1" spans="1:19">
      <c r="A88" s="159" t="s">
        <v>232</v>
      </c>
      <c r="B88" s="169">
        <v>6666021600</v>
      </c>
      <c r="C88" s="169" t="s">
        <v>331</v>
      </c>
      <c r="D88" s="169" t="s">
        <v>332</v>
      </c>
      <c r="E88" s="83">
        <v>40.5899268031724</v>
      </c>
      <c r="F88" s="83">
        <v>49.2751055369116</v>
      </c>
      <c r="G88" s="83">
        <v>44.6536954886366</v>
      </c>
      <c r="H88" s="83">
        <v>44.1471135569155</v>
      </c>
      <c r="I88" s="83">
        <v>30.5662335860862</v>
      </c>
      <c r="J88" s="83">
        <v>47.8109077917556</v>
      </c>
      <c r="K88" s="83">
        <v>37.5367058052673</v>
      </c>
      <c r="L88" s="83">
        <v>35.6494526056547</v>
      </c>
      <c r="M88" s="83">
        <v>52.4021620396955</v>
      </c>
      <c r="N88" s="83">
        <v>52.7181321728339</v>
      </c>
      <c r="O88" s="83">
        <v>56.0211147882854</v>
      </c>
      <c r="P88" s="83">
        <v>38.6337205964561</v>
      </c>
      <c r="Q88" s="91">
        <f>F88+E88+G88+H88+I88+J88+K88+L88+M88+N88+O88+P88</f>
        <v>530.004270771671</v>
      </c>
      <c r="S88" s="71" t="s">
        <v>333</v>
      </c>
    </row>
    <row r="89" outlineLevel="1" spans="1:19">
      <c r="A89" s="159" t="s">
        <v>232</v>
      </c>
      <c r="B89" s="169">
        <v>6666021603</v>
      </c>
      <c r="C89" s="169" t="s">
        <v>334</v>
      </c>
      <c r="D89" s="169" t="s">
        <v>332</v>
      </c>
      <c r="E89" s="83">
        <v>0.28353861650262</v>
      </c>
      <c r="F89" s="83">
        <v>0.261288200607101</v>
      </c>
      <c r="G89" s="83">
        <v>0.29456814828382</v>
      </c>
      <c r="H89" s="83">
        <v>0.503899785114692</v>
      </c>
      <c r="I89" s="83">
        <v>0.214880940074291</v>
      </c>
      <c r="J89" s="83">
        <v>1.21137614288282</v>
      </c>
      <c r="K89" s="83">
        <v>0.417754450224215</v>
      </c>
      <c r="L89" s="83">
        <v>0.630340189945196</v>
      </c>
      <c r="M89" s="83">
        <v>0.603923352877024</v>
      </c>
      <c r="N89" s="83">
        <v>1.94611410508801</v>
      </c>
      <c r="O89" s="83">
        <v>1.65230183973298</v>
      </c>
      <c r="P89" s="83">
        <v>1.63458074468381</v>
      </c>
      <c r="Q89" s="91">
        <f>F89+E89+G89+H89+I89+J89+K89+L89+M89+N89+O89+P89</f>
        <v>9.65456651601657</v>
      </c>
      <c r="S89" s="71" t="s">
        <v>333</v>
      </c>
    </row>
    <row r="90" outlineLevel="1" spans="1:19">
      <c r="A90" s="159" t="s">
        <v>232</v>
      </c>
      <c r="B90" s="169">
        <v>6666021604</v>
      </c>
      <c r="C90" s="169" t="s">
        <v>335</v>
      </c>
      <c r="D90" s="169" t="s">
        <v>332</v>
      </c>
      <c r="E90" s="83">
        <v>30.4766659637546</v>
      </c>
      <c r="F90" s="83">
        <v>37.4944403032043</v>
      </c>
      <c r="G90" s="83">
        <v>34.2704653722167</v>
      </c>
      <c r="H90" s="83">
        <v>34.4653754421564</v>
      </c>
      <c r="I90" s="83">
        <v>24.0435961072003</v>
      </c>
      <c r="J90" s="83">
        <v>37.6493282787507</v>
      </c>
      <c r="K90" s="83">
        <v>29.5671285083615</v>
      </c>
      <c r="L90" s="83">
        <v>28.0720142526149</v>
      </c>
      <c r="M90" s="83">
        <v>41.172314534576</v>
      </c>
      <c r="N90" s="83">
        <v>41.2209455623144</v>
      </c>
      <c r="O90" s="83">
        <v>43.6923024243474</v>
      </c>
      <c r="P90" s="83">
        <v>30.1157649772433</v>
      </c>
      <c r="Q90" s="91">
        <f>F90+E90+G90+H90+I90+J90+K90+L90+M90+N90+O90+P90</f>
        <v>412.24034172674</v>
      </c>
      <c r="S90" s="71" t="s">
        <v>333</v>
      </c>
    </row>
    <row r="91" s="156" customFormat="1" spans="1:18">
      <c r="A91" s="159"/>
      <c r="B91" s="170" t="s">
        <v>257</v>
      </c>
      <c r="C91" s="171" t="s">
        <v>332</v>
      </c>
      <c r="D91" s="172"/>
      <c r="E91" s="87">
        <f t="shared" ref="E91:Q91" si="11">SUM(E88:E90)</f>
        <v>71.3501313834296</v>
      </c>
      <c r="F91" s="88">
        <f t="shared" si="11"/>
        <v>87.0308340407231</v>
      </c>
      <c r="G91" s="88">
        <f t="shared" si="11"/>
        <v>79.2187290091371</v>
      </c>
      <c r="H91" s="88">
        <f t="shared" si="11"/>
        <v>79.1163887841866</v>
      </c>
      <c r="I91" s="88">
        <f t="shared" si="11"/>
        <v>54.8247106333608</v>
      </c>
      <c r="J91" s="88">
        <f t="shared" si="11"/>
        <v>86.6716122133891</v>
      </c>
      <c r="K91" s="88">
        <f t="shared" si="11"/>
        <v>67.521588763853</v>
      </c>
      <c r="L91" s="88">
        <f t="shared" si="11"/>
        <v>64.3518070482148</v>
      </c>
      <c r="M91" s="88">
        <f t="shared" si="11"/>
        <v>94.1783999271486</v>
      </c>
      <c r="N91" s="88">
        <f t="shared" si="11"/>
        <v>95.8851918402363</v>
      </c>
      <c r="O91" s="88">
        <f t="shared" si="11"/>
        <v>101.365719052366</v>
      </c>
      <c r="P91" s="88">
        <f t="shared" si="11"/>
        <v>70.3840663183832</v>
      </c>
      <c r="Q91" s="87">
        <f t="shared" si="11"/>
        <v>951.899179014428</v>
      </c>
      <c r="R91" s="92" t="s">
        <v>35</v>
      </c>
    </row>
    <row r="92" outlineLevel="1" spans="1:19">
      <c r="A92" s="159" t="s">
        <v>232</v>
      </c>
      <c r="B92" s="169">
        <v>5001010206</v>
      </c>
      <c r="C92" s="169" t="s">
        <v>336</v>
      </c>
      <c r="D92" s="169" t="s">
        <v>337</v>
      </c>
      <c r="E92" s="83">
        <v>5.14428104747324</v>
      </c>
      <c r="F92" s="83">
        <v>5.54451312517744</v>
      </c>
      <c r="G92" s="83">
        <v>5.69453874065013</v>
      </c>
      <c r="H92" s="83">
        <v>5.29107626827633</v>
      </c>
      <c r="I92" s="83">
        <v>5.91137008996192</v>
      </c>
      <c r="J92" s="83">
        <v>5.68633509480712</v>
      </c>
      <c r="K92" s="83">
        <v>5.18768583893405</v>
      </c>
      <c r="L92" s="83">
        <v>5.20720340164349</v>
      </c>
      <c r="M92" s="83">
        <v>6.33397673852479</v>
      </c>
      <c r="N92" s="83">
        <v>5.92860107206994</v>
      </c>
      <c r="O92" s="83">
        <v>5.87351552380371</v>
      </c>
      <c r="P92" s="83">
        <v>5.87868560685903</v>
      </c>
      <c r="Q92" s="91">
        <f t="shared" ref="Q92:Q98" si="12">F92+E92+G92+H92+I92+J92+K92+L92+M92+N92+O92+P92</f>
        <v>67.6817825481812</v>
      </c>
      <c r="S92" s="71" t="s">
        <v>338</v>
      </c>
    </row>
    <row r="93" outlineLevel="1" spans="1:19">
      <c r="A93" s="159" t="s">
        <v>232</v>
      </c>
      <c r="B93" s="169">
        <v>6666010184</v>
      </c>
      <c r="C93" s="169" t="s">
        <v>339</v>
      </c>
      <c r="D93" s="169" t="s">
        <v>337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91">
        <f t="shared" si="12"/>
        <v>0</v>
      </c>
      <c r="S93" s="71" t="s">
        <v>338</v>
      </c>
    </row>
    <row r="94" outlineLevel="1" spans="1:19">
      <c r="A94" s="159" t="s">
        <v>232</v>
      </c>
      <c r="B94" s="169">
        <v>6666010186</v>
      </c>
      <c r="C94" s="169" t="s">
        <v>340</v>
      </c>
      <c r="D94" s="169" t="s">
        <v>337</v>
      </c>
      <c r="E94" s="83">
        <v>5.58414203545393</v>
      </c>
      <c r="F94" s="83">
        <v>5.42543736130172</v>
      </c>
      <c r="G94" s="83">
        <v>6.05902621900035</v>
      </c>
      <c r="H94" s="83">
        <v>6.46366106569507</v>
      </c>
      <c r="I94" s="83">
        <v>4.24542598732024</v>
      </c>
      <c r="J94" s="83">
        <v>10.8075564941952</v>
      </c>
      <c r="K94" s="83">
        <v>8.65990103701538</v>
      </c>
      <c r="L94" s="83">
        <v>7.77296483859091</v>
      </c>
      <c r="M94" s="83">
        <v>11.5450049375258</v>
      </c>
      <c r="N94" s="83">
        <v>11.3464421990426</v>
      </c>
      <c r="O94" s="83">
        <v>10.3495156820966</v>
      </c>
      <c r="P94" s="83">
        <v>9.35779304916843</v>
      </c>
      <c r="Q94" s="91">
        <f t="shared" si="12"/>
        <v>97.6168709064063</v>
      </c>
      <c r="S94" s="71" t="s">
        <v>338</v>
      </c>
    </row>
    <row r="95" outlineLevel="1" spans="1:19">
      <c r="A95" s="159" t="s">
        <v>232</v>
      </c>
      <c r="B95" s="169">
        <v>6666010189</v>
      </c>
      <c r="C95" s="169" t="s">
        <v>341</v>
      </c>
      <c r="D95" s="169" t="s">
        <v>337</v>
      </c>
      <c r="E95" s="83">
        <v>255.802705353668</v>
      </c>
      <c r="F95" s="83">
        <v>275.975304862456</v>
      </c>
      <c r="G95" s="83">
        <v>282.765149248134</v>
      </c>
      <c r="H95" s="83">
        <v>261.894518335363</v>
      </c>
      <c r="I95" s="83">
        <v>295.07122234057</v>
      </c>
      <c r="J95" s="83">
        <v>277.20195078783</v>
      </c>
      <c r="K95" s="83">
        <v>254.387835891502</v>
      </c>
      <c r="L95" s="83">
        <v>256.221575265225</v>
      </c>
      <c r="M95" s="83">
        <v>309.205273150423</v>
      </c>
      <c r="N95" s="83">
        <v>356.801371759943</v>
      </c>
      <c r="O95" s="83">
        <v>287.452209392446</v>
      </c>
      <c r="P95" s="83">
        <v>398.379473912316</v>
      </c>
      <c r="Q95" s="91">
        <f t="shared" si="12"/>
        <v>3511.15859029988</v>
      </c>
      <c r="S95" s="71" t="s">
        <v>338</v>
      </c>
    </row>
    <row r="96" outlineLevel="1" spans="1:19">
      <c r="A96" s="159" t="s">
        <v>232</v>
      </c>
      <c r="B96" s="169">
        <v>6666010012</v>
      </c>
      <c r="C96" s="169" t="s">
        <v>342</v>
      </c>
      <c r="D96" s="169" t="s">
        <v>337</v>
      </c>
      <c r="E96" s="83">
        <v>53.3719158675349</v>
      </c>
      <c r="F96" s="83">
        <v>57.524323673716</v>
      </c>
      <c r="G96" s="83">
        <v>59.0808394342451</v>
      </c>
      <c r="H96" s="83">
        <v>54.894916283367</v>
      </c>
      <c r="I96" s="83">
        <v>61.3304646833549</v>
      </c>
      <c r="J96" s="83">
        <v>58.9957266086239</v>
      </c>
      <c r="K96" s="83">
        <v>53.8222405789408</v>
      </c>
      <c r="L96" s="83">
        <v>54.0247352920512</v>
      </c>
      <c r="M96" s="83">
        <v>65.7150086621947</v>
      </c>
      <c r="N96" s="83">
        <v>61.5092361227257</v>
      </c>
      <c r="O96" s="83">
        <v>60.9377235594635</v>
      </c>
      <c r="P96" s="83">
        <v>60.9913631711624</v>
      </c>
      <c r="Q96" s="91">
        <f t="shared" si="12"/>
        <v>702.19849393738</v>
      </c>
      <c r="S96" s="71" t="s">
        <v>338</v>
      </c>
    </row>
    <row r="97" outlineLevel="1" spans="1:19">
      <c r="A97" s="159" t="s">
        <v>232</v>
      </c>
      <c r="B97" s="169">
        <v>6666010226</v>
      </c>
      <c r="C97" s="169" t="s">
        <v>343</v>
      </c>
      <c r="D97" s="169" t="s">
        <v>337</v>
      </c>
      <c r="E97" s="83">
        <v>8.65497950695315</v>
      </c>
      <c r="F97" s="83">
        <v>8.4936010863132</v>
      </c>
      <c r="G97" s="83">
        <v>8.33523168431129</v>
      </c>
      <c r="H97" s="83">
        <v>8.21205092050374</v>
      </c>
      <c r="I97" s="83">
        <v>8.09069056207265</v>
      </c>
      <c r="J97" s="83">
        <v>7.97112370647551</v>
      </c>
      <c r="K97" s="83">
        <v>7.90786081991618</v>
      </c>
      <c r="L97" s="83">
        <v>7.84510001975812</v>
      </c>
      <c r="M97" s="83">
        <v>7.78283732118861</v>
      </c>
      <c r="N97" s="83">
        <v>7.64898016824433</v>
      </c>
      <c r="O97" s="83">
        <v>7.51742522677576</v>
      </c>
      <c r="P97" s="83">
        <v>7.38813290100811</v>
      </c>
      <c r="Q97" s="91">
        <f t="shared" si="12"/>
        <v>95.8480139235207</v>
      </c>
      <c r="S97" s="71" t="s">
        <v>338</v>
      </c>
    </row>
    <row r="98" outlineLevel="1" spans="1:19">
      <c r="A98" s="159" t="s">
        <v>232</v>
      </c>
      <c r="B98" s="169">
        <v>6666010102</v>
      </c>
      <c r="C98" s="169" t="s">
        <v>344</v>
      </c>
      <c r="D98" s="169" t="s">
        <v>337</v>
      </c>
      <c r="E98" s="83">
        <v>-12.8607026186831</v>
      </c>
      <c r="F98" s="83">
        <v>-13.8612828129436</v>
      </c>
      <c r="G98" s="83">
        <v>-14.2363468516253</v>
      </c>
      <c r="H98" s="83">
        <v>-13.2276906706908</v>
      </c>
      <c r="I98" s="83">
        <v>-14.7784252249048</v>
      </c>
      <c r="J98" s="83">
        <v>-14.2158377370178</v>
      </c>
      <c r="K98" s="83">
        <v>-12.9692145973351</v>
      </c>
      <c r="L98" s="83">
        <v>-13.0180085041087</v>
      </c>
      <c r="M98" s="83">
        <v>-15.834941846312</v>
      </c>
      <c r="N98" s="83">
        <v>-14.8215026801749</v>
      </c>
      <c r="O98" s="83">
        <v>-14.6837888095093</v>
      </c>
      <c r="P98" s="83">
        <v>-14.6967140171476</v>
      </c>
      <c r="Q98" s="91">
        <f t="shared" si="12"/>
        <v>-169.204456370453</v>
      </c>
      <c r="S98" s="71" t="s">
        <v>338</v>
      </c>
    </row>
    <row r="99" s="156" customFormat="1" spans="1:18">
      <c r="A99" s="159"/>
      <c r="B99" s="170" t="s">
        <v>345</v>
      </c>
      <c r="C99" s="171" t="s">
        <v>337</v>
      </c>
      <c r="D99" s="172"/>
      <c r="E99" s="87">
        <f t="shared" ref="E99:Q99" si="13">SUM(E92:E98)</f>
        <v>315.6973211924</v>
      </c>
      <c r="F99" s="88">
        <f t="shared" si="13"/>
        <v>339.101897296021</v>
      </c>
      <c r="G99" s="88">
        <f t="shared" si="13"/>
        <v>347.698438474716</v>
      </c>
      <c r="H99" s="88">
        <f t="shared" si="13"/>
        <v>323.528532202514</v>
      </c>
      <c r="I99" s="88">
        <f t="shared" si="13"/>
        <v>359.870748438375</v>
      </c>
      <c r="J99" s="88">
        <f t="shared" si="13"/>
        <v>346.446854954914</v>
      </c>
      <c r="K99" s="88">
        <f t="shared" si="13"/>
        <v>316.996309568973</v>
      </c>
      <c r="L99" s="88">
        <f t="shared" si="13"/>
        <v>318.05357031316</v>
      </c>
      <c r="M99" s="88">
        <f t="shared" si="13"/>
        <v>384.747158963545</v>
      </c>
      <c r="N99" s="88">
        <f t="shared" si="13"/>
        <v>428.41312864185</v>
      </c>
      <c r="O99" s="88">
        <f t="shared" si="13"/>
        <v>357.446600575077</v>
      </c>
      <c r="P99" s="88">
        <f t="shared" si="13"/>
        <v>467.298734623367</v>
      </c>
      <c r="Q99" s="87">
        <f t="shared" si="13"/>
        <v>4305.29929524491</v>
      </c>
      <c r="R99" s="92" t="s">
        <v>27</v>
      </c>
    </row>
    <row r="100" outlineLevel="1" spans="1:19">
      <c r="A100" s="159" t="s">
        <v>232</v>
      </c>
      <c r="B100" s="169">
        <v>6666010196</v>
      </c>
      <c r="C100" s="169" t="s">
        <v>346</v>
      </c>
      <c r="D100" s="169" t="s">
        <v>347</v>
      </c>
      <c r="E100" s="83">
        <v>22.9006071956402</v>
      </c>
      <c r="F100" s="83">
        <v>24.1838030275289</v>
      </c>
      <c r="G100" s="83">
        <v>22.0545717680462</v>
      </c>
      <c r="H100" s="83">
        <v>22.2013068394513</v>
      </c>
      <c r="I100" s="83">
        <v>23.4939066023916</v>
      </c>
      <c r="J100" s="83">
        <v>22.8439400098507</v>
      </c>
      <c r="K100" s="83">
        <v>21.3789278958666</v>
      </c>
      <c r="L100" s="83">
        <v>21.209253864947</v>
      </c>
      <c r="M100" s="83">
        <v>22.2594161249646</v>
      </c>
      <c r="N100" s="83">
        <v>20.9169099842525</v>
      </c>
      <c r="O100" s="83">
        <v>20.557159689683</v>
      </c>
      <c r="P100" s="83">
        <v>20.2035967466172</v>
      </c>
      <c r="Q100" s="91">
        <f t="shared" ref="Q100:Q106" si="14">F100+E100+G100+H100+I100+J100+K100+L100+M100+N100+O100+P100</f>
        <v>264.20339974924</v>
      </c>
      <c r="S100" s="71" t="s">
        <v>348</v>
      </c>
    </row>
    <row r="101" outlineLevel="1" spans="1:19">
      <c r="A101" s="159" t="s">
        <v>232</v>
      </c>
      <c r="B101" s="169">
        <v>6666010101</v>
      </c>
      <c r="C101" s="169" t="s">
        <v>349</v>
      </c>
      <c r="D101" s="169" t="s">
        <v>347</v>
      </c>
      <c r="E101" s="83">
        <v>132.94448197567</v>
      </c>
      <c r="F101" s="83">
        <v>140.254295897247</v>
      </c>
      <c r="G101" s="83">
        <v>128.033007764805</v>
      </c>
      <c r="H101" s="83">
        <v>129.636548431626</v>
      </c>
      <c r="I101" s="83">
        <v>137.044233111657</v>
      </c>
      <c r="J101" s="83">
        <v>128.268940991052</v>
      </c>
      <c r="K101" s="83">
        <v>119.873482731644</v>
      </c>
      <c r="L101" s="83">
        <v>118.922105884568</v>
      </c>
      <c r="M101" s="83">
        <v>124.998588159972</v>
      </c>
      <c r="N101" s="83">
        <v>117.328276863066</v>
      </c>
      <c r="O101" s="83">
        <v>115.310345811367</v>
      </c>
      <c r="P101" s="83">
        <v>113.327121190533</v>
      </c>
      <c r="Q101" s="91">
        <f t="shared" si="14"/>
        <v>1505.94142881321</v>
      </c>
      <c r="S101" s="71" t="s">
        <v>348</v>
      </c>
    </row>
    <row r="102" outlineLevel="1" spans="1:19">
      <c r="A102" s="159" t="s">
        <v>232</v>
      </c>
      <c r="B102" s="169">
        <v>6666010199</v>
      </c>
      <c r="C102" s="169" t="s">
        <v>350</v>
      </c>
      <c r="D102" s="169" t="s">
        <v>347</v>
      </c>
      <c r="E102" s="83">
        <v>0</v>
      </c>
      <c r="F102" s="83">
        <v>0</v>
      </c>
      <c r="G102" s="83">
        <v>0</v>
      </c>
      <c r="H102" s="83">
        <v>0</v>
      </c>
      <c r="I102" s="83">
        <v>0</v>
      </c>
      <c r="J102" s="83">
        <v>0</v>
      </c>
      <c r="K102" s="83">
        <v>0</v>
      </c>
      <c r="L102" s="83">
        <v>0</v>
      </c>
      <c r="M102" s="83">
        <v>0</v>
      </c>
      <c r="N102" s="83">
        <v>0</v>
      </c>
      <c r="O102" s="83">
        <v>0</v>
      </c>
      <c r="P102" s="83">
        <v>0</v>
      </c>
      <c r="Q102" s="91">
        <f t="shared" si="14"/>
        <v>0</v>
      </c>
      <c r="S102" s="71" t="s">
        <v>348</v>
      </c>
    </row>
    <row r="103" outlineLevel="1" spans="1:19">
      <c r="A103" s="159" t="s">
        <v>232</v>
      </c>
      <c r="B103" s="169">
        <v>6666010185</v>
      </c>
      <c r="C103" s="169" t="s">
        <v>351</v>
      </c>
      <c r="D103" s="169" t="s">
        <v>347</v>
      </c>
      <c r="E103" s="83">
        <v>-5.94362980884804</v>
      </c>
      <c r="F103" s="83">
        <v>-6.32248286790302</v>
      </c>
      <c r="G103" s="83">
        <v>-5.72404954427992</v>
      </c>
      <c r="H103" s="83">
        <v>-5.80489220662971</v>
      </c>
      <c r="I103" s="83">
        <v>-6.18551495668736</v>
      </c>
      <c r="J103" s="83">
        <v>-6.00659743931232</v>
      </c>
      <c r="K103" s="83">
        <v>-5.58986787697951</v>
      </c>
      <c r="L103" s="83">
        <v>-5.54550384620984</v>
      </c>
      <c r="M103" s="83">
        <v>-5.85173035470628</v>
      </c>
      <c r="N103" s="83">
        <v>-5.47492434851138</v>
      </c>
      <c r="O103" s="83">
        <v>-5.38076103047801</v>
      </c>
      <c r="P103" s="83">
        <v>-5.28821722897102</v>
      </c>
      <c r="Q103" s="91">
        <f t="shared" si="14"/>
        <v>-69.1181715095164</v>
      </c>
      <c r="S103" s="71" t="s">
        <v>348</v>
      </c>
    </row>
    <row r="104" outlineLevel="1" spans="1:19">
      <c r="A104" s="159" t="s">
        <v>232</v>
      </c>
      <c r="B104" s="169">
        <v>6666010207</v>
      </c>
      <c r="C104" s="169" t="s">
        <v>352</v>
      </c>
      <c r="D104" s="169" t="s">
        <v>347</v>
      </c>
      <c r="E104" s="83">
        <v>2.20728744054363</v>
      </c>
      <c r="F104" s="83">
        <v>2.33096896650881</v>
      </c>
      <c r="G104" s="83">
        <v>2.12574185716108</v>
      </c>
      <c r="H104" s="83">
        <v>2.13988499657362</v>
      </c>
      <c r="I104" s="83">
        <v>2.26447292553172</v>
      </c>
      <c r="J104" s="83">
        <v>2.20182554311814</v>
      </c>
      <c r="K104" s="83">
        <v>2.06061955622811</v>
      </c>
      <c r="L104" s="83">
        <v>2.04426543276598</v>
      </c>
      <c r="M104" s="83">
        <v>2.14548589156285</v>
      </c>
      <c r="N104" s="83">
        <v>2.01608770932554</v>
      </c>
      <c r="O104" s="83">
        <v>1.98141298213812</v>
      </c>
      <c r="P104" s="83">
        <v>1.94733462617997</v>
      </c>
      <c r="Q104" s="91">
        <f t="shared" si="14"/>
        <v>25.4653879276376</v>
      </c>
      <c r="S104" s="71" t="s">
        <v>348</v>
      </c>
    </row>
    <row r="105" outlineLevel="1" spans="1:19">
      <c r="A105" s="159" t="s">
        <v>232</v>
      </c>
      <c r="B105" s="169">
        <v>5102040406</v>
      </c>
      <c r="C105" s="169" t="s">
        <v>255</v>
      </c>
      <c r="D105" s="169" t="s">
        <v>247</v>
      </c>
      <c r="E105" s="83">
        <v>0</v>
      </c>
      <c r="F105" s="83">
        <v>0</v>
      </c>
      <c r="G105" s="83">
        <v>0</v>
      </c>
      <c r="H105" s="83">
        <v>0</v>
      </c>
      <c r="I105" s="83">
        <v>0</v>
      </c>
      <c r="J105" s="83">
        <v>0</v>
      </c>
      <c r="K105" s="83">
        <v>0</v>
      </c>
      <c r="L105" s="83">
        <v>0</v>
      </c>
      <c r="M105" s="83">
        <v>0</v>
      </c>
      <c r="N105" s="83">
        <v>0</v>
      </c>
      <c r="O105" s="83">
        <v>0</v>
      </c>
      <c r="P105" s="83">
        <v>0</v>
      </c>
      <c r="Q105" s="91">
        <f t="shared" si="14"/>
        <v>0</v>
      </c>
      <c r="S105" s="71" t="s">
        <v>348</v>
      </c>
    </row>
    <row r="106" outlineLevel="1" spans="1:19">
      <c r="A106" s="159" t="s">
        <v>232</v>
      </c>
      <c r="B106" s="169">
        <v>6666010227</v>
      </c>
      <c r="C106" s="169" t="s">
        <v>353</v>
      </c>
      <c r="D106" s="169" t="s">
        <v>347</v>
      </c>
      <c r="E106" s="83">
        <v>2.21306300463761</v>
      </c>
      <c r="F106" s="83">
        <v>2.17175658681299</v>
      </c>
      <c r="G106" s="83">
        <v>2.13130404997646</v>
      </c>
      <c r="H106" s="83">
        <v>2.09980101186231</v>
      </c>
      <c r="I106" s="83">
        <v>2.06872835169797</v>
      </c>
      <c r="J106" s="83">
        <v>2.03816372574028</v>
      </c>
      <c r="K106" s="83">
        <v>2.02202035911241</v>
      </c>
      <c r="L106" s="83">
        <v>2.00597257848453</v>
      </c>
      <c r="M106" s="83">
        <v>1.99002181847045</v>
      </c>
      <c r="N106" s="83">
        <v>1.95581984210741</v>
      </c>
      <c r="O106" s="83">
        <v>1.92218166300483</v>
      </c>
      <c r="P106" s="83">
        <v>1.88912202752317</v>
      </c>
      <c r="Q106" s="91">
        <f t="shared" si="14"/>
        <v>24.5079550194304</v>
      </c>
      <c r="S106" s="71" t="s">
        <v>348</v>
      </c>
    </row>
    <row r="107" s="156" customFormat="1" spans="1:18">
      <c r="A107" s="159"/>
      <c r="B107" s="170" t="s">
        <v>345</v>
      </c>
      <c r="C107" s="171" t="s">
        <v>347</v>
      </c>
      <c r="D107" s="172"/>
      <c r="E107" s="87">
        <f t="shared" ref="E107:Q107" si="15">SUM(E100:E106)</f>
        <v>154.321809807644</v>
      </c>
      <c r="F107" s="88">
        <f t="shared" si="15"/>
        <v>162.618341610195</v>
      </c>
      <c r="G107" s="88">
        <f t="shared" si="15"/>
        <v>148.620575895709</v>
      </c>
      <c r="H107" s="88">
        <f t="shared" si="15"/>
        <v>150.272649072884</v>
      </c>
      <c r="I107" s="88">
        <f t="shared" si="15"/>
        <v>158.685826034591</v>
      </c>
      <c r="J107" s="88">
        <f t="shared" si="15"/>
        <v>149.346272830449</v>
      </c>
      <c r="K107" s="88">
        <f t="shared" si="15"/>
        <v>139.745182665872</v>
      </c>
      <c r="L107" s="88">
        <f t="shared" si="15"/>
        <v>138.636093914555</v>
      </c>
      <c r="M107" s="88">
        <f t="shared" si="15"/>
        <v>145.541781640263</v>
      </c>
      <c r="N107" s="88">
        <f t="shared" si="15"/>
        <v>136.74217005024</v>
      </c>
      <c r="O107" s="88">
        <f t="shared" si="15"/>
        <v>134.390339115715</v>
      </c>
      <c r="P107" s="88">
        <f t="shared" si="15"/>
        <v>132.078957361882</v>
      </c>
      <c r="Q107" s="103">
        <f t="shared" si="15"/>
        <v>1751</v>
      </c>
      <c r="R107" s="92" t="s">
        <v>28</v>
      </c>
    </row>
    <row r="108" outlineLevel="1" spans="1:19">
      <c r="A108" s="159" t="s">
        <v>232</v>
      </c>
      <c r="B108" s="169">
        <v>6666010302</v>
      </c>
      <c r="C108" s="169" t="s">
        <v>354</v>
      </c>
      <c r="D108" s="169" t="s">
        <v>355</v>
      </c>
      <c r="E108" s="83">
        <v>0.509104384624997</v>
      </c>
      <c r="F108" s="83">
        <v>0.499611761162902</v>
      </c>
      <c r="G108" s="83">
        <v>0.490296134605399</v>
      </c>
      <c r="H108" s="83">
        <v>0.483050378921576</v>
      </c>
      <c r="I108" s="83">
        <v>0.475911703371011</v>
      </c>
      <c r="J108" s="83">
        <v>0.46887852548868</v>
      </c>
      <c r="K108" s="83">
        <v>0.465157267349881</v>
      </c>
      <c r="L108" s="83">
        <v>0.461465543005835</v>
      </c>
      <c r="M108" s="83">
        <v>0.457803118061344</v>
      </c>
      <c r="N108" s="83">
        <v>0.449929354360043</v>
      </c>
      <c r="O108" s="83">
        <v>0.442191011656062</v>
      </c>
      <c r="P108" s="83">
        <v>0.434585760841339</v>
      </c>
      <c r="Q108" s="91">
        <f t="shared" ref="Q108:Q116" si="16">F108+E108+G108+H108+I108+J108+K108+L108+M108+N108+O108+P108</f>
        <v>5.63798494344907</v>
      </c>
      <c r="S108" s="71" t="s">
        <v>356</v>
      </c>
    </row>
    <row r="109" outlineLevel="1" spans="1:19">
      <c r="A109" s="159" t="s">
        <v>232</v>
      </c>
      <c r="B109" s="169">
        <v>6666010314</v>
      </c>
      <c r="C109" s="169" t="s">
        <v>357</v>
      </c>
      <c r="D109" s="169" t="s">
        <v>355</v>
      </c>
      <c r="E109" s="83">
        <v>15.9346910626938</v>
      </c>
      <c r="F109" s="83">
        <v>15.6375770978349</v>
      </c>
      <c r="G109" s="83">
        <v>15.3460030400735</v>
      </c>
      <c r="H109" s="83">
        <v>15.1192148178064</v>
      </c>
      <c r="I109" s="83">
        <v>14.8957781456221</v>
      </c>
      <c r="J109" s="83">
        <v>14.6756434932237</v>
      </c>
      <c r="K109" s="83">
        <v>23.1807044440579</v>
      </c>
      <c r="L109" s="83">
        <v>22.9967305992638</v>
      </c>
      <c r="M109" s="83">
        <v>22.814216864349</v>
      </c>
      <c r="N109" s="83">
        <v>22.4218347561169</v>
      </c>
      <c r="O109" s="83">
        <v>22.0362012345129</v>
      </c>
      <c r="P109" s="83">
        <v>21.6572002304796</v>
      </c>
      <c r="Q109" s="91">
        <f t="shared" si="16"/>
        <v>226.715795786035</v>
      </c>
      <c r="S109" s="71" t="s">
        <v>356</v>
      </c>
    </row>
    <row r="110" outlineLevel="1" spans="1:19">
      <c r="A110" s="159" t="s">
        <v>232</v>
      </c>
      <c r="B110" s="169">
        <v>6666020401</v>
      </c>
      <c r="C110" s="169" t="s">
        <v>358</v>
      </c>
      <c r="D110" s="169" t="s">
        <v>355</v>
      </c>
      <c r="E110" s="83">
        <v>55.7129493039358</v>
      </c>
      <c r="F110" s="83">
        <v>58.297983537101</v>
      </c>
      <c r="G110" s="83">
        <v>52.503624363919</v>
      </c>
      <c r="H110" s="83">
        <v>43.2773104005656</v>
      </c>
      <c r="I110" s="83">
        <v>29.8993844726459</v>
      </c>
      <c r="J110" s="83">
        <v>45.8783285218676</v>
      </c>
      <c r="K110" s="83">
        <v>37.1584409917682</v>
      </c>
      <c r="L110" s="83">
        <v>41.11260924973</v>
      </c>
      <c r="M110" s="83">
        <v>55.5400566161055</v>
      </c>
      <c r="N110" s="83">
        <v>57.2305641289832</v>
      </c>
      <c r="O110" s="83">
        <v>55.4409030470357</v>
      </c>
      <c r="P110" s="83">
        <v>37.2833491408099</v>
      </c>
      <c r="Q110" s="91">
        <f t="shared" si="16"/>
        <v>569.335503774468</v>
      </c>
      <c r="S110" s="71" t="s">
        <v>356</v>
      </c>
    </row>
    <row r="111" outlineLevel="1" spans="1:19">
      <c r="A111" s="159" t="s">
        <v>232</v>
      </c>
      <c r="B111" s="169">
        <v>6666020502</v>
      </c>
      <c r="C111" s="169" t="s">
        <v>359</v>
      </c>
      <c r="D111" s="169" t="s">
        <v>355</v>
      </c>
      <c r="E111" s="83">
        <v>51.2038463813951</v>
      </c>
      <c r="F111" s="83">
        <v>53.1122407935599</v>
      </c>
      <c r="G111" s="83">
        <v>48.3962608283301</v>
      </c>
      <c r="H111" s="83">
        <v>41.00135943491</v>
      </c>
      <c r="I111" s="83">
        <v>29.3291022279578</v>
      </c>
      <c r="J111" s="83">
        <v>41.3559918211907</v>
      </c>
      <c r="K111" s="83">
        <v>40.2456802757114</v>
      </c>
      <c r="L111" s="83">
        <v>43.4644916042965</v>
      </c>
      <c r="M111" s="83">
        <v>55.4050266047207</v>
      </c>
      <c r="N111" s="83">
        <v>56.6474224005293</v>
      </c>
      <c r="O111" s="83">
        <v>53.6123589662206</v>
      </c>
      <c r="P111" s="83">
        <v>38.8023335023606</v>
      </c>
      <c r="Q111" s="91">
        <f t="shared" si="16"/>
        <v>552.576114841183</v>
      </c>
      <c r="S111" s="71" t="s">
        <v>356</v>
      </c>
    </row>
    <row r="112" outlineLevel="1" spans="1:19">
      <c r="A112" s="159" t="s">
        <v>232</v>
      </c>
      <c r="B112" s="169">
        <v>6666020503</v>
      </c>
      <c r="C112" s="169" t="s">
        <v>360</v>
      </c>
      <c r="D112" s="169" t="s">
        <v>355</v>
      </c>
      <c r="E112" s="83">
        <v>0.549684131952998</v>
      </c>
      <c r="F112" s="83">
        <v>0.539434869433757</v>
      </c>
      <c r="G112" s="83">
        <v>0.529376711907514</v>
      </c>
      <c r="H112" s="83">
        <v>0.521553410746319</v>
      </c>
      <c r="I112" s="83">
        <v>0.513845724873221</v>
      </c>
      <c r="J112" s="83">
        <v>0.506251945687902</v>
      </c>
      <c r="K112" s="83">
        <v>0.502234073103078</v>
      </c>
      <c r="L112" s="83">
        <v>0.498248088395911</v>
      </c>
      <c r="M112" s="83">
        <v>0.494293738488006</v>
      </c>
      <c r="N112" s="83">
        <v>0.485792371978385</v>
      </c>
      <c r="O112" s="83">
        <v>0.477437220617577</v>
      </c>
      <c r="P112" s="83">
        <v>0.469225769648724</v>
      </c>
      <c r="Q112" s="91">
        <f t="shared" si="16"/>
        <v>6.08737805683339</v>
      </c>
      <c r="S112" s="71" t="s">
        <v>356</v>
      </c>
    </row>
    <row r="113" outlineLevel="1" spans="1:19">
      <c r="A113" s="159" t="s">
        <v>232</v>
      </c>
      <c r="B113" s="169">
        <v>6666021502</v>
      </c>
      <c r="C113" s="169" t="s">
        <v>361</v>
      </c>
      <c r="D113" s="169" t="s">
        <v>355</v>
      </c>
      <c r="E113" s="83">
        <v>102.558333333333</v>
      </c>
      <c r="F113" s="83">
        <v>36.3805555555555</v>
      </c>
      <c r="G113" s="83">
        <v>37.0805555555555</v>
      </c>
      <c r="H113" s="83">
        <v>18.0805555555556</v>
      </c>
      <c r="I113" s="83">
        <v>26.0805555555556</v>
      </c>
      <c r="J113" s="83">
        <v>17.3805555555556</v>
      </c>
      <c r="K113" s="83">
        <v>21.0805555555556</v>
      </c>
      <c r="L113" s="83">
        <v>23.0583333333333</v>
      </c>
      <c r="M113" s="83">
        <v>16.4805555555556</v>
      </c>
      <c r="N113" s="83">
        <v>16.0805555555556</v>
      </c>
      <c r="O113" s="83">
        <v>17.0805555555556</v>
      </c>
      <c r="P113" s="83">
        <v>35.3624589353589</v>
      </c>
      <c r="Q113" s="91">
        <f t="shared" si="16"/>
        <v>366.704125602025</v>
      </c>
      <c r="S113" s="71" t="s">
        <v>356</v>
      </c>
    </row>
    <row r="114" outlineLevel="1" spans="1:19">
      <c r="A114" s="159" t="s">
        <v>232</v>
      </c>
      <c r="B114" s="169">
        <v>6666021503</v>
      </c>
      <c r="C114" s="169" t="s">
        <v>362</v>
      </c>
      <c r="D114" s="169" t="s">
        <v>355</v>
      </c>
      <c r="E114" s="83">
        <v>4.48196764753099</v>
      </c>
      <c r="F114" s="83">
        <v>4.48196764753102</v>
      </c>
      <c r="G114" s="83">
        <v>4.48196764753105</v>
      </c>
      <c r="H114" s="83">
        <v>4.48196764753105</v>
      </c>
      <c r="I114" s="83">
        <v>4.48196764753102</v>
      </c>
      <c r="J114" s="83">
        <v>4.48196764753105</v>
      </c>
      <c r="K114" s="83">
        <v>4.48196764753102</v>
      </c>
      <c r="L114" s="83">
        <v>4.48196764753099</v>
      </c>
      <c r="M114" s="83">
        <v>4.48196764753105</v>
      </c>
      <c r="N114" s="83">
        <v>4.48196764753102</v>
      </c>
      <c r="O114" s="83">
        <v>4.48196764753105</v>
      </c>
      <c r="P114" s="83">
        <v>4.47371644347994</v>
      </c>
      <c r="Q114" s="91">
        <f t="shared" si="16"/>
        <v>53.7753605663213</v>
      </c>
      <c r="R114" s="92"/>
      <c r="S114" s="71" t="s">
        <v>356</v>
      </c>
    </row>
    <row r="115" outlineLevel="1" spans="1:19">
      <c r="A115" s="159" t="s">
        <v>232</v>
      </c>
      <c r="B115" s="169">
        <v>6666021506</v>
      </c>
      <c r="C115" s="169" t="s">
        <v>363</v>
      </c>
      <c r="D115" s="169" t="s">
        <v>355</v>
      </c>
      <c r="E115" s="83">
        <v>91.8633386</v>
      </c>
      <c r="F115" s="83">
        <v>48.6335322</v>
      </c>
      <c r="G115" s="83">
        <v>37.8260806</v>
      </c>
      <c r="H115" s="83">
        <v>32.4223548</v>
      </c>
      <c r="I115" s="83">
        <v>37.8260806</v>
      </c>
      <c r="J115" s="83">
        <v>43.2298064</v>
      </c>
      <c r="K115" s="83">
        <v>48.6335322</v>
      </c>
      <c r="L115" s="83">
        <v>48.6335322</v>
      </c>
      <c r="M115" s="83">
        <v>27.018629</v>
      </c>
      <c r="N115" s="83">
        <v>32.4223548</v>
      </c>
      <c r="O115" s="83">
        <v>43.2298064</v>
      </c>
      <c r="P115" s="83">
        <v>48.6335322</v>
      </c>
      <c r="Q115" s="91">
        <f t="shared" si="16"/>
        <v>540.37258</v>
      </c>
      <c r="S115" s="71" t="s">
        <v>356</v>
      </c>
    </row>
    <row r="116" outlineLevel="1" spans="1:19">
      <c r="A116" s="159" t="s">
        <v>232</v>
      </c>
      <c r="B116" s="169">
        <v>6666091600</v>
      </c>
      <c r="C116" s="169" t="s">
        <v>364</v>
      </c>
      <c r="D116" s="169" t="s">
        <v>355</v>
      </c>
      <c r="E116" s="83">
        <v>0.741502457368389</v>
      </c>
      <c r="F116" s="83">
        <v>0.727676601931688</v>
      </c>
      <c r="G116" s="83">
        <v>0.714108539677809</v>
      </c>
      <c r="H116" s="83">
        <v>0.703555211505231</v>
      </c>
      <c r="I116" s="83">
        <v>0.693157843847518</v>
      </c>
      <c r="J116" s="83">
        <v>0.682914131869476</v>
      </c>
      <c r="K116" s="83">
        <v>0.677494178441941</v>
      </c>
      <c r="L116" s="83">
        <v>0.672117240517798</v>
      </c>
      <c r="M116" s="83">
        <v>0.666782976704165</v>
      </c>
      <c r="N116" s="83">
        <v>0.655314964819818</v>
      </c>
      <c r="O116" s="83">
        <v>0.644044191469109</v>
      </c>
      <c r="P116" s="83">
        <v>0.632967264343104</v>
      </c>
      <c r="Q116" s="91">
        <f t="shared" si="16"/>
        <v>8.21163560249605</v>
      </c>
      <c r="R116" s="92"/>
      <c r="S116" s="71" t="s">
        <v>356</v>
      </c>
    </row>
    <row r="117" s="156" customFormat="1" spans="1:18">
      <c r="A117" s="159"/>
      <c r="B117" s="170" t="s">
        <v>345</v>
      </c>
      <c r="C117" s="171" t="s">
        <v>355</v>
      </c>
      <c r="D117" s="172"/>
      <c r="E117" s="87">
        <f t="shared" ref="E117:Q117" si="17">SUM(E108:E116)</f>
        <v>323.555417302835</v>
      </c>
      <c r="F117" s="88">
        <f t="shared" si="17"/>
        <v>218.310580064111</v>
      </c>
      <c r="G117" s="88">
        <f t="shared" si="17"/>
        <v>197.3682734216</v>
      </c>
      <c r="H117" s="88">
        <f t="shared" si="17"/>
        <v>156.090921657542</v>
      </c>
      <c r="I117" s="88">
        <f t="shared" si="17"/>
        <v>144.195783921404</v>
      </c>
      <c r="J117" s="88">
        <f t="shared" si="17"/>
        <v>168.660338042415</v>
      </c>
      <c r="K117" s="88">
        <f t="shared" si="17"/>
        <v>176.425766633519</v>
      </c>
      <c r="L117" s="88">
        <f t="shared" si="17"/>
        <v>185.379495506074</v>
      </c>
      <c r="M117" s="88">
        <f t="shared" si="17"/>
        <v>183.359332121515</v>
      </c>
      <c r="N117" s="88">
        <f t="shared" si="17"/>
        <v>190.875735979874</v>
      </c>
      <c r="O117" s="88">
        <f t="shared" si="17"/>
        <v>197.445465274599</v>
      </c>
      <c r="P117" s="88">
        <f t="shared" si="17"/>
        <v>187.749369247322</v>
      </c>
      <c r="Q117" s="87">
        <f t="shared" si="17"/>
        <v>2329.41647917281</v>
      </c>
      <c r="R117" s="92" t="s">
        <v>29</v>
      </c>
    </row>
    <row r="118" s="109" customFormat="1" spans="1:18">
      <c r="A118" s="179"/>
      <c r="B118" s="180"/>
      <c r="C118" s="180"/>
      <c r="D118" s="180" t="s">
        <v>365</v>
      </c>
      <c r="E118" s="98">
        <f>SUM(E117,E107,E99,E91,E87,E85,E83,E81,E76,E28,E23,E14)</f>
        <v>2413.54816457457</v>
      </c>
      <c r="F118" s="98">
        <f t="shared" ref="F118:Q118" si="18">+F117+F107+F99+F91+F87+F85+F83+F81+F76+F28+F14+F23</f>
        <v>2435.16534199692</v>
      </c>
      <c r="G118" s="98">
        <f t="shared" si="18"/>
        <v>2425.68990852414</v>
      </c>
      <c r="H118" s="98">
        <f t="shared" si="18"/>
        <v>2248.77475588899</v>
      </c>
      <c r="I118" s="98">
        <f t="shared" si="18"/>
        <v>2346.76072500986</v>
      </c>
      <c r="J118" s="98">
        <f t="shared" si="18"/>
        <v>2334.08516978363</v>
      </c>
      <c r="K118" s="98">
        <f t="shared" si="18"/>
        <v>2300.81998947322</v>
      </c>
      <c r="L118" s="98">
        <f t="shared" si="18"/>
        <v>2300.59250858213</v>
      </c>
      <c r="M118" s="98">
        <f t="shared" si="18"/>
        <v>2583.85868832416</v>
      </c>
      <c r="N118" s="98">
        <f t="shared" si="18"/>
        <v>2535.75318673163</v>
      </c>
      <c r="O118" s="98">
        <f t="shared" si="18"/>
        <v>2591.42570895598</v>
      </c>
      <c r="P118" s="98">
        <f t="shared" si="18"/>
        <v>2678.52946608106</v>
      </c>
      <c r="Q118" s="104">
        <f t="shared" si="18"/>
        <v>29195.0036139263</v>
      </c>
      <c r="R118" s="92"/>
    </row>
    <row r="119" spans="5:18">
      <c r="E119" s="99"/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2"/>
    </row>
    <row r="120" spans="5:18">
      <c r="E120" s="99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2"/>
    </row>
    <row r="121" spans="5:18">
      <c r="E121" s="99"/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2"/>
    </row>
    <row r="122" outlineLevel="1" spans="1:19">
      <c r="A122" s="159" t="s">
        <v>258</v>
      </c>
      <c r="B122" s="181">
        <v>6666110110</v>
      </c>
      <c r="C122" s="181" t="s">
        <v>238</v>
      </c>
      <c r="D122" s="181"/>
      <c r="E122" s="101">
        <v>0</v>
      </c>
      <c r="F122" s="101">
        <v>0</v>
      </c>
      <c r="G122" s="101">
        <v>0</v>
      </c>
      <c r="H122" s="101">
        <v>0</v>
      </c>
      <c r="I122" s="101">
        <v>0</v>
      </c>
      <c r="J122" s="101">
        <v>0</v>
      </c>
      <c r="K122" s="101">
        <v>0</v>
      </c>
      <c r="L122" s="101">
        <v>0</v>
      </c>
      <c r="M122" s="101">
        <v>0</v>
      </c>
      <c r="N122" s="101">
        <v>0</v>
      </c>
      <c r="O122" s="101">
        <v>0</v>
      </c>
      <c r="P122" s="101">
        <v>0</v>
      </c>
      <c r="Q122" s="105">
        <f>F122+E122+G122+H122+I122+J122+K122+L122+M122+N122+O122+P122</f>
        <v>0</v>
      </c>
      <c r="R122" s="92"/>
      <c r="S122" s="71" t="s">
        <v>40</v>
      </c>
    </row>
    <row r="123" outlineLevel="1" spans="1:19">
      <c r="A123" s="159" t="s">
        <v>258</v>
      </c>
      <c r="B123" s="169">
        <v>6666110112</v>
      </c>
      <c r="C123" s="169" t="s">
        <v>239</v>
      </c>
      <c r="D123" s="169"/>
      <c r="E123" s="83">
        <v>0.29308</v>
      </c>
      <c r="F123" s="83">
        <v>0.29308</v>
      </c>
      <c r="G123" s="83">
        <v>0.29308</v>
      </c>
      <c r="H123" s="83">
        <v>0.29308</v>
      </c>
      <c r="I123" s="83">
        <v>0.29308</v>
      </c>
      <c r="J123" s="83">
        <v>0.29308</v>
      </c>
      <c r="K123" s="83">
        <v>0.29308</v>
      </c>
      <c r="L123" s="83">
        <v>0.29308</v>
      </c>
      <c r="M123" s="83">
        <v>0.29308</v>
      </c>
      <c r="N123" s="83">
        <v>0.29308</v>
      </c>
      <c r="O123" s="83">
        <v>0.29308</v>
      </c>
      <c r="P123" s="83">
        <v>0.29308</v>
      </c>
      <c r="Q123" s="91">
        <f>F123+E123+G123+H123+I123+J123+K123+L123+M123+N123+O123+P123</f>
        <v>3.51696</v>
      </c>
      <c r="R123" s="92"/>
      <c r="S123" s="71" t="s">
        <v>40</v>
      </c>
    </row>
    <row r="124" outlineLevel="1" spans="1:19">
      <c r="A124" s="159" t="s">
        <v>258</v>
      </c>
      <c r="B124" s="169">
        <v>6666110207</v>
      </c>
      <c r="C124" s="169" t="s">
        <v>241</v>
      </c>
      <c r="D124" s="169"/>
      <c r="E124" s="83">
        <v>0</v>
      </c>
      <c r="F124" s="83">
        <v>0</v>
      </c>
      <c r="G124" s="83">
        <v>0</v>
      </c>
      <c r="H124" s="83">
        <v>0</v>
      </c>
      <c r="I124" s="83">
        <v>0</v>
      </c>
      <c r="J124" s="83">
        <v>0</v>
      </c>
      <c r="K124" s="83">
        <v>0</v>
      </c>
      <c r="L124" s="83">
        <v>0</v>
      </c>
      <c r="M124" s="83">
        <v>0</v>
      </c>
      <c r="N124" s="83">
        <v>0</v>
      </c>
      <c r="O124" s="83">
        <v>0</v>
      </c>
      <c r="P124" s="83">
        <v>0</v>
      </c>
      <c r="Q124" s="91">
        <f>F124+E124+G124+H124+I124+J124+K124+L124+M124+N124+O124+P124</f>
        <v>0</v>
      </c>
      <c r="R124" s="92"/>
      <c r="S124" s="71" t="s">
        <v>40</v>
      </c>
    </row>
    <row r="125" outlineLevel="1" spans="1:19">
      <c r="A125" s="159" t="s">
        <v>258</v>
      </c>
      <c r="B125" s="169">
        <v>6666110506</v>
      </c>
      <c r="C125" s="169" t="s">
        <v>242</v>
      </c>
      <c r="D125" s="169"/>
      <c r="E125" s="83">
        <v>0</v>
      </c>
      <c r="F125" s="83">
        <v>0</v>
      </c>
      <c r="G125" s="83">
        <v>0</v>
      </c>
      <c r="H125" s="83">
        <v>0</v>
      </c>
      <c r="I125" s="83">
        <v>0</v>
      </c>
      <c r="J125" s="83">
        <v>0</v>
      </c>
      <c r="K125" s="83">
        <v>0</v>
      </c>
      <c r="L125" s="83">
        <v>0</v>
      </c>
      <c r="M125" s="83">
        <v>0</v>
      </c>
      <c r="N125" s="83">
        <v>0</v>
      </c>
      <c r="O125" s="83">
        <v>0</v>
      </c>
      <c r="P125" s="83">
        <v>0</v>
      </c>
      <c r="Q125" s="91">
        <f>F125+E125+G125+H125+I125+J125+K125+L125+M125+N125+O125+P125</f>
        <v>0</v>
      </c>
      <c r="R125" s="92"/>
      <c r="S125" s="71" t="s">
        <v>40</v>
      </c>
    </row>
    <row r="126" s="156" customFormat="1" spans="1:18">
      <c r="A126" s="159"/>
      <c r="B126" s="170" t="s">
        <v>366</v>
      </c>
      <c r="C126" s="171" t="s">
        <v>234</v>
      </c>
      <c r="D126" s="172"/>
      <c r="E126" s="87">
        <f t="shared" ref="E126:Q126" si="19">SUM(E122:E125)</f>
        <v>0.29308</v>
      </c>
      <c r="F126" s="88">
        <f t="shared" si="19"/>
        <v>0.29308</v>
      </c>
      <c r="G126" s="88">
        <f t="shared" si="19"/>
        <v>0.29308</v>
      </c>
      <c r="H126" s="88">
        <f t="shared" si="19"/>
        <v>0.29308</v>
      </c>
      <c r="I126" s="88">
        <f t="shared" si="19"/>
        <v>0.29308</v>
      </c>
      <c r="J126" s="88">
        <f t="shared" si="19"/>
        <v>0.29308</v>
      </c>
      <c r="K126" s="88">
        <f t="shared" si="19"/>
        <v>0.29308</v>
      </c>
      <c r="L126" s="88">
        <f t="shared" si="19"/>
        <v>0.29308</v>
      </c>
      <c r="M126" s="88">
        <f t="shared" si="19"/>
        <v>0.29308</v>
      </c>
      <c r="N126" s="88">
        <f t="shared" si="19"/>
        <v>0.29308</v>
      </c>
      <c r="O126" s="88">
        <f t="shared" si="19"/>
        <v>0.29308</v>
      </c>
      <c r="P126" s="88">
        <f t="shared" si="19"/>
        <v>0.29308</v>
      </c>
      <c r="Q126" s="87">
        <f t="shared" si="19"/>
        <v>3.51696</v>
      </c>
      <c r="R126" s="92"/>
    </row>
    <row r="127" outlineLevel="1" spans="1:19">
      <c r="A127" s="159" t="s">
        <v>258</v>
      </c>
      <c r="B127" s="169">
        <v>6666010380</v>
      </c>
      <c r="C127" s="169" t="s">
        <v>250</v>
      </c>
      <c r="D127" s="169"/>
      <c r="E127" s="83">
        <v>0</v>
      </c>
      <c r="F127" s="83">
        <v>0</v>
      </c>
      <c r="G127" s="83">
        <v>0</v>
      </c>
      <c r="H127" s="83">
        <v>0</v>
      </c>
      <c r="I127" s="83">
        <v>0</v>
      </c>
      <c r="J127" s="83">
        <v>0</v>
      </c>
      <c r="K127" s="83">
        <v>0</v>
      </c>
      <c r="L127" s="83">
        <v>0</v>
      </c>
      <c r="M127" s="83">
        <v>0</v>
      </c>
      <c r="N127" s="83">
        <v>0</v>
      </c>
      <c r="O127" s="83">
        <v>0</v>
      </c>
      <c r="P127" s="83">
        <v>0</v>
      </c>
      <c r="Q127" s="91">
        <f>F127+E127+G127+H127+I127+J127+K127+L127+M127+N127+O127+P127</f>
        <v>0</v>
      </c>
      <c r="R127" s="92"/>
      <c r="S127" s="71" t="s">
        <v>40</v>
      </c>
    </row>
    <row r="128" outlineLevel="1" spans="1:19">
      <c r="A128" s="159" t="s">
        <v>258</v>
      </c>
      <c r="B128" s="169">
        <v>5102040406</v>
      </c>
      <c r="C128" s="169" t="s">
        <v>367</v>
      </c>
      <c r="D128" s="169"/>
      <c r="E128" s="83">
        <v>0</v>
      </c>
      <c r="F128" s="83">
        <v>0</v>
      </c>
      <c r="G128" s="83">
        <v>0</v>
      </c>
      <c r="H128" s="83">
        <v>0</v>
      </c>
      <c r="I128" s="83">
        <v>0</v>
      </c>
      <c r="J128" s="83">
        <v>0</v>
      </c>
      <c r="K128" s="83">
        <v>0</v>
      </c>
      <c r="L128" s="83">
        <v>0</v>
      </c>
      <c r="M128" s="83">
        <v>0</v>
      </c>
      <c r="N128" s="83">
        <v>0</v>
      </c>
      <c r="O128" s="83">
        <v>0</v>
      </c>
      <c r="P128" s="83">
        <v>0</v>
      </c>
      <c r="Q128" s="91">
        <f>F128+E128+G128+H128+I128+J128+K128+L128+M128+N128+O128+P128</f>
        <v>0</v>
      </c>
      <c r="S128" s="71" t="s">
        <v>40</v>
      </c>
    </row>
    <row r="129" s="156" customFormat="1" spans="1:18">
      <c r="A129" s="159"/>
      <c r="B129" s="170" t="s">
        <v>368</v>
      </c>
      <c r="C129" s="171" t="s">
        <v>247</v>
      </c>
      <c r="D129" s="172"/>
      <c r="E129" s="87">
        <f>SUM(E127:E128)</f>
        <v>0</v>
      </c>
      <c r="F129" s="88">
        <f t="shared" ref="F129:L129" si="20">+F128</f>
        <v>0</v>
      </c>
      <c r="G129" s="88">
        <f t="shared" si="20"/>
        <v>0</v>
      </c>
      <c r="H129" s="88">
        <f t="shared" si="20"/>
        <v>0</v>
      </c>
      <c r="I129" s="88">
        <f t="shared" si="20"/>
        <v>0</v>
      </c>
      <c r="J129" s="88">
        <f t="shared" si="20"/>
        <v>0</v>
      </c>
      <c r="K129" s="88">
        <f t="shared" si="20"/>
        <v>0</v>
      </c>
      <c r="L129" s="88">
        <f t="shared" si="20"/>
        <v>0</v>
      </c>
      <c r="M129" s="88">
        <f>+M128+M127</f>
        <v>0</v>
      </c>
      <c r="N129" s="88">
        <f>+N128+N127</f>
        <v>0</v>
      </c>
      <c r="O129" s="88">
        <f>+O128+O127</f>
        <v>0</v>
      </c>
      <c r="P129" s="88">
        <v>0</v>
      </c>
      <c r="Q129" s="87">
        <f>+Q128+Q127</f>
        <v>0</v>
      </c>
      <c r="R129" s="92"/>
    </row>
    <row r="130" outlineLevel="1" spans="1:19">
      <c r="A130" s="159" t="s">
        <v>258</v>
      </c>
      <c r="B130" s="169">
        <v>6666029996</v>
      </c>
      <c r="C130" s="169" t="s">
        <v>306</v>
      </c>
      <c r="D130" s="169"/>
      <c r="E130" s="83">
        <v>0</v>
      </c>
      <c r="F130" s="83">
        <v>0</v>
      </c>
      <c r="G130" s="83">
        <v>0</v>
      </c>
      <c r="H130" s="83">
        <v>0</v>
      </c>
      <c r="I130" s="83">
        <v>0</v>
      </c>
      <c r="J130" s="83">
        <v>0</v>
      </c>
      <c r="K130" s="83">
        <v>0</v>
      </c>
      <c r="L130" s="83">
        <v>0</v>
      </c>
      <c r="M130" s="83">
        <v>0</v>
      </c>
      <c r="N130" s="83">
        <v>0</v>
      </c>
      <c r="O130" s="83">
        <v>0</v>
      </c>
      <c r="P130" s="83">
        <v>0</v>
      </c>
      <c r="Q130" s="91">
        <f t="shared" ref="Q130:Q166" si="21">F130+E130+G130+H130+I130+J130+K130+L130+M130+N130+O130+P130</f>
        <v>0</v>
      </c>
      <c r="R130" s="92"/>
      <c r="S130" s="71" t="s">
        <v>40</v>
      </c>
    </row>
    <row r="131" outlineLevel="1" spans="1:19">
      <c r="A131" s="159" t="s">
        <v>258</v>
      </c>
      <c r="B131" s="169">
        <v>6666029700</v>
      </c>
      <c r="C131" s="169" t="s">
        <v>304</v>
      </c>
      <c r="D131" s="169"/>
      <c r="E131" s="83">
        <v>5.48764</v>
      </c>
      <c r="F131" s="83">
        <v>5.48764</v>
      </c>
      <c r="G131" s="83">
        <v>5.48764</v>
      </c>
      <c r="H131" s="83">
        <v>5.48764</v>
      </c>
      <c r="I131" s="83">
        <v>5.48764</v>
      </c>
      <c r="J131" s="83">
        <v>5.48764</v>
      </c>
      <c r="K131" s="83">
        <v>5.48764</v>
      </c>
      <c r="L131" s="83">
        <v>5.48764</v>
      </c>
      <c r="M131" s="83">
        <v>5.48764</v>
      </c>
      <c r="N131" s="83">
        <v>5.48764</v>
      </c>
      <c r="O131" s="83">
        <v>5.48764</v>
      </c>
      <c r="P131" s="83">
        <v>5.48764</v>
      </c>
      <c r="Q131" s="91">
        <f t="shared" si="21"/>
        <v>65.85168</v>
      </c>
      <c r="S131" s="71" t="s">
        <v>40</v>
      </c>
    </row>
    <row r="132" outlineLevel="1" spans="1:19">
      <c r="A132" s="159" t="s">
        <v>258</v>
      </c>
      <c r="B132" s="169">
        <v>6666010322</v>
      </c>
      <c r="C132" s="169" t="s">
        <v>281</v>
      </c>
      <c r="D132" s="169"/>
      <c r="E132" s="83">
        <v>3.07489</v>
      </c>
      <c r="F132" s="83">
        <v>3.07489</v>
      </c>
      <c r="G132" s="83">
        <v>3.07489</v>
      </c>
      <c r="H132" s="83">
        <v>3.07489</v>
      </c>
      <c r="I132" s="83">
        <v>3.07489</v>
      </c>
      <c r="J132" s="83">
        <v>3.07489</v>
      </c>
      <c r="K132" s="83">
        <v>3.07489</v>
      </c>
      <c r="L132" s="83">
        <v>3.07489</v>
      </c>
      <c r="M132" s="83">
        <v>3.07489</v>
      </c>
      <c r="N132" s="83">
        <v>3.07489</v>
      </c>
      <c r="O132" s="83">
        <v>3.07489</v>
      </c>
      <c r="P132" s="83">
        <v>3.07489</v>
      </c>
      <c r="Q132" s="91">
        <f t="shared" si="21"/>
        <v>36.89868</v>
      </c>
      <c r="S132" s="71" t="s">
        <v>40</v>
      </c>
    </row>
    <row r="133" outlineLevel="1" spans="1:19">
      <c r="A133" s="159" t="s">
        <v>258</v>
      </c>
      <c r="B133" s="169">
        <v>6666020495</v>
      </c>
      <c r="C133" s="169" t="s">
        <v>292</v>
      </c>
      <c r="D133" s="169"/>
      <c r="E133" s="83">
        <v>0</v>
      </c>
      <c r="F133" s="83">
        <v>0</v>
      </c>
      <c r="G133" s="83">
        <v>0</v>
      </c>
      <c r="H133" s="83">
        <v>0</v>
      </c>
      <c r="I133" s="83">
        <v>0</v>
      </c>
      <c r="J133" s="83">
        <v>0</v>
      </c>
      <c r="K133" s="83">
        <v>0</v>
      </c>
      <c r="L133" s="83">
        <v>0</v>
      </c>
      <c r="M133" s="83">
        <v>0</v>
      </c>
      <c r="N133" s="83">
        <v>0</v>
      </c>
      <c r="O133" s="83">
        <v>0</v>
      </c>
      <c r="P133" s="83">
        <v>0</v>
      </c>
      <c r="Q133" s="91">
        <f t="shared" si="21"/>
        <v>0</v>
      </c>
      <c r="S133" s="71" t="s">
        <v>40</v>
      </c>
    </row>
    <row r="134" outlineLevel="1" spans="1:19">
      <c r="A134" s="159" t="s">
        <v>258</v>
      </c>
      <c r="B134" s="169">
        <v>5301060000</v>
      </c>
      <c r="C134" s="169" t="s">
        <v>274</v>
      </c>
      <c r="D134" s="169"/>
      <c r="E134" s="83">
        <v>0</v>
      </c>
      <c r="F134" s="83">
        <v>0</v>
      </c>
      <c r="G134" s="83">
        <v>0</v>
      </c>
      <c r="H134" s="83">
        <v>0</v>
      </c>
      <c r="I134" s="83">
        <v>0</v>
      </c>
      <c r="J134" s="83">
        <v>0</v>
      </c>
      <c r="K134" s="83">
        <v>0</v>
      </c>
      <c r="L134" s="83">
        <v>0</v>
      </c>
      <c r="M134" s="83">
        <v>0</v>
      </c>
      <c r="N134" s="83">
        <v>0</v>
      </c>
      <c r="O134" s="83">
        <v>0</v>
      </c>
      <c r="P134" s="83">
        <v>0</v>
      </c>
      <c r="Q134" s="91">
        <f t="shared" si="21"/>
        <v>0</v>
      </c>
      <c r="S134" s="71" t="s">
        <v>40</v>
      </c>
    </row>
    <row r="135" outlineLevel="1" spans="1:19">
      <c r="A135" s="159" t="s">
        <v>258</v>
      </c>
      <c r="B135" s="169">
        <v>5601050000</v>
      </c>
      <c r="C135" s="169" t="s">
        <v>277</v>
      </c>
      <c r="D135" s="169"/>
      <c r="E135" s="83">
        <v>0</v>
      </c>
      <c r="F135" s="83">
        <v>0</v>
      </c>
      <c r="G135" s="83">
        <v>0</v>
      </c>
      <c r="H135" s="83">
        <v>0</v>
      </c>
      <c r="I135" s="83">
        <v>0</v>
      </c>
      <c r="J135" s="83">
        <v>0</v>
      </c>
      <c r="K135" s="83">
        <v>0</v>
      </c>
      <c r="L135" s="83">
        <v>0</v>
      </c>
      <c r="M135" s="83">
        <v>0</v>
      </c>
      <c r="N135" s="83">
        <v>0</v>
      </c>
      <c r="O135" s="83">
        <v>0</v>
      </c>
      <c r="P135" s="83">
        <v>0</v>
      </c>
      <c r="Q135" s="91">
        <f t="shared" si="21"/>
        <v>0</v>
      </c>
      <c r="S135" s="71" t="s">
        <v>40</v>
      </c>
    </row>
    <row r="136" outlineLevel="1" spans="1:19">
      <c r="A136" s="159" t="s">
        <v>258</v>
      </c>
      <c r="B136" s="169">
        <v>5601050100</v>
      </c>
      <c r="C136" s="169" t="s">
        <v>278</v>
      </c>
      <c r="D136" s="169"/>
      <c r="E136" s="83">
        <v>0</v>
      </c>
      <c r="F136" s="83">
        <v>0</v>
      </c>
      <c r="G136" s="83">
        <v>0</v>
      </c>
      <c r="H136" s="83">
        <v>0</v>
      </c>
      <c r="I136" s="83">
        <v>0</v>
      </c>
      <c r="J136" s="83">
        <v>0</v>
      </c>
      <c r="K136" s="83">
        <v>0</v>
      </c>
      <c r="L136" s="83">
        <v>0</v>
      </c>
      <c r="M136" s="83">
        <v>0</v>
      </c>
      <c r="N136" s="83">
        <v>0</v>
      </c>
      <c r="O136" s="83">
        <v>0</v>
      </c>
      <c r="P136" s="83">
        <v>0</v>
      </c>
      <c r="Q136" s="91">
        <f t="shared" si="21"/>
        <v>0</v>
      </c>
      <c r="S136" s="71" t="s">
        <v>40</v>
      </c>
    </row>
    <row r="137" outlineLevel="1" spans="1:19">
      <c r="A137" s="159" t="s">
        <v>258</v>
      </c>
      <c r="B137" s="169">
        <v>5601080000</v>
      </c>
      <c r="C137" s="169" t="s">
        <v>369</v>
      </c>
      <c r="D137" s="169"/>
      <c r="E137" s="83">
        <v>0</v>
      </c>
      <c r="F137" s="83">
        <v>0</v>
      </c>
      <c r="G137" s="83">
        <v>0</v>
      </c>
      <c r="H137" s="83">
        <v>0</v>
      </c>
      <c r="I137" s="83">
        <v>0</v>
      </c>
      <c r="J137" s="83">
        <v>0</v>
      </c>
      <c r="K137" s="83">
        <v>0</v>
      </c>
      <c r="L137" s="83">
        <v>0</v>
      </c>
      <c r="M137" s="83">
        <v>0</v>
      </c>
      <c r="N137" s="83">
        <v>0</v>
      </c>
      <c r="O137" s="83">
        <v>0</v>
      </c>
      <c r="P137" s="83">
        <v>0</v>
      </c>
      <c r="Q137" s="91">
        <f t="shared" si="21"/>
        <v>0</v>
      </c>
      <c r="S137" s="71" t="s">
        <v>40</v>
      </c>
    </row>
    <row r="138" outlineLevel="1" spans="1:19">
      <c r="A138" s="159" t="s">
        <v>258</v>
      </c>
      <c r="B138" s="169">
        <v>6666020101</v>
      </c>
      <c r="C138" s="169" t="s">
        <v>282</v>
      </c>
      <c r="D138" s="169"/>
      <c r="E138" s="83">
        <v>0.79074</v>
      </c>
      <c r="F138" s="83">
        <v>0.79074</v>
      </c>
      <c r="G138" s="83">
        <v>0.79074</v>
      </c>
      <c r="H138" s="83">
        <v>0.79074</v>
      </c>
      <c r="I138" s="83">
        <v>0.79074</v>
      </c>
      <c r="J138" s="83">
        <v>0.79074</v>
      </c>
      <c r="K138" s="83">
        <v>0.79074</v>
      </c>
      <c r="L138" s="83">
        <v>0.79074</v>
      </c>
      <c r="M138" s="83">
        <v>0.79074</v>
      </c>
      <c r="N138" s="83">
        <v>0.79074</v>
      </c>
      <c r="O138" s="83">
        <v>0.79074</v>
      </c>
      <c r="P138" s="83">
        <v>0.79074</v>
      </c>
      <c r="Q138" s="91">
        <f t="shared" si="21"/>
        <v>9.48888</v>
      </c>
      <c r="S138" s="71" t="s">
        <v>40</v>
      </c>
    </row>
    <row r="139" outlineLevel="1" spans="1:19">
      <c r="A139" s="159" t="s">
        <v>258</v>
      </c>
      <c r="B139" s="169">
        <v>6666021200</v>
      </c>
      <c r="C139" s="169" t="s">
        <v>370</v>
      </c>
      <c r="D139" s="169"/>
      <c r="E139" s="83">
        <v>2.69917</v>
      </c>
      <c r="F139" s="83">
        <v>2.69917</v>
      </c>
      <c r="G139" s="83">
        <v>2.69917</v>
      </c>
      <c r="H139" s="83">
        <v>2.69917</v>
      </c>
      <c r="I139" s="83">
        <v>2.69917</v>
      </c>
      <c r="J139" s="83">
        <v>2.69917</v>
      </c>
      <c r="K139" s="83">
        <v>2.69917</v>
      </c>
      <c r="L139" s="83">
        <v>2.69917</v>
      </c>
      <c r="M139" s="83">
        <v>2.69917</v>
      </c>
      <c r="N139" s="83">
        <v>2.69917</v>
      </c>
      <c r="O139" s="83">
        <v>2.69917</v>
      </c>
      <c r="P139" s="83">
        <v>2.69917</v>
      </c>
      <c r="Q139" s="91">
        <f t="shared" si="21"/>
        <v>32.39004</v>
      </c>
      <c r="S139" s="71" t="s">
        <v>40</v>
      </c>
    </row>
    <row r="140" outlineLevel="1" spans="1:19">
      <c r="A140" s="159" t="s">
        <v>258</v>
      </c>
      <c r="B140" s="169">
        <v>6666020201</v>
      </c>
      <c r="C140" s="169" t="s">
        <v>283</v>
      </c>
      <c r="D140" s="169"/>
      <c r="E140" s="83">
        <v>0</v>
      </c>
      <c r="F140" s="83">
        <v>0</v>
      </c>
      <c r="G140" s="83">
        <v>0</v>
      </c>
      <c r="H140" s="83">
        <v>0</v>
      </c>
      <c r="I140" s="83">
        <v>0</v>
      </c>
      <c r="J140" s="83">
        <v>0</v>
      </c>
      <c r="K140" s="83">
        <v>0</v>
      </c>
      <c r="L140" s="83">
        <v>0</v>
      </c>
      <c r="M140" s="83">
        <v>0</v>
      </c>
      <c r="N140" s="83">
        <v>0</v>
      </c>
      <c r="O140" s="83">
        <v>0</v>
      </c>
      <c r="P140" s="83">
        <v>0</v>
      </c>
      <c r="Q140" s="91">
        <f t="shared" si="21"/>
        <v>0</v>
      </c>
      <c r="S140" s="71" t="s">
        <v>40</v>
      </c>
    </row>
    <row r="141" outlineLevel="1" spans="1:19">
      <c r="A141" s="159" t="s">
        <v>258</v>
      </c>
      <c r="B141" s="169">
        <v>6666020202</v>
      </c>
      <c r="C141" s="169" t="s">
        <v>284</v>
      </c>
      <c r="D141" s="169"/>
      <c r="E141" s="83">
        <v>0.97161</v>
      </c>
      <c r="F141" s="83">
        <v>0.97161</v>
      </c>
      <c r="G141" s="83">
        <v>0.97161</v>
      </c>
      <c r="H141" s="83">
        <v>0.97161</v>
      </c>
      <c r="I141" s="83">
        <v>0.97161</v>
      </c>
      <c r="J141" s="83">
        <v>0.97161</v>
      </c>
      <c r="K141" s="83">
        <v>0.97161</v>
      </c>
      <c r="L141" s="83">
        <v>0.97161</v>
      </c>
      <c r="M141" s="83">
        <v>0.97161</v>
      </c>
      <c r="N141" s="83">
        <v>0.97161</v>
      </c>
      <c r="O141" s="83">
        <v>0.97161</v>
      </c>
      <c r="P141" s="83">
        <v>0.97161</v>
      </c>
      <c r="Q141" s="91">
        <f t="shared" si="21"/>
        <v>11.65932</v>
      </c>
      <c r="S141" s="71" t="s">
        <v>40</v>
      </c>
    </row>
    <row r="142" outlineLevel="1" spans="1:19">
      <c r="A142" s="159" t="s">
        <v>258</v>
      </c>
      <c r="B142" s="169">
        <v>6666020204</v>
      </c>
      <c r="C142" s="169" t="s">
        <v>285</v>
      </c>
      <c r="D142" s="169"/>
      <c r="E142" s="83">
        <v>0.53691</v>
      </c>
      <c r="F142" s="83">
        <v>0.53691</v>
      </c>
      <c r="G142" s="83">
        <v>0.53691</v>
      </c>
      <c r="H142" s="83">
        <v>0.53691</v>
      </c>
      <c r="I142" s="83">
        <v>0.53691</v>
      </c>
      <c r="J142" s="83">
        <v>0.53691</v>
      </c>
      <c r="K142" s="83">
        <v>0.53691</v>
      </c>
      <c r="L142" s="83">
        <v>0.53691</v>
      </c>
      <c r="M142" s="83">
        <v>0.53691</v>
      </c>
      <c r="N142" s="83">
        <v>0.53691</v>
      </c>
      <c r="O142" s="83">
        <v>0.53691</v>
      </c>
      <c r="P142" s="83">
        <v>0.53691</v>
      </c>
      <c r="Q142" s="91">
        <f t="shared" si="21"/>
        <v>6.44292</v>
      </c>
      <c r="S142" s="71" t="s">
        <v>40</v>
      </c>
    </row>
    <row r="143" outlineLevel="1" spans="1:19">
      <c r="A143" s="159" t="s">
        <v>258</v>
      </c>
      <c r="B143" s="169">
        <v>6666020301</v>
      </c>
      <c r="C143" s="169" t="s">
        <v>371</v>
      </c>
      <c r="D143" s="169"/>
      <c r="E143" s="83">
        <v>0.35644</v>
      </c>
      <c r="F143" s="83">
        <v>0.35644</v>
      </c>
      <c r="G143" s="83">
        <v>0.35644</v>
      </c>
      <c r="H143" s="83">
        <v>0.35644</v>
      </c>
      <c r="I143" s="83">
        <v>0.35644</v>
      </c>
      <c r="J143" s="83">
        <v>0.35644</v>
      </c>
      <c r="K143" s="83">
        <v>0.35644</v>
      </c>
      <c r="L143" s="83">
        <v>0.35644</v>
      </c>
      <c r="M143" s="83">
        <v>0.35644</v>
      </c>
      <c r="N143" s="83">
        <v>0.35644</v>
      </c>
      <c r="O143" s="83">
        <v>0.35644</v>
      </c>
      <c r="P143" s="83">
        <v>0.35644</v>
      </c>
      <c r="Q143" s="91">
        <f t="shared" si="21"/>
        <v>4.27728</v>
      </c>
      <c r="S143" s="71" t="s">
        <v>40</v>
      </c>
    </row>
    <row r="144" outlineLevel="1" spans="1:19">
      <c r="A144" s="159" t="s">
        <v>258</v>
      </c>
      <c r="B144" s="169">
        <v>6666020403</v>
      </c>
      <c r="C144" s="169" t="s">
        <v>290</v>
      </c>
      <c r="D144" s="169"/>
      <c r="E144" s="83">
        <v>0</v>
      </c>
      <c r="F144" s="83">
        <v>0</v>
      </c>
      <c r="G144" s="83">
        <v>0</v>
      </c>
      <c r="H144" s="83">
        <v>0</v>
      </c>
      <c r="I144" s="83">
        <v>0</v>
      </c>
      <c r="J144" s="83">
        <v>0</v>
      </c>
      <c r="K144" s="83">
        <v>0</v>
      </c>
      <c r="L144" s="83">
        <v>0</v>
      </c>
      <c r="M144" s="83">
        <v>0</v>
      </c>
      <c r="N144" s="83">
        <v>0</v>
      </c>
      <c r="O144" s="83">
        <v>0</v>
      </c>
      <c r="P144" s="83">
        <v>0</v>
      </c>
      <c r="Q144" s="91">
        <f t="shared" si="21"/>
        <v>0</v>
      </c>
      <c r="S144" s="71" t="s">
        <v>40</v>
      </c>
    </row>
    <row r="145" outlineLevel="1" spans="1:19">
      <c r="A145" s="159" t="s">
        <v>258</v>
      </c>
      <c r="B145" s="169">
        <v>6666020504</v>
      </c>
      <c r="C145" s="169" t="s">
        <v>293</v>
      </c>
      <c r="D145" s="169"/>
      <c r="E145" s="83">
        <v>0</v>
      </c>
      <c r="F145" s="83">
        <v>0</v>
      </c>
      <c r="G145" s="83">
        <v>0</v>
      </c>
      <c r="H145" s="83">
        <v>0</v>
      </c>
      <c r="I145" s="83">
        <v>0</v>
      </c>
      <c r="J145" s="83">
        <v>0</v>
      </c>
      <c r="K145" s="83">
        <v>0</v>
      </c>
      <c r="L145" s="83">
        <v>0</v>
      </c>
      <c r="M145" s="83">
        <v>0</v>
      </c>
      <c r="N145" s="83">
        <v>0</v>
      </c>
      <c r="O145" s="83">
        <v>0</v>
      </c>
      <c r="P145" s="83">
        <v>0</v>
      </c>
      <c r="Q145" s="91">
        <f t="shared" si="21"/>
        <v>0</v>
      </c>
      <c r="S145" s="71" t="s">
        <v>40</v>
      </c>
    </row>
    <row r="146" outlineLevel="1" spans="1:19">
      <c r="A146" s="159" t="s">
        <v>258</v>
      </c>
      <c r="B146" s="169">
        <v>6666020508</v>
      </c>
      <c r="C146" s="169" t="s">
        <v>294</v>
      </c>
      <c r="D146" s="169"/>
      <c r="E146" s="83">
        <v>0.02195</v>
      </c>
      <c r="F146" s="83">
        <v>0.02195</v>
      </c>
      <c r="G146" s="83">
        <v>0.02195</v>
      </c>
      <c r="H146" s="83">
        <v>0.02195</v>
      </c>
      <c r="I146" s="83">
        <v>0.02195</v>
      </c>
      <c r="J146" s="83">
        <v>0.02195</v>
      </c>
      <c r="K146" s="83">
        <v>0.02195</v>
      </c>
      <c r="L146" s="83">
        <v>0.02195</v>
      </c>
      <c r="M146" s="83">
        <v>0.02195</v>
      </c>
      <c r="N146" s="83">
        <v>0.02195</v>
      </c>
      <c r="O146" s="83">
        <v>0.02195</v>
      </c>
      <c r="P146" s="83">
        <v>0.02195</v>
      </c>
      <c r="Q146" s="91">
        <f t="shared" si="21"/>
        <v>0.2634</v>
      </c>
      <c r="S146" s="71" t="s">
        <v>40</v>
      </c>
    </row>
    <row r="147" outlineLevel="1" spans="1:19">
      <c r="A147" s="159" t="s">
        <v>258</v>
      </c>
      <c r="B147" s="169">
        <v>6666020601</v>
      </c>
      <c r="C147" s="169" t="s">
        <v>372</v>
      </c>
      <c r="D147" s="169"/>
      <c r="E147" s="83">
        <v>0.79658</v>
      </c>
      <c r="F147" s="83">
        <v>0.79658</v>
      </c>
      <c r="G147" s="83">
        <v>0.79658</v>
      </c>
      <c r="H147" s="83">
        <v>0.79658</v>
      </c>
      <c r="I147" s="83">
        <v>0.79658</v>
      </c>
      <c r="J147" s="83">
        <v>0.79658</v>
      </c>
      <c r="K147" s="83">
        <v>0.79658</v>
      </c>
      <c r="L147" s="83">
        <v>0.79658</v>
      </c>
      <c r="M147" s="83">
        <v>0.79658</v>
      </c>
      <c r="N147" s="83">
        <v>0.79658</v>
      </c>
      <c r="O147" s="83">
        <v>0.79658</v>
      </c>
      <c r="P147" s="83">
        <v>0.79658</v>
      </c>
      <c r="Q147" s="91">
        <f t="shared" si="21"/>
        <v>9.55896</v>
      </c>
      <c r="S147" s="71" t="s">
        <v>40</v>
      </c>
    </row>
    <row r="148" outlineLevel="1" spans="1:19">
      <c r="A148" s="159" t="s">
        <v>258</v>
      </c>
      <c r="B148" s="169">
        <v>6666020701</v>
      </c>
      <c r="C148" s="169" t="s">
        <v>296</v>
      </c>
      <c r="D148" s="169"/>
      <c r="E148" s="83">
        <v>20.13725</v>
      </c>
      <c r="F148" s="83">
        <v>20.13725</v>
      </c>
      <c r="G148" s="83">
        <v>20.13725</v>
      </c>
      <c r="H148" s="83">
        <v>20.13725</v>
      </c>
      <c r="I148" s="83">
        <v>20.13725</v>
      </c>
      <c r="J148" s="83">
        <v>20.13725</v>
      </c>
      <c r="K148" s="83">
        <v>20.13725</v>
      </c>
      <c r="L148" s="83">
        <v>20.13725</v>
      </c>
      <c r="M148" s="83">
        <v>20.13725</v>
      </c>
      <c r="N148" s="83">
        <v>20.13725</v>
      </c>
      <c r="O148" s="83">
        <v>20.13725</v>
      </c>
      <c r="P148" s="83">
        <v>20.13725</v>
      </c>
      <c r="Q148" s="91">
        <f t="shared" si="21"/>
        <v>241.647</v>
      </c>
      <c r="S148" s="71" t="s">
        <v>40</v>
      </c>
    </row>
    <row r="149" outlineLevel="1" spans="1:19">
      <c r="A149" s="159" t="s">
        <v>258</v>
      </c>
      <c r="B149" s="169">
        <v>6666020801</v>
      </c>
      <c r="C149" s="169" t="s">
        <v>373</v>
      </c>
      <c r="D149" s="169"/>
      <c r="E149" s="83">
        <v>0.96587</v>
      </c>
      <c r="F149" s="83">
        <v>0.96587</v>
      </c>
      <c r="G149" s="83">
        <v>0.96587</v>
      </c>
      <c r="H149" s="83">
        <v>0.96587</v>
      </c>
      <c r="I149" s="83">
        <v>0.96587</v>
      </c>
      <c r="J149" s="83">
        <v>0.96587</v>
      </c>
      <c r="K149" s="83">
        <v>0.96587</v>
      </c>
      <c r="L149" s="83">
        <v>0.96587</v>
      </c>
      <c r="M149" s="83">
        <v>0.96587</v>
      </c>
      <c r="N149" s="83">
        <v>0.96587</v>
      </c>
      <c r="O149" s="83">
        <v>0.96587</v>
      </c>
      <c r="P149" s="83">
        <v>0.96587</v>
      </c>
      <c r="Q149" s="91">
        <f t="shared" si="21"/>
        <v>11.59044</v>
      </c>
      <c r="S149" s="71" t="s">
        <v>40</v>
      </c>
    </row>
    <row r="150" outlineLevel="1" spans="1:19">
      <c r="A150" s="159" t="s">
        <v>258</v>
      </c>
      <c r="B150" s="169">
        <v>6666020803</v>
      </c>
      <c r="C150" s="169" t="s">
        <v>298</v>
      </c>
      <c r="D150" s="169"/>
      <c r="E150" s="83">
        <v>0</v>
      </c>
      <c r="F150" s="83">
        <v>0</v>
      </c>
      <c r="G150" s="83">
        <v>0</v>
      </c>
      <c r="H150" s="83">
        <v>0</v>
      </c>
      <c r="I150" s="83">
        <v>0</v>
      </c>
      <c r="J150" s="83">
        <v>0</v>
      </c>
      <c r="K150" s="83">
        <v>0</v>
      </c>
      <c r="L150" s="83">
        <v>0</v>
      </c>
      <c r="M150" s="83">
        <v>0</v>
      </c>
      <c r="N150" s="83">
        <v>0</v>
      </c>
      <c r="O150" s="83">
        <v>0</v>
      </c>
      <c r="P150" s="83">
        <v>0</v>
      </c>
      <c r="Q150" s="91">
        <f t="shared" si="21"/>
        <v>0</v>
      </c>
      <c r="S150" s="71" t="s">
        <v>40</v>
      </c>
    </row>
    <row r="151" outlineLevel="1" spans="1:19">
      <c r="A151" s="159" t="s">
        <v>258</v>
      </c>
      <c r="B151" s="169">
        <v>6666021100</v>
      </c>
      <c r="C151" s="169" t="s">
        <v>299</v>
      </c>
      <c r="D151" s="169"/>
      <c r="E151" s="83">
        <v>1.10613</v>
      </c>
      <c r="F151" s="83">
        <v>1.10613</v>
      </c>
      <c r="G151" s="83">
        <v>1.10613</v>
      </c>
      <c r="H151" s="83">
        <v>1.10613</v>
      </c>
      <c r="I151" s="83">
        <v>1.10613</v>
      </c>
      <c r="J151" s="83">
        <v>1.10613</v>
      </c>
      <c r="K151" s="83">
        <v>1.10613</v>
      </c>
      <c r="L151" s="83">
        <v>1.10613</v>
      </c>
      <c r="M151" s="83">
        <v>1.10613</v>
      </c>
      <c r="N151" s="83">
        <v>1.10613</v>
      </c>
      <c r="O151" s="83">
        <v>1.10613</v>
      </c>
      <c r="P151" s="83">
        <v>1.10613</v>
      </c>
      <c r="Q151" s="91">
        <f t="shared" si="21"/>
        <v>13.27356</v>
      </c>
      <c r="S151" s="71" t="s">
        <v>40</v>
      </c>
    </row>
    <row r="152" outlineLevel="1" spans="1:19">
      <c r="A152" s="159" t="s">
        <v>258</v>
      </c>
      <c r="B152" s="169">
        <v>6666021102</v>
      </c>
      <c r="C152" s="169" t="s">
        <v>374</v>
      </c>
      <c r="D152" s="169"/>
      <c r="E152" s="83">
        <v>2.98412</v>
      </c>
      <c r="F152" s="83">
        <v>2.98412</v>
      </c>
      <c r="G152" s="83">
        <v>2.98412</v>
      </c>
      <c r="H152" s="83">
        <v>2.98412</v>
      </c>
      <c r="I152" s="83">
        <v>2.98412</v>
      </c>
      <c r="J152" s="83">
        <v>2.98412</v>
      </c>
      <c r="K152" s="83">
        <v>2.98412</v>
      </c>
      <c r="L152" s="83">
        <v>2.98412</v>
      </c>
      <c r="M152" s="83">
        <v>2.98412</v>
      </c>
      <c r="N152" s="83">
        <v>2.98412</v>
      </c>
      <c r="O152" s="83">
        <v>2.98412</v>
      </c>
      <c r="P152" s="83">
        <v>2.98412</v>
      </c>
      <c r="Q152" s="91">
        <f t="shared" si="21"/>
        <v>35.80944</v>
      </c>
      <c r="S152" s="71" t="s">
        <v>40</v>
      </c>
    </row>
    <row r="153" outlineLevel="1" spans="1:19">
      <c r="A153" s="159" t="s">
        <v>258</v>
      </c>
      <c r="B153" s="169">
        <v>6666021104</v>
      </c>
      <c r="C153" s="169" t="s">
        <v>300</v>
      </c>
      <c r="D153" s="169"/>
      <c r="E153" s="83">
        <v>0.56647</v>
      </c>
      <c r="F153" s="83">
        <v>0.56647</v>
      </c>
      <c r="G153" s="83">
        <v>0.56647</v>
      </c>
      <c r="H153" s="83">
        <v>0.56647</v>
      </c>
      <c r="I153" s="83">
        <v>0.56647</v>
      </c>
      <c r="J153" s="83">
        <v>0.56647</v>
      </c>
      <c r="K153" s="83">
        <v>0.56647</v>
      </c>
      <c r="L153" s="83">
        <v>0.56647</v>
      </c>
      <c r="M153" s="83">
        <v>0.56647</v>
      </c>
      <c r="N153" s="83">
        <v>0.56647</v>
      </c>
      <c r="O153" s="83">
        <v>0.56647</v>
      </c>
      <c r="P153" s="83">
        <v>0.56647</v>
      </c>
      <c r="Q153" s="91">
        <f t="shared" si="21"/>
        <v>6.79764</v>
      </c>
      <c r="S153" s="71" t="s">
        <v>40</v>
      </c>
    </row>
    <row r="154" outlineLevel="1" spans="1:19">
      <c r="A154" s="159" t="s">
        <v>258</v>
      </c>
      <c r="B154" s="169">
        <v>6666021103</v>
      </c>
      <c r="C154" s="169" t="s">
        <v>375</v>
      </c>
      <c r="D154" s="169"/>
      <c r="E154" s="83">
        <v>3.84972</v>
      </c>
      <c r="F154" s="83">
        <v>3.84972</v>
      </c>
      <c r="G154" s="83">
        <v>3.84972</v>
      </c>
      <c r="H154" s="83">
        <v>3.84972</v>
      </c>
      <c r="I154" s="83">
        <v>3.84972</v>
      </c>
      <c r="J154" s="83">
        <v>3.84972</v>
      </c>
      <c r="K154" s="83">
        <v>3.84972</v>
      </c>
      <c r="L154" s="83">
        <v>3.84972</v>
      </c>
      <c r="M154" s="83">
        <v>3.84972</v>
      </c>
      <c r="N154" s="83">
        <v>3.84972</v>
      </c>
      <c r="O154" s="83">
        <v>3.84972</v>
      </c>
      <c r="P154" s="83">
        <v>3.84972</v>
      </c>
      <c r="Q154" s="91">
        <f t="shared" si="21"/>
        <v>46.19664</v>
      </c>
      <c r="S154" s="71" t="s">
        <v>40</v>
      </c>
    </row>
    <row r="155" outlineLevel="1" spans="1:19">
      <c r="A155" s="159" t="s">
        <v>258</v>
      </c>
      <c r="B155" s="169">
        <v>6666021300</v>
      </c>
      <c r="C155" s="169" t="s">
        <v>376</v>
      </c>
      <c r="D155" s="169"/>
      <c r="E155" s="83">
        <v>3.67549</v>
      </c>
      <c r="F155" s="83">
        <v>3.67549</v>
      </c>
      <c r="G155" s="83">
        <v>3.67549</v>
      </c>
      <c r="H155" s="83">
        <v>3.67549</v>
      </c>
      <c r="I155" s="83">
        <v>3.67549</v>
      </c>
      <c r="J155" s="83">
        <v>3.67549</v>
      </c>
      <c r="K155" s="83">
        <v>3.67549</v>
      </c>
      <c r="L155" s="83">
        <v>3.67549</v>
      </c>
      <c r="M155" s="83">
        <v>3.67549</v>
      </c>
      <c r="N155" s="83">
        <v>3.67549</v>
      </c>
      <c r="O155" s="83">
        <v>3.67549</v>
      </c>
      <c r="P155" s="83">
        <v>3.67549</v>
      </c>
      <c r="Q155" s="91">
        <f t="shared" si="21"/>
        <v>44.10588</v>
      </c>
      <c r="S155" s="71" t="s">
        <v>40</v>
      </c>
    </row>
    <row r="156" outlineLevel="1" spans="1:19">
      <c r="A156" s="159" t="s">
        <v>258</v>
      </c>
      <c r="B156" s="169">
        <v>6666021902</v>
      </c>
      <c r="C156" s="169" t="s">
        <v>301</v>
      </c>
      <c r="D156" s="169"/>
      <c r="E156" s="83">
        <v>4.20465</v>
      </c>
      <c r="F156" s="83">
        <v>4.20465</v>
      </c>
      <c r="G156" s="83">
        <v>4.20465</v>
      </c>
      <c r="H156" s="83">
        <v>4.20465</v>
      </c>
      <c r="I156" s="83">
        <v>4.20465</v>
      </c>
      <c r="J156" s="83">
        <v>4.20465</v>
      </c>
      <c r="K156" s="83">
        <v>4.20465</v>
      </c>
      <c r="L156" s="83">
        <v>4.20465</v>
      </c>
      <c r="M156" s="83">
        <v>4.20465</v>
      </c>
      <c r="N156" s="83">
        <v>4.20465</v>
      </c>
      <c r="O156" s="83">
        <v>4.20465</v>
      </c>
      <c r="P156" s="83">
        <v>4.20465</v>
      </c>
      <c r="Q156" s="91">
        <f t="shared" si="21"/>
        <v>50.4558</v>
      </c>
      <c r="S156" s="71" t="s">
        <v>40</v>
      </c>
    </row>
    <row r="157" outlineLevel="1" spans="1:19">
      <c r="A157" s="159" t="s">
        <v>258</v>
      </c>
      <c r="B157" s="169">
        <v>6666022100</v>
      </c>
      <c r="C157" s="169" t="s">
        <v>302</v>
      </c>
      <c r="D157" s="169"/>
      <c r="E157" s="83">
        <v>0.56993</v>
      </c>
      <c r="F157" s="83">
        <v>0.56993</v>
      </c>
      <c r="G157" s="83">
        <v>0.56993</v>
      </c>
      <c r="H157" s="83">
        <v>0.56993</v>
      </c>
      <c r="I157" s="83">
        <v>0.56993</v>
      </c>
      <c r="J157" s="83">
        <v>0.56993</v>
      </c>
      <c r="K157" s="83">
        <v>0.56993</v>
      </c>
      <c r="L157" s="83">
        <v>0.56993</v>
      </c>
      <c r="M157" s="83">
        <v>0.56993</v>
      </c>
      <c r="N157" s="83">
        <v>0.56993</v>
      </c>
      <c r="O157" s="83">
        <v>0.56993</v>
      </c>
      <c r="P157" s="83">
        <v>0.56993</v>
      </c>
      <c r="Q157" s="91">
        <f t="shared" si="21"/>
        <v>6.83916</v>
      </c>
      <c r="S157" s="71" t="s">
        <v>40</v>
      </c>
    </row>
    <row r="158" outlineLevel="1" spans="1:19">
      <c r="A158" s="159" t="s">
        <v>232</v>
      </c>
      <c r="B158" s="169">
        <v>6666022300</v>
      </c>
      <c r="C158" s="169" t="s">
        <v>303</v>
      </c>
      <c r="D158" s="169"/>
      <c r="E158" s="83">
        <v>6.39185312156346</v>
      </c>
      <c r="F158" s="83">
        <v>6.39185312156341</v>
      </c>
      <c r="G158" s="83">
        <v>6.39185312156344</v>
      </c>
      <c r="H158" s="83">
        <v>6.39185312156344</v>
      </c>
      <c r="I158" s="83">
        <v>6.39185312156343</v>
      </c>
      <c r="J158" s="83">
        <v>6.39185312156341</v>
      </c>
      <c r="K158" s="83">
        <v>6.39185312156353</v>
      </c>
      <c r="L158" s="83">
        <v>6.39185312156347</v>
      </c>
      <c r="M158" s="83">
        <v>6.39185312156353</v>
      </c>
      <c r="N158" s="83">
        <v>6.39185312156352</v>
      </c>
      <c r="O158" s="83">
        <v>6.39185312156345</v>
      </c>
      <c r="P158" s="83">
        <v>6.39185312156343</v>
      </c>
      <c r="Q158" s="91">
        <f t="shared" si="21"/>
        <v>76.7022374587615</v>
      </c>
      <c r="R158" s="71" t="s">
        <v>39</v>
      </c>
      <c r="S158" s="71" t="s">
        <v>40</v>
      </c>
    </row>
    <row r="159" outlineLevel="1" spans="1:19">
      <c r="A159" s="159" t="s">
        <v>258</v>
      </c>
      <c r="B159" s="169">
        <v>6666029900</v>
      </c>
      <c r="C159" s="169" t="s">
        <v>305</v>
      </c>
      <c r="D159" s="169"/>
      <c r="E159" s="83">
        <v>0</v>
      </c>
      <c r="F159" s="83">
        <v>0</v>
      </c>
      <c r="G159" s="83">
        <v>0</v>
      </c>
      <c r="H159" s="83">
        <v>0</v>
      </c>
      <c r="I159" s="83">
        <v>0</v>
      </c>
      <c r="J159" s="83">
        <v>0</v>
      </c>
      <c r="K159" s="83">
        <v>0</v>
      </c>
      <c r="L159" s="83">
        <v>0</v>
      </c>
      <c r="M159" s="83">
        <v>0</v>
      </c>
      <c r="N159" s="83">
        <v>0</v>
      </c>
      <c r="O159" s="83">
        <v>0</v>
      </c>
      <c r="P159" s="83">
        <v>0</v>
      </c>
      <c r="Q159" s="91">
        <f t="shared" si="21"/>
        <v>0</v>
      </c>
      <c r="S159" s="71" t="s">
        <v>40</v>
      </c>
    </row>
    <row r="160" outlineLevel="1" spans="1:19">
      <c r="A160" s="159" t="s">
        <v>258</v>
      </c>
      <c r="B160" s="169">
        <v>6666029997</v>
      </c>
      <c r="C160" s="169" t="s">
        <v>307</v>
      </c>
      <c r="D160" s="169"/>
      <c r="E160" s="83">
        <v>0</v>
      </c>
      <c r="F160" s="83">
        <v>0</v>
      </c>
      <c r="G160" s="83">
        <v>0</v>
      </c>
      <c r="H160" s="83">
        <v>0</v>
      </c>
      <c r="I160" s="83">
        <v>0</v>
      </c>
      <c r="J160" s="83">
        <v>0</v>
      </c>
      <c r="K160" s="83">
        <v>0</v>
      </c>
      <c r="L160" s="83">
        <v>0</v>
      </c>
      <c r="M160" s="83">
        <v>0</v>
      </c>
      <c r="N160" s="83">
        <v>0</v>
      </c>
      <c r="O160" s="83">
        <v>0</v>
      </c>
      <c r="P160" s="83">
        <v>0</v>
      </c>
      <c r="Q160" s="91">
        <f t="shared" si="21"/>
        <v>0</v>
      </c>
      <c r="S160" s="71" t="s">
        <v>40</v>
      </c>
    </row>
    <row r="161" outlineLevel="1" spans="1:19">
      <c r="A161" s="159" t="s">
        <v>258</v>
      </c>
      <c r="B161" s="169">
        <v>6666031100</v>
      </c>
      <c r="C161" s="169" t="s">
        <v>377</v>
      </c>
      <c r="D161" s="169"/>
      <c r="E161" s="83">
        <v>0</v>
      </c>
      <c r="F161" s="83">
        <v>0</v>
      </c>
      <c r="G161" s="83">
        <v>0</v>
      </c>
      <c r="H161" s="83">
        <v>0</v>
      </c>
      <c r="I161" s="83">
        <v>0</v>
      </c>
      <c r="J161" s="83">
        <v>0</v>
      </c>
      <c r="K161" s="83">
        <v>0</v>
      </c>
      <c r="L161" s="83">
        <v>0</v>
      </c>
      <c r="M161" s="83">
        <v>0</v>
      </c>
      <c r="N161" s="83">
        <v>0</v>
      </c>
      <c r="O161" s="83">
        <v>0</v>
      </c>
      <c r="P161" s="83">
        <v>0</v>
      </c>
      <c r="Q161" s="91">
        <f t="shared" si="21"/>
        <v>0</v>
      </c>
      <c r="S161" s="71" t="s">
        <v>40</v>
      </c>
    </row>
    <row r="162" outlineLevel="1" spans="1:19">
      <c r="A162" s="159" t="s">
        <v>258</v>
      </c>
      <c r="B162" s="169">
        <v>6666050107</v>
      </c>
      <c r="C162" s="169" t="s">
        <v>310</v>
      </c>
      <c r="D162" s="169"/>
      <c r="E162" s="83">
        <v>0</v>
      </c>
      <c r="F162" s="83">
        <v>0</v>
      </c>
      <c r="G162" s="83">
        <v>0</v>
      </c>
      <c r="H162" s="83">
        <v>0</v>
      </c>
      <c r="I162" s="83">
        <v>0</v>
      </c>
      <c r="J162" s="83">
        <v>0</v>
      </c>
      <c r="K162" s="83">
        <v>0</v>
      </c>
      <c r="L162" s="83">
        <v>0</v>
      </c>
      <c r="M162" s="83">
        <v>0</v>
      </c>
      <c r="N162" s="83">
        <v>0</v>
      </c>
      <c r="O162" s="83">
        <v>0</v>
      </c>
      <c r="P162" s="83">
        <v>0</v>
      </c>
      <c r="Q162" s="91">
        <f t="shared" si="21"/>
        <v>0</v>
      </c>
      <c r="S162" s="71" t="s">
        <v>40</v>
      </c>
    </row>
    <row r="163" outlineLevel="1" spans="1:19">
      <c r="A163" s="159" t="s">
        <v>258</v>
      </c>
      <c r="B163" s="169">
        <v>6666079999</v>
      </c>
      <c r="C163" s="169" t="s">
        <v>378</v>
      </c>
      <c r="D163" s="169"/>
      <c r="E163" s="83">
        <v>94.9699</v>
      </c>
      <c r="F163" s="83">
        <v>94.9699</v>
      </c>
      <c r="G163" s="83">
        <v>94.9699</v>
      </c>
      <c r="H163" s="83">
        <v>94.9699</v>
      </c>
      <c r="I163" s="83">
        <v>94.9699</v>
      </c>
      <c r="J163" s="83">
        <v>94.9699</v>
      </c>
      <c r="K163" s="83">
        <v>94.9699</v>
      </c>
      <c r="L163" s="83">
        <v>94.9699</v>
      </c>
      <c r="M163" s="83">
        <v>94.9699</v>
      </c>
      <c r="N163" s="83">
        <v>94.9699</v>
      </c>
      <c r="O163" s="83">
        <v>94.9699</v>
      </c>
      <c r="P163" s="83">
        <v>94.9699</v>
      </c>
      <c r="Q163" s="91">
        <f t="shared" si="21"/>
        <v>1139.6388</v>
      </c>
      <c r="R163" s="71" t="s">
        <v>38</v>
      </c>
      <c r="S163" s="71" t="s">
        <v>40</v>
      </c>
    </row>
    <row r="164" outlineLevel="1" spans="1:19">
      <c r="A164" s="159" t="s">
        <v>258</v>
      </c>
      <c r="B164" s="169">
        <v>6666090100</v>
      </c>
      <c r="C164" s="169" t="s">
        <v>379</v>
      </c>
      <c r="D164" s="169"/>
      <c r="E164" s="83">
        <v>0</v>
      </c>
      <c r="F164" s="83">
        <v>0</v>
      </c>
      <c r="G164" s="83">
        <v>0</v>
      </c>
      <c r="H164" s="83">
        <v>0</v>
      </c>
      <c r="I164" s="83">
        <v>0</v>
      </c>
      <c r="J164" s="83">
        <v>0</v>
      </c>
      <c r="K164" s="83">
        <v>0</v>
      </c>
      <c r="L164" s="83">
        <v>0</v>
      </c>
      <c r="M164" s="83">
        <v>0</v>
      </c>
      <c r="N164" s="83">
        <v>0</v>
      </c>
      <c r="O164" s="83">
        <v>0</v>
      </c>
      <c r="P164" s="83">
        <v>0</v>
      </c>
      <c r="Q164" s="91">
        <f t="shared" si="21"/>
        <v>0</v>
      </c>
      <c r="S164" s="71" t="s">
        <v>40</v>
      </c>
    </row>
    <row r="165" outlineLevel="1" spans="1:19">
      <c r="A165" s="159" t="s">
        <v>258</v>
      </c>
      <c r="B165" s="169">
        <v>6666093800</v>
      </c>
      <c r="C165" s="169" t="s">
        <v>380</v>
      </c>
      <c r="D165" s="169"/>
      <c r="E165" s="83">
        <v>0</v>
      </c>
      <c r="F165" s="83">
        <v>0</v>
      </c>
      <c r="G165" s="83">
        <v>0</v>
      </c>
      <c r="H165" s="83">
        <v>0</v>
      </c>
      <c r="I165" s="83">
        <v>0</v>
      </c>
      <c r="J165" s="83">
        <v>0</v>
      </c>
      <c r="K165" s="83">
        <v>0</v>
      </c>
      <c r="L165" s="83">
        <v>0</v>
      </c>
      <c r="M165" s="83">
        <v>0</v>
      </c>
      <c r="N165" s="83">
        <v>0</v>
      </c>
      <c r="O165" s="83">
        <v>0</v>
      </c>
      <c r="P165" s="83">
        <v>0</v>
      </c>
      <c r="Q165" s="91">
        <f t="shared" si="21"/>
        <v>0</v>
      </c>
      <c r="S165" s="71" t="s">
        <v>40</v>
      </c>
    </row>
    <row r="166" outlineLevel="1" spans="1:19">
      <c r="A166" s="159" t="s">
        <v>258</v>
      </c>
      <c r="B166" s="169">
        <v>6666021400</v>
      </c>
      <c r="C166" s="169" t="s">
        <v>381</v>
      </c>
      <c r="D166" s="169"/>
      <c r="E166" s="83">
        <v>0.67634</v>
      </c>
      <c r="F166" s="83">
        <v>0.67634</v>
      </c>
      <c r="G166" s="83">
        <v>0.67634</v>
      </c>
      <c r="H166" s="83">
        <v>0.67634</v>
      </c>
      <c r="I166" s="83">
        <v>0.67634</v>
      </c>
      <c r="J166" s="83">
        <v>0.67634</v>
      </c>
      <c r="K166" s="83">
        <v>0.67634</v>
      </c>
      <c r="L166" s="83">
        <v>0.67634</v>
      </c>
      <c r="M166" s="83">
        <v>0.67634</v>
      </c>
      <c r="N166" s="83">
        <v>0.67634</v>
      </c>
      <c r="O166" s="83">
        <v>0.67634</v>
      </c>
      <c r="P166" s="83">
        <v>0.67634</v>
      </c>
      <c r="Q166" s="91">
        <f t="shared" si="21"/>
        <v>8.11608</v>
      </c>
      <c r="S166" s="71" t="s">
        <v>40</v>
      </c>
    </row>
    <row r="167" s="156" customFormat="1" spans="1:18">
      <c r="A167" s="159"/>
      <c r="B167" s="170" t="s">
        <v>382</v>
      </c>
      <c r="C167" s="171" t="s">
        <v>267</v>
      </c>
      <c r="D167" s="172"/>
      <c r="E167" s="87">
        <f t="shared" ref="E167:Q167" si="22">SUM(E130:E166)</f>
        <v>154.833653121563</v>
      </c>
      <c r="F167" s="88">
        <f t="shared" si="22"/>
        <v>154.833653121563</v>
      </c>
      <c r="G167" s="88">
        <f t="shared" si="22"/>
        <v>154.833653121563</v>
      </c>
      <c r="H167" s="88">
        <f t="shared" si="22"/>
        <v>154.833653121563</v>
      </c>
      <c r="I167" s="88">
        <f t="shared" si="22"/>
        <v>154.833653121563</v>
      </c>
      <c r="J167" s="88">
        <f t="shared" si="22"/>
        <v>154.833653121563</v>
      </c>
      <c r="K167" s="88">
        <f t="shared" si="22"/>
        <v>154.833653121564</v>
      </c>
      <c r="L167" s="88">
        <f t="shared" si="22"/>
        <v>154.833653121563</v>
      </c>
      <c r="M167" s="88">
        <f t="shared" si="22"/>
        <v>154.833653121564</v>
      </c>
      <c r="N167" s="88">
        <f t="shared" si="22"/>
        <v>154.833653121564</v>
      </c>
      <c r="O167" s="88">
        <f t="shared" si="22"/>
        <v>154.833653121563</v>
      </c>
      <c r="P167" s="88">
        <f t="shared" si="22"/>
        <v>154.833653121563</v>
      </c>
      <c r="Q167" s="87">
        <f t="shared" si="22"/>
        <v>1858.00383745876</v>
      </c>
      <c r="R167" s="71"/>
    </row>
    <row r="168" outlineLevel="1" spans="1:19">
      <c r="A168" s="173" t="s">
        <v>258</v>
      </c>
      <c r="B168" s="182">
        <v>5102040000</v>
      </c>
      <c r="C168" s="160" t="s">
        <v>319</v>
      </c>
      <c r="E168" s="107">
        <v>0</v>
      </c>
      <c r="F168" s="107">
        <v>0</v>
      </c>
      <c r="G168" s="107">
        <v>0</v>
      </c>
      <c r="H168" s="107">
        <v>0</v>
      </c>
      <c r="I168" s="107">
        <v>0</v>
      </c>
      <c r="J168" s="107">
        <v>0</v>
      </c>
      <c r="K168" s="107">
        <v>0</v>
      </c>
      <c r="L168" s="107">
        <v>0</v>
      </c>
      <c r="M168" s="107">
        <v>0</v>
      </c>
      <c r="N168" s="107">
        <v>0</v>
      </c>
      <c r="O168" s="107">
        <v>0</v>
      </c>
      <c r="P168" s="107">
        <v>0</v>
      </c>
      <c r="Q168" s="108">
        <f>F168+E168+G168+H168+I168+J168+K168+L168+M168+N168+O168+P168</f>
        <v>0</v>
      </c>
      <c r="S168" s="71" t="s">
        <v>40</v>
      </c>
    </row>
    <row r="169" s="156" customFormat="1" spans="1:18">
      <c r="A169" s="159"/>
      <c r="B169" s="170" t="s">
        <v>383</v>
      </c>
      <c r="C169" s="171" t="s">
        <v>317</v>
      </c>
      <c r="D169" s="172"/>
      <c r="E169" s="87">
        <f>E168</f>
        <v>0</v>
      </c>
      <c r="F169" s="88">
        <f t="shared" ref="F169:Q169" si="23">+F168</f>
        <v>0</v>
      </c>
      <c r="G169" s="88">
        <f t="shared" si="23"/>
        <v>0</v>
      </c>
      <c r="H169" s="88">
        <f t="shared" si="23"/>
        <v>0</v>
      </c>
      <c r="I169" s="88">
        <f t="shared" si="23"/>
        <v>0</v>
      </c>
      <c r="J169" s="88">
        <f t="shared" si="23"/>
        <v>0</v>
      </c>
      <c r="K169" s="88">
        <f t="shared" si="23"/>
        <v>0</v>
      </c>
      <c r="L169" s="88">
        <f t="shared" si="23"/>
        <v>0</v>
      </c>
      <c r="M169" s="88">
        <f t="shared" si="23"/>
        <v>0</v>
      </c>
      <c r="N169" s="88">
        <f t="shared" si="23"/>
        <v>0</v>
      </c>
      <c r="O169" s="88">
        <f t="shared" si="23"/>
        <v>0</v>
      </c>
      <c r="P169" s="88">
        <f t="shared" si="23"/>
        <v>0</v>
      </c>
      <c r="Q169" s="87">
        <f t="shared" si="23"/>
        <v>0</v>
      </c>
      <c r="R169" s="71"/>
    </row>
    <row r="170" outlineLevel="1" spans="1:19">
      <c r="A170" s="173" t="s">
        <v>258</v>
      </c>
      <c r="B170" s="182">
        <v>6666021600</v>
      </c>
      <c r="C170" s="160" t="s">
        <v>331</v>
      </c>
      <c r="E170" s="107">
        <v>1.42679</v>
      </c>
      <c r="F170" s="107">
        <v>1.42679</v>
      </c>
      <c r="G170" s="107">
        <v>1.42679</v>
      </c>
      <c r="H170" s="107">
        <v>1.42679</v>
      </c>
      <c r="I170" s="107">
        <v>1.42679</v>
      </c>
      <c r="J170" s="107">
        <v>1.42679</v>
      </c>
      <c r="K170" s="107">
        <v>1.42679</v>
      </c>
      <c r="L170" s="107">
        <v>1.42679</v>
      </c>
      <c r="M170" s="107">
        <v>1.42679</v>
      </c>
      <c r="N170" s="107">
        <v>1.42679</v>
      </c>
      <c r="O170" s="107">
        <v>1.42679</v>
      </c>
      <c r="P170" s="107">
        <v>1.42679</v>
      </c>
      <c r="Q170" s="108">
        <f>F170+E170+G170+H170+I170+J170+K170+L170+M170+N170+O170+P170</f>
        <v>17.12148</v>
      </c>
      <c r="S170" s="71" t="s">
        <v>40</v>
      </c>
    </row>
    <row r="171" outlineLevel="1" spans="1:19">
      <c r="A171" s="173" t="s">
        <v>258</v>
      </c>
      <c r="B171" s="182">
        <v>6666021604</v>
      </c>
      <c r="C171" s="160" t="s">
        <v>335</v>
      </c>
      <c r="E171" s="107">
        <v>0</v>
      </c>
      <c r="F171" s="107">
        <v>0</v>
      </c>
      <c r="G171" s="107">
        <v>0</v>
      </c>
      <c r="H171" s="107">
        <v>0</v>
      </c>
      <c r="I171" s="107">
        <v>0</v>
      </c>
      <c r="J171" s="107">
        <v>0</v>
      </c>
      <c r="K171" s="107">
        <v>0</v>
      </c>
      <c r="L171" s="107">
        <v>0</v>
      </c>
      <c r="M171" s="107">
        <v>0</v>
      </c>
      <c r="N171" s="107">
        <v>0</v>
      </c>
      <c r="O171" s="107">
        <v>0</v>
      </c>
      <c r="P171" s="107">
        <v>0</v>
      </c>
      <c r="Q171" s="108">
        <f>F171+E171+G171+H171+I171+J171+K171+L171+M171+N171+O171+P171</f>
        <v>0</v>
      </c>
      <c r="S171" s="71" t="s">
        <v>40</v>
      </c>
    </row>
    <row r="172" s="156" customFormat="1" spans="1:18">
      <c r="A172" s="159"/>
      <c r="B172" s="170" t="s">
        <v>383</v>
      </c>
      <c r="C172" s="171" t="s">
        <v>332</v>
      </c>
      <c r="D172" s="172"/>
      <c r="E172" s="87">
        <f>SUM(E170:E171)</f>
        <v>1.42679</v>
      </c>
      <c r="F172" s="88">
        <f>+F170</f>
        <v>1.42679</v>
      </c>
      <c r="G172" s="88">
        <f>+G170</f>
        <v>1.42679</v>
      </c>
      <c r="H172" s="88">
        <f>+H170</f>
        <v>1.42679</v>
      </c>
      <c r="I172" s="88">
        <f>+I170</f>
        <v>1.42679</v>
      </c>
      <c r="J172" s="88">
        <f>+J170</f>
        <v>1.42679</v>
      </c>
      <c r="K172" s="88">
        <f t="shared" ref="K172:Q172" si="24">+SUM(K170:K171)</f>
        <v>1.42679</v>
      </c>
      <c r="L172" s="88">
        <f t="shared" si="24"/>
        <v>1.42679</v>
      </c>
      <c r="M172" s="88">
        <f t="shared" si="24"/>
        <v>1.42679</v>
      </c>
      <c r="N172" s="88">
        <f t="shared" si="24"/>
        <v>1.42679</v>
      </c>
      <c r="O172" s="88">
        <f t="shared" si="24"/>
        <v>1.42679</v>
      </c>
      <c r="P172" s="88">
        <f t="shared" si="24"/>
        <v>1.42679</v>
      </c>
      <c r="Q172" s="87">
        <f t="shared" si="24"/>
        <v>17.12148</v>
      </c>
      <c r="R172" s="71"/>
    </row>
    <row r="173" outlineLevel="2" spans="1:19">
      <c r="A173" s="173" t="s">
        <v>258</v>
      </c>
      <c r="B173" s="182">
        <v>6666010012</v>
      </c>
      <c r="C173" s="160" t="s">
        <v>342</v>
      </c>
      <c r="E173" s="107">
        <v>0</v>
      </c>
      <c r="F173" s="107">
        <v>0</v>
      </c>
      <c r="G173" s="107">
        <v>0</v>
      </c>
      <c r="H173" s="107">
        <v>0</v>
      </c>
      <c r="I173" s="107">
        <v>0</v>
      </c>
      <c r="J173" s="107">
        <v>0</v>
      </c>
      <c r="K173" s="107">
        <v>0</v>
      </c>
      <c r="L173" s="107">
        <v>0</v>
      </c>
      <c r="M173" s="107">
        <v>0</v>
      </c>
      <c r="N173" s="107">
        <v>0</v>
      </c>
      <c r="O173" s="107">
        <v>0</v>
      </c>
      <c r="P173" s="107">
        <v>0</v>
      </c>
      <c r="Q173" s="108">
        <f>F173+E173+G173+H173+I173+J173+K173+L173+M173+N173+O173+P173</f>
        <v>0</v>
      </c>
      <c r="S173" s="71" t="s">
        <v>40</v>
      </c>
    </row>
    <row r="174" outlineLevel="2" spans="1:19">
      <c r="A174" s="173" t="s">
        <v>258</v>
      </c>
      <c r="B174" s="182">
        <v>6666010102</v>
      </c>
      <c r="C174" s="160" t="s">
        <v>384</v>
      </c>
      <c r="E174" s="107">
        <v>0</v>
      </c>
      <c r="F174" s="107">
        <v>0</v>
      </c>
      <c r="G174" s="107">
        <v>0</v>
      </c>
      <c r="H174" s="107">
        <v>0</v>
      </c>
      <c r="I174" s="107">
        <v>0</v>
      </c>
      <c r="J174" s="107">
        <v>0</v>
      </c>
      <c r="K174" s="107">
        <v>0</v>
      </c>
      <c r="L174" s="107">
        <v>0</v>
      </c>
      <c r="M174" s="107">
        <v>0</v>
      </c>
      <c r="N174" s="107">
        <v>0</v>
      </c>
      <c r="O174" s="107">
        <v>0</v>
      </c>
      <c r="P174" s="107">
        <v>0</v>
      </c>
      <c r="Q174" s="108">
        <f>F174+E174+G174+H174+I174+J174+K174+L174+M174+N174+O174+P174</f>
        <v>0</v>
      </c>
      <c r="S174" s="71" t="s">
        <v>40</v>
      </c>
    </row>
    <row r="175" s="156" customFormat="1" spans="1:18">
      <c r="A175" s="159"/>
      <c r="B175" s="170" t="s">
        <v>385</v>
      </c>
      <c r="C175" s="171" t="s">
        <v>337</v>
      </c>
      <c r="D175" s="172"/>
      <c r="E175" s="87">
        <f t="shared" ref="E175:P175" si="25">SUM(E173:E174)</f>
        <v>0</v>
      </c>
      <c r="F175" s="88">
        <f t="shared" si="25"/>
        <v>0</v>
      </c>
      <c r="G175" s="88">
        <f t="shared" si="25"/>
        <v>0</v>
      </c>
      <c r="H175" s="88">
        <f t="shared" si="25"/>
        <v>0</v>
      </c>
      <c r="I175" s="88">
        <f t="shared" si="25"/>
        <v>0</v>
      </c>
      <c r="J175" s="88">
        <f t="shared" si="25"/>
        <v>0</v>
      </c>
      <c r="K175" s="88">
        <f t="shared" si="25"/>
        <v>0</v>
      </c>
      <c r="L175" s="88">
        <f t="shared" si="25"/>
        <v>0</v>
      </c>
      <c r="M175" s="88">
        <f t="shared" si="25"/>
        <v>0</v>
      </c>
      <c r="N175" s="88">
        <f t="shared" si="25"/>
        <v>0</v>
      </c>
      <c r="O175" s="88">
        <f t="shared" si="25"/>
        <v>0</v>
      </c>
      <c r="P175" s="88">
        <f t="shared" si="25"/>
        <v>0</v>
      </c>
      <c r="Q175" s="87">
        <f>+SUM(Q173:Q174)</f>
        <v>0</v>
      </c>
      <c r="R175" s="71"/>
    </row>
    <row r="176" outlineLevel="2" spans="1:19">
      <c r="A176" s="173" t="s">
        <v>258</v>
      </c>
      <c r="B176" s="182">
        <v>6666010196</v>
      </c>
      <c r="C176" s="160" t="s">
        <v>346</v>
      </c>
      <c r="E176" s="107">
        <v>0</v>
      </c>
      <c r="F176" s="107">
        <v>0</v>
      </c>
      <c r="G176" s="107">
        <v>0</v>
      </c>
      <c r="H176" s="107">
        <v>0</v>
      </c>
      <c r="I176" s="107">
        <v>0</v>
      </c>
      <c r="J176" s="107">
        <v>0</v>
      </c>
      <c r="K176" s="107">
        <v>0</v>
      </c>
      <c r="L176" s="107">
        <v>0</v>
      </c>
      <c r="M176" s="107">
        <v>0</v>
      </c>
      <c r="N176" s="107">
        <v>0</v>
      </c>
      <c r="O176" s="107">
        <v>0</v>
      </c>
      <c r="P176" s="107">
        <v>0</v>
      </c>
      <c r="Q176" s="108">
        <f>F176+E176+G176+H176+I176+J176+K176+L176+M176+N176+O176+P176</f>
        <v>0</v>
      </c>
      <c r="S176" s="71" t="s">
        <v>40</v>
      </c>
    </row>
    <row r="177" outlineLevel="2" spans="1:19">
      <c r="A177" s="173" t="s">
        <v>258</v>
      </c>
      <c r="B177" s="182">
        <v>6666010101</v>
      </c>
      <c r="C177" s="160" t="s">
        <v>349</v>
      </c>
      <c r="E177" s="107">
        <v>53.87238</v>
      </c>
      <c r="F177" s="107">
        <v>53.87238</v>
      </c>
      <c r="G177" s="107">
        <v>53.87238</v>
      </c>
      <c r="H177" s="107">
        <v>53.87238</v>
      </c>
      <c r="I177" s="107">
        <v>53.87238</v>
      </c>
      <c r="J177" s="107">
        <v>53.87238</v>
      </c>
      <c r="K177" s="107">
        <v>53.87238</v>
      </c>
      <c r="L177" s="107">
        <v>53.87238</v>
      </c>
      <c r="M177" s="107">
        <v>53.87238</v>
      </c>
      <c r="N177" s="107">
        <v>53.87238</v>
      </c>
      <c r="O177" s="107">
        <v>53.87238</v>
      </c>
      <c r="P177" s="107">
        <v>53.87238</v>
      </c>
      <c r="Q177" s="108">
        <f>F177+E177+G177+H177+I177+J177+K177+L177+M177+N177+O177+P177</f>
        <v>646.46856</v>
      </c>
      <c r="S177" s="71" t="s">
        <v>40</v>
      </c>
    </row>
    <row r="178" outlineLevel="2" spans="1:19">
      <c r="A178" s="173" t="s">
        <v>258</v>
      </c>
      <c r="B178" s="182">
        <v>6666010199</v>
      </c>
      <c r="C178" s="160" t="s">
        <v>350</v>
      </c>
      <c r="E178" s="107">
        <v>0</v>
      </c>
      <c r="F178" s="107">
        <v>0</v>
      </c>
      <c r="G178" s="107">
        <v>0</v>
      </c>
      <c r="H178" s="107">
        <v>0</v>
      </c>
      <c r="I178" s="107">
        <v>0</v>
      </c>
      <c r="J178" s="107">
        <v>0</v>
      </c>
      <c r="K178" s="107">
        <v>0</v>
      </c>
      <c r="L178" s="107">
        <v>0</v>
      </c>
      <c r="M178" s="107">
        <v>0</v>
      </c>
      <c r="N178" s="107">
        <v>0</v>
      </c>
      <c r="O178" s="107">
        <v>0</v>
      </c>
      <c r="P178" s="107">
        <v>0</v>
      </c>
      <c r="Q178" s="108">
        <f>F178+E178+G178+H178+I178+J178+K178+L178+M178+N178+O178+P178</f>
        <v>0</v>
      </c>
      <c r="S178" s="71" t="s">
        <v>40</v>
      </c>
    </row>
    <row r="179" outlineLevel="2" spans="1:19">
      <c r="A179" s="173" t="s">
        <v>258</v>
      </c>
      <c r="B179" s="182">
        <v>6666010207</v>
      </c>
      <c r="C179" s="160" t="s">
        <v>352</v>
      </c>
      <c r="E179" s="107">
        <v>0</v>
      </c>
      <c r="F179" s="107">
        <v>0</v>
      </c>
      <c r="G179" s="107">
        <v>0</v>
      </c>
      <c r="H179" s="107">
        <v>0</v>
      </c>
      <c r="I179" s="107">
        <v>0</v>
      </c>
      <c r="J179" s="107">
        <v>0</v>
      </c>
      <c r="K179" s="107">
        <v>0</v>
      </c>
      <c r="L179" s="107">
        <v>0</v>
      </c>
      <c r="M179" s="107">
        <v>0</v>
      </c>
      <c r="N179" s="107">
        <v>0</v>
      </c>
      <c r="O179" s="107">
        <v>0</v>
      </c>
      <c r="P179" s="107">
        <v>0</v>
      </c>
      <c r="Q179" s="108">
        <f>F179+E179+G179+H179+I179+J179+K179+L179+M179+N179+O179+P179</f>
        <v>0</v>
      </c>
      <c r="S179" s="71" t="s">
        <v>40</v>
      </c>
    </row>
    <row r="180" outlineLevel="2" spans="1:19">
      <c r="A180" s="173" t="s">
        <v>258</v>
      </c>
      <c r="B180" s="182">
        <v>6666010227</v>
      </c>
      <c r="C180" s="160" t="s">
        <v>386</v>
      </c>
      <c r="E180" s="107">
        <v>0</v>
      </c>
      <c r="F180" s="107">
        <v>0</v>
      </c>
      <c r="G180" s="107">
        <v>0</v>
      </c>
      <c r="H180" s="107">
        <v>0</v>
      </c>
      <c r="I180" s="107">
        <v>0</v>
      </c>
      <c r="J180" s="107">
        <v>0</v>
      </c>
      <c r="K180" s="107">
        <v>0</v>
      </c>
      <c r="L180" s="107">
        <v>0</v>
      </c>
      <c r="M180" s="107">
        <v>0</v>
      </c>
      <c r="N180" s="107">
        <v>0</v>
      </c>
      <c r="O180" s="107">
        <v>0</v>
      </c>
      <c r="P180" s="107">
        <v>0</v>
      </c>
      <c r="Q180" s="108">
        <f>F180+E180+G180+H180+I180+J180+K180+L180+M180+N180+O180+P180</f>
        <v>0</v>
      </c>
      <c r="S180" s="71" t="s">
        <v>40</v>
      </c>
    </row>
    <row r="181" s="156" customFormat="1" spans="1:18">
      <c r="A181" s="159"/>
      <c r="B181" s="170" t="s">
        <v>387</v>
      </c>
      <c r="C181" s="171" t="s">
        <v>347</v>
      </c>
      <c r="D181" s="172"/>
      <c r="E181" s="87">
        <f t="shared" ref="E181:Q181" si="26">SUM(E176:E180)</f>
        <v>53.87238</v>
      </c>
      <c r="F181" s="88">
        <f t="shared" si="26"/>
        <v>53.87238</v>
      </c>
      <c r="G181" s="88">
        <f t="shared" si="26"/>
        <v>53.87238</v>
      </c>
      <c r="H181" s="88">
        <f t="shared" si="26"/>
        <v>53.87238</v>
      </c>
      <c r="I181" s="88">
        <f t="shared" si="26"/>
        <v>53.87238</v>
      </c>
      <c r="J181" s="88">
        <f t="shared" si="26"/>
        <v>53.87238</v>
      </c>
      <c r="K181" s="88">
        <f t="shared" si="26"/>
        <v>53.87238</v>
      </c>
      <c r="L181" s="88">
        <f t="shared" si="26"/>
        <v>53.87238</v>
      </c>
      <c r="M181" s="88">
        <f t="shared" si="26"/>
        <v>53.87238</v>
      </c>
      <c r="N181" s="88">
        <f t="shared" si="26"/>
        <v>53.87238</v>
      </c>
      <c r="O181" s="88">
        <f t="shared" si="26"/>
        <v>53.87238</v>
      </c>
      <c r="P181" s="88">
        <f t="shared" si="26"/>
        <v>53.87238</v>
      </c>
      <c r="Q181" s="87">
        <f t="shared" si="26"/>
        <v>646.46856</v>
      </c>
      <c r="R181" s="71"/>
    </row>
    <row r="182" outlineLevel="2" spans="1:19">
      <c r="A182" s="173" t="s">
        <v>258</v>
      </c>
      <c r="B182" s="182">
        <v>6666010314</v>
      </c>
      <c r="C182" s="160" t="s">
        <v>357</v>
      </c>
      <c r="E182" s="107">
        <v>0.49185</v>
      </c>
      <c r="F182" s="107">
        <v>0.49185</v>
      </c>
      <c r="G182" s="107">
        <v>0.49185</v>
      </c>
      <c r="H182" s="107">
        <v>0.49185</v>
      </c>
      <c r="I182" s="107">
        <v>0.49185</v>
      </c>
      <c r="J182" s="107">
        <v>0.49185</v>
      </c>
      <c r="K182" s="107">
        <v>0.49185</v>
      </c>
      <c r="L182" s="107">
        <v>0.49185</v>
      </c>
      <c r="M182" s="107">
        <v>0.49185</v>
      </c>
      <c r="N182" s="107">
        <v>0.49185</v>
      </c>
      <c r="O182" s="107">
        <v>0.49185</v>
      </c>
      <c r="P182" s="107">
        <v>0.49185</v>
      </c>
      <c r="Q182" s="108">
        <f t="shared" ref="Q182:Q188" si="27">F182+E182+G182+H182+I182+J182+K182+L182+M182+N182+O182+P182</f>
        <v>5.9022</v>
      </c>
      <c r="S182" s="71" t="s">
        <v>40</v>
      </c>
    </row>
    <row r="183" outlineLevel="2" spans="1:19">
      <c r="A183" s="173" t="s">
        <v>258</v>
      </c>
      <c r="B183" s="182">
        <v>6666020401</v>
      </c>
      <c r="C183" s="160" t="s">
        <v>358</v>
      </c>
      <c r="E183" s="107">
        <v>1.58314</v>
      </c>
      <c r="F183" s="107">
        <v>1.59455</v>
      </c>
      <c r="G183" s="107">
        <v>1.59455</v>
      </c>
      <c r="H183" s="107">
        <v>1.59455</v>
      </c>
      <c r="I183" s="107">
        <v>1.6593</v>
      </c>
      <c r="J183" s="107">
        <v>1.57041</v>
      </c>
      <c r="K183" s="107">
        <v>1.73916</v>
      </c>
      <c r="L183" s="107">
        <v>1.73332</v>
      </c>
      <c r="M183" s="107">
        <v>1.73916</v>
      </c>
      <c r="N183" s="107">
        <v>1.72748</v>
      </c>
      <c r="O183" s="107">
        <v>1.78025</v>
      </c>
      <c r="P183" s="107">
        <v>1.77422</v>
      </c>
      <c r="Q183" s="108">
        <f t="shared" si="27"/>
        <v>20.09009</v>
      </c>
      <c r="S183" s="71" t="s">
        <v>40</v>
      </c>
    </row>
    <row r="184" outlineLevel="2" spans="1:19">
      <c r="A184" s="173" t="s">
        <v>258</v>
      </c>
      <c r="B184" s="182">
        <v>6666020502</v>
      </c>
      <c r="C184" s="160" t="s">
        <v>359</v>
      </c>
      <c r="E184" s="107">
        <v>2.17606</v>
      </c>
      <c r="F184" s="107">
        <v>2.2845</v>
      </c>
      <c r="G184" s="107">
        <v>2.2845</v>
      </c>
      <c r="H184" s="107">
        <v>2.2845</v>
      </c>
      <c r="I184" s="107">
        <v>2.30433</v>
      </c>
      <c r="J184" s="107">
        <v>1.98698</v>
      </c>
      <c r="K184" s="107">
        <v>2.60069</v>
      </c>
      <c r="L184" s="107">
        <v>2.5778</v>
      </c>
      <c r="M184" s="107">
        <v>2.60069</v>
      </c>
      <c r="N184" s="107">
        <v>2.55491</v>
      </c>
      <c r="O184" s="107">
        <v>2.5778</v>
      </c>
      <c r="P184" s="107">
        <v>2.55491</v>
      </c>
      <c r="Q184" s="108">
        <f t="shared" si="27"/>
        <v>28.78767</v>
      </c>
      <c r="S184" s="71" t="s">
        <v>40</v>
      </c>
    </row>
    <row r="185" outlineLevel="2" spans="1:19">
      <c r="A185" s="173" t="s">
        <v>258</v>
      </c>
      <c r="B185" s="182">
        <v>6666020503</v>
      </c>
      <c r="C185" s="160" t="s">
        <v>360</v>
      </c>
      <c r="E185" s="107">
        <v>0</v>
      </c>
      <c r="F185" s="107">
        <v>0</v>
      </c>
      <c r="G185" s="107">
        <v>0</v>
      </c>
      <c r="H185" s="107">
        <v>0</v>
      </c>
      <c r="I185" s="107">
        <v>0</v>
      </c>
      <c r="J185" s="107">
        <v>0</v>
      </c>
      <c r="K185" s="107">
        <v>0</v>
      </c>
      <c r="L185" s="107">
        <v>0</v>
      </c>
      <c r="M185" s="107">
        <v>0</v>
      </c>
      <c r="N185" s="107">
        <v>0</v>
      </c>
      <c r="O185" s="107">
        <v>0</v>
      </c>
      <c r="P185" s="107">
        <v>0</v>
      </c>
      <c r="Q185" s="108">
        <f t="shared" si="27"/>
        <v>0</v>
      </c>
      <c r="R185" s="109"/>
      <c r="S185" s="71" t="s">
        <v>40</v>
      </c>
    </row>
    <row r="186" outlineLevel="2" spans="1:19">
      <c r="A186" s="173" t="s">
        <v>258</v>
      </c>
      <c r="B186" s="182">
        <v>6666021502</v>
      </c>
      <c r="C186" s="160" t="s">
        <v>361</v>
      </c>
      <c r="E186" s="107">
        <v>0</v>
      </c>
      <c r="F186" s="107">
        <v>0</v>
      </c>
      <c r="G186" s="107">
        <v>0</v>
      </c>
      <c r="H186" s="107">
        <v>0</v>
      </c>
      <c r="I186" s="107">
        <v>0</v>
      </c>
      <c r="J186" s="107">
        <v>0</v>
      </c>
      <c r="K186" s="107">
        <v>0</v>
      </c>
      <c r="L186" s="107">
        <v>0</v>
      </c>
      <c r="M186" s="107">
        <v>0</v>
      </c>
      <c r="N186" s="107">
        <v>0</v>
      </c>
      <c r="O186" s="107">
        <v>0</v>
      </c>
      <c r="P186" s="107">
        <v>0</v>
      </c>
      <c r="Q186" s="108">
        <f t="shared" si="27"/>
        <v>0</v>
      </c>
      <c r="S186" s="71" t="s">
        <v>40</v>
      </c>
    </row>
    <row r="187" outlineLevel="2" spans="1:19">
      <c r="A187" s="173" t="s">
        <v>258</v>
      </c>
      <c r="B187" s="182">
        <v>6666021505</v>
      </c>
      <c r="C187" s="160" t="s">
        <v>388</v>
      </c>
      <c r="E187" s="107">
        <v>0</v>
      </c>
      <c r="F187" s="107">
        <v>0</v>
      </c>
      <c r="G187" s="107">
        <v>0</v>
      </c>
      <c r="H187" s="107">
        <v>0</v>
      </c>
      <c r="I187" s="107">
        <v>0</v>
      </c>
      <c r="J187" s="107">
        <v>0</v>
      </c>
      <c r="K187" s="107">
        <v>0</v>
      </c>
      <c r="L187" s="107">
        <v>0</v>
      </c>
      <c r="M187" s="107">
        <v>0</v>
      </c>
      <c r="N187" s="107">
        <v>0</v>
      </c>
      <c r="O187" s="107">
        <v>0</v>
      </c>
      <c r="P187" s="107">
        <v>0</v>
      </c>
      <c r="Q187" s="108">
        <f t="shared" si="27"/>
        <v>0</v>
      </c>
      <c r="S187" s="71" t="s">
        <v>40</v>
      </c>
    </row>
    <row r="188" outlineLevel="2" spans="1:19">
      <c r="A188" s="173" t="s">
        <v>258</v>
      </c>
      <c r="B188" s="182">
        <v>6666091600</v>
      </c>
      <c r="C188" s="160" t="s">
        <v>364</v>
      </c>
      <c r="E188" s="107">
        <v>0.41657</v>
      </c>
      <c r="F188" s="107">
        <v>0.41657</v>
      </c>
      <c r="G188" s="107">
        <v>0.41657</v>
      </c>
      <c r="H188" s="107">
        <v>0.41657</v>
      </c>
      <c r="I188" s="107">
        <v>0.41657</v>
      </c>
      <c r="J188" s="107">
        <v>0.41657</v>
      </c>
      <c r="K188" s="107">
        <v>0.41657</v>
      </c>
      <c r="L188" s="107">
        <v>0.41657</v>
      </c>
      <c r="M188" s="107">
        <v>0.41657</v>
      </c>
      <c r="N188" s="107">
        <v>0.41657</v>
      </c>
      <c r="O188" s="107">
        <v>0.41657</v>
      </c>
      <c r="P188" s="107">
        <v>0.41657</v>
      </c>
      <c r="Q188" s="108">
        <f t="shared" si="27"/>
        <v>4.99884</v>
      </c>
      <c r="S188" s="71" t="s">
        <v>40</v>
      </c>
    </row>
    <row r="189" s="156" customFormat="1" spans="1:18">
      <c r="A189" s="159"/>
      <c r="B189" s="170" t="s">
        <v>389</v>
      </c>
      <c r="C189" s="171" t="s">
        <v>355</v>
      </c>
      <c r="D189" s="172"/>
      <c r="E189" s="87">
        <f t="shared" ref="E189:Q189" si="28">SUM(E182:E188)</f>
        <v>4.66762</v>
      </c>
      <c r="F189" s="88">
        <f t="shared" si="28"/>
        <v>4.78747</v>
      </c>
      <c r="G189" s="88">
        <f t="shared" si="28"/>
        <v>4.78747</v>
      </c>
      <c r="H189" s="88">
        <f t="shared" si="28"/>
        <v>4.78747</v>
      </c>
      <c r="I189" s="88">
        <f t="shared" si="28"/>
        <v>4.87205</v>
      </c>
      <c r="J189" s="88">
        <f t="shared" si="28"/>
        <v>4.46581</v>
      </c>
      <c r="K189" s="88">
        <f t="shared" si="28"/>
        <v>5.24827</v>
      </c>
      <c r="L189" s="88">
        <f t="shared" si="28"/>
        <v>5.21954</v>
      </c>
      <c r="M189" s="88">
        <f t="shared" si="28"/>
        <v>5.24827</v>
      </c>
      <c r="N189" s="88">
        <f t="shared" si="28"/>
        <v>5.19081</v>
      </c>
      <c r="O189" s="88">
        <f t="shared" si="28"/>
        <v>5.26647</v>
      </c>
      <c r="P189" s="88">
        <f t="shared" si="28"/>
        <v>5.23755</v>
      </c>
      <c r="Q189" s="87">
        <f t="shared" si="28"/>
        <v>59.7788</v>
      </c>
      <c r="R189" s="71"/>
    </row>
    <row r="190" s="109" customFormat="1" spans="1:18">
      <c r="A190" s="173"/>
      <c r="B190" s="183"/>
      <c r="C190" s="184"/>
      <c r="D190" s="184" t="s">
        <v>390</v>
      </c>
      <c r="E190" s="112">
        <f>SUM(E189,E181,E175,E172,E169,E167,E129,E126)</f>
        <v>215.093523121563</v>
      </c>
      <c r="F190" s="112">
        <f t="shared" ref="F190:Q190" si="29">+F126+F129+F167+F169+F172+F175+F181+F189</f>
        <v>215.213373121563</v>
      </c>
      <c r="G190" s="113">
        <f t="shared" si="29"/>
        <v>215.213373121563</v>
      </c>
      <c r="H190" s="113">
        <f t="shared" si="29"/>
        <v>215.213373121563</v>
      </c>
      <c r="I190" s="113">
        <f t="shared" si="29"/>
        <v>215.297953121563</v>
      </c>
      <c r="J190" s="113">
        <f t="shared" si="29"/>
        <v>214.891713121563</v>
      </c>
      <c r="K190" s="113">
        <f t="shared" si="29"/>
        <v>215.674173121564</v>
      </c>
      <c r="L190" s="113">
        <f t="shared" si="29"/>
        <v>215.645443121563</v>
      </c>
      <c r="M190" s="113">
        <f t="shared" si="29"/>
        <v>215.674173121564</v>
      </c>
      <c r="N190" s="113">
        <f t="shared" si="29"/>
        <v>215.616713121564</v>
      </c>
      <c r="O190" s="113">
        <f t="shared" si="29"/>
        <v>215.692373121563</v>
      </c>
      <c r="P190" s="113">
        <f t="shared" si="29"/>
        <v>215.663453121563</v>
      </c>
      <c r="Q190" s="153">
        <f t="shared" si="29"/>
        <v>2584.88963745876</v>
      </c>
      <c r="R190" s="71" t="s">
        <v>37</v>
      </c>
    </row>
    <row r="191" spans="5:18">
      <c r="E191" s="99"/>
      <c r="F191" s="99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65"/>
    </row>
    <row r="192" spans="5:18">
      <c r="E192" s="99"/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65"/>
    </row>
    <row r="193" spans="5:18">
      <c r="E193" s="99"/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65"/>
    </row>
    <row r="194" s="109" customFormat="1" spans="1:18">
      <c r="A194" s="173"/>
      <c r="B194" s="185"/>
      <c r="C194" s="185"/>
      <c r="D194" s="185" t="s">
        <v>391</v>
      </c>
      <c r="E194" s="113">
        <f t="shared" ref="E194:P194" si="30">E190+E118</f>
        <v>2628.64168769614</v>
      </c>
      <c r="F194" s="113">
        <f t="shared" si="30"/>
        <v>2650.37871511848</v>
      </c>
      <c r="G194" s="113">
        <f t="shared" si="30"/>
        <v>2640.90328164571</v>
      </c>
      <c r="H194" s="113">
        <f t="shared" si="30"/>
        <v>2463.98812901056</v>
      </c>
      <c r="I194" s="113">
        <f t="shared" si="30"/>
        <v>2562.05867813143</v>
      </c>
      <c r="J194" s="113">
        <f t="shared" si="30"/>
        <v>2548.97688290519</v>
      </c>
      <c r="K194" s="113">
        <f t="shared" si="30"/>
        <v>2516.49416259478</v>
      </c>
      <c r="L194" s="113">
        <f t="shared" si="30"/>
        <v>2516.2379517037</v>
      </c>
      <c r="M194" s="113">
        <f t="shared" si="30"/>
        <v>2799.53286144573</v>
      </c>
      <c r="N194" s="113">
        <f t="shared" si="30"/>
        <v>2751.36989985319</v>
      </c>
      <c r="O194" s="113">
        <f t="shared" si="30"/>
        <v>2807.11808207754</v>
      </c>
      <c r="P194" s="113">
        <f t="shared" si="30"/>
        <v>2894.19291920263</v>
      </c>
      <c r="Q194" s="113">
        <f>+E194+F194+G194+H194+I194+J194+K194+L194+M194+N194+O194+P194</f>
        <v>31779.8932513851</v>
      </c>
      <c r="R194" s="65"/>
    </row>
    <row r="195" spans="5:18">
      <c r="E195" s="99"/>
      <c r="F195" s="99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>
        <v>22586.7803169951</v>
      </c>
      <c r="R195" s="65"/>
    </row>
    <row r="196" spans="5:17">
      <c r="E196" s="99"/>
      <c r="F196" s="99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>
        <v>54367</v>
      </c>
    </row>
    <row r="197" spans="3:17">
      <c r="C197" s="186"/>
      <c r="E197" s="99"/>
      <c r="F197" s="99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194">
        <f>2000/Q196</f>
        <v>0.0367870215388011</v>
      </c>
    </row>
    <row r="198" spans="3:17">
      <c r="C198" s="186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</row>
    <row r="199" spans="5:17">
      <c r="E199" s="99"/>
      <c r="F199" s="99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</row>
    <row r="200" s="65" customFormat="1" spans="1:17">
      <c r="A200" s="66"/>
      <c r="B200" s="116"/>
      <c r="C200" s="117"/>
      <c r="D200" s="118" t="s">
        <v>392</v>
      </c>
      <c r="E200" s="119" t="s">
        <v>393</v>
      </c>
      <c r="F200" s="119" t="s">
        <v>393</v>
      </c>
      <c r="G200" s="119" t="s">
        <v>393</v>
      </c>
      <c r="H200" s="119" t="s">
        <v>393</v>
      </c>
      <c r="I200" s="119" t="s">
        <v>393</v>
      </c>
      <c r="J200" s="119" t="s">
        <v>393</v>
      </c>
      <c r="K200" s="119" t="s">
        <v>393</v>
      </c>
      <c r="L200" s="119" t="s">
        <v>393</v>
      </c>
      <c r="M200" s="119" t="s">
        <v>393</v>
      </c>
      <c r="N200" s="119" t="s">
        <v>393</v>
      </c>
      <c r="O200" s="119" t="s">
        <v>393</v>
      </c>
      <c r="P200" s="119" t="s">
        <v>393</v>
      </c>
      <c r="Q200" s="119" t="s">
        <v>393</v>
      </c>
    </row>
    <row r="201" s="65" customFormat="1" ht="14.4" spans="1:17">
      <c r="A201" s="66"/>
      <c r="B201" s="116"/>
      <c r="C201" s="120"/>
      <c r="D201" s="121" t="s">
        <v>394</v>
      </c>
      <c r="E201" s="122">
        <f t="shared" ref="E201:Q201" si="31">E23</f>
        <v>577.726348855934</v>
      </c>
      <c r="F201" s="122">
        <f t="shared" si="31"/>
        <v>672.735851134323</v>
      </c>
      <c r="G201" s="122">
        <f t="shared" si="31"/>
        <v>671.408784445722</v>
      </c>
      <c r="H201" s="122">
        <f t="shared" si="31"/>
        <v>568.246378806799</v>
      </c>
      <c r="I201" s="122">
        <f t="shared" si="31"/>
        <v>647.445920870611</v>
      </c>
      <c r="J201" s="122">
        <f t="shared" si="31"/>
        <v>607.679846417101</v>
      </c>
      <c r="K201" s="122">
        <f t="shared" si="31"/>
        <v>551.802770308128</v>
      </c>
      <c r="L201" s="122">
        <f t="shared" si="31"/>
        <v>555.508945691336</v>
      </c>
      <c r="M201" s="122">
        <f t="shared" si="31"/>
        <v>765.838529106112</v>
      </c>
      <c r="N201" s="122">
        <f t="shared" si="31"/>
        <v>657.773634401352</v>
      </c>
      <c r="O201" s="122">
        <f t="shared" si="31"/>
        <v>795.488779945273</v>
      </c>
      <c r="P201" s="122">
        <f t="shared" si="31"/>
        <v>797.24444973551</v>
      </c>
      <c r="Q201" s="122">
        <f t="shared" si="31"/>
        <v>7868.9002397182</v>
      </c>
    </row>
    <row r="202" s="65" customFormat="1" ht="14.4" spans="1:17">
      <c r="A202" s="66"/>
      <c r="B202" s="116"/>
      <c r="C202" s="116"/>
      <c r="D202" s="121" t="s">
        <v>395</v>
      </c>
      <c r="E202" s="122">
        <f t="shared" ref="E202:Q202" si="32">E28+E91+E81+E85</f>
        <v>83.5181568754508</v>
      </c>
      <c r="F202" s="122">
        <f t="shared" si="32"/>
        <v>102.664200670588</v>
      </c>
      <c r="G202" s="122">
        <f t="shared" si="32"/>
        <v>96.3239365238902</v>
      </c>
      <c r="H202" s="122">
        <f t="shared" si="32"/>
        <v>101.185843101425</v>
      </c>
      <c r="I202" s="122">
        <f t="shared" si="32"/>
        <v>81.0891411128775</v>
      </c>
      <c r="J202" s="122">
        <f t="shared" si="32"/>
        <v>107.395515760607</v>
      </c>
      <c r="K202" s="122">
        <f t="shared" si="32"/>
        <v>92.3990612072043</v>
      </c>
      <c r="L202" s="122">
        <f t="shared" si="32"/>
        <v>79.9225705415357</v>
      </c>
      <c r="M202" s="122">
        <f t="shared" si="32"/>
        <v>95.4291048901409</v>
      </c>
      <c r="N202" s="122">
        <f t="shared" si="32"/>
        <v>76.8654089581411</v>
      </c>
      <c r="O202" s="122">
        <f t="shared" si="32"/>
        <v>81.4236924392843</v>
      </c>
      <c r="P202" s="122">
        <f t="shared" si="32"/>
        <v>63.5553422871876</v>
      </c>
      <c r="Q202" s="122">
        <f t="shared" si="32"/>
        <v>1061.77197436833</v>
      </c>
    </row>
    <row r="203" s="65" customFormat="1" ht="14.4" spans="1:17">
      <c r="A203" s="66"/>
      <c r="B203" s="116"/>
      <c r="C203" s="116"/>
      <c r="D203" s="123" t="s">
        <v>338</v>
      </c>
      <c r="E203" s="124">
        <f t="shared" ref="E203:Q203" si="33">E99</f>
        <v>315.6973211924</v>
      </c>
      <c r="F203" s="124">
        <f t="shared" si="33"/>
        <v>339.101897296021</v>
      </c>
      <c r="G203" s="124">
        <f t="shared" si="33"/>
        <v>347.698438474716</v>
      </c>
      <c r="H203" s="124">
        <f t="shared" si="33"/>
        <v>323.528532202514</v>
      </c>
      <c r="I203" s="124">
        <f t="shared" si="33"/>
        <v>359.870748438375</v>
      </c>
      <c r="J203" s="124">
        <f t="shared" si="33"/>
        <v>346.446854954914</v>
      </c>
      <c r="K203" s="124">
        <f t="shared" si="33"/>
        <v>316.996309568973</v>
      </c>
      <c r="L203" s="124">
        <f t="shared" si="33"/>
        <v>318.05357031316</v>
      </c>
      <c r="M203" s="124">
        <f t="shared" si="33"/>
        <v>384.747158963545</v>
      </c>
      <c r="N203" s="124">
        <f t="shared" si="33"/>
        <v>428.41312864185</v>
      </c>
      <c r="O203" s="124">
        <f t="shared" si="33"/>
        <v>357.446600575077</v>
      </c>
      <c r="P203" s="124">
        <f t="shared" si="33"/>
        <v>467.298734623367</v>
      </c>
      <c r="Q203" s="124">
        <f t="shared" si="33"/>
        <v>4305.29929524491</v>
      </c>
    </row>
    <row r="204" s="65" customFormat="1" ht="14.4" spans="1:17">
      <c r="A204" s="66"/>
      <c r="B204" s="116"/>
      <c r="C204" s="116"/>
      <c r="D204" s="123" t="s">
        <v>348</v>
      </c>
      <c r="E204" s="124">
        <f t="shared" ref="E204:Q204" si="34">E107</f>
        <v>154.321809807644</v>
      </c>
      <c r="F204" s="124">
        <f t="shared" si="34"/>
        <v>162.618341610195</v>
      </c>
      <c r="G204" s="124">
        <f t="shared" si="34"/>
        <v>148.620575895709</v>
      </c>
      <c r="H204" s="124">
        <f t="shared" si="34"/>
        <v>150.272649072884</v>
      </c>
      <c r="I204" s="124">
        <f t="shared" si="34"/>
        <v>158.685826034591</v>
      </c>
      <c r="J204" s="124">
        <f t="shared" si="34"/>
        <v>149.346272830449</v>
      </c>
      <c r="K204" s="124">
        <f t="shared" si="34"/>
        <v>139.745182665872</v>
      </c>
      <c r="L204" s="124">
        <f t="shared" si="34"/>
        <v>138.636093914555</v>
      </c>
      <c r="M204" s="124">
        <f t="shared" si="34"/>
        <v>145.541781640263</v>
      </c>
      <c r="N204" s="124">
        <f t="shared" si="34"/>
        <v>136.74217005024</v>
      </c>
      <c r="O204" s="124">
        <f t="shared" si="34"/>
        <v>134.390339115715</v>
      </c>
      <c r="P204" s="124">
        <f t="shared" si="34"/>
        <v>132.078957361882</v>
      </c>
      <c r="Q204" s="124">
        <f t="shared" si="34"/>
        <v>1751</v>
      </c>
    </row>
    <row r="205" s="65" customFormat="1" ht="14.4" spans="1:17">
      <c r="A205" s="66"/>
      <c r="B205" s="116"/>
      <c r="C205" s="116"/>
      <c r="D205" s="123" t="s">
        <v>396</v>
      </c>
      <c r="E205" s="124">
        <f t="shared" ref="E205:Q205" si="35">E76+E117+E83+E87</f>
        <v>466.617598452423</v>
      </c>
      <c r="F205" s="124">
        <f t="shared" si="35"/>
        <v>378.408698338138</v>
      </c>
      <c r="G205" s="124">
        <f t="shared" si="35"/>
        <v>334.387545554944</v>
      </c>
      <c r="H205" s="124">
        <f t="shared" si="35"/>
        <v>289.560828869149</v>
      </c>
      <c r="I205" s="124">
        <f t="shared" si="35"/>
        <v>271.764018613179</v>
      </c>
      <c r="J205" s="124">
        <f t="shared" si="35"/>
        <v>301.328749668958</v>
      </c>
      <c r="K205" s="124">
        <f t="shared" si="35"/>
        <v>315.975324988449</v>
      </c>
      <c r="L205" s="124">
        <f t="shared" si="35"/>
        <v>314.583022799019</v>
      </c>
      <c r="M205" s="124">
        <f t="shared" si="35"/>
        <v>309.918823727887</v>
      </c>
      <c r="N205" s="124">
        <f t="shared" si="35"/>
        <v>337.911597440038</v>
      </c>
      <c r="O205" s="124">
        <f t="shared" si="35"/>
        <v>336.981106835896</v>
      </c>
      <c r="P205" s="124">
        <f t="shared" si="35"/>
        <v>321.478556726387</v>
      </c>
      <c r="Q205" s="124">
        <f t="shared" si="35"/>
        <v>3978.91587201447</v>
      </c>
    </row>
    <row r="206" s="65" customFormat="1" ht="14.4" spans="1:17">
      <c r="A206" s="66"/>
      <c r="B206" s="116"/>
      <c r="C206" s="116"/>
      <c r="D206" s="123" t="s">
        <v>235</v>
      </c>
      <c r="E206" s="124">
        <f t="shared" ref="E206:Q206" si="36">E14</f>
        <v>815.666929390723</v>
      </c>
      <c r="F206" s="124">
        <f t="shared" si="36"/>
        <v>779.636352947654</v>
      </c>
      <c r="G206" s="124">
        <f t="shared" si="36"/>
        <v>827.250627629163</v>
      </c>
      <c r="H206" s="124">
        <f t="shared" si="36"/>
        <v>815.980523836223</v>
      </c>
      <c r="I206" s="124">
        <f t="shared" si="36"/>
        <v>827.905069940232</v>
      </c>
      <c r="J206" s="124">
        <f t="shared" si="36"/>
        <v>821.887930151596</v>
      </c>
      <c r="K206" s="124">
        <f t="shared" si="36"/>
        <v>883.901340734594</v>
      </c>
      <c r="L206" s="124">
        <f t="shared" si="36"/>
        <v>893.888305322527</v>
      </c>
      <c r="M206" s="124">
        <f t="shared" si="36"/>
        <v>882.383289996215</v>
      </c>
      <c r="N206" s="124">
        <f t="shared" si="36"/>
        <v>898.047247240008</v>
      </c>
      <c r="O206" s="124">
        <f t="shared" si="36"/>
        <v>885.695190044731</v>
      </c>
      <c r="P206" s="124">
        <f t="shared" si="36"/>
        <v>896.873425346731</v>
      </c>
      <c r="Q206" s="124">
        <f t="shared" si="36"/>
        <v>10229.1162325804</v>
      </c>
    </row>
    <row r="207" s="65" customFormat="1" ht="14.4" spans="1:17">
      <c r="A207" s="66"/>
      <c r="B207" s="116"/>
      <c r="C207" s="116"/>
      <c r="D207" s="125" t="s">
        <v>397</v>
      </c>
      <c r="E207" s="126">
        <f t="shared" ref="E207:Q207" si="37">E190</f>
        <v>215.093523121563</v>
      </c>
      <c r="F207" s="126">
        <f t="shared" si="37"/>
        <v>215.213373121563</v>
      </c>
      <c r="G207" s="126">
        <f t="shared" si="37"/>
        <v>215.213373121563</v>
      </c>
      <c r="H207" s="126">
        <f t="shared" si="37"/>
        <v>215.213373121563</v>
      </c>
      <c r="I207" s="126">
        <f t="shared" si="37"/>
        <v>215.297953121563</v>
      </c>
      <c r="J207" s="126">
        <f t="shared" si="37"/>
        <v>214.891713121563</v>
      </c>
      <c r="K207" s="126">
        <f t="shared" si="37"/>
        <v>215.674173121564</v>
      </c>
      <c r="L207" s="126">
        <f t="shared" si="37"/>
        <v>215.645443121563</v>
      </c>
      <c r="M207" s="126">
        <f t="shared" si="37"/>
        <v>215.674173121564</v>
      </c>
      <c r="N207" s="126">
        <f t="shared" si="37"/>
        <v>215.616713121564</v>
      </c>
      <c r="O207" s="126">
        <f t="shared" si="37"/>
        <v>215.692373121563</v>
      </c>
      <c r="P207" s="126">
        <f t="shared" si="37"/>
        <v>215.663453121563</v>
      </c>
      <c r="Q207" s="126">
        <f t="shared" si="37"/>
        <v>2584.88963745876</v>
      </c>
    </row>
    <row r="208" s="66" customFormat="1" ht="14.4" spans="2:17">
      <c r="B208" s="116"/>
      <c r="C208" s="116"/>
      <c r="D208" s="127" t="s">
        <v>398</v>
      </c>
      <c r="E208" s="128">
        <f t="shared" ref="E208:Q208" si="38">SUM(E201:E207)</f>
        <v>2628.64168769614</v>
      </c>
      <c r="F208" s="128">
        <f t="shared" si="38"/>
        <v>2650.37871511848</v>
      </c>
      <c r="G208" s="128">
        <f t="shared" si="38"/>
        <v>2640.90328164571</v>
      </c>
      <c r="H208" s="128">
        <f t="shared" si="38"/>
        <v>2463.98812901056</v>
      </c>
      <c r="I208" s="128">
        <f t="shared" si="38"/>
        <v>2562.05867813143</v>
      </c>
      <c r="J208" s="128">
        <f t="shared" si="38"/>
        <v>2548.97688290519</v>
      </c>
      <c r="K208" s="128">
        <f t="shared" si="38"/>
        <v>2516.49416259478</v>
      </c>
      <c r="L208" s="128">
        <f t="shared" si="38"/>
        <v>2516.2379517037</v>
      </c>
      <c r="M208" s="128">
        <f t="shared" si="38"/>
        <v>2799.53286144573</v>
      </c>
      <c r="N208" s="128">
        <f t="shared" si="38"/>
        <v>2751.36989985319</v>
      </c>
      <c r="O208" s="128">
        <f t="shared" si="38"/>
        <v>2807.11808207754</v>
      </c>
      <c r="P208" s="128">
        <f t="shared" si="38"/>
        <v>2894.19291920263</v>
      </c>
      <c r="Q208" s="128">
        <f t="shared" si="38"/>
        <v>31779.8932513851</v>
      </c>
    </row>
    <row r="209" spans="5:17">
      <c r="E209" s="99">
        <f t="shared" ref="E209" si="39">SUM(E201:E207)-E208</f>
        <v>0</v>
      </c>
      <c r="F209" s="99">
        <f t="shared" ref="F209" si="40">SUM(F201:F207)-F208</f>
        <v>0</v>
      </c>
      <c r="G209" s="99">
        <f t="shared" ref="G209:Q209" si="41">SUM(G201:G207)-G208</f>
        <v>0</v>
      </c>
      <c r="H209" s="99">
        <f t="shared" si="41"/>
        <v>0</v>
      </c>
      <c r="I209" s="99">
        <f t="shared" si="41"/>
        <v>0</v>
      </c>
      <c r="J209" s="99">
        <f t="shared" si="41"/>
        <v>0</v>
      </c>
      <c r="K209" s="99">
        <f t="shared" si="41"/>
        <v>0</v>
      </c>
      <c r="L209" s="99">
        <f t="shared" si="41"/>
        <v>0</v>
      </c>
      <c r="M209" s="99">
        <f t="shared" si="41"/>
        <v>0</v>
      </c>
      <c r="N209" s="99">
        <f t="shared" si="41"/>
        <v>0</v>
      </c>
      <c r="O209" s="99">
        <f t="shared" si="41"/>
        <v>0</v>
      </c>
      <c r="P209" s="99">
        <f t="shared" si="41"/>
        <v>0</v>
      </c>
      <c r="Q209" s="99">
        <f t="shared" si="41"/>
        <v>0</v>
      </c>
    </row>
    <row r="210" spans="5:17">
      <c r="E210" s="99"/>
      <c r="F210" s="99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</row>
    <row r="211" spans="4:17">
      <c r="D211" s="129"/>
      <c r="E211" s="130"/>
      <c r="F211" s="130"/>
      <c r="G211" s="130"/>
      <c r="H211" s="130"/>
      <c r="I211" s="130"/>
      <c r="J211" s="130"/>
      <c r="K211" s="130"/>
      <c r="L211" s="130"/>
      <c r="M211" s="130"/>
      <c r="N211" s="130"/>
      <c r="O211" s="130"/>
      <c r="P211" s="130"/>
      <c r="Q211" s="130"/>
    </row>
    <row r="212" ht="14.4" spans="4:17">
      <c r="D212" s="131" t="s">
        <v>257</v>
      </c>
      <c r="E212" s="132">
        <f t="shared" ref="E212:Q212" si="42">E23+E28+E81+E85+E91</f>
        <v>661.244505731385</v>
      </c>
      <c r="F212" s="132">
        <f t="shared" si="42"/>
        <v>775.400051804911</v>
      </c>
      <c r="G212" s="132">
        <f t="shared" si="42"/>
        <v>767.732720969612</v>
      </c>
      <c r="H212" s="132">
        <f t="shared" si="42"/>
        <v>669.432221908224</v>
      </c>
      <c r="I212" s="132">
        <f t="shared" si="42"/>
        <v>728.535061983488</v>
      </c>
      <c r="J212" s="132">
        <f t="shared" si="42"/>
        <v>715.075362177708</v>
      </c>
      <c r="K212" s="132">
        <f t="shared" si="42"/>
        <v>644.201831515332</v>
      </c>
      <c r="L212" s="132">
        <f t="shared" si="42"/>
        <v>635.431516232872</v>
      </c>
      <c r="M212" s="132">
        <f t="shared" si="42"/>
        <v>861.267633996253</v>
      </c>
      <c r="N212" s="132">
        <f t="shared" si="42"/>
        <v>734.639043359493</v>
      </c>
      <c r="O212" s="132">
        <f t="shared" si="42"/>
        <v>876.912472384557</v>
      </c>
      <c r="P212" s="132">
        <f t="shared" si="42"/>
        <v>860.799792022697</v>
      </c>
      <c r="Q212" s="132">
        <f t="shared" si="42"/>
        <v>8930.67221408653</v>
      </c>
    </row>
    <row r="213" ht="14.4" spans="4:17">
      <c r="D213" s="133" t="s">
        <v>245</v>
      </c>
      <c r="E213" s="134">
        <f t="shared" ref="E213:Q213" si="43">SUM(E14,E76,E83,E87,E99,E107,E117)</f>
        <v>1752.30365884319</v>
      </c>
      <c r="F213" s="134">
        <f t="shared" si="43"/>
        <v>1659.76529019201</v>
      </c>
      <c r="G213" s="134">
        <f t="shared" si="43"/>
        <v>1657.95718755453</v>
      </c>
      <c r="H213" s="134">
        <f t="shared" si="43"/>
        <v>1579.34253398077</v>
      </c>
      <c r="I213" s="134">
        <f t="shared" si="43"/>
        <v>1618.22566302638</v>
      </c>
      <c r="J213" s="134">
        <f t="shared" si="43"/>
        <v>1619.00980760592</v>
      </c>
      <c r="K213" s="134">
        <f t="shared" si="43"/>
        <v>1656.61815795789</v>
      </c>
      <c r="L213" s="134">
        <f t="shared" si="43"/>
        <v>1665.16099234926</v>
      </c>
      <c r="M213" s="134">
        <f t="shared" si="43"/>
        <v>1722.59105432791</v>
      </c>
      <c r="N213" s="134">
        <f t="shared" si="43"/>
        <v>1801.11414337214</v>
      </c>
      <c r="O213" s="134">
        <f t="shared" si="43"/>
        <v>1714.51323657142</v>
      </c>
      <c r="P213" s="134">
        <f t="shared" si="43"/>
        <v>1817.72967405837</v>
      </c>
      <c r="Q213" s="134">
        <f t="shared" si="43"/>
        <v>20264.3313998398</v>
      </c>
    </row>
    <row r="214" spans="4:17">
      <c r="D214" s="135" t="s">
        <v>399</v>
      </c>
      <c r="E214" s="136">
        <f t="shared" ref="E214:Q214" si="44">E207</f>
        <v>215.093523121563</v>
      </c>
      <c r="F214" s="136">
        <f t="shared" si="44"/>
        <v>215.213373121563</v>
      </c>
      <c r="G214" s="136">
        <f t="shared" si="44"/>
        <v>215.213373121563</v>
      </c>
      <c r="H214" s="136">
        <f t="shared" si="44"/>
        <v>215.213373121563</v>
      </c>
      <c r="I214" s="136">
        <f t="shared" si="44"/>
        <v>215.297953121563</v>
      </c>
      <c r="J214" s="136">
        <f t="shared" si="44"/>
        <v>214.891713121563</v>
      </c>
      <c r="K214" s="136">
        <f t="shared" si="44"/>
        <v>215.674173121564</v>
      </c>
      <c r="L214" s="136">
        <f t="shared" si="44"/>
        <v>215.645443121563</v>
      </c>
      <c r="M214" s="136">
        <f t="shared" si="44"/>
        <v>215.674173121564</v>
      </c>
      <c r="N214" s="136">
        <f t="shared" si="44"/>
        <v>215.616713121564</v>
      </c>
      <c r="O214" s="136">
        <f t="shared" si="44"/>
        <v>215.692373121563</v>
      </c>
      <c r="P214" s="136">
        <f t="shared" si="44"/>
        <v>215.663453121563</v>
      </c>
      <c r="Q214" s="136">
        <f t="shared" si="44"/>
        <v>2584.88963745876</v>
      </c>
    </row>
    <row r="215" spans="4:18">
      <c r="D215" s="137"/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65"/>
    </row>
    <row r="216" ht="14.4" spans="4:18">
      <c r="D216" s="139" t="s">
        <v>400</v>
      </c>
      <c r="E216" s="140">
        <f t="shared" ref="E216:Q216" si="45">SUM(E211:E215)</f>
        <v>2628.64168769614</v>
      </c>
      <c r="F216" s="140">
        <f t="shared" si="45"/>
        <v>2650.37871511848</v>
      </c>
      <c r="G216" s="140">
        <f t="shared" si="45"/>
        <v>2640.90328164571</v>
      </c>
      <c r="H216" s="140">
        <f t="shared" si="45"/>
        <v>2463.98812901056</v>
      </c>
      <c r="I216" s="140">
        <f t="shared" si="45"/>
        <v>2562.05867813143</v>
      </c>
      <c r="J216" s="140">
        <f t="shared" si="45"/>
        <v>2548.97688290519</v>
      </c>
      <c r="K216" s="140">
        <f t="shared" si="45"/>
        <v>2516.49416259478</v>
      </c>
      <c r="L216" s="140">
        <f t="shared" si="45"/>
        <v>2516.2379517037</v>
      </c>
      <c r="M216" s="140">
        <f t="shared" si="45"/>
        <v>2799.53286144573</v>
      </c>
      <c r="N216" s="140">
        <f t="shared" si="45"/>
        <v>2751.36989985319</v>
      </c>
      <c r="O216" s="140">
        <f t="shared" si="45"/>
        <v>2807.11808207754</v>
      </c>
      <c r="P216" s="140">
        <f t="shared" si="45"/>
        <v>2894.19291920263</v>
      </c>
      <c r="Q216" s="140">
        <f t="shared" si="45"/>
        <v>31779.8932513851</v>
      </c>
      <c r="R216" s="65"/>
    </row>
    <row r="217" spans="5:18">
      <c r="E217" s="99"/>
      <c r="F217" s="99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65"/>
    </row>
    <row r="218" s="154" customFormat="1" spans="1:18">
      <c r="A218" s="187"/>
      <c r="B218" s="186"/>
      <c r="C218" s="186"/>
      <c r="D218" s="160" t="s">
        <v>401</v>
      </c>
      <c r="E218" s="99">
        <f t="shared" ref="E218:Q218" si="46">+E216*1000</f>
        <v>2628641.68769614</v>
      </c>
      <c r="F218" s="99">
        <f t="shared" si="46"/>
        <v>2650378.71511848</v>
      </c>
      <c r="G218" s="99">
        <f t="shared" si="46"/>
        <v>2640903.28164571</v>
      </c>
      <c r="H218" s="99">
        <f t="shared" si="46"/>
        <v>2463988.12901056</v>
      </c>
      <c r="I218" s="99">
        <f t="shared" si="46"/>
        <v>2562058.67813143</v>
      </c>
      <c r="J218" s="99">
        <f t="shared" si="46"/>
        <v>2548976.88290519</v>
      </c>
      <c r="K218" s="99">
        <f t="shared" si="46"/>
        <v>2516494.16259478</v>
      </c>
      <c r="L218" s="99">
        <f t="shared" si="46"/>
        <v>2516237.9517037</v>
      </c>
      <c r="M218" s="99">
        <f t="shared" si="46"/>
        <v>2799532.86144573</v>
      </c>
      <c r="N218" s="99">
        <f t="shared" si="46"/>
        <v>2751369.89985319</v>
      </c>
      <c r="O218" s="99">
        <f t="shared" si="46"/>
        <v>2807118.08207754</v>
      </c>
      <c r="P218" s="99">
        <f t="shared" si="46"/>
        <v>2894192.91920263</v>
      </c>
      <c r="Q218" s="99">
        <f t="shared" si="46"/>
        <v>31779893.2513851</v>
      </c>
      <c r="R218" s="66"/>
    </row>
    <row r="219" spans="5:17">
      <c r="E219" s="99"/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</row>
    <row r="220" ht="17.4" hidden="1" spans="2:17">
      <c r="B220" s="188" t="s">
        <v>402</v>
      </c>
      <c r="C220" s="188"/>
      <c r="D220" s="188"/>
      <c r="E220" s="99"/>
      <c r="F220" s="99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</row>
    <row r="221" hidden="1" spans="1:17">
      <c r="A221" s="173" t="s">
        <v>232</v>
      </c>
      <c r="B221" s="169">
        <v>6666110101</v>
      </c>
      <c r="C221" s="169" t="s">
        <v>233</v>
      </c>
      <c r="D221" s="169" t="s">
        <v>234</v>
      </c>
      <c r="E221" s="101"/>
      <c r="F221" s="101"/>
      <c r="G221" s="101"/>
      <c r="H221" s="101"/>
      <c r="I221" s="101"/>
      <c r="J221" s="101"/>
      <c r="K221" s="101"/>
      <c r="L221" s="101"/>
      <c r="M221" s="101"/>
      <c r="N221" s="101"/>
      <c r="O221" s="101"/>
      <c r="P221" s="101"/>
      <c r="Q221" s="101"/>
    </row>
    <row r="222" hidden="1" spans="1:17">
      <c r="A222" s="173" t="s">
        <v>232</v>
      </c>
      <c r="B222" s="169">
        <v>6666110106</v>
      </c>
      <c r="C222" s="169" t="s">
        <v>236</v>
      </c>
      <c r="D222" s="169" t="s">
        <v>234</v>
      </c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</row>
    <row r="223" hidden="1" spans="1:17">
      <c r="A223" s="173" t="s">
        <v>232</v>
      </c>
      <c r="B223" s="169">
        <v>6666110107</v>
      </c>
      <c r="C223" s="169" t="s">
        <v>237</v>
      </c>
      <c r="D223" s="169" t="s">
        <v>234</v>
      </c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</row>
    <row r="224" hidden="1" spans="1:17">
      <c r="A224" s="173" t="s">
        <v>232</v>
      </c>
      <c r="B224" s="169">
        <v>6666110110</v>
      </c>
      <c r="C224" s="169" t="s">
        <v>238</v>
      </c>
      <c r="D224" s="169" t="s">
        <v>234</v>
      </c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</row>
    <row r="225" hidden="1" spans="1:17">
      <c r="A225" s="173" t="s">
        <v>232</v>
      </c>
      <c r="B225" s="169">
        <v>6666110112</v>
      </c>
      <c r="C225" s="169" t="s">
        <v>239</v>
      </c>
      <c r="D225" s="169" t="s">
        <v>234</v>
      </c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</row>
    <row r="226" hidden="1" spans="1:17">
      <c r="A226" s="173" t="s">
        <v>232</v>
      </c>
      <c r="B226" s="169">
        <v>6666110204</v>
      </c>
      <c r="C226" s="169" t="s">
        <v>240</v>
      </c>
      <c r="D226" s="169" t="s">
        <v>234</v>
      </c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</row>
    <row r="227" hidden="1" spans="1:17">
      <c r="A227" s="173" t="s">
        <v>232</v>
      </c>
      <c r="B227" s="169">
        <v>6666110207</v>
      </c>
      <c r="C227" s="169" t="s">
        <v>241</v>
      </c>
      <c r="D227" s="169" t="s">
        <v>234</v>
      </c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</row>
    <row r="228" hidden="1" spans="1:18">
      <c r="A228" s="173" t="s">
        <v>232</v>
      </c>
      <c r="B228" s="169">
        <v>6666110506</v>
      </c>
      <c r="C228" s="169" t="s">
        <v>242</v>
      </c>
      <c r="D228" s="169" t="s">
        <v>234</v>
      </c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154"/>
    </row>
    <row r="229" hidden="1" spans="1:17">
      <c r="A229" s="173" t="s">
        <v>232</v>
      </c>
      <c r="B229" s="169">
        <v>6666110206</v>
      </c>
      <c r="C229" s="189" t="s">
        <v>403</v>
      </c>
      <c r="D229" s="169" t="s">
        <v>234</v>
      </c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</row>
    <row r="230" hidden="1" spans="5:17">
      <c r="E230" s="144">
        <f t="shared" ref="E230:Q230" si="47">SUM(E221:E229)</f>
        <v>0</v>
      </c>
      <c r="F230" s="144">
        <f t="shared" si="47"/>
        <v>0</v>
      </c>
      <c r="G230" s="144">
        <f t="shared" si="47"/>
        <v>0</v>
      </c>
      <c r="H230" s="144">
        <f t="shared" si="47"/>
        <v>0</v>
      </c>
      <c r="I230" s="144">
        <f t="shared" si="47"/>
        <v>0</v>
      </c>
      <c r="J230" s="144">
        <f t="shared" si="47"/>
        <v>0</v>
      </c>
      <c r="K230" s="144">
        <f t="shared" si="47"/>
        <v>0</v>
      </c>
      <c r="L230" s="144">
        <f t="shared" si="47"/>
        <v>0</v>
      </c>
      <c r="M230" s="144">
        <f t="shared" si="47"/>
        <v>0</v>
      </c>
      <c r="N230" s="144">
        <f t="shared" si="47"/>
        <v>0</v>
      </c>
      <c r="O230" s="144">
        <f t="shared" si="47"/>
        <v>0</v>
      </c>
      <c r="P230" s="144">
        <f t="shared" si="47"/>
        <v>0</v>
      </c>
      <c r="Q230" s="144">
        <f t="shared" si="47"/>
        <v>0</v>
      </c>
    </row>
    <row r="231" hidden="1" spans="5:17"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</row>
    <row r="232" hidden="1" spans="5:17">
      <c r="E232" s="99"/>
      <c r="F232" s="99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</row>
    <row r="233" hidden="1" spans="5:17">
      <c r="E233" s="99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</row>
    <row r="234" hidden="1" spans="5:17">
      <c r="E234" s="99"/>
      <c r="F234" s="99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</row>
    <row r="235" spans="3:17">
      <c r="C235" s="190" t="s">
        <v>404</v>
      </c>
      <c r="D235" s="190" t="s">
        <v>232</v>
      </c>
      <c r="E235" s="105">
        <f>+SUMIF($A$5:$A$229,D235,E5:E230)</f>
        <v>2436.47307760178</v>
      </c>
      <c r="F235" s="105">
        <f t="shared" ref="F235:P235" si="48">+SUMIF($A$5:$A$229,$D$235,F5:F230)</f>
        <v>2445.65842575184</v>
      </c>
      <c r="G235" s="105">
        <f t="shared" si="48"/>
        <v>2436.09425961386</v>
      </c>
      <c r="H235" s="105">
        <f t="shared" si="48"/>
        <v>2253.20364457919</v>
      </c>
      <c r="I235" s="105">
        <f t="shared" si="48"/>
        <v>2348.32981682372</v>
      </c>
      <c r="J235" s="105">
        <f t="shared" si="48"/>
        <v>2338.77438226007</v>
      </c>
      <c r="K235" s="105">
        <f t="shared" si="48"/>
        <v>2303.67301894633</v>
      </c>
      <c r="L235" s="105">
        <f t="shared" si="48"/>
        <v>2309.08468757468</v>
      </c>
      <c r="M235" s="105">
        <f t="shared" si="48"/>
        <v>2605.25661669534</v>
      </c>
      <c r="N235" s="105">
        <f t="shared" si="48"/>
        <v>2574.43312828059</v>
      </c>
      <c r="O235" s="105">
        <f t="shared" si="48"/>
        <v>2631.98270277181</v>
      </c>
      <c r="P235" s="105">
        <f t="shared" si="48"/>
        <v>2705.92472311133</v>
      </c>
      <c r="Q235" s="105">
        <f>F235+E235+G235+H235+I235+J235+K235+L235+M235+N235+O235+P235</f>
        <v>29388.8884840105</v>
      </c>
    </row>
    <row r="236" spans="3:17">
      <c r="C236" s="190" t="s">
        <v>405</v>
      </c>
      <c r="D236" s="190" t="s">
        <v>258</v>
      </c>
      <c r="E236" s="146">
        <f>+SUMIF($A$5:$A$230,D236,E5:E231)</f>
        <v>192.168610094359</v>
      </c>
      <c r="F236" s="146">
        <f t="shared" ref="F236:P236" si="49">+SUMIF($A$5:$A$230,$D$236,F5:F231)</f>
        <v>204.720289366646</v>
      </c>
      <c r="G236" s="146">
        <f t="shared" si="49"/>
        <v>204.809022031849</v>
      </c>
      <c r="H236" s="146">
        <f t="shared" si="49"/>
        <v>210.784484431368</v>
      </c>
      <c r="I236" s="146">
        <f t="shared" si="49"/>
        <v>213.728861307704</v>
      </c>
      <c r="J236" s="146">
        <f t="shared" si="49"/>
        <v>210.202500645124</v>
      </c>
      <c r="K236" s="146">
        <f t="shared" si="49"/>
        <v>212.821143648457</v>
      </c>
      <c r="L236" s="146">
        <f t="shared" si="49"/>
        <v>207.153264129022</v>
      </c>
      <c r="M236" s="146">
        <f t="shared" si="49"/>
        <v>194.276244750383</v>
      </c>
      <c r="N236" s="146">
        <f t="shared" si="49"/>
        <v>176.936771572608</v>
      </c>
      <c r="O236" s="146">
        <f t="shared" si="49"/>
        <v>175.135379305733</v>
      </c>
      <c r="P236" s="146">
        <f t="shared" si="49"/>
        <v>188.268196091294</v>
      </c>
      <c r="Q236" s="146">
        <f>+E236+F236+G236+H236+I236+J236+K236+L236+M236+N236+O236+P236</f>
        <v>2391.00476737455</v>
      </c>
    </row>
    <row r="237" spans="3:17">
      <c r="C237" s="190" t="s">
        <v>398</v>
      </c>
      <c r="E237" s="147">
        <f t="shared" ref="E237:Q237" si="50">+E236+E235</f>
        <v>2628.64168769614</v>
      </c>
      <c r="F237" s="147">
        <f t="shared" si="50"/>
        <v>2650.37871511848</v>
      </c>
      <c r="G237" s="147">
        <f t="shared" si="50"/>
        <v>2640.90328164571</v>
      </c>
      <c r="H237" s="147">
        <f t="shared" si="50"/>
        <v>2463.98812901056</v>
      </c>
      <c r="I237" s="147">
        <f t="shared" si="50"/>
        <v>2562.05867813143</v>
      </c>
      <c r="J237" s="147">
        <f t="shared" si="50"/>
        <v>2548.97688290519</v>
      </c>
      <c r="K237" s="147">
        <f t="shared" si="50"/>
        <v>2516.49416259478</v>
      </c>
      <c r="L237" s="147">
        <f t="shared" si="50"/>
        <v>2516.2379517037</v>
      </c>
      <c r="M237" s="147">
        <f t="shared" si="50"/>
        <v>2799.53286144573</v>
      </c>
      <c r="N237" s="147">
        <f t="shared" si="50"/>
        <v>2751.36989985319</v>
      </c>
      <c r="O237" s="147">
        <f t="shared" si="50"/>
        <v>2807.11808207754</v>
      </c>
      <c r="P237" s="147">
        <f t="shared" si="50"/>
        <v>2894.19291920263</v>
      </c>
      <c r="Q237" s="147">
        <f t="shared" si="50"/>
        <v>31779.8932513851</v>
      </c>
    </row>
    <row r="238" spans="5:17"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</row>
    <row r="239" s="154" customFormat="1" spans="1:18">
      <c r="A239" s="187"/>
      <c r="B239" s="186"/>
      <c r="C239" s="186"/>
      <c r="D239" s="191" t="s">
        <v>406</v>
      </c>
      <c r="E239" s="147">
        <f t="shared" ref="E239:Q239" si="51">+E216+E230</f>
        <v>2628.64168769614</v>
      </c>
      <c r="F239" s="147">
        <f t="shared" si="51"/>
        <v>2650.37871511848</v>
      </c>
      <c r="G239" s="147">
        <f t="shared" si="51"/>
        <v>2640.90328164571</v>
      </c>
      <c r="H239" s="147">
        <f t="shared" si="51"/>
        <v>2463.98812901056</v>
      </c>
      <c r="I239" s="147">
        <f t="shared" si="51"/>
        <v>2562.05867813143</v>
      </c>
      <c r="J239" s="147">
        <f t="shared" si="51"/>
        <v>2548.97688290519</v>
      </c>
      <c r="K239" s="147">
        <f t="shared" si="51"/>
        <v>2516.49416259478</v>
      </c>
      <c r="L239" s="147">
        <f t="shared" si="51"/>
        <v>2516.2379517037</v>
      </c>
      <c r="M239" s="147">
        <f t="shared" si="51"/>
        <v>2799.53286144573</v>
      </c>
      <c r="N239" s="147">
        <f t="shared" si="51"/>
        <v>2751.36989985319</v>
      </c>
      <c r="O239" s="147">
        <f t="shared" si="51"/>
        <v>2807.11808207754</v>
      </c>
      <c r="P239" s="147">
        <f t="shared" si="51"/>
        <v>2894.19291920263</v>
      </c>
      <c r="Q239" s="147">
        <f t="shared" si="51"/>
        <v>31779.8932513851</v>
      </c>
      <c r="R239" s="71"/>
    </row>
    <row r="240" spans="4:17">
      <c r="D240" s="166" t="s">
        <v>407</v>
      </c>
      <c r="E240" s="147">
        <f t="shared" ref="E240:Q240" si="52">+E239-E237</f>
        <v>0</v>
      </c>
      <c r="F240" s="147">
        <f t="shared" si="52"/>
        <v>0</v>
      </c>
      <c r="G240" s="147">
        <f t="shared" si="52"/>
        <v>0</v>
      </c>
      <c r="H240" s="147">
        <f t="shared" si="52"/>
        <v>0</v>
      </c>
      <c r="I240" s="147">
        <f t="shared" si="52"/>
        <v>0</v>
      </c>
      <c r="J240" s="147">
        <f t="shared" si="52"/>
        <v>0</v>
      </c>
      <c r="K240" s="147">
        <f t="shared" si="52"/>
        <v>0</v>
      </c>
      <c r="L240" s="147">
        <f t="shared" si="52"/>
        <v>0</v>
      </c>
      <c r="M240" s="147">
        <f t="shared" si="52"/>
        <v>0</v>
      </c>
      <c r="N240" s="147">
        <f t="shared" si="52"/>
        <v>0</v>
      </c>
      <c r="O240" s="147">
        <f t="shared" si="52"/>
        <v>0</v>
      </c>
      <c r="P240" s="147">
        <f t="shared" si="52"/>
        <v>0</v>
      </c>
      <c r="Q240" s="147">
        <f t="shared" si="52"/>
        <v>0</v>
      </c>
    </row>
    <row r="242" spans="5:17">
      <c r="E242" s="149"/>
      <c r="F242" s="192"/>
      <c r="G242" s="192"/>
      <c r="H242" s="192"/>
      <c r="I242" s="192"/>
      <c r="J242" s="192"/>
      <c r="K242" s="192"/>
      <c r="L242" s="192"/>
      <c r="M242" s="192"/>
      <c r="N242" s="192"/>
      <c r="O242" s="192"/>
      <c r="P242" s="192"/>
      <c r="Q242" s="192"/>
    </row>
    <row r="243" s="154" customFormat="1" spans="1:18">
      <c r="A243" s="187"/>
      <c r="B243" s="186"/>
      <c r="C243" s="186"/>
      <c r="D243" s="186"/>
      <c r="E243" s="192"/>
      <c r="F243" s="192"/>
      <c r="G243" s="192"/>
      <c r="H243" s="192"/>
      <c r="I243" s="192"/>
      <c r="J243" s="192"/>
      <c r="K243" s="192"/>
      <c r="L243" s="192"/>
      <c r="M243" s="192"/>
      <c r="N243" s="192"/>
      <c r="O243" s="192"/>
      <c r="P243" s="192"/>
      <c r="Q243" s="192"/>
      <c r="R243" s="71"/>
    </row>
    <row r="244" spans="6:7">
      <c r="F244" s="192"/>
      <c r="G244" s="192"/>
    </row>
    <row r="245" spans="5:9">
      <c r="E245" s="149"/>
      <c r="F245" s="151"/>
      <c r="G245" s="149"/>
      <c r="H245" s="149"/>
      <c r="I245" s="192"/>
    </row>
    <row r="246" spans="6:7">
      <c r="F246" s="192"/>
      <c r="G246" s="193"/>
    </row>
    <row r="247" spans="5:8">
      <c r="E247" s="149"/>
      <c r="F247" s="149"/>
      <c r="G247" s="149"/>
      <c r="H247" s="149"/>
    </row>
    <row r="249" spans="5:5">
      <c r="E249" s="149"/>
    </row>
    <row r="251" s="158" customFormat="1" spans="1:18">
      <c r="A251" s="159"/>
      <c r="B251" s="160"/>
      <c r="C251" s="160"/>
      <c r="D251" s="160"/>
      <c r="E251" s="193"/>
      <c r="R251" s="71"/>
    </row>
    <row r="255" spans="18:18">
      <c r="R255" s="154"/>
    </row>
    <row r="259" spans="18:18">
      <c r="R259" s="154"/>
    </row>
  </sheetData>
  <autoFilter xmlns:etc="http://www.wps.cn/officeDocument/2017/etCustomData" ref="A4:U118" etc:filterBottomFollowUsedRange="0">
    <extLst/>
  </autoFilter>
  <mergeCells count="1">
    <mergeCell ref="B220:D220"/>
  </mergeCells>
  <pageMargins left="0.7" right="0.7" top="0.75" bottom="0.75" header="0.3" footer="0.3"/>
  <pageSetup paperSize="1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2060"/>
    <pageSetUpPr autoPageBreaks="0"/>
  </sheetPr>
  <dimension ref="A1:S259"/>
  <sheetViews>
    <sheetView showGridLines="0" zoomScale="60" zoomScaleNormal="60" workbookViewId="0">
      <pane xSplit="4" ySplit="4" topLeftCell="E134" activePane="bottomRight" state="frozen"/>
      <selection/>
      <selection pane="topRight"/>
      <selection pane="bottomLeft"/>
      <selection pane="bottomRight" activeCell="C30" sqref="C30"/>
    </sheetView>
  </sheetViews>
  <sheetFormatPr defaultColWidth="8.08333333333333" defaultRowHeight="13.8"/>
  <cols>
    <col min="1" max="1" width="11.1666666666667" style="69" customWidth="1"/>
    <col min="2" max="2" width="12.75" style="70" customWidth="1"/>
    <col min="3" max="3" width="47.5833333333333" style="70" customWidth="1"/>
    <col min="4" max="4" width="45.8333333333333" style="70" customWidth="1"/>
    <col min="5" max="5" width="17" style="68" customWidth="1"/>
    <col min="6" max="11" width="15.1666666666667" style="68" customWidth="1"/>
    <col min="12" max="17" width="15" style="68" customWidth="1"/>
    <col min="18" max="18" width="12.6666666666667" style="71" customWidth="1"/>
    <col min="19" max="19" width="9.58333333333333" style="72" customWidth="1"/>
    <col min="20" max="16384" width="8.08333333333333" style="72"/>
  </cols>
  <sheetData>
    <row r="1" s="61" customFormat="1" ht="15" spans="1:18">
      <c r="A1" s="73"/>
      <c r="B1" s="74" t="s">
        <v>408</v>
      </c>
      <c r="C1" s="75"/>
      <c r="D1" s="76" t="s">
        <v>214</v>
      </c>
      <c r="E1" s="77">
        <v>50463</v>
      </c>
      <c r="F1" s="77">
        <v>50446</v>
      </c>
      <c r="G1" s="77">
        <v>50447</v>
      </c>
      <c r="H1" s="77">
        <v>48050</v>
      </c>
      <c r="I1" s="77">
        <v>36788</v>
      </c>
      <c r="J1" s="77">
        <v>53265</v>
      </c>
      <c r="K1" s="77">
        <v>42049</v>
      </c>
      <c r="L1" s="77">
        <v>39150</v>
      </c>
      <c r="M1" s="77">
        <v>53732</v>
      </c>
      <c r="N1" s="77">
        <v>48548</v>
      </c>
      <c r="O1" s="77">
        <v>51408</v>
      </c>
      <c r="P1" s="77">
        <v>40676</v>
      </c>
      <c r="Q1" s="77">
        <f>+E1+F1+G1+H1+I1+J1+K1+L1+M1+N1+O1+P1</f>
        <v>565022</v>
      </c>
      <c r="R1" s="90"/>
    </row>
    <row r="2" s="61" customFormat="1" spans="1:18">
      <c r="A2" s="73"/>
      <c r="B2" s="75"/>
      <c r="C2" s="75"/>
      <c r="D2" s="76" t="s">
        <v>215</v>
      </c>
      <c r="E2" s="78">
        <v>52.48869</v>
      </c>
      <c r="F2" s="78">
        <v>53.48597511</v>
      </c>
      <c r="G2" s="78">
        <v>54.50220863709</v>
      </c>
      <c r="H2" s="78">
        <v>55.3197417666463</v>
      </c>
      <c r="I2" s="78">
        <v>56.149537893146</v>
      </c>
      <c r="J2" s="78">
        <v>56.9917809615432</v>
      </c>
      <c r="K2" s="78">
        <v>57.4477152092355</v>
      </c>
      <c r="L2" s="78">
        <v>57.9072969309094</v>
      </c>
      <c r="M2" s="78">
        <v>58.3705553063567</v>
      </c>
      <c r="N2" s="78">
        <v>59.392040024218</v>
      </c>
      <c r="O2" s="78">
        <v>60.4314007246418</v>
      </c>
      <c r="P2" s="78">
        <v>61.488950237323</v>
      </c>
      <c r="Q2" s="78">
        <f>AVERAGE(E2:P2)</f>
        <v>56.9979910667592</v>
      </c>
      <c r="R2" s="90"/>
    </row>
    <row r="3" spans="2:2">
      <c r="B3" s="79"/>
    </row>
    <row r="4" ht="27.6" spans="1:17">
      <c r="A4" s="80" t="s">
        <v>218</v>
      </c>
      <c r="E4" s="81" t="s">
        <v>219</v>
      </c>
      <c r="F4" s="81" t="s">
        <v>220</v>
      </c>
      <c r="G4" s="81" t="s">
        <v>221</v>
      </c>
      <c r="H4" s="81" t="s">
        <v>222</v>
      </c>
      <c r="I4" s="81" t="s">
        <v>223</v>
      </c>
      <c r="J4" s="81" t="s">
        <v>224</v>
      </c>
      <c r="K4" s="81" t="s">
        <v>225</v>
      </c>
      <c r="L4" s="81" t="s">
        <v>226</v>
      </c>
      <c r="M4" s="81" t="s">
        <v>227</v>
      </c>
      <c r="N4" s="81" t="s">
        <v>228</v>
      </c>
      <c r="O4" s="81" t="s">
        <v>229</v>
      </c>
      <c r="P4" s="81" t="s">
        <v>230</v>
      </c>
      <c r="Q4" s="81" t="s">
        <v>231</v>
      </c>
    </row>
    <row r="5" outlineLevel="1" spans="1:18">
      <c r="A5" s="69" t="s">
        <v>232</v>
      </c>
      <c r="B5" s="82">
        <v>6666110101</v>
      </c>
      <c r="C5" s="82" t="s">
        <v>233</v>
      </c>
      <c r="D5" s="82" t="s">
        <v>234</v>
      </c>
      <c r="E5" s="83">
        <v>32.511068373554</v>
      </c>
      <c r="F5" s="83">
        <v>29.4639541667047</v>
      </c>
      <c r="G5" s="83">
        <v>32.511138373554</v>
      </c>
      <c r="H5" s="83">
        <v>31.4953503046043</v>
      </c>
      <c r="I5" s="83">
        <v>32.5110517068874</v>
      </c>
      <c r="J5" s="83">
        <v>31.4953469712709</v>
      </c>
      <c r="K5" s="83">
        <v>32.5244830957763</v>
      </c>
      <c r="L5" s="83">
        <v>32.5244197624429</v>
      </c>
      <c r="M5" s="83">
        <v>31.5087250268265</v>
      </c>
      <c r="N5" s="83">
        <v>32.5244097624429</v>
      </c>
      <c r="O5" s="83">
        <v>31.5087383601598</v>
      </c>
      <c r="P5" s="83">
        <v>32.5244964291096</v>
      </c>
      <c r="Q5" s="91">
        <f t="shared" ref="Q5:Q13" si="0">F5+E5+G5+H5+I5+J5+K5+L5+M5+N5+O5+P5</f>
        <v>383.103182333333</v>
      </c>
      <c r="R5" s="92"/>
    </row>
    <row r="6" outlineLevel="1" spans="1:18">
      <c r="A6" s="69" t="s">
        <v>232</v>
      </c>
      <c r="B6" s="82">
        <v>6666110106</v>
      </c>
      <c r="C6" s="82" t="s">
        <v>236</v>
      </c>
      <c r="D6" s="82" t="s">
        <v>234</v>
      </c>
      <c r="E6" s="83">
        <v>0</v>
      </c>
      <c r="F6" s="83">
        <v>0</v>
      </c>
      <c r="G6" s="83">
        <v>0</v>
      </c>
      <c r="H6" s="83">
        <v>0</v>
      </c>
      <c r="I6" s="83">
        <v>0</v>
      </c>
      <c r="J6" s="83">
        <v>0</v>
      </c>
      <c r="K6" s="83">
        <v>0</v>
      </c>
      <c r="L6" s="83">
        <v>0</v>
      </c>
      <c r="M6" s="83">
        <v>0</v>
      </c>
      <c r="N6" s="83">
        <v>0</v>
      </c>
      <c r="O6" s="83">
        <v>0</v>
      </c>
      <c r="P6" s="83">
        <v>0</v>
      </c>
      <c r="Q6" s="91">
        <f t="shared" si="0"/>
        <v>0</v>
      </c>
      <c r="R6" s="92"/>
    </row>
    <row r="7" outlineLevel="1" spans="1:18">
      <c r="A7" s="69" t="s">
        <v>232</v>
      </c>
      <c r="B7" s="82">
        <v>6666110107</v>
      </c>
      <c r="C7" s="82" t="s">
        <v>237</v>
      </c>
      <c r="D7" s="82" t="s">
        <v>234</v>
      </c>
      <c r="E7" s="83">
        <v>228.978440633181</v>
      </c>
      <c r="F7" s="83">
        <v>220.52584855431</v>
      </c>
      <c r="G7" s="83">
        <v>229.958891239241</v>
      </c>
      <c r="H7" s="83">
        <v>226.939833677598</v>
      </c>
      <c r="I7" s="83">
        <v>230.141952905908</v>
      </c>
      <c r="J7" s="83">
        <v>227.121755344264</v>
      </c>
      <c r="K7" s="83">
        <v>239.475375279096</v>
      </c>
      <c r="L7" s="83">
        <v>239.476025279096</v>
      </c>
      <c r="M7" s="83">
        <v>236.456467717452</v>
      </c>
      <c r="N7" s="83">
        <v>239.659478612429</v>
      </c>
      <c r="O7" s="83">
        <v>236.639361050785</v>
      </c>
      <c r="P7" s="83">
        <v>239.659418612429</v>
      </c>
      <c r="Q7" s="91">
        <f t="shared" si="0"/>
        <v>2795.03284890579</v>
      </c>
      <c r="R7" s="92"/>
    </row>
    <row r="8" outlineLevel="1" spans="1:18">
      <c r="A8" s="69" t="s">
        <v>232</v>
      </c>
      <c r="B8" s="82">
        <v>6666110110</v>
      </c>
      <c r="C8" s="82" t="s">
        <v>238</v>
      </c>
      <c r="D8" s="82" t="s">
        <v>234</v>
      </c>
      <c r="E8" s="83">
        <v>297.924557363891</v>
      </c>
      <c r="F8" s="83">
        <v>269.490182791162</v>
      </c>
      <c r="G8" s="83">
        <v>301.010296757831</v>
      </c>
      <c r="H8" s="83">
        <v>291.771640991161</v>
      </c>
      <c r="I8" s="83">
        <v>300.83235175783</v>
      </c>
      <c r="J8" s="83">
        <v>293.978085276878</v>
      </c>
      <c r="K8" s="83">
        <v>307.756043099099</v>
      </c>
      <c r="L8" s="83">
        <v>308.045883099099</v>
      </c>
      <c r="M8" s="83">
        <v>298.7103639991</v>
      </c>
      <c r="N8" s="83">
        <v>309.909059765767</v>
      </c>
      <c r="O8" s="83">
        <v>304.003453999099</v>
      </c>
      <c r="P8" s="83">
        <v>322.927885193294</v>
      </c>
      <c r="Q8" s="91">
        <f t="shared" si="0"/>
        <v>3606.35980409421</v>
      </c>
      <c r="R8" s="92"/>
    </row>
    <row r="9" outlineLevel="1" spans="1:18">
      <c r="A9" s="69" t="s">
        <v>232</v>
      </c>
      <c r="B9" s="82">
        <v>6666110112</v>
      </c>
      <c r="C9" s="82" t="s">
        <v>239</v>
      </c>
      <c r="D9" s="82" t="s">
        <v>234</v>
      </c>
      <c r="E9" s="83">
        <v>15.2469765342466</v>
      </c>
      <c r="F9" s="83">
        <v>14.2982453105023</v>
      </c>
      <c r="G9" s="83">
        <v>15.5601532009132</v>
      </c>
      <c r="H9" s="83">
        <v>15.2437139041096</v>
      </c>
      <c r="I9" s="83">
        <v>13.9306132009132</v>
      </c>
      <c r="J9" s="83">
        <v>13.8503996183953</v>
      </c>
      <c r="K9" s="83">
        <v>14.576628915199</v>
      </c>
      <c r="L9" s="83">
        <v>14.574998915199</v>
      </c>
      <c r="M9" s="83">
        <v>14.3179696183953</v>
      </c>
      <c r="N9" s="83">
        <v>14.7336722485323</v>
      </c>
      <c r="O9" s="83">
        <v>14.4739996183953</v>
      </c>
      <c r="P9" s="83">
        <v>14.4174155818656</v>
      </c>
      <c r="Q9" s="91">
        <f t="shared" si="0"/>
        <v>175.224786666667</v>
      </c>
      <c r="R9" s="92"/>
    </row>
    <row r="10" outlineLevel="1" spans="1:18">
      <c r="A10" s="69" t="s">
        <v>232</v>
      </c>
      <c r="B10" s="82">
        <v>6666110204</v>
      </c>
      <c r="C10" s="82" t="s">
        <v>240</v>
      </c>
      <c r="D10" s="82" t="s">
        <v>234</v>
      </c>
      <c r="E10" s="83">
        <v>0.25252</v>
      </c>
      <c r="F10" s="83">
        <v>0.25251</v>
      </c>
      <c r="G10" s="83">
        <v>0.25252</v>
      </c>
      <c r="H10" s="83">
        <v>0.25252</v>
      </c>
      <c r="I10" s="83">
        <v>0.25251</v>
      </c>
      <c r="J10" s="83">
        <v>0.25252</v>
      </c>
      <c r="K10" s="83">
        <v>0.25252</v>
      </c>
      <c r="L10" s="83">
        <v>0.25251</v>
      </c>
      <c r="M10" s="83">
        <v>0.25252</v>
      </c>
      <c r="N10" s="83">
        <v>0.25252</v>
      </c>
      <c r="O10" s="83">
        <v>0.25251</v>
      </c>
      <c r="P10" s="83">
        <v>0.25252</v>
      </c>
      <c r="Q10" s="91">
        <f t="shared" si="0"/>
        <v>3.0302</v>
      </c>
      <c r="R10" s="92"/>
    </row>
    <row r="11" outlineLevel="1" spans="1:18">
      <c r="A11" s="69" t="s">
        <v>232</v>
      </c>
      <c r="B11" s="82">
        <v>6666110207</v>
      </c>
      <c r="C11" s="82" t="s">
        <v>241</v>
      </c>
      <c r="D11" s="82" t="s">
        <v>234</v>
      </c>
      <c r="E11" s="83">
        <v>2.56681292846271</v>
      </c>
      <c r="F11" s="83">
        <v>2.45126501065449</v>
      </c>
      <c r="G11" s="83">
        <v>2.56682292846271</v>
      </c>
      <c r="H11" s="83">
        <v>2.52829362252664</v>
      </c>
      <c r="I11" s="83">
        <v>2.56680292846271</v>
      </c>
      <c r="J11" s="83">
        <v>2.52833362252664</v>
      </c>
      <c r="K11" s="83">
        <v>4.81895759512938</v>
      </c>
      <c r="L11" s="83">
        <v>4.80906759512938</v>
      </c>
      <c r="M11" s="83">
        <v>4.3331182891933</v>
      </c>
      <c r="N11" s="83">
        <v>4.35670759512938</v>
      </c>
      <c r="O11" s="83">
        <v>3.8428682891933</v>
      </c>
      <c r="P11" s="83">
        <v>3.85012759512938</v>
      </c>
      <c r="Q11" s="91">
        <f t="shared" si="0"/>
        <v>41.219178</v>
      </c>
      <c r="R11" s="92"/>
    </row>
    <row r="12" outlineLevel="1" spans="1:18">
      <c r="A12" s="69" t="s">
        <v>232</v>
      </c>
      <c r="B12" s="82">
        <v>6666110506</v>
      </c>
      <c r="C12" s="82" t="s">
        <v>242</v>
      </c>
      <c r="D12" s="82" t="s">
        <v>234</v>
      </c>
      <c r="E12" s="83">
        <v>0</v>
      </c>
      <c r="F12" s="83">
        <v>0</v>
      </c>
      <c r="G12" s="83">
        <v>0</v>
      </c>
      <c r="H12" s="83">
        <v>0</v>
      </c>
      <c r="I12" s="83">
        <v>0</v>
      </c>
      <c r="J12" s="83">
        <v>0</v>
      </c>
      <c r="K12" s="83">
        <v>0</v>
      </c>
      <c r="L12" s="83">
        <v>0</v>
      </c>
      <c r="M12" s="83">
        <v>0</v>
      </c>
      <c r="N12" s="83">
        <v>0</v>
      </c>
      <c r="O12" s="83">
        <v>0</v>
      </c>
      <c r="P12" s="83">
        <v>0</v>
      </c>
      <c r="Q12" s="91">
        <f t="shared" si="0"/>
        <v>0</v>
      </c>
      <c r="R12" s="92"/>
    </row>
    <row r="13" outlineLevel="1" spans="1:17">
      <c r="A13" s="69" t="s">
        <v>232</v>
      </c>
      <c r="B13" s="82" t="s">
        <v>243</v>
      </c>
      <c r="C13" s="82" t="s">
        <v>244</v>
      </c>
      <c r="D13" s="82" t="s">
        <v>234</v>
      </c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91">
        <f t="shared" si="0"/>
        <v>0</v>
      </c>
    </row>
    <row r="14" s="62" customFormat="1" spans="1:18">
      <c r="A14" s="69"/>
      <c r="B14" s="84" t="s">
        <v>245</v>
      </c>
      <c r="C14" s="85" t="s">
        <v>234</v>
      </c>
      <c r="D14" s="86"/>
      <c r="E14" s="87">
        <f t="shared" ref="E14:Q14" si="1">SUM(E5:E13)</f>
        <v>577.480375833335</v>
      </c>
      <c r="F14" s="87">
        <f t="shared" si="1"/>
        <v>536.482005833334</v>
      </c>
      <c r="G14" s="88">
        <f t="shared" si="1"/>
        <v>581.859822500002</v>
      </c>
      <c r="H14" s="88">
        <f t="shared" si="1"/>
        <v>568.2313525</v>
      </c>
      <c r="I14" s="88">
        <f t="shared" si="1"/>
        <v>580.235282500001</v>
      </c>
      <c r="J14" s="88">
        <f t="shared" si="1"/>
        <v>569.226440833335</v>
      </c>
      <c r="K14" s="88">
        <f t="shared" si="1"/>
        <v>599.4040079843</v>
      </c>
      <c r="L14" s="88">
        <f t="shared" si="1"/>
        <v>599.682904650966</v>
      </c>
      <c r="M14" s="88">
        <f t="shared" si="1"/>
        <v>585.579164650967</v>
      </c>
      <c r="N14" s="88">
        <f t="shared" si="1"/>
        <v>601.4358479843</v>
      </c>
      <c r="O14" s="88">
        <f t="shared" si="1"/>
        <v>590.720931317633</v>
      </c>
      <c r="P14" s="88">
        <f t="shared" si="1"/>
        <v>613.631863411828</v>
      </c>
      <c r="Q14" s="87">
        <f t="shared" si="1"/>
        <v>7003.97</v>
      </c>
      <c r="R14" s="92" t="s">
        <v>70</v>
      </c>
    </row>
    <row r="15" outlineLevel="1" spans="1:18">
      <c r="A15" s="69" t="s">
        <v>232</v>
      </c>
      <c r="B15" s="82">
        <v>5001010205</v>
      </c>
      <c r="C15" s="82" t="s">
        <v>246</v>
      </c>
      <c r="D15" s="82" t="s">
        <v>247</v>
      </c>
      <c r="E15" s="83">
        <v>8.32473354259746</v>
      </c>
      <c r="F15" s="83">
        <v>9.00708146779081</v>
      </c>
      <c r="G15" s="83">
        <v>9.09859186423931</v>
      </c>
      <c r="H15" s="83">
        <v>8.76063924519617</v>
      </c>
      <c r="I15" s="83">
        <v>10.1185428119688</v>
      </c>
      <c r="J15" s="83">
        <v>9.40812040102424</v>
      </c>
      <c r="K15" s="83">
        <v>8.52962985623915</v>
      </c>
      <c r="L15" s="83">
        <v>8.6901252806966</v>
      </c>
      <c r="M15" s="83">
        <v>10.3606404864415</v>
      </c>
      <c r="N15" s="83">
        <v>9.57277364757434</v>
      </c>
      <c r="O15" s="83">
        <v>9.21539556432817</v>
      </c>
      <c r="P15" s="83">
        <v>9.2953957596164</v>
      </c>
      <c r="Q15" s="91">
        <f t="shared" ref="Q15:Q22" si="2">F15+E15+G15+H15+I15+J15+K15+L15+M15+N15+O15+P15</f>
        <v>110.381669927713</v>
      </c>
      <c r="R15" s="92"/>
    </row>
    <row r="16" outlineLevel="1" spans="1:18">
      <c r="A16" s="69" t="s">
        <v>232</v>
      </c>
      <c r="B16" s="82">
        <v>6666010380</v>
      </c>
      <c r="C16" s="82" t="s">
        <v>250</v>
      </c>
      <c r="D16" s="82" t="s">
        <v>247</v>
      </c>
      <c r="E16" s="83">
        <v>-21.8064761184266</v>
      </c>
      <c r="F16" s="83">
        <v>-23.5028483525762</v>
      </c>
      <c r="G16" s="83">
        <v>-23.7172561909675</v>
      </c>
      <c r="H16" s="83">
        <v>-22.8556045069985</v>
      </c>
      <c r="I16" s="83">
        <v>-26.2521962915078</v>
      </c>
      <c r="J16" s="83">
        <v>-24.456386856348</v>
      </c>
      <c r="K16" s="83">
        <v>-22.2436257507817</v>
      </c>
      <c r="L16" s="83">
        <v>-22.6391164649348</v>
      </c>
      <c r="M16" s="83">
        <v>-26.8275156710154</v>
      </c>
      <c r="N16" s="83">
        <v>-24.8356693627674</v>
      </c>
      <c r="O16" s="83">
        <v>-23.9244147409252</v>
      </c>
      <c r="P16" s="83">
        <v>-24.1115095346224</v>
      </c>
      <c r="Q16" s="91">
        <f t="shared" si="2"/>
        <v>-287.172619841871</v>
      </c>
      <c r="R16" s="92"/>
    </row>
    <row r="17" outlineLevel="1" spans="1:18">
      <c r="A17" s="69" t="s">
        <v>232</v>
      </c>
      <c r="B17" s="82">
        <v>6666010019</v>
      </c>
      <c r="C17" s="82" t="s">
        <v>251</v>
      </c>
      <c r="D17" s="82" t="s">
        <v>247</v>
      </c>
      <c r="E17" s="83">
        <v>86.3691105044485</v>
      </c>
      <c r="F17" s="83">
        <v>93.4484702283295</v>
      </c>
      <c r="G17" s="83">
        <v>94.3978905914822</v>
      </c>
      <c r="H17" s="83">
        <v>90.8916321689101</v>
      </c>
      <c r="I17" s="83">
        <v>104.979881674176</v>
      </c>
      <c r="J17" s="83">
        <v>97.6092491606262</v>
      </c>
      <c r="K17" s="83">
        <v>88.4949097584809</v>
      </c>
      <c r="L17" s="83">
        <v>90.160049787227</v>
      </c>
      <c r="M17" s="83">
        <v>107.49164504683</v>
      </c>
      <c r="N17" s="83">
        <v>99.3175265935839</v>
      </c>
      <c r="O17" s="83">
        <v>95.609728979904</v>
      </c>
      <c r="P17" s="83">
        <v>96.43973100602</v>
      </c>
      <c r="Q17" s="91">
        <f t="shared" si="2"/>
        <v>1145.20982550002</v>
      </c>
      <c r="R17" s="92"/>
    </row>
    <row r="18" outlineLevel="1" spans="1:18">
      <c r="A18" s="69" t="s">
        <v>232</v>
      </c>
      <c r="B18" s="82">
        <v>6666010183</v>
      </c>
      <c r="C18" s="82" t="s">
        <v>252</v>
      </c>
      <c r="D18" s="82" t="s">
        <v>247</v>
      </c>
      <c r="E18" s="83">
        <v>0</v>
      </c>
      <c r="F18" s="83">
        <v>0</v>
      </c>
      <c r="G18" s="83">
        <v>0</v>
      </c>
      <c r="H18" s="83">
        <v>0</v>
      </c>
      <c r="I18" s="83">
        <v>0</v>
      </c>
      <c r="J18" s="83">
        <v>0</v>
      </c>
      <c r="K18" s="83">
        <v>0</v>
      </c>
      <c r="L18" s="83">
        <v>0</v>
      </c>
      <c r="M18" s="83">
        <v>0</v>
      </c>
      <c r="N18" s="83">
        <v>0</v>
      </c>
      <c r="O18" s="83">
        <v>0</v>
      </c>
      <c r="P18" s="83">
        <v>0</v>
      </c>
      <c r="Q18" s="91">
        <f t="shared" si="2"/>
        <v>0</v>
      </c>
      <c r="R18" s="92"/>
    </row>
    <row r="19" outlineLevel="1" spans="1:18">
      <c r="A19" s="69" t="s">
        <v>232</v>
      </c>
      <c r="B19" s="82">
        <v>6666010229</v>
      </c>
      <c r="C19" s="82" t="s">
        <v>253</v>
      </c>
      <c r="D19" s="82" t="s">
        <v>247</v>
      </c>
      <c r="E19" s="83">
        <v>9.16644486054095</v>
      </c>
      <c r="F19" s="83">
        <v>8.99552979444646</v>
      </c>
      <c r="G19" s="83">
        <v>8.82780156471684</v>
      </c>
      <c r="H19" s="83">
        <v>8.69734144307078</v>
      </c>
      <c r="I19" s="83">
        <v>8.56880930351801</v>
      </c>
      <c r="J19" s="83">
        <v>8.44217665371233</v>
      </c>
      <c r="K19" s="83">
        <v>8.37517525169878</v>
      </c>
      <c r="L19" s="83">
        <v>8.30870560684403</v>
      </c>
      <c r="M19" s="83">
        <v>8.24276349885318</v>
      </c>
      <c r="N19" s="83">
        <v>8.10099606766899</v>
      </c>
      <c r="O19" s="83">
        <v>7.96166689697198</v>
      </c>
      <c r="P19" s="83">
        <v>7.82473405107811</v>
      </c>
      <c r="Q19" s="91">
        <f t="shared" si="2"/>
        <v>101.51214499312</v>
      </c>
      <c r="R19" s="92"/>
    </row>
    <row r="20" outlineLevel="1" spans="1:18">
      <c r="A20" s="69" t="s">
        <v>232</v>
      </c>
      <c r="B20" s="82">
        <v>6666010188</v>
      </c>
      <c r="C20" s="82" t="s">
        <v>254</v>
      </c>
      <c r="D20" s="82" t="s">
        <v>247</v>
      </c>
      <c r="E20" s="83">
        <v>402.752567757955</v>
      </c>
      <c r="F20" s="83">
        <v>436.367070150256</v>
      </c>
      <c r="G20" s="83">
        <v>440.761672074095</v>
      </c>
      <c r="H20" s="83">
        <v>423.944528891668</v>
      </c>
      <c r="I20" s="83">
        <v>481.305130996507</v>
      </c>
      <c r="J20" s="83">
        <v>411.707349816772</v>
      </c>
      <c r="K20" s="83">
        <v>367.705402821473</v>
      </c>
      <c r="L20" s="83">
        <v>375.581593325363</v>
      </c>
      <c r="M20" s="83">
        <v>450.377211888846</v>
      </c>
      <c r="N20" s="83">
        <v>414.99990360747</v>
      </c>
      <c r="O20" s="83">
        <v>399.016511644999</v>
      </c>
      <c r="P20" s="83">
        <v>402.913960025711</v>
      </c>
      <c r="Q20" s="91">
        <f t="shared" si="2"/>
        <v>5007.43290300111</v>
      </c>
      <c r="R20" s="92"/>
    </row>
    <row r="21" outlineLevel="1" spans="1:18">
      <c r="A21" s="69" t="s">
        <v>232</v>
      </c>
      <c r="B21" s="82">
        <v>5102040406</v>
      </c>
      <c r="C21" s="82" t="s">
        <v>255</v>
      </c>
      <c r="D21" s="82" t="s">
        <v>247</v>
      </c>
      <c r="E21" s="83">
        <v>0</v>
      </c>
      <c r="F21" s="83">
        <v>0</v>
      </c>
      <c r="G21" s="83">
        <v>0</v>
      </c>
      <c r="H21" s="83">
        <v>0</v>
      </c>
      <c r="I21" s="83">
        <v>0</v>
      </c>
      <c r="J21" s="83">
        <v>0</v>
      </c>
      <c r="K21" s="83">
        <v>0</v>
      </c>
      <c r="L21" s="83">
        <v>0</v>
      </c>
      <c r="M21" s="83">
        <v>0</v>
      </c>
      <c r="N21" s="83">
        <v>0</v>
      </c>
      <c r="O21" s="83">
        <v>0</v>
      </c>
      <c r="P21" s="83">
        <v>0</v>
      </c>
      <c r="Q21" s="91">
        <f t="shared" si="2"/>
        <v>0</v>
      </c>
      <c r="R21" s="92"/>
    </row>
    <row r="22" outlineLevel="1" spans="1:17">
      <c r="A22" s="69" t="s">
        <v>232</v>
      </c>
      <c r="B22" s="82">
        <v>6666010115</v>
      </c>
      <c r="C22" s="82" t="s">
        <v>256</v>
      </c>
      <c r="D22" s="82" t="s">
        <v>247</v>
      </c>
      <c r="E22" s="83">
        <v>0</v>
      </c>
      <c r="F22" s="83">
        <v>0</v>
      </c>
      <c r="G22" s="83">
        <v>0</v>
      </c>
      <c r="H22" s="83">
        <v>0</v>
      </c>
      <c r="I22" s="83">
        <v>0</v>
      </c>
      <c r="J22" s="83">
        <v>0</v>
      </c>
      <c r="K22" s="83">
        <v>0</v>
      </c>
      <c r="L22" s="83">
        <v>0</v>
      </c>
      <c r="M22" s="83">
        <v>0</v>
      </c>
      <c r="N22" s="83">
        <v>0</v>
      </c>
      <c r="O22" s="83">
        <v>0</v>
      </c>
      <c r="P22" s="83">
        <v>0</v>
      </c>
      <c r="Q22" s="91">
        <f t="shared" si="2"/>
        <v>0</v>
      </c>
    </row>
    <row r="23" s="63" customFormat="1" spans="1:18">
      <c r="A23" s="69"/>
      <c r="B23" s="84" t="s">
        <v>257</v>
      </c>
      <c r="C23" s="85" t="s">
        <v>247</v>
      </c>
      <c r="D23" s="86"/>
      <c r="E23" s="87">
        <f t="shared" ref="E23:Q23" si="3">SUM(E15:E22)</f>
        <v>484.806380547116</v>
      </c>
      <c r="F23" s="88">
        <f t="shared" si="3"/>
        <v>524.315303288247</v>
      </c>
      <c r="G23" s="88">
        <f t="shared" si="3"/>
        <v>529.368699903566</v>
      </c>
      <c r="H23" s="88">
        <f t="shared" si="3"/>
        <v>509.438537241846</v>
      </c>
      <c r="I23" s="88">
        <f t="shared" si="3"/>
        <v>578.720168494663</v>
      </c>
      <c r="J23" s="88">
        <f t="shared" si="3"/>
        <v>502.710509175787</v>
      </c>
      <c r="K23" s="88">
        <f t="shared" si="3"/>
        <v>450.86149193711</v>
      </c>
      <c r="L23" s="88">
        <f t="shared" si="3"/>
        <v>460.101357535196</v>
      </c>
      <c r="M23" s="88">
        <f t="shared" si="3"/>
        <v>549.644745249955</v>
      </c>
      <c r="N23" s="88">
        <f t="shared" si="3"/>
        <v>507.15553055353</v>
      </c>
      <c r="O23" s="88">
        <f t="shared" si="3"/>
        <v>487.878888345277</v>
      </c>
      <c r="P23" s="88">
        <f t="shared" si="3"/>
        <v>492.362311307803</v>
      </c>
      <c r="Q23" s="87">
        <f t="shared" si="3"/>
        <v>6077.3639235801</v>
      </c>
      <c r="R23" s="92" t="s">
        <v>31</v>
      </c>
    </row>
    <row r="24" outlineLevel="1" spans="1:18">
      <c r="A24" s="69" t="s">
        <v>258</v>
      </c>
      <c r="B24" s="82">
        <v>8701530201</v>
      </c>
      <c r="C24" s="82" t="s">
        <v>259</v>
      </c>
      <c r="D24" s="82" t="s">
        <v>260</v>
      </c>
      <c r="E24" s="83">
        <v>0</v>
      </c>
      <c r="F24" s="83">
        <v>0</v>
      </c>
      <c r="G24" s="83">
        <v>0</v>
      </c>
      <c r="H24" s="83">
        <v>0</v>
      </c>
      <c r="I24" s="83">
        <v>0</v>
      </c>
      <c r="J24" s="83">
        <v>0</v>
      </c>
      <c r="K24" s="83">
        <v>0</v>
      </c>
      <c r="L24" s="83">
        <v>0</v>
      </c>
      <c r="M24" s="83">
        <v>0</v>
      </c>
      <c r="N24" s="83">
        <v>0</v>
      </c>
      <c r="O24" s="83">
        <v>0</v>
      </c>
      <c r="P24" s="83">
        <v>0</v>
      </c>
      <c r="Q24" s="91">
        <f>F24+E24+G24+H24+I24+J24+K24+L24+M24+N24+O24+P24</f>
        <v>0</v>
      </c>
      <c r="R24" s="92"/>
    </row>
    <row r="25" outlineLevel="1" spans="1:18">
      <c r="A25" s="69" t="s">
        <v>258</v>
      </c>
      <c r="B25" s="82">
        <v>6666050309</v>
      </c>
      <c r="C25" s="82" t="s">
        <v>263</v>
      </c>
      <c r="D25" s="82" t="s">
        <v>260</v>
      </c>
      <c r="E25" s="83">
        <v>27.4455487766721</v>
      </c>
      <c r="F25" s="83">
        <v>27.4455487766721</v>
      </c>
      <c r="G25" s="83">
        <v>27.4455487766721</v>
      </c>
      <c r="H25" s="83">
        <v>19.3217713378385</v>
      </c>
      <c r="I25" s="83">
        <v>14.5528841436705</v>
      </c>
      <c r="J25" s="83">
        <v>21.2293262155057</v>
      </c>
      <c r="K25" s="83">
        <v>17.4142164601713</v>
      </c>
      <c r="L25" s="83">
        <v>15.9855456522113</v>
      </c>
      <c r="M25" s="83">
        <v>21.8997639130958</v>
      </c>
      <c r="N25" s="83">
        <v>18.9426547826536</v>
      </c>
      <c r="O25" s="83">
        <v>20.9140608696151</v>
      </c>
      <c r="P25" s="83">
        <v>16.0194666071489</v>
      </c>
      <c r="Q25" s="91">
        <f>F25+E25+G25+H25+I25+J25+K25+L25+M25+N25+O25+P25</f>
        <v>248.616336311927</v>
      </c>
      <c r="R25" s="92"/>
    </row>
    <row r="26" outlineLevel="1" spans="1:18">
      <c r="A26" s="69" t="s">
        <v>258</v>
      </c>
      <c r="B26" s="82">
        <v>6666050308</v>
      </c>
      <c r="C26" s="82" t="s">
        <v>264</v>
      </c>
      <c r="D26" s="82" t="s">
        <v>260</v>
      </c>
      <c r="E26" s="83">
        <v>0</v>
      </c>
      <c r="F26" s="83">
        <v>0</v>
      </c>
      <c r="G26" s="83">
        <v>0</v>
      </c>
      <c r="H26" s="83">
        <v>0</v>
      </c>
      <c r="I26" s="83">
        <v>0</v>
      </c>
      <c r="J26" s="83">
        <v>0</v>
      </c>
      <c r="K26" s="83">
        <v>0</v>
      </c>
      <c r="L26" s="83">
        <v>0</v>
      </c>
      <c r="M26" s="83">
        <v>0</v>
      </c>
      <c r="N26" s="83">
        <v>0</v>
      </c>
      <c r="O26" s="83">
        <v>0</v>
      </c>
      <c r="P26" s="83">
        <v>0</v>
      </c>
      <c r="Q26" s="91">
        <f>F26+E26+G26+H26+I26+J26+K26+L26+M26+N26+O26+P26</f>
        <v>0</v>
      </c>
      <c r="R26" s="92"/>
    </row>
    <row r="27" outlineLevel="1" spans="1:17">
      <c r="A27" s="69" t="s">
        <v>258</v>
      </c>
      <c r="B27" s="82">
        <v>6666050306</v>
      </c>
      <c r="C27" s="82" t="s">
        <v>265</v>
      </c>
      <c r="D27" s="82" t="s">
        <v>260</v>
      </c>
      <c r="E27" s="83">
        <v>0</v>
      </c>
      <c r="F27" s="83">
        <v>0</v>
      </c>
      <c r="G27" s="83">
        <v>0</v>
      </c>
      <c r="H27" s="83">
        <v>0</v>
      </c>
      <c r="I27" s="83">
        <v>0</v>
      </c>
      <c r="J27" s="83">
        <v>0</v>
      </c>
      <c r="K27" s="83">
        <v>0</v>
      </c>
      <c r="L27" s="83">
        <v>0</v>
      </c>
      <c r="M27" s="83">
        <v>0</v>
      </c>
      <c r="N27" s="83">
        <v>0</v>
      </c>
      <c r="O27" s="83">
        <v>0</v>
      </c>
      <c r="P27" s="83">
        <v>0</v>
      </c>
      <c r="Q27" s="91">
        <f>F27+E27+G27+H27+I27+J27+K27+L27+M27+N27+O27+P27</f>
        <v>0</v>
      </c>
    </row>
    <row r="28" s="63" customFormat="1" spans="1:18">
      <c r="A28" s="69"/>
      <c r="B28" s="84" t="s">
        <v>257</v>
      </c>
      <c r="C28" s="85" t="s">
        <v>260</v>
      </c>
      <c r="D28" s="86"/>
      <c r="E28" s="87">
        <f t="shared" ref="E28:Q28" si="4">SUM(E24:E27)</f>
        <v>27.4455487766721</v>
      </c>
      <c r="F28" s="88">
        <f t="shared" si="4"/>
        <v>27.4455487766721</v>
      </c>
      <c r="G28" s="88">
        <f t="shared" si="4"/>
        <v>27.4455487766721</v>
      </c>
      <c r="H28" s="88">
        <f t="shared" si="4"/>
        <v>19.3217713378385</v>
      </c>
      <c r="I28" s="88">
        <f t="shared" si="4"/>
        <v>14.5528841436705</v>
      </c>
      <c r="J28" s="88">
        <f t="shared" si="4"/>
        <v>21.2293262155057</v>
      </c>
      <c r="K28" s="88">
        <f t="shared" si="4"/>
        <v>17.4142164601713</v>
      </c>
      <c r="L28" s="88">
        <f t="shared" si="4"/>
        <v>15.9855456522113</v>
      </c>
      <c r="M28" s="88">
        <f t="shared" si="4"/>
        <v>21.8997639130958</v>
      </c>
      <c r="N28" s="88">
        <f t="shared" si="4"/>
        <v>18.9426547826536</v>
      </c>
      <c r="O28" s="88">
        <f t="shared" si="4"/>
        <v>20.9140608696151</v>
      </c>
      <c r="P28" s="88">
        <f t="shared" si="4"/>
        <v>16.0194666071489</v>
      </c>
      <c r="Q28" s="87">
        <f t="shared" si="4"/>
        <v>248.616336311927</v>
      </c>
      <c r="R28" s="92" t="s">
        <v>66</v>
      </c>
    </row>
    <row r="29" outlineLevel="1" spans="1:18">
      <c r="A29" s="69" t="s">
        <v>232</v>
      </c>
      <c r="B29" s="82">
        <v>5102010151</v>
      </c>
      <c r="C29" s="82" t="s">
        <v>266</v>
      </c>
      <c r="D29" s="82" t="s">
        <v>267</v>
      </c>
      <c r="E29" s="83">
        <v>0</v>
      </c>
      <c r="F29" s="83">
        <v>0</v>
      </c>
      <c r="G29" s="83">
        <v>0</v>
      </c>
      <c r="H29" s="83">
        <v>0</v>
      </c>
      <c r="I29" s="83">
        <v>0</v>
      </c>
      <c r="J29" s="83">
        <v>0</v>
      </c>
      <c r="K29" s="83">
        <v>0</v>
      </c>
      <c r="L29" s="83">
        <v>0</v>
      </c>
      <c r="M29" s="83">
        <v>0</v>
      </c>
      <c r="N29" s="83">
        <v>0</v>
      </c>
      <c r="O29" s="83">
        <v>0</v>
      </c>
      <c r="P29" s="83">
        <v>0</v>
      </c>
      <c r="Q29" s="91">
        <f t="shared" ref="Q29:Q76" si="5">F29+E29+G29+H29+I29+J29+K29+L29+M29+N29+O29+P29</f>
        <v>0</v>
      </c>
      <c r="R29" s="92"/>
    </row>
    <row r="30" outlineLevel="1" spans="1:18">
      <c r="A30" s="69" t="s">
        <v>232</v>
      </c>
      <c r="B30" s="82">
        <v>5001010200</v>
      </c>
      <c r="C30" s="82" t="s">
        <v>269</v>
      </c>
      <c r="D30" s="82" t="s">
        <v>267</v>
      </c>
      <c r="E30" s="83">
        <v>0</v>
      </c>
      <c r="F30" s="83">
        <v>0</v>
      </c>
      <c r="G30" s="83">
        <v>0</v>
      </c>
      <c r="H30" s="83">
        <v>0</v>
      </c>
      <c r="I30" s="83">
        <v>0</v>
      </c>
      <c r="J30" s="83">
        <v>0</v>
      </c>
      <c r="K30" s="83">
        <v>0</v>
      </c>
      <c r="L30" s="83">
        <v>0</v>
      </c>
      <c r="M30" s="83">
        <v>0</v>
      </c>
      <c r="N30" s="83">
        <v>0</v>
      </c>
      <c r="O30" s="83">
        <v>0</v>
      </c>
      <c r="P30" s="83">
        <v>0</v>
      </c>
      <c r="Q30" s="91">
        <f t="shared" si="5"/>
        <v>0</v>
      </c>
      <c r="R30" s="92"/>
    </row>
    <row r="31" outlineLevel="1" spans="1:18">
      <c r="A31" s="69" t="s">
        <v>232</v>
      </c>
      <c r="B31" s="82">
        <v>5001010201</v>
      </c>
      <c r="C31" s="82" t="s">
        <v>270</v>
      </c>
      <c r="D31" s="82" t="s">
        <v>267</v>
      </c>
      <c r="E31" s="83">
        <v>0</v>
      </c>
      <c r="F31" s="83">
        <v>0</v>
      </c>
      <c r="G31" s="83">
        <v>0</v>
      </c>
      <c r="H31" s="83">
        <v>0</v>
      </c>
      <c r="I31" s="83">
        <v>0</v>
      </c>
      <c r="J31" s="83">
        <v>0</v>
      </c>
      <c r="K31" s="83">
        <v>0</v>
      </c>
      <c r="L31" s="83">
        <v>0</v>
      </c>
      <c r="M31" s="83">
        <v>0</v>
      </c>
      <c r="N31" s="83">
        <v>0</v>
      </c>
      <c r="O31" s="83">
        <v>0</v>
      </c>
      <c r="P31" s="83">
        <v>0</v>
      </c>
      <c r="Q31" s="91">
        <f t="shared" si="5"/>
        <v>0</v>
      </c>
      <c r="R31" s="92"/>
    </row>
    <row r="32" outlineLevel="1" spans="1:18">
      <c r="A32" s="89" t="s">
        <v>258</v>
      </c>
      <c r="B32" s="82">
        <v>5207000011</v>
      </c>
      <c r="C32" s="82" t="s">
        <v>271</v>
      </c>
      <c r="D32" s="82" t="s">
        <v>267</v>
      </c>
      <c r="E32" s="83">
        <v>0</v>
      </c>
      <c r="F32" s="83">
        <v>0</v>
      </c>
      <c r="G32" s="83">
        <v>0</v>
      </c>
      <c r="H32" s="83">
        <v>0</v>
      </c>
      <c r="I32" s="83">
        <v>0</v>
      </c>
      <c r="J32" s="83">
        <v>0</v>
      </c>
      <c r="K32" s="83">
        <v>0</v>
      </c>
      <c r="L32" s="83">
        <v>0</v>
      </c>
      <c r="M32" s="83">
        <v>0</v>
      </c>
      <c r="N32" s="83">
        <v>0</v>
      </c>
      <c r="O32" s="83">
        <v>0</v>
      </c>
      <c r="P32" s="83">
        <v>0</v>
      </c>
      <c r="Q32" s="91">
        <f t="shared" si="5"/>
        <v>0</v>
      </c>
      <c r="R32" s="92"/>
    </row>
    <row r="33" outlineLevel="1" spans="1:18">
      <c r="A33" s="89" t="s">
        <v>258</v>
      </c>
      <c r="B33" s="82">
        <v>5207000012</v>
      </c>
      <c r="C33" s="82" t="s">
        <v>272</v>
      </c>
      <c r="D33" s="82" t="s">
        <v>267</v>
      </c>
      <c r="E33" s="83">
        <v>0</v>
      </c>
      <c r="F33" s="83">
        <v>0</v>
      </c>
      <c r="G33" s="83">
        <v>0</v>
      </c>
      <c r="H33" s="83">
        <v>0</v>
      </c>
      <c r="I33" s="83">
        <v>0</v>
      </c>
      <c r="J33" s="83">
        <v>0</v>
      </c>
      <c r="K33" s="83">
        <v>0</v>
      </c>
      <c r="L33" s="83">
        <v>0</v>
      </c>
      <c r="M33" s="83">
        <v>0</v>
      </c>
      <c r="N33" s="83">
        <v>0</v>
      </c>
      <c r="O33" s="83">
        <v>0</v>
      </c>
      <c r="P33" s="83">
        <v>0</v>
      </c>
      <c r="Q33" s="91">
        <f t="shared" si="5"/>
        <v>0</v>
      </c>
      <c r="R33" s="92"/>
    </row>
    <row r="34" outlineLevel="1" spans="1:18">
      <c r="A34" s="89" t="s">
        <v>258</v>
      </c>
      <c r="B34" s="82">
        <v>5207000022</v>
      </c>
      <c r="C34" s="82" t="s">
        <v>273</v>
      </c>
      <c r="D34" s="82" t="s">
        <v>267</v>
      </c>
      <c r="E34" s="83">
        <v>0</v>
      </c>
      <c r="F34" s="83">
        <v>0</v>
      </c>
      <c r="G34" s="83">
        <v>0</v>
      </c>
      <c r="H34" s="83">
        <v>0</v>
      </c>
      <c r="I34" s="83">
        <v>0</v>
      </c>
      <c r="J34" s="83">
        <v>0</v>
      </c>
      <c r="K34" s="83">
        <v>0</v>
      </c>
      <c r="L34" s="83">
        <v>0</v>
      </c>
      <c r="M34" s="83">
        <v>0</v>
      </c>
      <c r="N34" s="83">
        <v>0</v>
      </c>
      <c r="O34" s="83">
        <v>0</v>
      </c>
      <c r="P34" s="83">
        <v>0</v>
      </c>
      <c r="Q34" s="91">
        <f t="shared" si="5"/>
        <v>0</v>
      </c>
      <c r="R34" s="92"/>
    </row>
    <row r="35" outlineLevel="1" spans="1:18">
      <c r="A35" s="69" t="s">
        <v>232</v>
      </c>
      <c r="B35" s="82">
        <v>5301060000</v>
      </c>
      <c r="C35" s="82" t="s">
        <v>274</v>
      </c>
      <c r="D35" s="82" t="s">
        <v>267</v>
      </c>
      <c r="E35" s="83">
        <v>0</v>
      </c>
      <c r="F35" s="83">
        <v>0</v>
      </c>
      <c r="G35" s="83">
        <v>0</v>
      </c>
      <c r="H35" s="83">
        <v>0</v>
      </c>
      <c r="I35" s="83">
        <v>0</v>
      </c>
      <c r="J35" s="83">
        <v>0</v>
      </c>
      <c r="K35" s="83">
        <v>0</v>
      </c>
      <c r="L35" s="83">
        <v>0</v>
      </c>
      <c r="M35" s="83">
        <v>0</v>
      </c>
      <c r="N35" s="83">
        <v>0</v>
      </c>
      <c r="O35" s="83">
        <v>0</v>
      </c>
      <c r="P35" s="83">
        <v>0</v>
      </c>
      <c r="Q35" s="91">
        <f t="shared" si="5"/>
        <v>0</v>
      </c>
      <c r="R35" s="92"/>
    </row>
    <row r="36" outlineLevel="1" spans="1:18">
      <c r="A36" s="69" t="s">
        <v>232</v>
      </c>
      <c r="B36" s="82">
        <v>5301999999</v>
      </c>
      <c r="C36" s="82" t="s">
        <v>275</v>
      </c>
      <c r="D36" s="82" t="s">
        <v>267</v>
      </c>
      <c r="E36" s="83">
        <v>0</v>
      </c>
      <c r="F36" s="83">
        <v>0</v>
      </c>
      <c r="G36" s="83">
        <v>0</v>
      </c>
      <c r="H36" s="83">
        <v>0</v>
      </c>
      <c r="I36" s="83">
        <v>0</v>
      </c>
      <c r="J36" s="83">
        <v>0</v>
      </c>
      <c r="K36" s="83">
        <v>0</v>
      </c>
      <c r="L36" s="83">
        <v>0</v>
      </c>
      <c r="M36" s="83">
        <v>0</v>
      </c>
      <c r="N36" s="83">
        <v>0</v>
      </c>
      <c r="O36" s="83">
        <v>0</v>
      </c>
      <c r="P36" s="83">
        <v>0</v>
      </c>
      <c r="Q36" s="91">
        <f t="shared" si="5"/>
        <v>0</v>
      </c>
      <c r="R36" s="92"/>
    </row>
    <row r="37" outlineLevel="1" spans="1:18">
      <c r="A37" s="69" t="s">
        <v>232</v>
      </c>
      <c r="B37" s="82">
        <v>5405030000</v>
      </c>
      <c r="C37" s="82" t="s">
        <v>276</v>
      </c>
      <c r="D37" s="82" t="s">
        <v>267</v>
      </c>
      <c r="E37" s="83">
        <v>0</v>
      </c>
      <c r="F37" s="83">
        <v>0</v>
      </c>
      <c r="G37" s="83">
        <v>0</v>
      </c>
      <c r="H37" s="83">
        <v>0</v>
      </c>
      <c r="I37" s="83">
        <v>0</v>
      </c>
      <c r="J37" s="83">
        <v>0</v>
      </c>
      <c r="K37" s="83">
        <v>0</v>
      </c>
      <c r="L37" s="83">
        <v>0</v>
      </c>
      <c r="M37" s="83">
        <v>0</v>
      </c>
      <c r="N37" s="83">
        <v>0</v>
      </c>
      <c r="O37" s="83">
        <v>0</v>
      </c>
      <c r="P37" s="83">
        <v>0</v>
      </c>
      <c r="Q37" s="91">
        <f t="shared" si="5"/>
        <v>0</v>
      </c>
      <c r="R37" s="92"/>
    </row>
    <row r="38" outlineLevel="1" spans="1:18">
      <c r="A38" s="69" t="s">
        <v>232</v>
      </c>
      <c r="B38" s="82">
        <v>5601050000</v>
      </c>
      <c r="C38" s="82" t="s">
        <v>277</v>
      </c>
      <c r="D38" s="82" t="s">
        <v>267</v>
      </c>
      <c r="E38" s="83">
        <v>0</v>
      </c>
      <c r="F38" s="83">
        <v>0</v>
      </c>
      <c r="G38" s="83">
        <v>0</v>
      </c>
      <c r="H38" s="83">
        <v>0</v>
      </c>
      <c r="I38" s="83">
        <v>0</v>
      </c>
      <c r="J38" s="83">
        <v>0</v>
      </c>
      <c r="K38" s="83">
        <v>0</v>
      </c>
      <c r="L38" s="83">
        <v>0</v>
      </c>
      <c r="M38" s="83">
        <v>0</v>
      </c>
      <c r="N38" s="83">
        <v>0</v>
      </c>
      <c r="O38" s="83">
        <v>0</v>
      </c>
      <c r="P38" s="83">
        <v>0</v>
      </c>
      <c r="Q38" s="91">
        <f t="shared" si="5"/>
        <v>0</v>
      </c>
      <c r="R38" s="92"/>
    </row>
    <row r="39" outlineLevel="1" spans="1:18">
      <c r="A39" s="69" t="s">
        <v>232</v>
      </c>
      <c r="B39" s="82">
        <v>5601050100</v>
      </c>
      <c r="C39" s="82" t="s">
        <v>278</v>
      </c>
      <c r="D39" s="82" t="s">
        <v>267</v>
      </c>
      <c r="E39" s="83">
        <v>0</v>
      </c>
      <c r="F39" s="83">
        <v>0</v>
      </c>
      <c r="G39" s="83">
        <v>0</v>
      </c>
      <c r="H39" s="83">
        <v>0</v>
      </c>
      <c r="I39" s="83">
        <v>0</v>
      </c>
      <c r="J39" s="83">
        <v>0</v>
      </c>
      <c r="K39" s="83">
        <v>0</v>
      </c>
      <c r="L39" s="83">
        <v>0</v>
      </c>
      <c r="M39" s="83">
        <v>0</v>
      </c>
      <c r="N39" s="83">
        <v>0</v>
      </c>
      <c r="O39" s="83">
        <v>0</v>
      </c>
      <c r="P39" s="83">
        <v>0</v>
      </c>
      <c r="Q39" s="91">
        <f t="shared" si="5"/>
        <v>0</v>
      </c>
      <c r="R39" s="92"/>
    </row>
    <row r="40" outlineLevel="1" spans="1:18">
      <c r="A40" s="69" t="s">
        <v>232</v>
      </c>
      <c r="B40" s="82">
        <v>5102040893</v>
      </c>
      <c r="C40" s="82" t="s">
        <v>279</v>
      </c>
      <c r="D40" s="82" t="s">
        <v>267</v>
      </c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91">
        <f t="shared" si="5"/>
        <v>0</v>
      </c>
      <c r="R40" s="92"/>
    </row>
    <row r="41" outlineLevel="1" spans="1:18">
      <c r="A41" s="69" t="s">
        <v>232</v>
      </c>
      <c r="B41" s="82">
        <v>5801000041</v>
      </c>
      <c r="C41" s="82" t="s">
        <v>280</v>
      </c>
      <c r="D41" s="82" t="s">
        <v>267</v>
      </c>
      <c r="E41" s="83">
        <v>0</v>
      </c>
      <c r="F41" s="83">
        <v>0</v>
      </c>
      <c r="G41" s="83">
        <v>0</v>
      </c>
      <c r="H41" s="83">
        <v>0</v>
      </c>
      <c r="I41" s="83">
        <v>0</v>
      </c>
      <c r="J41" s="83">
        <v>0</v>
      </c>
      <c r="K41" s="83">
        <v>0</v>
      </c>
      <c r="L41" s="83">
        <v>0</v>
      </c>
      <c r="M41" s="83">
        <v>0</v>
      </c>
      <c r="N41" s="83">
        <v>0</v>
      </c>
      <c r="O41" s="83">
        <v>0</v>
      </c>
      <c r="P41" s="83">
        <v>0</v>
      </c>
      <c r="Q41" s="91">
        <f t="shared" si="5"/>
        <v>0</v>
      </c>
      <c r="R41" s="92"/>
    </row>
    <row r="42" outlineLevel="1" spans="1:18">
      <c r="A42" s="69" t="s">
        <v>232</v>
      </c>
      <c r="B42" s="82">
        <v>6666010322</v>
      </c>
      <c r="C42" s="82" t="s">
        <v>281</v>
      </c>
      <c r="D42" s="82" t="s">
        <v>267</v>
      </c>
      <c r="E42" s="83">
        <v>2.02740501493433</v>
      </c>
      <c r="F42" s="83">
        <v>1.98960256617697</v>
      </c>
      <c r="G42" s="83">
        <v>1.95250497171439</v>
      </c>
      <c r="H42" s="83">
        <v>1.92365021843783</v>
      </c>
      <c r="I42" s="83">
        <v>1.89522189008653</v>
      </c>
      <c r="J42" s="83">
        <v>1.86721368481431</v>
      </c>
      <c r="K42" s="83">
        <v>1.85239452858563</v>
      </c>
      <c r="L42" s="83">
        <v>1.83769298470796</v>
      </c>
      <c r="M42" s="83">
        <v>1.82310811974997</v>
      </c>
      <c r="N42" s="83">
        <v>1.79175245184272</v>
      </c>
      <c r="O42" s="83">
        <v>1.76093607060709</v>
      </c>
      <c r="P42" s="83">
        <v>1.73064970084235</v>
      </c>
      <c r="Q42" s="91">
        <f t="shared" si="5"/>
        <v>22.4521322025001</v>
      </c>
      <c r="R42" s="92"/>
    </row>
    <row r="43" outlineLevel="1" spans="1:18">
      <c r="A43" s="69" t="s">
        <v>232</v>
      </c>
      <c r="B43" s="82">
        <v>6666020101</v>
      </c>
      <c r="C43" s="82" t="s">
        <v>282</v>
      </c>
      <c r="D43" s="82" t="s">
        <v>267</v>
      </c>
      <c r="E43" s="83">
        <v>4.70551767120371</v>
      </c>
      <c r="F43" s="83">
        <v>4.61777985397813</v>
      </c>
      <c r="G43" s="83">
        <v>4.53167797250061</v>
      </c>
      <c r="H43" s="83">
        <v>4.46470736206957</v>
      </c>
      <c r="I43" s="83">
        <v>4.39872646509317</v>
      </c>
      <c r="J43" s="83">
        <v>4.33372065526421</v>
      </c>
      <c r="K43" s="83">
        <v>4.2993260468891</v>
      </c>
      <c r="L43" s="83">
        <v>4.26520441159633</v>
      </c>
      <c r="M43" s="83">
        <v>4.23135358293286</v>
      </c>
      <c r="N43" s="83">
        <v>4.15857845988488</v>
      </c>
      <c r="O43" s="83">
        <v>4.08705499742986</v>
      </c>
      <c r="P43" s="83">
        <v>4.01676166823573</v>
      </c>
      <c r="Q43" s="91">
        <f t="shared" si="5"/>
        <v>52.1104091470782</v>
      </c>
      <c r="R43" s="92"/>
    </row>
    <row r="44" outlineLevel="1" spans="1:18">
      <c r="A44" s="69" t="s">
        <v>232</v>
      </c>
      <c r="B44" s="82">
        <v>6666020201</v>
      </c>
      <c r="C44" s="82" t="s">
        <v>283</v>
      </c>
      <c r="D44" s="82" t="s">
        <v>267</v>
      </c>
      <c r="E44" s="83">
        <v>2.55610621386563</v>
      </c>
      <c r="F44" s="83">
        <v>2.50844574471602</v>
      </c>
      <c r="G44" s="83">
        <v>2.46167393985871</v>
      </c>
      <c r="H44" s="83">
        <v>2.42529452202828</v>
      </c>
      <c r="I44" s="83">
        <v>2.38945273106235</v>
      </c>
      <c r="J44" s="83">
        <v>2.35414062173631</v>
      </c>
      <c r="K44" s="83">
        <v>2.33545696600824</v>
      </c>
      <c r="L44" s="83">
        <v>2.31692159326214</v>
      </c>
      <c r="M44" s="83">
        <v>2.29853332664895</v>
      </c>
      <c r="N44" s="83">
        <v>2.2590008124314</v>
      </c>
      <c r="O44" s="83">
        <v>2.2201482186058</v>
      </c>
      <c r="P44" s="83">
        <v>2.18196385120963</v>
      </c>
      <c r="Q44" s="91">
        <f t="shared" si="5"/>
        <v>28.3071385414335</v>
      </c>
      <c r="R44" s="92"/>
    </row>
    <row r="45" outlineLevel="1" spans="1:18">
      <c r="A45" s="69" t="s">
        <v>232</v>
      </c>
      <c r="B45" s="82">
        <v>6666020202</v>
      </c>
      <c r="C45" s="82" t="s">
        <v>284</v>
      </c>
      <c r="D45" s="82" t="s">
        <v>267</v>
      </c>
      <c r="E45" s="83">
        <v>0</v>
      </c>
      <c r="F45" s="83">
        <v>0</v>
      </c>
      <c r="G45" s="83">
        <v>0</v>
      </c>
      <c r="H45" s="83">
        <v>0</v>
      </c>
      <c r="I45" s="83">
        <v>0</v>
      </c>
      <c r="J45" s="83">
        <v>0</v>
      </c>
      <c r="K45" s="83">
        <v>0</v>
      </c>
      <c r="L45" s="83">
        <v>0</v>
      </c>
      <c r="M45" s="83">
        <v>0</v>
      </c>
      <c r="N45" s="83">
        <v>0</v>
      </c>
      <c r="O45" s="83">
        <v>0</v>
      </c>
      <c r="P45" s="83">
        <v>0</v>
      </c>
      <c r="Q45" s="91">
        <f t="shared" si="5"/>
        <v>0</v>
      </c>
      <c r="R45" s="92"/>
    </row>
    <row r="46" outlineLevel="1" spans="1:18">
      <c r="A46" s="69" t="s">
        <v>232</v>
      </c>
      <c r="B46" s="82">
        <v>6666020204</v>
      </c>
      <c r="C46" s="82" t="s">
        <v>285</v>
      </c>
      <c r="D46" s="82" t="s">
        <v>267</v>
      </c>
      <c r="E46" s="83">
        <v>0</v>
      </c>
      <c r="F46" s="83">
        <v>0</v>
      </c>
      <c r="G46" s="83">
        <v>0</v>
      </c>
      <c r="H46" s="83">
        <v>0</v>
      </c>
      <c r="I46" s="83">
        <v>0</v>
      </c>
      <c r="J46" s="83">
        <v>0</v>
      </c>
      <c r="K46" s="83">
        <v>0</v>
      </c>
      <c r="L46" s="83">
        <v>0</v>
      </c>
      <c r="M46" s="83">
        <v>0</v>
      </c>
      <c r="N46" s="83">
        <v>0</v>
      </c>
      <c r="O46" s="83">
        <v>0</v>
      </c>
      <c r="P46" s="83">
        <v>0</v>
      </c>
      <c r="Q46" s="91">
        <f t="shared" si="5"/>
        <v>0</v>
      </c>
      <c r="R46" s="92"/>
    </row>
    <row r="47" outlineLevel="1" spans="1:18">
      <c r="A47" s="69" t="s">
        <v>232</v>
      </c>
      <c r="B47" s="82">
        <v>6666020205</v>
      </c>
      <c r="C47" s="82" t="s">
        <v>286</v>
      </c>
      <c r="D47" s="82" t="s">
        <v>267</v>
      </c>
      <c r="E47" s="83">
        <v>0</v>
      </c>
      <c r="F47" s="83">
        <v>0</v>
      </c>
      <c r="G47" s="83">
        <v>0</v>
      </c>
      <c r="H47" s="83">
        <v>0</v>
      </c>
      <c r="I47" s="83">
        <v>0</v>
      </c>
      <c r="J47" s="83">
        <v>0</v>
      </c>
      <c r="K47" s="83">
        <v>0</v>
      </c>
      <c r="L47" s="83">
        <v>0</v>
      </c>
      <c r="M47" s="83">
        <v>0</v>
      </c>
      <c r="N47" s="83">
        <v>0</v>
      </c>
      <c r="O47" s="83">
        <v>0</v>
      </c>
      <c r="P47" s="83">
        <v>0</v>
      </c>
      <c r="Q47" s="91">
        <f t="shared" si="5"/>
        <v>0</v>
      </c>
      <c r="R47" s="92"/>
    </row>
    <row r="48" outlineLevel="1" spans="1:18">
      <c r="A48" s="69" t="s">
        <v>232</v>
      </c>
      <c r="B48" s="82">
        <v>6666020301</v>
      </c>
      <c r="C48" s="82" t="s">
        <v>287</v>
      </c>
      <c r="D48" s="82" t="s">
        <v>267</v>
      </c>
      <c r="E48" s="83">
        <v>0.378883546150609</v>
      </c>
      <c r="F48" s="83">
        <v>0.371818985427487</v>
      </c>
      <c r="G48" s="83">
        <v>0.364886148604011</v>
      </c>
      <c r="H48" s="83">
        <v>0.359493742467005</v>
      </c>
      <c r="I48" s="83">
        <v>0.354181027061089</v>
      </c>
      <c r="J48" s="83">
        <v>0.348946824690728</v>
      </c>
      <c r="K48" s="83">
        <v>0.346177405447151</v>
      </c>
      <c r="L48" s="83">
        <v>0.34342996572138</v>
      </c>
      <c r="M48" s="83">
        <v>0.340704331072798</v>
      </c>
      <c r="N48" s="83">
        <v>0.334844551422897</v>
      </c>
      <c r="O48" s="83">
        <v>0.329085554223977</v>
      </c>
      <c r="P48" s="83">
        <v>0.323425606116931</v>
      </c>
      <c r="Q48" s="91">
        <f t="shared" si="5"/>
        <v>4.19587768840606</v>
      </c>
      <c r="R48" s="92"/>
    </row>
    <row r="49" outlineLevel="1" spans="1:18">
      <c r="A49" s="69" t="s">
        <v>232</v>
      </c>
      <c r="B49" s="82">
        <v>6666020302</v>
      </c>
      <c r="C49" s="82" t="s">
        <v>288</v>
      </c>
      <c r="D49" s="82" t="s">
        <v>267</v>
      </c>
      <c r="E49" s="83">
        <v>0.0432089274851401</v>
      </c>
      <c r="F49" s="83">
        <v>0.042403265441747</v>
      </c>
      <c r="G49" s="83">
        <v>0.0416126255561795</v>
      </c>
      <c r="H49" s="83">
        <v>0.0409976606464823</v>
      </c>
      <c r="I49" s="83">
        <v>0.0403917838881599</v>
      </c>
      <c r="J49" s="83">
        <v>0.0397948609735566</v>
      </c>
      <c r="K49" s="83">
        <v>0.0394790287436077</v>
      </c>
      <c r="L49" s="83">
        <v>0.0391657031186584</v>
      </c>
      <c r="M49" s="83">
        <v>0.0388548642050183</v>
      </c>
      <c r="N49" s="83">
        <v>0.0381865987272907</v>
      </c>
      <c r="O49" s="83">
        <v>0.0375298267590081</v>
      </c>
      <c r="P49" s="83">
        <v>0.0368843506231037</v>
      </c>
      <c r="Q49" s="91">
        <f t="shared" si="5"/>
        <v>0.478509496167952</v>
      </c>
      <c r="R49" s="92"/>
    </row>
    <row r="50" outlineLevel="1" spans="1:18">
      <c r="A50" s="69" t="s">
        <v>232</v>
      </c>
      <c r="B50" s="82" t="s">
        <v>289</v>
      </c>
      <c r="C50" s="82" t="s">
        <v>290</v>
      </c>
      <c r="D50" s="82" t="s">
        <v>267</v>
      </c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91">
        <f t="shared" si="5"/>
        <v>0</v>
      </c>
      <c r="R50" s="92"/>
    </row>
    <row r="51" outlineLevel="1" spans="1:18">
      <c r="A51" s="69" t="s">
        <v>232</v>
      </c>
      <c r="B51" s="82">
        <v>6666020405</v>
      </c>
      <c r="C51" s="82" t="s">
        <v>291</v>
      </c>
      <c r="D51" s="82" t="s">
        <v>267</v>
      </c>
      <c r="E51" s="83">
        <v>0</v>
      </c>
      <c r="F51" s="83">
        <v>0</v>
      </c>
      <c r="G51" s="83">
        <v>0</v>
      </c>
      <c r="H51" s="83">
        <v>0</v>
      </c>
      <c r="I51" s="83">
        <v>0</v>
      </c>
      <c r="J51" s="83">
        <v>0</v>
      </c>
      <c r="K51" s="83">
        <v>0</v>
      </c>
      <c r="L51" s="83">
        <v>0</v>
      </c>
      <c r="M51" s="83">
        <v>0</v>
      </c>
      <c r="N51" s="83">
        <v>0</v>
      </c>
      <c r="O51" s="83">
        <v>0</v>
      </c>
      <c r="P51" s="83">
        <v>0</v>
      </c>
      <c r="Q51" s="91">
        <f t="shared" si="5"/>
        <v>0</v>
      </c>
      <c r="R51" s="92"/>
    </row>
    <row r="52" outlineLevel="1" spans="1:18">
      <c r="A52" s="69" t="s">
        <v>232</v>
      </c>
      <c r="B52" s="82">
        <v>6666020495</v>
      </c>
      <c r="C52" s="82" t="s">
        <v>292</v>
      </c>
      <c r="D52" s="82" t="s">
        <v>267</v>
      </c>
      <c r="E52" s="83">
        <v>0</v>
      </c>
      <c r="F52" s="83">
        <v>0</v>
      </c>
      <c r="G52" s="83">
        <v>0</v>
      </c>
      <c r="H52" s="83">
        <v>0</v>
      </c>
      <c r="I52" s="83">
        <v>0</v>
      </c>
      <c r="J52" s="83">
        <v>0</v>
      </c>
      <c r="K52" s="83">
        <v>0</v>
      </c>
      <c r="L52" s="83">
        <v>0</v>
      </c>
      <c r="M52" s="83">
        <v>0</v>
      </c>
      <c r="N52" s="83">
        <v>0</v>
      </c>
      <c r="O52" s="83">
        <v>0</v>
      </c>
      <c r="P52" s="83">
        <v>0</v>
      </c>
      <c r="Q52" s="91">
        <f t="shared" si="5"/>
        <v>0</v>
      </c>
      <c r="R52" s="92"/>
    </row>
    <row r="53" outlineLevel="1" spans="1:18">
      <c r="A53" s="69" t="s">
        <v>232</v>
      </c>
      <c r="B53" s="82">
        <v>6666020504</v>
      </c>
      <c r="C53" s="82" t="s">
        <v>293</v>
      </c>
      <c r="D53" s="82" t="s">
        <v>267</v>
      </c>
      <c r="E53" s="83">
        <v>0.0536408891134452</v>
      </c>
      <c r="F53" s="83">
        <v>0.052640715518592</v>
      </c>
      <c r="G53" s="83">
        <v>0.0516591908916506</v>
      </c>
      <c r="H53" s="83">
        <v>0.0508957545730548</v>
      </c>
      <c r="I53" s="83">
        <v>0.050143600564586</v>
      </c>
      <c r="J53" s="83">
        <v>0.0494025621325971</v>
      </c>
      <c r="K53" s="83">
        <v>0.0490104783061479</v>
      </c>
      <c r="L53" s="83">
        <v>0.0486215062560991</v>
      </c>
      <c r="M53" s="83">
        <v>0.0482356212858126</v>
      </c>
      <c r="N53" s="83">
        <v>0.0474060160057126</v>
      </c>
      <c r="O53" s="83">
        <v>0.0465906791210935</v>
      </c>
      <c r="P53" s="83">
        <v>0.0457893652295759</v>
      </c>
      <c r="Q53" s="91">
        <f t="shared" si="5"/>
        <v>0.594036378998367</v>
      </c>
      <c r="R53" s="92"/>
    </row>
    <row r="54" outlineLevel="1" spans="1:18">
      <c r="A54" s="69" t="s">
        <v>232</v>
      </c>
      <c r="B54" s="82">
        <v>6666020508</v>
      </c>
      <c r="C54" s="82" t="s">
        <v>294</v>
      </c>
      <c r="D54" s="82" t="s">
        <v>267</v>
      </c>
      <c r="E54" s="83">
        <v>0.439333692648835</v>
      </c>
      <c r="F54" s="83">
        <v>0.431141994748612</v>
      </c>
      <c r="G54" s="83">
        <v>0.423103037044761</v>
      </c>
      <c r="H54" s="83">
        <v>0.416850282802721</v>
      </c>
      <c r="I54" s="83">
        <v>0.410689933795784</v>
      </c>
      <c r="J54" s="83">
        <v>0.404620624429344</v>
      </c>
      <c r="K54" s="83">
        <v>0.401409349632286</v>
      </c>
      <c r="L54" s="83">
        <v>0.39822356114314</v>
      </c>
      <c r="M54" s="83">
        <v>0.395063056689623</v>
      </c>
      <c r="N54" s="83">
        <v>0.388268360382922</v>
      </c>
      <c r="O54" s="83">
        <v>0.381590526174862</v>
      </c>
      <c r="P54" s="83">
        <v>0.375027544152199</v>
      </c>
      <c r="Q54" s="91">
        <f t="shared" si="5"/>
        <v>4.86532196364509</v>
      </c>
      <c r="R54" s="92"/>
    </row>
    <row r="55" outlineLevel="1" spans="1:18">
      <c r="A55" s="69" t="s">
        <v>232</v>
      </c>
      <c r="B55" s="82">
        <v>6666020602</v>
      </c>
      <c r="C55" s="82" t="s">
        <v>295</v>
      </c>
      <c r="D55" s="82" t="s">
        <v>267</v>
      </c>
      <c r="E55" s="83">
        <v>2.00123391528458</v>
      </c>
      <c r="F55" s="83">
        <v>1.96391944581411</v>
      </c>
      <c r="G55" s="83">
        <v>1.92730073190786</v>
      </c>
      <c r="H55" s="83">
        <v>1.89881845508164</v>
      </c>
      <c r="I55" s="83">
        <v>1.8707570986026</v>
      </c>
      <c r="J55" s="83">
        <v>1.84311044197301</v>
      </c>
      <c r="K55" s="83">
        <v>1.82848258132243</v>
      </c>
      <c r="L55" s="83">
        <v>1.81397081480399</v>
      </c>
      <c r="M55" s="83">
        <v>1.79957422103571</v>
      </c>
      <c r="N55" s="83">
        <v>1.76862331305721</v>
      </c>
      <c r="O55" s="83">
        <v>1.73820473027735</v>
      </c>
      <c r="P55" s="83">
        <v>1.7083093172259</v>
      </c>
      <c r="Q55" s="91">
        <f t="shared" si="5"/>
        <v>22.1623050663864</v>
      </c>
      <c r="R55" s="92"/>
    </row>
    <row r="56" outlineLevel="1" spans="1:18">
      <c r="A56" s="69" t="s">
        <v>232</v>
      </c>
      <c r="B56" s="82">
        <v>6666020701</v>
      </c>
      <c r="C56" s="82" t="s">
        <v>296</v>
      </c>
      <c r="D56" s="82" t="s">
        <v>267</v>
      </c>
      <c r="E56" s="83">
        <v>0</v>
      </c>
      <c r="F56" s="83">
        <v>0</v>
      </c>
      <c r="G56" s="83">
        <v>0</v>
      </c>
      <c r="H56" s="83">
        <v>0</v>
      </c>
      <c r="I56" s="83">
        <v>0</v>
      </c>
      <c r="J56" s="83">
        <v>0</v>
      </c>
      <c r="K56" s="83">
        <v>0</v>
      </c>
      <c r="L56" s="83">
        <v>0</v>
      </c>
      <c r="M56" s="83">
        <v>0</v>
      </c>
      <c r="N56" s="83">
        <v>0</v>
      </c>
      <c r="O56" s="83">
        <v>0</v>
      </c>
      <c r="P56" s="83">
        <v>0</v>
      </c>
      <c r="Q56" s="91">
        <f t="shared" si="5"/>
        <v>0</v>
      </c>
      <c r="R56" s="92"/>
    </row>
    <row r="57" outlineLevel="1" spans="1:18">
      <c r="A57" s="69" t="s">
        <v>232</v>
      </c>
      <c r="B57" s="82">
        <v>6666020802</v>
      </c>
      <c r="C57" s="82" t="s">
        <v>297</v>
      </c>
      <c r="D57" s="82" t="s">
        <v>267</v>
      </c>
      <c r="E57" s="83">
        <v>12.783</v>
      </c>
      <c r="F57" s="83">
        <v>12.783</v>
      </c>
      <c r="G57" s="83">
        <v>12.783</v>
      </c>
      <c r="H57" s="83">
        <v>12.783</v>
      </c>
      <c r="I57" s="83">
        <v>12.783</v>
      </c>
      <c r="J57" s="83">
        <v>14.283</v>
      </c>
      <c r="K57" s="83">
        <v>12.783</v>
      </c>
      <c r="L57" s="83">
        <v>12.783</v>
      </c>
      <c r="M57" s="83">
        <v>12.783</v>
      </c>
      <c r="N57" s="83">
        <v>12.783</v>
      </c>
      <c r="O57" s="83">
        <v>12.783</v>
      </c>
      <c r="P57" s="83">
        <v>14.283</v>
      </c>
      <c r="Q57" s="91">
        <f t="shared" si="5"/>
        <v>156.396</v>
      </c>
      <c r="R57" s="92"/>
    </row>
    <row r="58" outlineLevel="1" spans="1:18">
      <c r="A58" s="69" t="s">
        <v>232</v>
      </c>
      <c r="B58" s="82">
        <v>6666020803</v>
      </c>
      <c r="C58" s="82" t="s">
        <v>298</v>
      </c>
      <c r="D58" s="82" t="s">
        <v>267</v>
      </c>
      <c r="E58" s="83">
        <v>3.90249785239449</v>
      </c>
      <c r="F58" s="83">
        <v>3.82973292678556</v>
      </c>
      <c r="G58" s="83">
        <v>3.7583247564137</v>
      </c>
      <c r="H58" s="83">
        <v>3.70278301124503</v>
      </c>
      <c r="I58" s="83">
        <v>3.64806208004436</v>
      </c>
      <c r="J58" s="83">
        <v>3.59414983255602</v>
      </c>
      <c r="K58" s="83">
        <v>3.56562483388494</v>
      </c>
      <c r="L58" s="83">
        <v>3.5373262240922</v>
      </c>
      <c r="M58" s="83">
        <v>3.50925220644068</v>
      </c>
      <c r="N58" s="83">
        <v>3.44889651738642</v>
      </c>
      <c r="O58" s="83">
        <v>3.38957888686626</v>
      </c>
      <c r="P58" s="83">
        <v>3.33128146129362</v>
      </c>
      <c r="Q58" s="91">
        <f t="shared" si="5"/>
        <v>43.2175105894033</v>
      </c>
      <c r="R58" s="92"/>
    </row>
    <row r="59" outlineLevel="1" spans="1:18">
      <c r="A59" s="69" t="s">
        <v>232</v>
      </c>
      <c r="B59" s="82">
        <v>6666021100</v>
      </c>
      <c r="C59" s="82" t="s">
        <v>299</v>
      </c>
      <c r="D59" s="82" t="s">
        <v>267</v>
      </c>
      <c r="E59" s="83">
        <v>5.90336729842816</v>
      </c>
      <c r="F59" s="83">
        <v>5.79329469914442</v>
      </c>
      <c r="G59" s="83">
        <v>5.68527448394938</v>
      </c>
      <c r="H59" s="83">
        <v>5.60125564921122</v>
      </c>
      <c r="I59" s="83">
        <v>5.51847847212928</v>
      </c>
      <c r="J59" s="83">
        <v>5.43692460308303</v>
      </c>
      <c r="K59" s="83">
        <v>5.39377440782047</v>
      </c>
      <c r="L59" s="83">
        <v>5.35096667442507</v>
      </c>
      <c r="M59" s="83">
        <v>5.3084986849455</v>
      </c>
      <c r="N59" s="83">
        <v>5.21719772476217</v>
      </c>
      <c r="O59" s="83">
        <v>5.12746705136331</v>
      </c>
      <c r="P59" s="83">
        <v>5.03927965735951</v>
      </c>
      <c r="Q59" s="91">
        <f t="shared" si="5"/>
        <v>65.3757794066215</v>
      </c>
      <c r="R59" s="92"/>
    </row>
    <row r="60" outlineLevel="1" spans="1:18">
      <c r="A60" s="69" t="s">
        <v>232</v>
      </c>
      <c r="B60" s="82">
        <v>6666021104</v>
      </c>
      <c r="C60" s="82" t="s">
        <v>300</v>
      </c>
      <c r="D60" s="82" t="s">
        <v>267</v>
      </c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91">
        <f t="shared" si="5"/>
        <v>0</v>
      </c>
      <c r="R60" s="92"/>
    </row>
    <row r="61" outlineLevel="1" spans="1:18">
      <c r="A61" s="69" t="s">
        <v>232</v>
      </c>
      <c r="B61" s="82">
        <v>6666021902</v>
      </c>
      <c r="C61" s="82" t="s">
        <v>301</v>
      </c>
      <c r="D61" s="82" t="s">
        <v>267</v>
      </c>
      <c r="E61" s="83">
        <v>8.16872462615809</v>
      </c>
      <c r="F61" s="83">
        <v>8.01641278327585</v>
      </c>
      <c r="G61" s="83">
        <v>7.8669409060607</v>
      </c>
      <c r="H61" s="83">
        <v>7.7506806956263</v>
      </c>
      <c r="I61" s="83">
        <v>7.63613861638059</v>
      </c>
      <c r="J61" s="83">
        <v>7.52328927722226</v>
      </c>
      <c r="K61" s="83">
        <v>7.46358063216494</v>
      </c>
      <c r="L61" s="83">
        <v>7.404345865243</v>
      </c>
      <c r="M61" s="83">
        <v>7.34558121551885</v>
      </c>
      <c r="N61" s="83">
        <v>7.21924443785636</v>
      </c>
      <c r="O61" s="83">
        <v>7.09508052860576</v>
      </c>
      <c r="P61" s="83">
        <v>6.97305211656585</v>
      </c>
      <c r="Q61" s="91">
        <f t="shared" si="5"/>
        <v>90.4630717006786</v>
      </c>
      <c r="R61" s="92"/>
    </row>
    <row r="62" outlineLevel="1" spans="1:18">
      <c r="A62" s="69" t="s">
        <v>232</v>
      </c>
      <c r="B62" s="82">
        <v>6666022100</v>
      </c>
      <c r="C62" s="82" t="s">
        <v>302</v>
      </c>
      <c r="D62" s="82" t="s">
        <v>267</v>
      </c>
      <c r="E62" s="83">
        <v>1.51280502028151</v>
      </c>
      <c r="F62" s="83">
        <v>1.4845976646531</v>
      </c>
      <c r="G62" s="83">
        <v>1.45691625579304</v>
      </c>
      <c r="H62" s="83">
        <v>1.43538547368772</v>
      </c>
      <c r="I62" s="83">
        <v>1.41417288048051</v>
      </c>
      <c r="J62" s="83">
        <v>1.39327377387243</v>
      </c>
      <c r="K62" s="83">
        <v>1.38221604550836</v>
      </c>
      <c r="L62" s="83">
        <v>1.37124607689321</v>
      </c>
      <c r="M62" s="83">
        <v>1.36036317152105</v>
      </c>
      <c r="N62" s="83">
        <v>1.33696626193715</v>
      </c>
      <c r="O62" s="83">
        <v>1.31397175620358</v>
      </c>
      <c r="P62" s="83">
        <v>1.29137273336961</v>
      </c>
      <c r="Q62" s="91">
        <f t="shared" si="5"/>
        <v>16.7532871142013</v>
      </c>
      <c r="R62" s="93"/>
    </row>
    <row r="63" outlineLevel="1" spans="1:18">
      <c r="A63" s="69" t="s">
        <v>232</v>
      </c>
      <c r="B63" s="82">
        <v>6666022300</v>
      </c>
      <c r="C63" s="82" t="s">
        <v>303</v>
      </c>
      <c r="D63" s="82" t="s">
        <v>267</v>
      </c>
      <c r="E63" s="83">
        <v>0</v>
      </c>
      <c r="F63" s="83">
        <v>0</v>
      </c>
      <c r="G63" s="83">
        <v>0</v>
      </c>
      <c r="H63" s="83">
        <v>0</v>
      </c>
      <c r="I63" s="83">
        <v>0</v>
      </c>
      <c r="J63" s="83">
        <v>0</v>
      </c>
      <c r="K63" s="83">
        <v>0</v>
      </c>
      <c r="L63" s="83">
        <v>0</v>
      </c>
      <c r="M63" s="83">
        <v>0</v>
      </c>
      <c r="N63" s="83">
        <v>0</v>
      </c>
      <c r="O63" s="83">
        <v>0</v>
      </c>
      <c r="P63" s="83">
        <v>0</v>
      </c>
      <c r="Q63" s="91">
        <f t="shared" si="5"/>
        <v>0</v>
      </c>
      <c r="R63" s="92"/>
    </row>
    <row r="64" outlineLevel="1" spans="1:18">
      <c r="A64" s="69" t="s">
        <v>232</v>
      </c>
      <c r="B64" s="82">
        <v>6666029700</v>
      </c>
      <c r="C64" s="82" t="s">
        <v>304</v>
      </c>
      <c r="D64" s="82" t="s">
        <v>267</v>
      </c>
      <c r="E64" s="83">
        <v>0</v>
      </c>
      <c r="F64" s="83">
        <v>0</v>
      </c>
      <c r="G64" s="83">
        <v>0</v>
      </c>
      <c r="H64" s="83">
        <v>0</v>
      </c>
      <c r="I64" s="83">
        <v>0</v>
      </c>
      <c r="J64" s="83">
        <v>0</v>
      </c>
      <c r="K64" s="83">
        <v>0</v>
      </c>
      <c r="L64" s="83">
        <v>0</v>
      </c>
      <c r="M64" s="83">
        <v>0</v>
      </c>
      <c r="N64" s="83">
        <v>0</v>
      </c>
      <c r="O64" s="83">
        <v>0</v>
      </c>
      <c r="P64" s="83">
        <v>0</v>
      </c>
      <c r="Q64" s="91">
        <f t="shared" si="5"/>
        <v>0</v>
      </c>
      <c r="R64" s="92"/>
    </row>
    <row r="65" outlineLevel="1" spans="1:18">
      <c r="A65" s="69" t="s">
        <v>232</v>
      </c>
      <c r="B65" s="82">
        <v>6666029900</v>
      </c>
      <c r="C65" s="82" t="s">
        <v>305</v>
      </c>
      <c r="D65" s="82" t="s">
        <v>267</v>
      </c>
      <c r="E65" s="83">
        <v>0</v>
      </c>
      <c r="F65" s="83">
        <v>0</v>
      </c>
      <c r="G65" s="83">
        <v>0</v>
      </c>
      <c r="H65" s="83">
        <v>0</v>
      </c>
      <c r="I65" s="83">
        <v>0</v>
      </c>
      <c r="J65" s="83">
        <v>0</v>
      </c>
      <c r="K65" s="83">
        <v>0</v>
      </c>
      <c r="L65" s="83">
        <v>0</v>
      </c>
      <c r="M65" s="83">
        <v>0</v>
      </c>
      <c r="N65" s="83">
        <v>0</v>
      </c>
      <c r="O65" s="83">
        <v>0</v>
      </c>
      <c r="P65" s="83">
        <v>0</v>
      </c>
      <c r="Q65" s="91">
        <f t="shared" si="5"/>
        <v>0</v>
      </c>
      <c r="R65" s="92"/>
    </row>
    <row r="66" outlineLevel="1" spans="1:18">
      <c r="A66" s="69" t="s">
        <v>232</v>
      </c>
      <c r="B66" s="82">
        <v>6666029996</v>
      </c>
      <c r="C66" s="82" t="s">
        <v>306</v>
      </c>
      <c r="D66" s="82" t="s">
        <v>267</v>
      </c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91">
        <f t="shared" si="5"/>
        <v>0</v>
      </c>
      <c r="R66" s="92"/>
    </row>
    <row r="67" outlineLevel="1" spans="1:18">
      <c r="A67" s="69" t="s">
        <v>232</v>
      </c>
      <c r="B67" s="82">
        <v>6666029997</v>
      </c>
      <c r="C67" s="82" t="s">
        <v>307</v>
      </c>
      <c r="D67" s="82" t="s">
        <v>267</v>
      </c>
      <c r="E67" s="83">
        <v>0.611348368572354</v>
      </c>
      <c r="F67" s="83">
        <v>0.59994933127807</v>
      </c>
      <c r="G67" s="83">
        <v>0.588762837368077</v>
      </c>
      <c r="H67" s="83">
        <v>0.580061908737022</v>
      </c>
      <c r="I67" s="83">
        <v>0.571489565258149</v>
      </c>
      <c r="J67" s="83">
        <v>0.563043906658275</v>
      </c>
      <c r="K67" s="83">
        <v>0.558575304224479</v>
      </c>
      <c r="L67" s="83">
        <v>0.554142166889364</v>
      </c>
      <c r="M67" s="83">
        <v>0.549744213183893</v>
      </c>
      <c r="N67" s="83">
        <v>0.540289153006283</v>
      </c>
      <c r="O67" s="83">
        <v>0.530996710571286</v>
      </c>
      <c r="P67" s="83">
        <v>2.00355252168277</v>
      </c>
      <c r="Q67" s="91">
        <f t="shared" si="5"/>
        <v>8.25195598743002</v>
      </c>
      <c r="R67" s="92"/>
    </row>
    <row r="68" outlineLevel="1" spans="1:18">
      <c r="A68" s="69" t="s">
        <v>232</v>
      </c>
      <c r="B68" s="82">
        <v>6666030702</v>
      </c>
      <c r="C68" s="82" t="s">
        <v>308</v>
      </c>
      <c r="D68" s="82" t="s">
        <v>267</v>
      </c>
      <c r="E68" s="83">
        <v>0</v>
      </c>
      <c r="F68" s="83">
        <v>0</v>
      </c>
      <c r="G68" s="83">
        <v>0</v>
      </c>
      <c r="H68" s="83">
        <v>0</v>
      </c>
      <c r="I68" s="83">
        <v>0</v>
      </c>
      <c r="J68" s="83">
        <v>0</v>
      </c>
      <c r="K68" s="83">
        <v>0</v>
      </c>
      <c r="L68" s="83">
        <v>0</v>
      </c>
      <c r="M68" s="83">
        <v>0</v>
      </c>
      <c r="N68" s="83">
        <v>0</v>
      </c>
      <c r="O68" s="83">
        <v>0</v>
      </c>
      <c r="P68" s="83">
        <v>0</v>
      </c>
      <c r="Q68" s="91">
        <f t="shared" si="5"/>
        <v>0</v>
      </c>
      <c r="R68" s="92"/>
    </row>
    <row r="69" outlineLevel="1" spans="1:18">
      <c r="A69" s="69" t="s">
        <v>232</v>
      </c>
      <c r="B69" s="82">
        <v>6666031200</v>
      </c>
      <c r="C69" s="82" t="s">
        <v>309</v>
      </c>
      <c r="D69" s="82" t="s">
        <v>267</v>
      </c>
      <c r="E69" s="83">
        <v>0</v>
      </c>
      <c r="F69" s="83">
        <v>0</v>
      </c>
      <c r="G69" s="83">
        <v>0</v>
      </c>
      <c r="H69" s="83">
        <v>0</v>
      </c>
      <c r="I69" s="83">
        <v>0</v>
      </c>
      <c r="J69" s="83">
        <v>0</v>
      </c>
      <c r="K69" s="83">
        <v>0</v>
      </c>
      <c r="L69" s="83">
        <v>0</v>
      </c>
      <c r="M69" s="83">
        <v>0</v>
      </c>
      <c r="N69" s="83">
        <v>0</v>
      </c>
      <c r="O69" s="83">
        <v>0</v>
      </c>
      <c r="P69" s="83">
        <v>0</v>
      </c>
      <c r="Q69" s="91">
        <f t="shared" si="5"/>
        <v>0</v>
      </c>
      <c r="R69" s="92"/>
    </row>
    <row r="70" outlineLevel="1" spans="1:18">
      <c r="A70" s="69" t="s">
        <v>232</v>
      </c>
      <c r="B70" s="82">
        <v>6666050107</v>
      </c>
      <c r="C70" s="82" t="s">
        <v>310</v>
      </c>
      <c r="D70" s="82" t="s">
        <v>267</v>
      </c>
      <c r="E70" s="83">
        <v>0</v>
      </c>
      <c r="F70" s="83">
        <v>0</v>
      </c>
      <c r="G70" s="83">
        <v>0</v>
      </c>
      <c r="H70" s="83">
        <v>0</v>
      </c>
      <c r="I70" s="83">
        <v>0</v>
      </c>
      <c r="J70" s="83">
        <v>0</v>
      </c>
      <c r="K70" s="83">
        <v>0</v>
      </c>
      <c r="L70" s="83">
        <v>0</v>
      </c>
      <c r="M70" s="83">
        <v>0</v>
      </c>
      <c r="N70" s="83">
        <v>0</v>
      </c>
      <c r="O70" s="83">
        <v>0</v>
      </c>
      <c r="P70" s="83">
        <v>0</v>
      </c>
      <c r="Q70" s="91">
        <f t="shared" si="5"/>
        <v>0</v>
      </c>
      <c r="R70" s="92"/>
    </row>
    <row r="71" outlineLevel="1" spans="1:18">
      <c r="A71" s="69" t="s">
        <v>232</v>
      </c>
      <c r="B71" s="82">
        <v>6666070100</v>
      </c>
      <c r="C71" s="82" t="s">
        <v>311</v>
      </c>
      <c r="D71" s="82" t="s">
        <v>267</v>
      </c>
      <c r="E71" s="83">
        <v>0</v>
      </c>
      <c r="F71" s="83">
        <v>0</v>
      </c>
      <c r="G71" s="83">
        <v>0</v>
      </c>
      <c r="H71" s="83">
        <v>0</v>
      </c>
      <c r="I71" s="83">
        <v>0</v>
      </c>
      <c r="J71" s="83">
        <v>0</v>
      </c>
      <c r="K71" s="83">
        <v>0</v>
      </c>
      <c r="L71" s="83">
        <v>0</v>
      </c>
      <c r="M71" s="83">
        <v>0</v>
      </c>
      <c r="N71" s="83">
        <v>0</v>
      </c>
      <c r="O71" s="83">
        <v>0</v>
      </c>
      <c r="P71" s="83">
        <v>0</v>
      </c>
      <c r="Q71" s="91">
        <f t="shared" si="5"/>
        <v>0</v>
      </c>
      <c r="R71" s="92"/>
    </row>
    <row r="72" outlineLevel="1" spans="1:18">
      <c r="A72" s="69" t="s">
        <v>232</v>
      </c>
      <c r="B72" s="82">
        <v>6666070300</v>
      </c>
      <c r="C72" s="82" t="s">
        <v>312</v>
      </c>
      <c r="D72" s="82" t="s">
        <v>267</v>
      </c>
      <c r="E72" s="83">
        <v>0</v>
      </c>
      <c r="F72" s="83">
        <v>0</v>
      </c>
      <c r="G72" s="83">
        <v>0</v>
      </c>
      <c r="H72" s="83">
        <v>0</v>
      </c>
      <c r="I72" s="83">
        <v>0</v>
      </c>
      <c r="J72" s="83">
        <v>0</v>
      </c>
      <c r="K72" s="83">
        <v>0</v>
      </c>
      <c r="L72" s="83">
        <v>0</v>
      </c>
      <c r="M72" s="83">
        <v>0</v>
      </c>
      <c r="N72" s="83">
        <v>0</v>
      </c>
      <c r="O72" s="83">
        <v>0</v>
      </c>
      <c r="P72" s="83">
        <v>0</v>
      </c>
      <c r="Q72" s="91">
        <f t="shared" si="5"/>
        <v>0</v>
      </c>
      <c r="R72" s="92"/>
    </row>
    <row r="73" outlineLevel="1" spans="1:18">
      <c r="A73" s="69" t="s">
        <v>232</v>
      </c>
      <c r="B73" s="82">
        <v>6666070400</v>
      </c>
      <c r="C73" s="82" t="s">
        <v>313</v>
      </c>
      <c r="D73" s="82" t="s">
        <v>267</v>
      </c>
      <c r="E73" s="83">
        <v>13.0947257399642</v>
      </c>
      <c r="F73" s="83">
        <v>12.8505650048716</v>
      </c>
      <c r="G73" s="83">
        <v>12.610956825193</v>
      </c>
      <c r="H73" s="83">
        <v>12.4245880051162</v>
      </c>
      <c r="I73" s="83">
        <v>12.2409734040554</v>
      </c>
      <c r="J73" s="83">
        <v>12.0600723192664</v>
      </c>
      <c r="K73" s="83">
        <v>11.9643574595897</v>
      </c>
      <c r="L73" s="83">
        <v>11.8694022416564</v>
      </c>
      <c r="M73" s="83">
        <v>11.7752006365639</v>
      </c>
      <c r="N73" s="83">
        <v>11.5726787582938</v>
      </c>
      <c r="O73" s="83">
        <v>11.3736400572912</v>
      </c>
      <c r="P73" s="83">
        <v>11.1780246263304</v>
      </c>
      <c r="Q73" s="91">
        <f t="shared" si="5"/>
        <v>145.015185078192</v>
      </c>
      <c r="R73" s="93"/>
    </row>
    <row r="74" outlineLevel="1" spans="1:18">
      <c r="A74" s="69" t="s">
        <v>232</v>
      </c>
      <c r="B74" s="82">
        <v>5401050201</v>
      </c>
      <c r="C74" s="82" t="s">
        <v>314</v>
      </c>
      <c r="D74" s="82" t="s">
        <v>267</v>
      </c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91">
        <f t="shared" si="5"/>
        <v>0</v>
      </c>
      <c r="R74" s="92"/>
    </row>
    <row r="75" outlineLevel="1" spans="1:17">
      <c r="A75" s="69" t="s">
        <v>232</v>
      </c>
      <c r="B75" s="82">
        <v>5401020212</v>
      </c>
      <c r="C75" s="82" t="s">
        <v>315</v>
      </c>
      <c r="D75" s="82" t="s">
        <v>267</v>
      </c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91">
        <f t="shared" si="5"/>
        <v>0</v>
      </c>
    </row>
    <row r="76" outlineLevel="1" spans="1:17">
      <c r="A76" s="69" t="s">
        <v>232</v>
      </c>
      <c r="B76" s="82">
        <v>6666020801</v>
      </c>
      <c r="C76" s="82" t="s">
        <v>409</v>
      </c>
      <c r="D76" s="82" t="s">
        <v>267</v>
      </c>
      <c r="E76" s="83"/>
      <c r="F76" s="83">
        <v>1.26201307653415</v>
      </c>
      <c r="G76" s="83">
        <v>1.23848192005314</v>
      </c>
      <c r="H76" s="83">
        <v>1.22017923157945</v>
      </c>
      <c r="I76" s="83">
        <v>1.20214702618665</v>
      </c>
      <c r="J76" s="83">
        <v>1.18438130658783</v>
      </c>
      <c r="K76" s="83">
        <v>1.17498145494824</v>
      </c>
      <c r="L76" s="83">
        <v>1.1656562053058</v>
      </c>
      <c r="M76" s="83">
        <v>1.15640496558115</v>
      </c>
      <c r="N76" s="83">
        <v>1.13651593668909</v>
      </c>
      <c r="O76" s="83">
        <v>1.11696897954702</v>
      </c>
      <c r="P76" s="83">
        <v>1.09775821085702</v>
      </c>
      <c r="Q76" s="91">
        <f t="shared" si="5"/>
        <v>12.9554883138695</v>
      </c>
    </row>
    <row r="77" s="63" customFormat="1" spans="1:18">
      <c r="A77" s="69"/>
      <c r="B77" s="84" t="s">
        <v>245</v>
      </c>
      <c r="C77" s="85" t="s">
        <v>267</v>
      </c>
      <c r="D77" s="86"/>
      <c r="E77" s="87">
        <f t="shared" ref="E77" si="6">SUM(E29:E75)</f>
        <v>58.1817987764851</v>
      </c>
      <c r="F77" s="88">
        <f>SUM(F29:F76)</f>
        <v>58.5973180583644</v>
      </c>
      <c r="G77" s="88">
        <f t="shared" ref="G77:Q77" si="7">SUM(G29:G76)</f>
        <v>57.7430766029092</v>
      </c>
      <c r="H77" s="88">
        <f t="shared" si="7"/>
        <v>57.0786419733095</v>
      </c>
      <c r="I77" s="88">
        <f t="shared" si="7"/>
        <v>56.4240265746892</v>
      </c>
      <c r="J77" s="88">
        <f t="shared" si="7"/>
        <v>57.2790852952603</v>
      </c>
      <c r="K77" s="88">
        <f t="shared" si="7"/>
        <v>55.4378465230757</v>
      </c>
      <c r="L77" s="88">
        <f t="shared" si="7"/>
        <v>55.0993159951148</v>
      </c>
      <c r="M77" s="88">
        <f t="shared" si="7"/>
        <v>54.7634722173758</v>
      </c>
      <c r="N77" s="88">
        <f t="shared" si="7"/>
        <v>54.0414493536862</v>
      </c>
      <c r="O77" s="88">
        <f t="shared" si="7"/>
        <v>53.3318445736474</v>
      </c>
      <c r="P77" s="88">
        <f t="shared" si="7"/>
        <v>55.6161327310942</v>
      </c>
      <c r="Q77" s="87">
        <f t="shared" si="7"/>
        <v>673.594008675012</v>
      </c>
      <c r="R77" s="102" t="s">
        <v>24</v>
      </c>
    </row>
    <row r="78" outlineLevel="1" spans="1:17">
      <c r="A78" s="69" t="s">
        <v>232</v>
      </c>
      <c r="B78" s="82">
        <v>6666110203</v>
      </c>
      <c r="C78" s="82" t="s">
        <v>316</v>
      </c>
      <c r="D78" s="82" t="s">
        <v>317</v>
      </c>
      <c r="E78" s="83">
        <v>16.73</v>
      </c>
      <c r="F78" s="83">
        <v>16.73</v>
      </c>
      <c r="G78" s="83">
        <v>16.73</v>
      </c>
      <c r="H78" s="83">
        <v>15.8935</v>
      </c>
      <c r="I78" s="83">
        <v>11.711</v>
      </c>
      <c r="J78" s="83">
        <v>17.5665</v>
      </c>
      <c r="K78" s="83">
        <v>14.2205</v>
      </c>
      <c r="L78" s="83">
        <v>12.9675</v>
      </c>
      <c r="M78" s="83">
        <v>18.1545</v>
      </c>
      <c r="N78" s="83">
        <v>15.561</v>
      </c>
      <c r="O78" s="83">
        <v>17.29</v>
      </c>
      <c r="P78" s="83">
        <v>11.47725</v>
      </c>
      <c r="Q78" s="91">
        <f>F78+E78+G78+H78+I78+J78+K78+L78+M78+N78+O78+P78</f>
        <v>185.03175</v>
      </c>
    </row>
    <row r="79" outlineLevel="1" spans="1:17">
      <c r="A79" s="69" t="s">
        <v>232</v>
      </c>
      <c r="B79" s="82">
        <v>5102040000</v>
      </c>
      <c r="C79" s="82" t="s">
        <v>319</v>
      </c>
      <c r="D79" s="82" t="s">
        <v>317</v>
      </c>
      <c r="E79" s="83">
        <v>0</v>
      </c>
      <c r="F79" s="83">
        <v>0</v>
      </c>
      <c r="G79" s="83">
        <v>0</v>
      </c>
      <c r="H79" s="83">
        <v>0</v>
      </c>
      <c r="I79" s="83">
        <v>0</v>
      </c>
      <c r="J79" s="83">
        <v>0</v>
      </c>
      <c r="K79" s="83">
        <v>0</v>
      </c>
      <c r="L79" s="83">
        <v>0</v>
      </c>
      <c r="M79" s="83">
        <v>0</v>
      </c>
      <c r="N79" s="83">
        <v>0</v>
      </c>
      <c r="O79" s="83">
        <v>0</v>
      </c>
      <c r="P79" s="83">
        <v>0</v>
      </c>
      <c r="Q79" s="91">
        <f t="shared" ref="Q79:Q81" si="8">F79+E79+G79+H79+I79+J79+K79+L79+M79+N79+O79+P79</f>
        <v>0</v>
      </c>
    </row>
    <row r="80" outlineLevel="1" spans="1:17">
      <c r="A80" s="69" t="s">
        <v>258</v>
      </c>
      <c r="B80" s="82">
        <v>6666050307</v>
      </c>
      <c r="C80" s="82" t="s">
        <v>320</v>
      </c>
      <c r="D80" s="82" t="s">
        <v>317</v>
      </c>
      <c r="E80" s="83">
        <v>0</v>
      </c>
      <c r="F80" s="83">
        <v>0</v>
      </c>
      <c r="G80" s="83">
        <v>0</v>
      </c>
      <c r="H80" s="83">
        <v>0</v>
      </c>
      <c r="I80" s="83">
        <v>0</v>
      </c>
      <c r="J80" s="83">
        <v>0</v>
      </c>
      <c r="K80" s="83">
        <v>0</v>
      </c>
      <c r="L80" s="83">
        <v>0</v>
      </c>
      <c r="M80" s="83">
        <v>0</v>
      </c>
      <c r="N80" s="83">
        <v>0</v>
      </c>
      <c r="O80" s="83">
        <v>0</v>
      </c>
      <c r="P80" s="83">
        <v>0</v>
      </c>
      <c r="Q80" s="91">
        <f t="shared" si="8"/>
        <v>0</v>
      </c>
    </row>
    <row r="81" outlineLevel="1" spans="1:17">
      <c r="A81" s="69" t="s">
        <v>258</v>
      </c>
      <c r="B81" s="82">
        <v>6666050312</v>
      </c>
      <c r="C81" s="82" t="s">
        <v>321</v>
      </c>
      <c r="D81" s="82" t="s">
        <v>267</v>
      </c>
      <c r="E81" s="83">
        <v>0</v>
      </c>
      <c r="F81" s="83">
        <v>0</v>
      </c>
      <c r="G81" s="83">
        <v>0</v>
      </c>
      <c r="H81" s="83">
        <v>0</v>
      </c>
      <c r="I81" s="83">
        <v>0</v>
      </c>
      <c r="J81" s="83">
        <v>0</v>
      </c>
      <c r="K81" s="83">
        <v>0</v>
      </c>
      <c r="L81" s="83">
        <v>0</v>
      </c>
      <c r="M81" s="83">
        <v>0</v>
      </c>
      <c r="N81" s="83">
        <v>0</v>
      </c>
      <c r="O81" s="83">
        <v>0</v>
      </c>
      <c r="P81" s="83">
        <v>0</v>
      </c>
      <c r="Q81" s="91">
        <f t="shared" si="8"/>
        <v>0</v>
      </c>
    </row>
    <row r="82" s="63" customFormat="1" spans="1:18">
      <c r="A82" s="69"/>
      <c r="B82" s="84" t="s">
        <v>257</v>
      </c>
      <c r="C82" s="85" t="s">
        <v>317</v>
      </c>
      <c r="D82" s="86"/>
      <c r="E82" s="87">
        <f t="shared" ref="E82:Q82" si="9">SUM(E78:E81)</f>
        <v>16.73</v>
      </c>
      <c r="F82" s="88">
        <f t="shared" si="9"/>
        <v>16.73</v>
      </c>
      <c r="G82" s="88">
        <f t="shared" si="9"/>
        <v>16.73</v>
      </c>
      <c r="H82" s="88">
        <f t="shared" si="9"/>
        <v>15.8935</v>
      </c>
      <c r="I82" s="88">
        <f t="shared" si="9"/>
        <v>11.711</v>
      </c>
      <c r="J82" s="88">
        <f t="shared" si="9"/>
        <v>17.5665</v>
      </c>
      <c r="K82" s="88">
        <f t="shared" si="9"/>
        <v>14.2205</v>
      </c>
      <c r="L82" s="88">
        <f t="shared" si="9"/>
        <v>12.9675</v>
      </c>
      <c r="M82" s="88">
        <f t="shared" si="9"/>
        <v>18.1545</v>
      </c>
      <c r="N82" s="88">
        <f t="shared" si="9"/>
        <v>15.561</v>
      </c>
      <c r="O82" s="88">
        <f t="shared" si="9"/>
        <v>17.29</v>
      </c>
      <c r="P82" s="88">
        <f t="shared" si="9"/>
        <v>11.47725</v>
      </c>
      <c r="Q82" s="87">
        <f t="shared" si="9"/>
        <v>185.03175</v>
      </c>
      <c r="R82" s="92" t="s">
        <v>33</v>
      </c>
    </row>
    <row r="83" outlineLevel="1" spans="1:17">
      <c r="A83" s="69" t="s">
        <v>258</v>
      </c>
      <c r="B83" s="82">
        <v>6666100203</v>
      </c>
      <c r="C83" s="82" t="s">
        <v>322</v>
      </c>
      <c r="D83" s="82" t="s">
        <v>323</v>
      </c>
      <c r="E83" s="83">
        <v>9.02996118465394</v>
      </c>
      <c r="F83" s="83">
        <v>8.86159095648081</v>
      </c>
      <c r="G83" s="83">
        <v>8.69636011430894</v>
      </c>
      <c r="H83" s="83">
        <v>8.56784247715166</v>
      </c>
      <c r="I83" s="83">
        <v>8.44122411542036</v>
      </c>
      <c r="J83" s="83">
        <v>8.31647696100528</v>
      </c>
      <c r="K83" s="83">
        <v>8.25047317560047</v>
      </c>
      <c r="L83" s="83">
        <v>8.18499322976238</v>
      </c>
      <c r="M83" s="83">
        <v>8.1200329660341</v>
      </c>
      <c r="N83" s="83">
        <v>7.9803763793947</v>
      </c>
      <c r="O83" s="83">
        <v>7.84312174879085</v>
      </c>
      <c r="P83" s="83">
        <v>7.70822776293941</v>
      </c>
      <c r="Q83" s="91">
        <f>F83+E83+G83+H83+I83+J83+K83+L83+M83+N83+O83+P83</f>
        <v>100.000681071543</v>
      </c>
    </row>
    <row r="84" s="63" customFormat="1" spans="1:18">
      <c r="A84" s="69"/>
      <c r="B84" s="84" t="s">
        <v>245</v>
      </c>
      <c r="C84" s="85" t="s">
        <v>323</v>
      </c>
      <c r="D84" s="86"/>
      <c r="E84" s="87">
        <f>SUM(E83)</f>
        <v>9.02996118465394</v>
      </c>
      <c r="F84" s="88">
        <f t="shared" ref="F84:Q84" si="10">+F83</f>
        <v>8.86159095648081</v>
      </c>
      <c r="G84" s="88">
        <f t="shared" si="10"/>
        <v>8.69636011430894</v>
      </c>
      <c r="H84" s="88">
        <f t="shared" si="10"/>
        <v>8.56784247715166</v>
      </c>
      <c r="I84" s="88">
        <f t="shared" si="10"/>
        <v>8.44122411542036</v>
      </c>
      <c r="J84" s="88">
        <f t="shared" si="10"/>
        <v>8.31647696100528</v>
      </c>
      <c r="K84" s="88">
        <f t="shared" si="10"/>
        <v>8.25047317560047</v>
      </c>
      <c r="L84" s="88">
        <f t="shared" si="10"/>
        <v>8.18499322976238</v>
      </c>
      <c r="M84" s="88">
        <f t="shared" si="10"/>
        <v>8.1200329660341</v>
      </c>
      <c r="N84" s="88">
        <f t="shared" si="10"/>
        <v>7.9803763793947</v>
      </c>
      <c r="O84" s="88">
        <f t="shared" si="10"/>
        <v>7.84312174879085</v>
      </c>
      <c r="P84" s="88">
        <f t="shared" si="10"/>
        <v>7.70822776293941</v>
      </c>
      <c r="Q84" s="87">
        <f t="shared" si="10"/>
        <v>100.000681071543</v>
      </c>
      <c r="R84" s="92" t="s">
        <v>25</v>
      </c>
    </row>
    <row r="85" outlineLevel="1" spans="1:17">
      <c r="A85" s="69" t="s">
        <v>258</v>
      </c>
      <c r="B85" s="82">
        <v>5301070000</v>
      </c>
      <c r="C85" s="82" t="s">
        <v>325</v>
      </c>
      <c r="D85" s="82" t="s">
        <v>326</v>
      </c>
      <c r="E85" s="83">
        <v>-55.206016858543</v>
      </c>
      <c r="F85" s="83">
        <v>-55.3784394643972</v>
      </c>
      <c r="G85" s="83">
        <v>-55.5039484091121</v>
      </c>
      <c r="H85" s="83">
        <v>-47.8477870479016</v>
      </c>
      <c r="I85" s="83">
        <v>-36.2076660287627</v>
      </c>
      <c r="J85" s="83">
        <v>-53.0574542803541</v>
      </c>
      <c r="K85" s="83">
        <v>-43.8081029457106</v>
      </c>
      <c r="L85" s="83">
        <v>-40.4250512474956</v>
      </c>
      <c r="M85" s="83">
        <v>-55.8686345008739</v>
      </c>
      <c r="N85" s="83">
        <v>-48.224784725568</v>
      </c>
      <c r="O85" s="83">
        <v>-53.3075664054145</v>
      </c>
      <c r="P85" s="83">
        <v>-40.8186892663585</v>
      </c>
      <c r="Q85" s="91">
        <f>F85+E85+G85+H85+I85+J85+K85+L85+M85+N85+O85+P85</f>
        <v>-585.654141180491</v>
      </c>
    </row>
    <row r="86" s="63" customFormat="1" spans="1:18">
      <c r="A86" s="69"/>
      <c r="B86" s="84" t="s">
        <v>257</v>
      </c>
      <c r="C86" s="85" t="s">
        <v>326</v>
      </c>
      <c r="D86" s="86"/>
      <c r="E86" s="87">
        <f>SUM(E85)</f>
        <v>-55.206016858543</v>
      </c>
      <c r="F86" s="88">
        <f t="shared" ref="F86:Q86" si="11">+F85</f>
        <v>-55.3784394643972</v>
      </c>
      <c r="G86" s="88">
        <f t="shared" si="11"/>
        <v>-55.5039484091121</v>
      </c>
      <c r="H86" s="88">
        <f t="shared" si="11"/>
        <v>-47.8477870479016</v>
      </c>
      <c r="I86" s="88">
        <f t="shared" si="11"/>
        <v>-36.2076660287627</v>
      </c>
      <c r="J86" s="88">
        <f t="shared" si="11"/>
        <v>-53.0574542803541</v>
      </c>
      <c r="K86" s="88">
        <f t="shared" si="11"/>
        <v>-43.8081029457106</v>
      </c>
      <c r="L86" s="88">
        <f t="shared" si="11"/>
        <v>-40.4250512474956</v>
      </c>
      <c r="M86" s="88">
        <f t="shared" si="11"/>
        <v>-55.8686345008739</v>
      </c>
      <c r="N86" s="88">
        <f t="shared" si="11"/>
        <v>-48.224784725568</v>
      </c>
      <c r="O86" s="88">
        <f t="shared" si="11"/>
        <v>-53.3075664054145</v>
      </c>
      <c r="P86" s="88">
        <f t="shared" si="11"/>
        <v>-40.8186892663585</v>
      </c>
      <c r="Q86" s="87">
        <f t="shared" si="11"/>
        <v>-585.654141180491</v>
      </c>
      <c r="R86" s="92" t="s">
        <v>67</v>
      </c>
    </row>
    <row r="87" outlineLevel="1" spans="1:17">
      <c r="A87" s="69" t="s">
        <v>232</v>
      </c>
      <c r="B87" s="82">
        <v>6666021602</v>
      </c>
      <c r="C87" s="94" t="s">
        <v>328</v>
      </c>
      <c r="D87" s="82" t="s">
        <v>329</v>
      </c>
      <c r="E87" s="83">
        <v>3.7942927453057</v>
      </c>
      <c r="F87" s="83">
        <v>3.83079581190465</v>
      </c>
      <c r="G87" s="83">
        <v>3.86176450002652</v>
      </c>
      <c r="H87" s="83">
        <v>3.65593682093922</v>
      </c>
      <c r="I87" s="83">
        <v>2.43199518535087</v>
      </c>
      <c r="J87" s="83">
        <v>5.03414813689252</v>
      </c>
      <c r="K87" s="83">
        <v>3.91007592303169</v>
      </c>
      <c r="L87" s="83">
        <v>3.50035352529381</v>
      </c>
      <c r="M87" s="83">
        <v>5.39160997458126</v>
      </c>
      <c r="N87" s="83">
        <v>4.46150285221409</v>
      </c>
      <c r="O87" s="83">
        <v>5.08855736435289</v>
      </c>
      <c r="P87" s="83">
        <v>3.56349648916729</v>
      </c>
      <c r="Q87" s="91">
        <f>F87+E87+G87+H87+I87+J87+K87+L87+M87+N87+O87+P87</f>
        <v>48.5245293290605</v>
      </c>
    </row>
    <row r="88" outlineLevel="1" spans="1:17">
      <c r="A88" s="69" t="s">
        <v>232</v>
      </c>
      <c r="B88" s="82">
        <v>6666021603</v>
      </c>
      <c r="C88" s="94" t="s">
        <v>334</v>
      </c>
      <c r="D88" s="82" t="s">
        <v>329</v>
      </c>
      <c r="E88" s="83">
        <v>1.08346006553046</v>
      </c>
      <c r="F88" s="83">
        <v>1.09154082755012</v>
      </c>
      <c r="G88" s="83">
        <v>1.09839643235514</v>
      </c>
      <c r="H88" s="83">
        <v>1.05283191828193</v>
      </c>
      <c r="I88" s="83">
        <v>0.781885337497215</v>
      </c>
      <c r="J88" s="83">
        <v>1.17687224075012</v>
      </c>
      <c r="K88" s="83">
        <v>0.961212404116062</v>
      </c>
      <c r="L88" s="83">
        <v>0.882604762834747</v>
      </c>
      <c r="M88" s="83">
        <v>1.2454533875557</v>
      </c>
      <c r="N88" s="83">
        <v>1.06700688955632</v>
      </c>
      <c r="O88" s="83">
        <v>1.18731096965098</v>
      </c>
      <c r="P88" s="83">
        <v>0.89471911020997</v>
      </c>
      <c r="Q88" s="91">
        <f t="shared" ref="Q88:Q89" si="12">F88+E88+G88+H88+I88+J88+K88+L88+M88+N88+O88+P88</f>
        <v>12.5232943458888</v>
      </c>
    </row>
    <row r="89" outlineLevel="1" spans="1:17">
      <c r="A89" s="69" t="s">
        <v>232</v>
      </c>
      <c r="B89" s="82">
        <v>6666021604</v>
      </c>
      <c r="C89" s="95" t="s">
        <v>410</v>
      </c>
      <c r="D89" s="82" t="s">
        <v>329</v>
      </c>
      <c r="E89" s="83">
        <v>0.579545135552173</v>
      </c>
      <c r="F89" s="83">
        <v>0.583867552657371</v>
      </c>
      <c r="G89" s="83">
        <v>0.587534630515081</v>
      </c>
      <c r="H89" s="83">
        <v>0.563162073256128</v>
      </c>
      <c r="I89" s="83">
        <v>0.315634583546407</v>
      </c>
      <c r="J89" s="83">
        <v>0.106312608222238</v>
      </c>
      <c r="K89" s="83">
        <v>0.107972465307873</v>
      </c>
      <c r="L89" s="83">
        <v>0.108584655801867</v>
      </c>
      <c r="M89" s="83">
        <v>0.112507877631538</v>
      </c>
      <c r="N89" s="83">
        <v>0.477349774911799</v>
      </c>
      <c r="O89" s="83">
        <v>0.531170538504093</v>
      </c>
      <c r="P89" s="83">
        <v>0.404681228555939</v>
      </c>
      <c r="Q89" s="91">
        <f t="shared" si="12"/>
        <v>4.47832312446251</v>
      </c>
    </row>
    <row r="90" s="63" customFormat="1" spans="1:18">
      <c r="A90" s="69"/>
      <c r="B90" s="84" t="s">
        <v>245</v>
      </c>
      <c r="C90" s="85" t="s">
        <v>329</v>
      </c>
      <c r="D90" s="86"/>
      <c r="E90" s="87">
        <f>SUM(E87:E89)</f>
        <v>5.45729794638834</v>
      </c>
      <c r="F90" s="87">
        <f t="shared" ref="F90:Q90" si="13">SUM(F87:F89)</f>
        <v>5.50620419211214</v>
      </c>
      <c r="G90" s="87">
        <f t="shared" si="13"/>
        <v>5.54769556289675</v>
      </c>
      <c r="H90" s="87">
        <f t="shared" si="13"/>
        <v>5.27193081247727</v>
      </c>
      <c r="I90" s="87">
        <f t="shared" si="13"/>
        <v>3.52951510639449</v>
      </c>
      <c r="J90" s="87">
        <f t="shared" si="13"/>
        <v>6.31733298586487</v>
      </c>
      <c r="K90" s="87">
        <f t="shared" si="13"/>
        <v>4.97926079245562</v>
      </c>
      <c r="L90" s="87">
        <f t="shared" si="13"/>
        <v>4.49154294393042</v>
      </c>
      <c r="M90" s="87">
        <f t="shared" si="13"/>
        <v>6.7495712397685</v>
      </c>
      <c r="N90" s="87">
        <f t="shared" si="13"/>
        <v>6.00585951668221</v>
      </c>
      <c r="O90" s="87">
        <f t="shared" si="13"/>
        <v>6.80703887250796</v>
      </c>
      <c r="P90" s="87">
        <f t="shared" si="13"/>
        <v>4.8628968279332</v>
      </c>
      <c r="Q90" s="87">
        <f t="shared" si="13"/>
        <v>65.5261467994118</v>
      </c>
      <c r="R90" s="92" t="s">
        <v>26</v>
      </c>
    </row>
    <row r="91" outlineLevel="1" spans="1:17">
      <c r="A91" s="69" t="s">
        <v>232</v>
      </c>
      <c r="B91" s="82">
        <v>6666021600</v>
      </c>
      <c r="C91" s="82" t="s">
        <v>331</v>
      </c>
      <c r="D91" s="82" t="s">
        <v>332</v>
      </c>
      <c r="E91" s="83">
        <v>31.1864352250091</v>
      </c>
      <c r="F91" s="83">
        <v>30.2205424856039</v>
      </c>
      <c r="G91" s="83">
        <v>30.539509865053</v>
      </c>
      <c r="H91" s="83">
        <v>29.7765977218025</v>
      </c>
      <c r="I91" s="83">
        <v>21.344342716969</v>
      </c>
      <c r="J91" s="83">
        <v>33.0671618937876</v>
      </c>
      <c r="K91" s="83">
        <v>26.9578604813959</v>
      </c>
      <c r="L91" s="83">
        <v>28.6819069537252</v>
      </c>
      <c r="M91" s="83">
        <v>28.7153829234981</v>
      </c>
      <c r="N91" s="83">
        <v>24.0841270276201</v>
      </c>
      <c r="O91" s="83">
        <v>29.4743649444145</v>
      </c>
      <c r="P91" s="83">
        <v>22.4801824920021</v>
      </c>
      <c r="Q91" s="91">
        <f>F91+E91+G91+H91+I91+J91+K91+L91+M91+N91+O91+P91</f>
        <v>336.528414730881</v>
      </c>
    </row>
    <row r="92" outlineLevel="1" spans="1:17">
      <c r="A92" s="69" t="s">
        <v>232</v>
      </c>
      <c r="B92" s="82">
        <v>6666021604</v>
      </c>
      <c r="C92" s="82" t="s">
        <v>335</v>
      </c>
      <c r="D92" s="82" t="s">
        <v>332</v>
      </c>
      <c r="E92" s="83">
        <v>7.33034143400823</v>
      </c>
      <c r="F92" s="83">
        <v>7.3707590166624</v>
      </c>
      <c r="G92" s="83">
        <v>7.40504872513017</v>
      </c>
      <c r="H92" s="83">
        <v>5.95696400421421</v>
      </c>
      <c r="I92" s="83">
        <v>2.67685666789779</v>
      </c>
      <c r="J92" s="83">
        <v>2.69487621537151</v>
      </c>
      <c r="K92" s="83">
        <v>2.57240933493001</v>
      </c>
      <c r="L92" s="83">
        <v>2.52777754207855</v>
      </c>
      <c r="M92" s="83">
        <v>2.84080219280245</v>
      </c>
      <c r="N92" s="83">
        <v>6.48510420938218</v>
      </c>
      <c r="O92" s="83">
        <v>11.6258874068987</v>
      </c>
      <c r="P92" s="83">
        <v>9.30682554318602</v>
      </c>
      <c r="Q92" s="91">
        <f>F92+E92+G92+H92+I92+J92+K92+L92+M92+N92+O92+P92</f>
        <v>68.7936522925622</v>
      </c>
    </row>
    <row r="93" s="63" customFormat="1" spans="1:18">
      <c r="A93" s="69"/>
      <c r="B93" s="84" t="s">
        <v>257</v>
      </c>
      <c r="C93" s="85" t="s">
        <v>332</v>
      </c>
      <c r="D93" s="86"/>
      <c r="E93" s="87">
        <f t="shared" ref="E93:Q93" si="14">SUM(E91:E92)</f>
        <v>38.5167766590173</v>
      </c>
      <c r="F93" s="88">
        <f t="shared" si="14"/>
        <v>37.5913015022663</v>
      </c>
      <c r="G93" s="88">
        <f t="shared" si="14"/>
        <v>37.9445585901832</v>
      </c>
      <c r="H93" s="88">
        <f t="shared" si="14"/>
        <v>35.7335617260167</v>
      </c>
      <c r="I93" s="88">
        <f t="shared" si="14"/>
        <v>24.0211993848668</v>
      </c>
      <c r="J93" s="88">
        <f t="shared" si="14"/>
        <v>35.7620381091591</v>
      </c>
      <c r="K93" s="88">
        <f t="shared" si="14"/>
        <v>29.5302698163259</v>
      </c>
      <c r="L93" s="88">
        <f t="shared" si="14"/>
        <v>31.2096844958037</v>
      </c>
      <c r="M93" s="88">
        <f t="shared" si="14"/>
        <v>31.5561851163005</v>
      </c>
      <c r="N93" s="88">
        <f t="shared" si="14"/>
        <v>30.5692312370023</v>
      </c>
      <c r="O93" s="88">
        <f t="shared" si="14"/>
        <v>41.1002523513131</v>
      </c>
      <c r="P93" s="88">
        <f t="shared" si="14"/>
        <v>31.7870080351881</v>
      </c>
      <c r="Q93" s="87">
        <f t="shared" si="14"/>
        <v>405.322067023443</v>
      </c>
      <c r="R93" s="92" t="s">
        <v>35</v>
      </c>
    </row>
    <row r="94" outlineLevel="1" spans="1:17">
      <c r="A94" s="69" t="s">
        <v>232</v>
      </c>
      <c r="B94" s="82">
        <v>5001010206</v>
      </c>
      <c r="C94" s="82" t="s">
        <v>336</v>
      </c>
      <c r="D94" s="82" t="s">
        <v>337</v>
      </c>
      <c r="E94" s="83">
        <v>3.17802473871038</v>
      </c>
      <c r="F94" s="83">
        <v>3.39715608645654</v>
      </c>
      <c r="G94" s="83">
        <v>3.47484423293854</v>
      </c>
      <c r="H94" s="83">
        <v>3.35351852496659</v>
      </c>
      <c r="I94" s="83">
        <v>3.75911761877119</v>
      </c>
      <c r="J94" s="83">
        <v>3.57131764453886</v>
      </c>
      <c r="K94" s="83">
        <v>3.23578571393926</v>
      </c>
      <c r="L94" s="83">
        <v>3.25313917115523</v>
      </c>
      <c r="M94" s="83">
        <v>3.87189288798857</v>
      </c>
      <c r="N94" s="83">
        <v>3.60112797317617</v>
      </c>
      <c r="O94" s="83">
        <v>3.51167450820428</v>
      </c>
      <c r="P94" s="83">
        <v>3.49939804768243</v>
      </c>
      <c r="Q94" s="91">
        <f t="shared" ref="Q94:Q100" si="15">F94+E94+G94+H94+I94+J94+K94+L94+M94+N94+O94+P94</f>
        <v>41.7069971485281</v>
      </c>
    </row>
    <row r="95" outlineLevel="1" spans="1:17">
      <c r="A95" s="69" t="s">
        <v>232</v>
      </c>
      <c r="B95" s="82">
        <v>6666010184</v>
      </c>
      <c r="C95" s="82" t="s">
        <v>339</v>
      </c>
      <c r="D95" s="82" t="s">
        <v>337</v>
      </c>
      <c r="E95" s="83">
        <v>-7.96983562104045</v>
      </c>
      <c r="F95" s="83">
        <v>-8.50862223501678</v>
      </c>
      <c r="G95" s="83">
        <v>-8.69963721670296</v>
      </c>
      <c r="H95" s="83">
        <v>-8.39805206297239</v>
      </c>
      <c r="I95" s="83">
        <v>-9.39846916577299</v>
      </c>
      <c r="J95" s="83">
        <v>-8.93274938553759</v>
      </c>
      <c r="K95" s="83">
        <v>-8.10301448649433</v>
      </c>
      <c r="L95" s="83">
        <v>-8.14511331224376</v>
      </c>
      <c r="M95" s="83">
        <v>-9.67357733182565</v>
      </c>
      <c r="N95" s="83">
        <v>-9.00290011924398</v>
      </c>
      <c r="O95" s="83">
        <v>-8.78001786829236</v>
      </c>
      <c r="P95" s="83">
        <v>-8.7479959859407</v>
      </c>
      <c r="Q95" s="91">
        <f t="shared" si="15"/>
        <v>-104.359984791084</v>
      </c>
    </row>
    <row r="96" outlineLevel="1" spans="1:17">
      <c r="A96" s="69" t="s">
        <v>232</v>
      </c>
      <c r="B96" s="82">
        <v>6666010186</v>
      </c>
      <c r="C96" s="82" t="s">
        <v>340</v>
      </c>
      <c r="D96" s="82" t="s">
        <v>337</v>
      </c>
      <c r="E96" s="83">
        <v>5.04636340228724</v>
      </c>
      <c r="F96" s="83">
        <v>4.95227026721025</v>
      </c>
      <c r="G96" s="83">
        <v>5.5306021237343</v>
      </c>
      <c r="H96" s="83">
        <v>5.72131254179411</v>
      </c>
      <c r="I96" s="83">
        <v>3.75784074994687</v>
      </c>
      <c r="J96" s="83">
        <v>5.81790967620206</v>
      </c>
      <c r="K96" s="83">
        <v>4.45997765581867</v>
      </c>
      <c r="L96" s="83">
        <v>4.16431153671211</v>
      </c>
      <c r="M96" s="83">
        <v>6.34510117207115</v>
      </c>
      <c r="N96" s="83">
        <v>5.66906515262108</v>
      </c>
      <c r="O96" s="83">
        <v>7.72153056775561</v>
      </c>
      <c r="P96" s="83">
        <v>6.36731628852438</v>
      </c>
      <c r="Q96" s="91">
        <f t="shared" si="15"/>
        <v>65.5536011346778</v>
      </c>
    </row>
    <row r="97" outlineLevel="1" spans="1:17">
      <c r="A97" s="69" t="s">
        <v>232</v>
      </c>
      <c r="B97" s="82">
        <v>6666010189</v>
      </c>
      <c r="C97" s="82" t="s">
        <v>341</v>
      </c>
      <c r="D97" s="82" t="s">
        <v>337</v>
      </c>
      <c r="E97" s="83">
        <v>0</v>
      </c>
      <c r="F97" s="83">
        <v>0</v>
      </c>
      <c r="G97" s="83">
        <v>0</v>
      </c>
      <c r="H97" s="83">
        <v>0</v>
      </c>
      <c r="I97" s="83">
        <v>0</v>
      </c>
      <c r="J97" s="83">
        <v>0</v>
      </c>
      <c r="K97" s="83">
        <v>54.0532453328612</v>
      </c>
      <c r="L97" s="83">
        <v>30.7802019320757</v>
      </c>
      <c r="M97" s="83">
        <v>0</v>
      </c>
      <c r="N97" s="83">
        <v>0</v>
      </c>
      <c r="O97" s="83">
        <v>0</v>
      </c>
      <c r="P97" s="83">
        <v>75.4205640841629</v>
      </c>
      <c r="Q97" s="91">
        <f t="shared" si="15"/>
        <v>160.2540113491</v>
      </c>
    </row>
    <row r="98" outlineLevel="1" spans="1:17">
      <c r="A98" s="69" t="s">
        <v>232</v>
      </c>
      <c r="B98" s="82">
        <v>6666010012</v>
      </c>
      <c r="C98" s="82" t="s">
        <v>342</v>
      </c>
      <c r="D98" s="82" t="s">
        <v>337</v>
      </c>
      <c r="E98" s="83">
        <v>32.9720066641202</v>
      </c>
      <c r="F98" s="83">
        <v>35.2454943969867</v>
      </c>
      <c r="G98" s="83">
        <v>36.0515089167373</v>
      </c>
      <c r="H98" s="83">
        <v>34.7927546965284</v>
      </c>
      <c r="I98" s="83">
        <v>39.0008452947512</v>
      </c>
      <c r="J98" s="83">
        <v>37.0524205620907</v>
      </c>
      <c r="K98" s="83">
        <v>33.5712767821198</v>
      </c>
      <c r="L98" s="83">
        <v>33.7513189007356</v>
      </c>
      <c r="M98" s="83">
        <v>40.1708887128815</v>
      </c>
      <c r="N98" s="83">
        <v>37.3617027217029</v>
      </c>
      <c r="O98" s="83">
        <v>36.4336230226195</v>
      </c>
      <c r="P98" s="83">
        <v>36.3062547447053</v>
      </c>
      <c r="Q98" s="91">
        <f t="shared" si="15"/>
        <v>432.710095415979</v>
      </c>
    </row>
    <row r="99" outlineLevel="1" spans="1:17">
      <c r="A99" s="69" t="s">
        <v>232</v>
      </c>
      <c r="B99" s="82">
        <v>6666010226</v>
      </c>
      <c r="C99" s="82" t="s">
        <v>343</v>
      </c>
      <c r="D99" s="82" t="s">
        <v>337</v>
      </c>
      <c r="E99" s="83">
        <v>4.99591254445594</v>
      </c>
      <c r="F99" s="83">
        <v>4.90276010250828</v>
      </c>
      <c r="G99" s="83">
        <v>4.81134455594532</v>
      </c>
      <c r="H99" s="83">
        <v>4.74024094181805</v>
      </c>
      <c r="I99" s="83">
        <v>4.67018812001778</v>
      </c>
      <c r="J99" s="83">
        <v>4.60117056159387</v>
      </c>
      <c r="K99" s="83">
        <v>4.56465333491456</v>
      </c>
      <c r="L99" s="83">
        <v>4.5284259274946</v>
      </c>
      <c r="M99" s="83">
        <v>4.49248603918115</v>
      </c>
      <c r="N99" s="83">
        <v>4.41521969452693</v>
      </c>
      <c r="O99" s="83">
        <v>4.33928225506332</v>
      </c>
      <c r="P99" s="83">
        <v>4.2646508649271</v>
      </c>
      <c r="Q99" s="91">
        <f t="shared" si="15"/>
        <v>55.3263349424469</v>
      </c>
    </row>
    <row r="100" outlineLevel="1" spans="1:17">
      <c r="A100" s="69" t="s">
        <v>232</v>
      </c>
      <c r="B100" s="82">
        <v>6666010102</v>
      </c>
      <c r="C100" s="82" t="s">
        <v>344</v>
      </c>
      <c r="D100" s="82" t="s">
        <v>337</v>
      </c>
      <c r="E100" s="83">
        <v>156.52648175969</v>
      </c>
      <c r="F100" s="83">
        <v>167.527328193456</v>
      </c>
      <c r="G100" s="83">
        <v>170.784518392514</v>
      </c>
      <c r="H100" s="83">
        <v>164.489499292074</v>
      </c>
      <c r="I100" s="83">
        <v>186.695464410818</v>
      </c>
      <c r="J100" s="83">
        <v>175.20848902582</v>
      </c>
      <c r="K100" s="83">
        <v>159.770296607691</v>
      </c>
      <c r="L100" s="83">
        <v>160.914262662466</v>
      </c>
      <c r="M100" s="83">
        <v>189.845693714614</v>
      </c>
      <c r="N100" s="83">
        <v>176.938832756562</v>
      </c>
      <c r="O100" s="83">
        <v>170.369810813343</v>
      </c>
      <c r="P100" s="83">
        <v>171.06707353627</v>
      </c>
      <c r="Q100" s="91">
        <f t="shared" si="15"/>
        <v>2050.13775116532</v>
      </c>
    </row>
    <row r="101" s="63" customFormat="1" spans="1:18">
      <c r="A101" s="69"/>
      <c r="B101" s="84" t="s">
        <v>345</v>
      </c>
      <c r="C101" s="85" t="s">
        <v>337</v>
      </c>
      <c r="D101" s="86"/>
      <c r="E101" s="87">
        <f t="shared" ref="E101:Q101" si="16">SUM(E94:E100)</f>
        <v>194.748953488223</v>
      </c>
      <c r="F101" s="88">
        <f t="shared" si="16"/>
        <v>207.516386811601</v>
      </c>
      <c r="G101" s="88">
        <f t="shared" si="16"/>
        <v>211.953181005167</v>
      </c>
      <c r="H101" s="88">
        <f t="shared" si="16"/>
        <v>204.699273934209</v>
      </c>
      <c r="I101" s="88">
        <f t="shared" si="16"/>
        <v>228.484987028532</v>
      </c>
      <c r="J101" s="88">
        <f t="shared" si="16"/>
        <v>217.318558084708</v>
      </c>
      <c r="K101" s="88">
        <f t="shared" si="16"/>
        <v>251.552220940851</v>
      </c>
      <c r="L101" s="88">
        <f t="shared" si="16"/>
        <v>229.246546818395</v>
      </c>
      <c r="M101" s="88">
        <f t="shared" si="16"/>
        <v>235.05248519491</v>
      </c>
      <c r="N101" s="88">
        <f t="shared" si="16"/>
        <v>218.983048179345</v>
      </c>
      <c r="O101" s="88">
        <f t="shared" si="16"/>
        <v>213.595903298693</v>
      </c>
      <c r="P101" s="88">
        <f t="shared" si="16"/>
        <v>288.177261580331</v>
      </c>
      <c r="Q101" s="87">
        <f t="shared" si="16"/>
        <v>2701.32880636497</v>
      </c>
      <c r="R101" s="92" t="s">
        <v>27</v>
      </c>
    </row>
    <row r="102" outlineLevel="1" spans="1:17">
      <c r="A102" s="69" t="s">
        <v>232</v>
      </c>
      <c r="B102" s="82">
        <v>6666010196</v>
      </c>
      <c r="C102" s="82" t="s">
        <v>346</v>
      </c>
      <c r="D102" s="82" t="s">
        <v>347</v>
      </c>
      <c r="E102" s="83">
        <v>16.3033626205517</v>
      </c>
      <c r="F102" s="83">
        <v>17.3087549701691</v>
      </c>
      <c r="G102" s="83">
        <v>15.701054470027</v>
      </c>
      <c r="H102" s="83">
        <v>15.816143301861</v>
      </c>
      <c r="I102" s="83">
        <v>16.8213045469607</v>
      </c>
      <c r="J102" s="83">
        <v>16.3415850698048</v>
      </c>
      <c r="K102" s="83">
        <v>15.2302830498394</v>
      </c>
      <c r="L102" s="83">
        <v>15.5128507276037</v>
      </c>
      <c r="M102" s="83">
        <v>16.3624875633338</v>
      </c>
      <c r="N102" s="83">
        <v>15.3151724285692</v>
      </c>
      <c r="O102" s="83">
        <v>15.0517665145644</v>
      </c>
      <c r="P102" s="83">
        <v>14.7928909234048</v>
      </c>
      <c r="Q102" s="91">
        <f t="shared" ref="Q102:Q108" si="17">F102+E102+G102+H102+I102+J102+K102+L102+M102+N102+O102+P102</f>
        <v>190.557656186689</v>
      </c>
    </row>
    <row r="103" outlineLevel="1" spans="1:17">
      <c r="A103" s="69" t="s">
        <v>232</v>
      </c>
      <c r="B103" s="82">
        <v>6666010101</v>
      </c>
      <c r="C103" s="82" t="s">
        <v>349</v>
      </c>
      <c r="D103" s="82" t="s">
        <v>347</v>
      </c>
      <c r="E103" s="83">
        <v>91.3946445946295</v>
      </c>
      <c r="F103" s="83">
        <v>96.9992331542246</v>
      </c>
      <c r="G103" s="83">
        <v>88.0181792215131</v>
      </c>
      <c r="H103" s="83">
        <v>89.6580440195737</v>
      </c>
      <c r="I103" s="83">
        <v>95.2942297695408</v>
      </c>
      <c r="J103" s="83">
        <v>92.5799424813724</v>
      </c>
      <c r="K103" s="83">
        <v>86.3369382820651</v>
      </c>
      <c r="L103" s="83">
        <v>87.1750964043167</v>
      </c>
      <c r="M103" s="83">
        <v>91.9304806496036</v>
      </c>
      <c r="N103" s="83">
        <v>86.0719992024318</v>
      </c>
      <c r="O103" s="83">
        <v>84.5916454077954</v>
      </c>
      <c r="P103" s="83">
        <v>83.1367522435335</v>
      </c>
      <c r="Q103" s="91">
        <f t="shared" si="17"/>
        <v>1073.1871854306</v>
      </c>
    </row>
    <row r="104" outlineLevel="1" spans="1:17">
      <c r="A104" s="69" t="s">
        <v>232</v>
      </c>
      <c r="B104" s="82">
        <v>6666010199</v>
      </c>
      <c r="C104" s="82" t="s">
        <v>350</v>
      </c>
      <c r="D104" s="82" t="s">
        <v>347</v>
      </c>
      <c r="E104" s="83">
        <v>0</v>
      </c>
      <c r="F104" s="83">
        <v>0</v>
      </c>
      <c r="G104" s="83">
        <v>0</v>
      </c>
      <c r="H104" s="83">
        <v>0</v>
      </c>
      <c r="I104" s="83">
        <v>0</v>
      </c>
      <c r="J104" s="83">
        <v>0</v>
      </c>
      <c r="K104" s="83">
        <v>0</v>
      </c>
      <c r="L104" s="83">
        <v>0</v>
      </c>
      <c r="M104" s="83">
        <v>0</v>
      </c>
      <c r="N104" s="83">
        <v>0</v>
      </c>
      <c r="O104" s="83">
        <v>0</v>
      </c>
      <c r="P104" s="83">
        <v>0</v>
      </c>
      <c r="Q104" s="91">
        <f t="shared" si="17"/>
        <v>0</v>
      </c>
    </row>
    <row r="105" outlineLevel="1" spans="1:17">
      <c r="A105" s="69" t="s">
        <v>232</v>
      </c>
      <c r="B105" s="82">
        <v>6666010185</v>
      </c>
      <c r="C105" s="82" t="s">
        <v>351</v>
      </c>
      <c r="D105" s="82" t="s">
        <v>347</v>
      </c>
      <c r="E105" s="83">
        <v>-4.25155530264807</v>
      </c>
      <c r="F105" s="83">
        <v>-4.53778189504956</v>
      </c>
      <c r="G105" s="83">
        <v>-4.09448669841035</v>
      </c>
      <c r="H105" s="83">
        <v>-4.15217341367355</v>
      </c>
      <c r="I105" s="83">
        <v>-4.43893469763256</v>
      </c>
      <c r="J105" s="83">
        <v>-4.3080226903579</v>
      </c>
      <c r="K105" s="83">
        <v>-3.99836895476442</v>
      </c>
      <c r="L105" s="83">
        <v>-4.06385103410247</v>
      </c>
      <c r="M105" s="83">
        <v>-4.3028856965611</v>
      </c>
      <c r="N105" s="83">
        <v>-4.01497359915403</v>
      </c>
      <c r="O105" s="83">
        <v>-3.94591999916858</v>
      </c>
      <c r="P105" s="83">
        <v>-3.87805405323694</v>
      </c>
      <c r="Q105" s="91">
        <f t="shared" si="17"/>
        <v>-49.9870080347595</v>
      </c>
    </row>
    <row r="106" outlineLevel="1" spans="1:17">
      <c r="A106" s="69" t="s">
        <v>232</v>
      </c>
      <c r="B106" s="82">
        <v>6666010207</v>
      </c>
      <c r="C106" s="82" t="s">
        <v>352</v>
      </c>
      <c r="D106" s="82" t="s">
        <v>347</v>
      </c>
      <c r="E106" s="83">
        <v>1.57140844535438</v>
      </c>
      <c r="F106" s="83">
        <v>1.66831373206449</v>
      </c>
      <c r="G106" s="83">
        <v>1.51335464771345</v>
      </c>
      <c r="H106" s="83">
        <v>1.52444754716732</v>
      </c>
      <c r="I106" s="83">
        <v>1.6213305587432</v>
      </c>
      <c r="J106" s="83">
        <v>1.57509253684866</v>
      </c>
      <c r="K106" s="83">
        <v>1.46797908914115</v>
      </c>
      <c r="L106" s="83">
        <v>1.4952145279618</v>
      </c>
      <c r="M106" s="83">
        <v>1.57710723502012</v>
      </c>
      <c r="N106" s="83">
        <v>1.47616119793438</v>
      </c>
      <c r="O106" s="83">
        <v>1.45077267610259</v>
      </c>
      <c r="P106" s="83">
        <v>1.42582081189444</v>
      </c>
      <c r="Q106" s="91">
        <f t="shared" si="17"/>
        <v>18.367003005946</v>
      </c>
    </row>
    <row r="107" outlineLevel="1" spans="1:17">
      <c r="A107" s="69" t="s">
        <v>232</v>
      </c>
      <c r="B107" s="82">
        <v>5102040406</v>
      </c>
      <c r="C107" s="82" t="s">
        <v>255</v>
      </c>
      <c r="D107" s="82" t="s">
        <v>247</v>
      </c>
      <c r="E107" s="83">
        <v>0</v>
      </c>
      <c r="F107" s="83">
        <v>0</v>
      </c>
      <c r="G107" s="83">
        <v>0</v>
      </c>
      <c r="H107" s="83">
        <v>0</v>
      </c>
      <c r="I107" s="83">
        <v>0</v>
      </c>
      <c r="J107" s="83">
        <v>0</v>
      </c>
      <c r="K107" s="83">
        <v>0</v>
      </c>
      <c r="L107" s="83">
        <v>0</v>
      </c>
      <c r="M107" s="83">
        <v>0</v>
      </c>
      <c r="N107" s="83">
        <v>0</v>
      </c>
      <c r="O107" s="83">
        <v>0</v>
      </c>
      <c r="P107" s="83">
        <v>0</v>
      </c>
      <c r="Q107" s="91">
        <f t="shared" si="17"/>
        <v>0</v>
      </c>
    </row>
    <row r="108" outlineLevel="1" spans="1:17">
      <c r="A108" s="69" t="s">
        <v>232</v>
      </c>
      <c r="B108" s="82">
        <v>6666010227</v>
      </c>
      <c r="C108" s="82" t="s">
        <v>353</v>
      </c>
      <c r="D108" s="82" t="s">
        <v>347</v>
      </c>
      <c r="E108" s="83">
        <v>1.56213501796469</v>
      </c>
      <c r="F108" s="83">
        <v>1.53296562835086</v>
      </c>
      <c r="G108" s="83">
        <v>1.50442381596063</v>
      </c>
      <c r="H108" s="83">
        <v>1.48218501775804</v>
      </c>
      <c r="I108" s="83">
        <v>1.46023968755584</v>
      </c>
      <c r="J108" s="83">
        <v>1.43866750491059</v>
      </c>
      <c r="K108" s="83">
        <v>1.42728204479724</v>
      </c>
      <c r="L108" s="83">
        <v>1.41595440952107</v>
      </c>
      <c r="M108" s="83">
        <v>1.40468633338765</v>
      </c>
      <c r="N108" s="83">
        <v>1.38055155209975</v>
      </c>
      <c r="O108" s="83">
        <v>1.35680742221106</v>
      </c>
      <c r="P108" s="83">
        <v>1.33347166802069</v>
      </c>
      <c r="Q108" s="91">
        <f t="shared" si="17"/>
        <v>17.2993701025381</v>
      </c>
    </row>
    <row r="109" s="63" customFormat="1" spans="1:18">
      <c r="A109" s="69"/>
      <c r="B109" s="84" t="s">
        <v>345</v>
      </c>
      <c r="C109" s="85" t="s">
        <v>347</v>
      </c>
      <c r="D109" s="86"/>
      <c r="E109" s="87">
        <f t="shared" ref="E109:Q109" si="18">SUM(E102:E108)</f>
        <v>106.579995375852</v>
      </c>
      <c r="F109" s="88">
        <f t="shared" si="18"/>
        <v>112.971485589759</v>
      </c>
      <c r="G109" s="88">
        <f t="shared" si="18"/>
        <v>102.642525456804</v>
      </c>
      <c r="H109" s="88">
        <f t="shared" si="18"/>
        <v>104.328646472686</v>
      </c>
      <c r="I109" s="88">
        <f t="shared" si="18"/>
        <v>110.758169865168</v>
      </c>
      <c r="J109" s="88">
        <f t="shared" si="18"/>
        <v>107.627264902579</v>
      </c>
      <c r="K109" s="88">
        <f t="shared" si="18"/>
        <v>100.464113511079</v>
      </c>
      <c r="L109" s="88">
        <f t="shared" si="18"/>
        <v>101.535265035301</v>
      </c>
      <c r="M109" s="88">
        <f t="shared" si="18"/>
        <v>106.971876084784</v>
      </c>
      <c r="N109" s="88">
        <f t="shared" si="18"/>
        <v>100.228910781881</v>
      </c>
      <c r="O109" s="88">
        <f t="shared" si="18"/>
        <v>98.5050720215048</v>
      </c>
      <c r="P109" s="88">
        <f t="shared" si="18"/>
        <v>96.8108815936165</v>
      </c>
      <c r="Q109" s="103">
        <f t="shared" si="18"/>
        <v>1249.42420669101</v>
      </c>
      <c r="R109" s="92" t="s">
        <v>28</v>
      </c>
    </row>
    <row r="110" outlineLevel="1" spans="1:17">
      <c r="A110" s="69" t="s">
        <v>232</v>
      </c>
      <c r="B110" s="82">
        <v>6666010302</v>
      </c>
      <c r="C110" s="82" t="s">
        <v>354</v>
      </c>
      <c r="D110" s="82" t="s">
        <v>355</v>
      </c>
      <c r="E110" s="83">
        <v>4.80177612667605</v>
      </c>
      <c r="F110" s="83">
        <v>4.71224350017277</v>
      </c>
      <c r="G110" s="83">
        <v>4.62438027494875</v>
      </c>
      <c r="H110" s="83">
        <v>4.55603967975246</v>
      </c>
      <c r="I110" s="83">
        <v>4.48870904409109</v>
      </c>
      <c r="J110" s="83">
        <v>4.42237344245428</v>
      </c>
      <c r="K110" s="83">
        <v>4.38727524053004</v>
      </c>
      <c r="L110" s="83">
        <v>4.35245559576393</v>
      </c>
      <c r="M110" s="83">
        <v>4.31791229738485</v>
      </c>
      <c r="N110" s="83">
        <v>4.24364844951828</v>
      </c>
      <c r="O110" s="83">
        <v>4.17066186684843</v>
      </c>
      <c r="P110" s="83">
        <v>4.09893058166922</v>
      </c>
      <c r="Q110" s="91">
        <f t="shared" ref="Q110:Q120" si="19">F110+E110+G110+H110+I110+J110+K110+L110+M110+N110+O110+P110</f>
        <v>53.1764060998101</v>
      </c>
    </row>
    <row r="111" outlineLevel="1" spans="1:17">
      <c r="A111" s="69" t="s">
        <v>232</v>
      </c>
      <c r="B111" s="82">
        <v>6666010314</v>
      </c>
      <c r="C111" s="82" t="s">
        <v>357</v>
      </c>
      <c r="D111" s="82" t="s">
        <v>355</v>
      </c>
      <c r="E111" s="83">
        <v>5.16392139271654</v>
      </c>
      <c r="F111" s="83">
        <v>5.0676363029603</v>
      </c>
      <c r="G111" s="83">
        <v>4.97314651909744</v>
      </c>
      <c r="H111" s="83">
        <v>4.89965174295315</v>
      </c>
      <c r="I111" s="83">
        <v>4.82724309650556</v>
      </c>
      <c r="J111" s="83">
        <v>4.75590452857691</v>
      </c>
      <c r="K111" s="83">
        <v>4.71815925454059</v>
      </c>
      <c r="L111" s="83">
        <v>4.68071354617122</v>
      </c>
      <c r="M111" s="83">
        <v>4.64356502596351</v>
      </c>
      <c r="N111" s="83">
        <v>4.56370027121721</v>
      </c>
      <c r="O111" s="83">
        <v>4.48520911176138</v>
      </c>
      <c r="P111" s="83">
        <v>4.40806792310701</v>
      </c>
      <c r="Q111" s="91">
        <f t="shared" si="19"/>
        <v>57.1869187155708</v>
      </c>
    </row>
    <row r="112" outlineLevel="1" spans="1:17">
      <c r="A112" s="69" t="s">
        <v>232</v>
      </c>
      <c r="B112" s="82">
        <v>6666010315</v>
      </c>
      <c r="C112" s="82" t="s">
        <v>411</v>
      </c>
      <c r="D112" s="82" t="s">
        <v>355</v>
      </c>
      <c r="E112" s="83">
        <v>11.7231634152571</v>
      </c>
      <c r="F112" s="83">
        <v>11.5045764624702</v>
      </c>
      <c r="G112" s="83">
        <v>11.2900652232288</v>
      </c>
      <c r="H112" s="83">
        <v>11.1232169686983</v>
      </c>
      <c r="I112" s="83">
        <v>10.9588344519195</v>
      </c>
      <c r="J112" s="83">
        <v>10.7968812334183</v>
      </c>
      <c r="K112" s="83">
        <v>10.7111916998197</v>
      </c>
      <c r="L112" s="83">
        <v>10.6261822418846</v>
      </c>
      <c r="M112" s="83">
        <v>10.5418474621871</v>
      </c>
      <c r="N112" s="83">
        <v>10.3605380463756</v>
      </c>
      <c r="O112" s="83">
        <v>10.1823469743249</v>
      </c>
      <c r="P112" s="83">
        <v>10.0072206135871</v>
      </c>
      <c r="Q112" s="91">
        <f t="shared" si="19"/>
        <v>129.826064793171</v>
      </c>
    </row>
    <row r="113" outlineLevel="1" spans="1:17">
      <c r="A113" s="69" t="s">
        <v>232</v>
      </c>
      <c r="B113" s="82">
        <v>6666020401</v>
      </c>
      <c r="C113" s="82" t="s">
        <v>358</v>
      </c>
      <c r="D113" s="82" t="s">
        <v>355</v>
      </c>
      <c r="E113" s="83">
        <v>33.6695817629157</v>
      </c>
      <c r="F113" s="83">
        <v>33.0417877948142</v>
      </c>
      <c r="G113" s="83">
        <v>32.4256995042338</v>
      </c>
      <c r="H113" s="83">
        <v>33.5438270733453</v>
      </c>
      <c r="I113" s="83">
        <v>23.1658364293581</v>
      </c>
      <c r="J113" s="83">
        <v>42.0567333565876</v>
      </c>
      <c r="K113" s="83">
        <v>35.5333034380799</v>
      </c>
      <c r="L113" s="83">
        <v>32.3928406959851</v>
      </c>
      <c r="M113" s="83">
        <v>44.0881048321649</v>
      </c>
      <c r="N113" s="83">
        <v>43.218912252766</v>
      </c>
      <c r="O113" s="83">
        <v>42.1138064027387</v>
      </c>
      <c r="P113" s="83">
        <v>38.2737857034579</v>
      </c>
      <c r="Q113" s="91">
        <f t="shared" si="19"/>
        <v>433.524219246447</v>
      </c>
    </row>
    <row r="114" outlineLevel="1" spans="1:18">
      <c r="A114" s="69" t="s">
        <v>232</v>
      </c>
      <c r="B114" s="82">
        <v>6666020502</v>
      </c>
      <c r="C114" s="82" t="s">
        <v>359</v>
      </c>
      <c r="D114" s="82" t="s">
        <v>355</v>
      </c>
      <c r="E114" s="83">
        <v>31.1406831706665</v>
      </c>
      <c r="F114" s="83">
        <v>30.5600423657179</v>
      </c>
      <c r="G114" s="83">
        <v>29.9902280330892</v>
      </c>
      <c r="H114" s="83">
        <v>30.8870811290289</v>
      </c>
      <c r="I114" s="83">
        <v>21.2696501243889</v>
      </c>
      <c r="J114" s="83">
        <v>36.5188585988869</v>
      </c>
      <c r="K114" s="83">
        <v>34.0162846201266</v>
      </c>
      <c r="L114" s="83">
        <v>31.1881339771072</v>
      </c>
      <c r="M114" s="83">
        <v>41.5504754820999</v>
      </c>
      <c r="N114" s="83">
        <v>40.7247865496296</v>
      </c>
      <c r="O114" s="83">
        <v>38.5888733236401</v>
      </c>
      <c r="P114" s="83">
        <v>35.2185332580108</v>
      </c>
      <c r="Q114" s="91">
        <f t="shared" si="19"/>
        <v>401.653630632393</v>
      </c>
      <c r="R114" s="92"/>
    </row>
    <row r="115" outlineLevel="1" spans="1:17">
      <c r="A115" s="69" t="s">
        <v>232</v>
      </c>
      <c r="B115" s="82">
        <v>6666020503</v>
      </c>
      <c r="C115" s="82" t="s">
        <v>360</v>
      </c>
      <c r="D115" s="82" t="s">
        <v>355</v>
      </c>
      <c r="E115" s="83">
        <v>1.77858211844391</v>
      </c>
      <c r="F115" s="83">
        <v>1.74541915450825</v>
      </c>
      <c r="G115" s="83">
        <v>1.71287453828091</v>
      </c>
      <c r="H115" s="83">
        <v>1.68756112145903</v>
      </c>
      <c r="I115" s="83">
        <v>1.66262179454091</v>
      </c>
      <c r="J115" s="83">
        <v>1.63805102910435</v>
      </c>
      <c r="K115" s="83">
        <v>1.62505062411146</v>
      </c>
      <c r="L115" s="83">
        <v>1.61215339693597</v>
      </c>
      <c r="M115" s="83">
        <v>1.59935852870632</v>
      </c>
      <c r="N115" s="83">
        <v>1.5718511338637</v>
      </c>
      <c r="O115" s="83">
        <v>1.54481683917809</v>
      </c>
      <c r="P115" s="83">
        <v>1.51824750779173</v>
      </c>
      <c r="Q115" s="91">
        <f t="shared" si="19"/>
        <v>19.6965877869246</v>
      </c>
    </row>
    <row r="116" outlineLevel="1" spans="1:18">
      <c r="A116" s="69" t="s">
        <v>232</v>
      </c>
      <c r="B116" s="82">
        <v>6666021502</v>
      </c>
      <c r="C116" s="82" t="s">
        <v>361</v>
      </c>
      <c r="D116" s="82" t="s">
        <v>355</v>
      </c>
      <c r="E116" s="83">
        <v>33.5467507381114</v>
      </c>
      <c r="F116" s="83">
        <v>32.9212470442703</v>
      </c>
      <c r="G116" s="83">
        <v>32.3074063241121</v>
      </c>
      <c r="H116" s="83">
        <v>31.8299569695686</v>
      </c>
      <c r="I116" s="83">
        <v>31.3595635168164</v>
      </c>
      <c r="J116" s="83">
        <v>30.8961216914447</v>
      </c>
      <c r="K116" s="83">
        <v>30.6509143764332</v>
      </c>
      <c r="L116" s="83">
        <v>30.4076531512234</v>
      </c>
      <c r="M116" s="83">
        <v>30.1663225706582</v>
      </c>
      <c r="N116" s="83">
        <v>29.6474914699343</v>
      </c>
      <c r="O116" s="83">
        <v>29.1375837542352</v>
      </c>
      <c r="P116" s="83">
        <v>28.6364459501083</v>
      </c>
      <c r="Q116" s="91">
        <f t="shared" si="19"/>
        <v>371.507457556916</v>
      </c>
      <c r="R116" s="92"/>
    </row>
    <row r="117" outlineLevel="1" spans="1:17">
      <c r="A117" s="69" t="s">
        <v>232</v>
      </c>
      <c r="B117" s="82">
        <v>6666021503</v>
      </c>
      <c r="C117" s="82" t="s">
        <v>362</v>
      </c>
      <c r="D117" s="82" t="s">
        <v>355</v>
      </c>
      <c r="E117" s="83">
        <v>7.5</v>
      </c>
      <c r="F117" s="83">
        <v>7.5</v>
      </c>
      <c r="G117" s="83">
        <v>7.5</v>
      </c>
      <c r="H117" s="83">
        <v>7.5</v>
      </c>
      <c r="I117" s="83">
        <v>7.5</v>
      </c>
      <c r="J117" s="83">
        <v>7.5</v>
      </c>
      <c r="K117" s="83">
        <v>7.5</v>
      </c>
      <c r="L117" s="83">
        <v>7.5</v>
      </c>
      <c r="M117" s="83">
        <v>7.5</v>
      </c>
      <c r="N117" s="83">
        <v>7.5</v>
      </c>
      <c r="O117" s="83">
        <v>7.5</v>
      </c>
      <c r="P117" s="83">
        <v>7.5</v>
      </c>
      <c r="Q117" s="91">
        <f t="shared" si="19"/>
        <v>90</v>
      </c>
    </row>
    <row r="118" outlineLevel="1" spans="1:18">
      <c r="A118" s="69" t="s">
        <v>232</v>
      </c>
      <c r="B118" s="82">
        <v>6666021506</v>
      </c>
      <c r="C118" s="82" t="s">
        <v>363</v>
      </c>
      <c r="D118" s="82" t="s">
        <v>355</v>
      </c>
      <c r="E118" s="83">
        <v>46.2460809176225</v>
      </c>
      <c r="F118" s="83">
        <v>45.3837889279906</v>
      </c>
      <c r="G118" s="83">
        <v>44.5375750029349</v>
      </c>
      <c r="H118" s="83">
        <v>43.8793842393447</v>
      </c>
      <c r="I118" s="83">
        <v>43.2309204328519</v>
      </c>
      <c r="J118" s="83">
        <v>42.5920398353221</v>
      </c>
      <c r="K118" s="83">
        <v>42.254007773137</v>
      </c>
      <c r="L118" s="83">
        <v>41.9186585050962</v>
      </c>
      <c r="M118" s="83">
        <v>41.5859707391828</v>
      </c>
      <c r="N118" s="83">
        <v>40.8707329132017</v>
      </c>
      <c r="O118" s="83">
        <v>40.1677964748911</v>
      </c>
      <c r="P118" s="83">
        <v>40.0784302868978</v>
      </c>
      <c r="Q118" s="91">
        <f t="shared" si="19"/>
        <v>512.745386048473</v>
      </c>
      <c r="R118" s="92"/>
    </row>
    <row r="119" outlineLevel="1" spans="1:18">
      <c r="A119" s="69" t="s">
        <v>232</v>
      </c>
      <c r="B119" s="82">
        <v>6666030300</v>
      </c>
      <c r="C119" s="82" t="s">
        <v>412</v>
      </c>
      <c r="D119" s="82" t="s">
        <v>355</v>
      </c>
      <c r="E119" s="83">
        <v>6.79003</v>
      </c>
      <c r="F119" s="83">
        <v>6.74174</v>
      </c>
      <c r="G119" s="83">
        <v>6.69436</v>
      </c>
      <c r="H119" s="83">
        <v>6.65751</v>
      </c>
      <c r="I119" s="83">
        <v>6.6212</v>
      </c>
      <c r="J119" s="83">
        <v>6.58542</v>
      </c>
      <c r="K119" s="83">
        <v>6.56649</v>
      </c>
      <c r="L119" s="83">
        <v>6.54772</v>
      </c>
      <c r="M119" s="83">
        <v>6.52909</v>
      </c>
      <c r="N119" s="83">
        <v>6.48904</v>
      </c>
      <c r="O119" s="83">
        <v>6.44968</v>
      </c>
      <c r="P119" s="83">
        <v>6.41099</v>
      </c>
      <c r="Q119" s="91">
        <f t="shared" si="19"/>
        <v>79.08327</v>
      </c>
      <c r="R119" s="92"/>
    </row>
    <row r="120" outlineLevel="1" spans="1:18">
      <c r="A120" s="69" t="s">
        <v>232</v>
      </c>
      <c r="B120" s="82">
        <v>6666091600</v>
      </c>
      <c r="C120" s="82" t="s">
        <v>364</v>
      </c>
      <c r="D120" s="82" t="s">
        <v>355</v>
      </c>
      <c r="E120" s="83">
        <v>0.66912090513032</v>
      </c>
      <c r="F120" s="83">
        <v>0.656644656653896</v>
      </c>
      <c r="G120" s="83">
        <v>0.644401036951812</v>
      </c>
      <c r="H120" s="83">
        <v>0.634877868918041</v>
      </c>
      <c r="I120" s="83">
        <v>0.625495437357676</v>
      </c>
      <c r="J120" s="83">
        <v>0.616251662421356</v>
      </c>
      <c r="K120" s="83">
        <v>0.611360776211662</v>
      </c>
      <c r="L120" s="83">
        <v>0.606508706559189</v>
      </c>
      <c r="M120" s="83">
        <v>0.601695145396021</v>
      </c>
      <c r="N120" s="83">
        <v>0.591346580241789</v>
      </c>
      <c r="O120" s="83">
        <v>0.581176000237631</v>
      </c>
      <c r="P120" s="83">
        <v>0.571180344213888</v>
      </c>
      <c r="Q120" s="91">
        <f t="shared" si="19"/>
        <v>7.41005912029328</v>
      </c>
      <c r="R120" s="92"/>
    </row>
    <row r="121" s="63" customFormat="1" spans="1:18">
      <c r="A121" s="69"/>
      <c r="B121" s="84" t="s">
        <v>345</v>
      </c>
      <c r="C121" s="85" t="s">
        <v>355</v>
      </c>
      <c r="D121" s="86"/>
      <c r="E121" s="87">
        <f t="shared" ref="E121:Q121" si="20">SUM(E110:E120)</f>
        <v>183.02969054754</v>
      </c>
      <c r="F121" s="88">
        <f t="shared" si="20"/>
        <v>179.835126209558</v>
      </c>
      <c r="G121" s="88">
        <f t="shared" si="20"/>
        <v>176.700136456878</v>
      </c>
      <c r="H121" s="88">
        <f t="shared" si="20"/>
        <v>177.199106793068</v>
      </c>
      <c r="I121" s="88">
        <f t="shared" si="20"/>
        <v>155.71007432783</v>
      </c>
      <c r="J121" s="88">
        <f t="shared" si="20"/>
        <v>188.378635378216</v>
      </c>
      <c r="K121" s="88">
        <f t="shared" si="20"/>
        <v>178.57403780299</v>
      </c>
      <c r="L121" s="88">
        <f t="shared" si="20"/>
        <v>171.833019816727</v>
      </c>
      <c r="M121" s="88">
        <f t="shared" si="20"/>
        <v>193.124342083744</v>
      </c>
      <c r="N121" s="88">
        <f t="shared" si="20"/>
        <v>189.782047666748</v>
      </c>
      <c r="O121" s="88">
        <f t="shared" si="20"/>
        <v>184.921950747856</v>
      </c>
      <c r="P121" s="88">
        <f t="shared" si="20"/>
        <v>176.721832168844</v>
      </c>
      <c r="Q121" s="87">
        <f t="shared" si="20"/>
        <v>2155.81</v>
      </c>
      <c r="R121" s="92" t="s">
        <v>29</v>
      </c>
    </row>
    <row r="122" s="64" customFormat="1" spans="1:18">
      <c r="A122" s="96"/>
      <c r="B122" s="97"/>
      <c r="C122" s="97"/>
      <c r="D122" s="97" t="s">
        <v>365</v>
      </c>
      <c r="E122" s="98">
        <f>SUM(E121,E109,E101,E93,E90,E86,E84,E82,E77,E28,E23,E14)</f>
        <v>1646.80076227674</v>
      </c>
      <c r="F122" s="98">
        <f t="shared" ref="F122:Q122" si="21">+F121+F109+F101+F93+F90+F86+F84+F82+F77+F28+F14+F23</f>
        <v>1660.473831754</v>
      </c>
      <c r="G122" s="98">
        <f t="shared" si="21"/>
        <v>1701.12765656027</v>
      </c>
      <c r="H122" s="98">
        <f t="shared" si="21"/>
        <v>1657.9163782207</v>
      </c>
      <c r="I122" s="98">
        <f t="shared" si="21"/>
        <v>1736.38086551247</v>
      </c>
      <c r="J122" s="98">
        <f t="shared" si="21"/>
        <v>1678.67471366107</v>
      </c>
      <c r="K122" s="98">
        <f t="shared" si="21"/>
        <v>1666.88033599825</v>
      </c>
      <c r="L122" s="98">
        <f t="shared" si="21"/>
        <v>1649.91262492591</v>
      </c>
      <c r="M122" s="98">
        <f t="shared" si="21"/>
        <v>1755.74750421606</v>
      </c>
      <c r="N122" s="98">
        <f t="shared" si="21"/>
        <v>1702.46117170966</v>
      </c>
      <c r="O122" s="98">
        <f t="shared" si="21"/>
        <v>1669.60149774142</v>
      </c>
      <c r="P122" s="98">
        <f t="shared" si="21"/>
        <v>1754.35644276037</v>
      </c>
      <c r="Q122" s="104">
        <f t="shared" si="21"/>
        <v>20280.3337853369</v>
      </c>
      <c r="R122" s="92"/>
    </row>
    <row r="123" spans="5:19">
      <c r="E123" s="99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2"/>
      <c r="S123" s="72">
        <v>1754.35644276037</v>
      </c>
    </row>
    <row r="124" spans="5:18">
      <c r="E124" s="99"/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2"/>
    </row>
    <row r="125" spans="5:18">
      <c r="E125" s="99"/>
      <c r="F125" s="99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2"/>
    </row>
    <row r="126" outlineLevel="1" spans="1:18">
      <c r="A126" s="69" t="s">
        <v>258</v>
      </c>
      <c r="B126" s="100">
        <v>6666110110</v>
      </c>
      <c r="C126" s="100" t="s">
        <v>238</v>
      </c>
      <c r="D126" s="100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5">
        <f>F126+E126+G126+H126+I126+J126+K126+L126+M126+N126+O126+P126</f>
        <v>0</v>
      </c>
      <c r="R126" s="92"/>
    </row>
    <row r="127" outlineLevel="1" spans="1:18">
      <c r="A127" s="69" t="s">
        <v>258</v>
      </c>
      <c r="B127" s="82">
        <v>6666110112</v>
      </c>
      <c r="C127" s="82" t="s">
        <v>239</v>
      </c>
      <c r="D127" s="82"/>
      <c r="E127" s="83">
        <v>0.279895145295638</v>
      </c>
      <c r="F127" s="83">
        <v>0.279895145295638</v>
      </c>
      <c r="G127" s="83">
        <v>0.279895145295638</v>
      </c>
      <c r="H127" s="83">
        <v>0.279895145295638</v>
      </c>
      <c r="I127" s="83">
        <v>0.279895145295638</v>
      </c>
      <c r="J127" s="83">
        <v>0.279895145295638</v>
      </c>
      <c r="K127" s="83">
        <v>0.279895145295638</v>
      </c>
      <c r="L127" s="83">
        <v>0.279895145295638</v>
      </c>
      <c r="M127" s="83">
        <v>0.279895145295638</v>
      </c>
      <c r="N127" s="83">
        <v>0.279895145295638</v>
      </c>
      <c r="O127" s="83">
        <v>0.279895145295638</v>
      </c>
      <c r="P127" s="83">
        <v>0.279895145295638</v>
      </c>
      <c r="Q127" s="91">
        <f>F127+E127+G127+H127+I127+J127+K127+L127+M127+N127+O127+P127</f>
        <v>3.35874174354766</v>
      </c>
      <c r="R127" s="92"/>
    </row>
    <row r="128" outlineLevel="1" spans="1:17">
      <c r="A128" s="69" t="s">
        <v>258</v>
      </c>
      <c r="B128" s="82">
        <v>6666110207</v>
      </c>
      <c r="C128" s="82" t="s">
        <v>241</v>
      </c>
      <c r="D128" s="82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91">
        <f>F128+E128+G128+H128+I128+J128+K128+L128+M128+N128+O128+P128</f>
        <v>0</v>
      </c>
    </row>
    <row r="129" outlineLevel="1" spans="1:18">
      <c r="A129" s="69" t="s">
        <v>258</v>
      </c>
      <c r="B129" s="82">
        <v>6666110506</v>
      </c>
      <c r="C129" s="82" t="s">
        <v>242</v>
      </c>
      <c r="D129" s="82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91">
        <f>F129+E129+G129+H129+I129+J129+K129+L129+M129+N129+O129+P129</f>
        <v>0</v>
      </c>
      <c r="R129" s="92"/>
    </row>
    <row r="130" s="63" customFormat="1" spans="1:18">
      <c r="A130" s="69"/>
      <c r="B130" s="84" t="s">
        <v>366</v>
      </c>
      <c r="C130" s="85" t="s">
        <v>234</v>
      </c>
      <c r="D130" s="86"/>
      <c r="E130" s="87">
        <f t="shared" ref="E130:Q130" si="22">SUM(E126:E129)</f>
        <v>0.279895145295638</v>
      </c>
      <c r="F130" s="88">
        <f t="shared" si="22"/>
        <v>0.279895145295638</v>
      </c>
      <c r="G130" s="88">
        <f t="shared" si="22"/>
        <v>0.279895145295638</v>
      </c>
      <c r="H130" s="88">
        <f t="shared" si="22"/>
        <v>0.279895145295638</v>
      </c>
      <c r="I130" s="88">
        <f t="shared" si="22"/>
        <v>0.279895145295638</v>
      </c>
      <c r="J130" s="88">
        <f t="shared" si="22"/>
        <v>0.279895145295638</v>
      </c>
      <c r="K130" s="88">
        <f t="shared" si="22"/>
        <v>0.279895145295638</v>
      </c>
      <c r="L130" s="88">
        <f t="shared" si="22"/>
        <v>0.279895145295638</v>
      </c>
      <c r="M130" s="88">
        <f t="shared" si="22"/>
        <v>0.279895145295638</v>
      </c>
      <c r="N130" s="88">
        <f t="shared" si="22"/>
        <v>0.279895145295638</v>
      </c>
      <c r="O130" s="88">
        <f t="shared" si="22"/>
        <v>0.279895145295638</v>
      </c>
      <c r="P130" s="88">
        <f t="shared" si="22"/>
        <v>0.279895145295638</v>
      </c>
      <c r="Q130" s="87">
        <f t="shared" si="22"/>
        <v>3.35874174354766</v>
      </c>
      <c r="R130" s="92"/>
    </row>
    <row r="131" outlineLevel="1" spans="1:17">
      <c r="A131" s="69" t="s">
        <v>258</v>
      </c>
      <c r="B131" s="82">
        <v>6666010380</v>
      </c>
      <c r="C131" s="82" t="s">
        <v>250</v>
      </c>
      <c r="D131" s="82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91">
        <f>F131+E131+G131+H131+I131+J131+K131+L131+M131+N131+O131+P131</f>
        <v>0</v>
      </c>
    </row>
    <row r="132" outlineLevel="1" spans="1:17">
      <c r="A132" s="69" t="s">
        <v>258</v>
      </c>
      <c r="B132" s="82">
        <v>5102040406</v>
      </c>
      <c r="C132" s="82" t="s">
        <v>367</v>
      </c>
      <c r="D132" s="82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91">
        <f>F132+E132+G132+H132+I132+J132+K132+L132+M132+N132+O132+P132</f>
        <v>0</v>
      </c>
    </row>
    <row r="133" s="63" customFormat="1" spans="1:18">
      <c r="A133" s="69"/>
      <c r="B133" s="84" t="s">
        <v>368</v>
      </c>
      <c r="C133" s="85" t="s">
        <v>247</v>
      </c>
      <c r="D133" s="86"/>
      <c r="E133" s="87">
        <f>SUM(E131:E132)</f>
        <v>0</v>
      </c>
      <c r="F133" s="88">
        <f t="shared" ref="F133:L133" si="23">+F132</f>
        <v>0</v>
      </c>
      <c r="G133" s="88">
        <f t="shared" si="23"/>
        <v>0</v>
      </c>
      <c r="H133" s="88">
        <f t="shared" si="23"/>
        <v>0</v>
      </c>
      <c r="I133" s="88">
        <f t="shared" si="23"/>
        <v>0</v>
      </c>
      <c r="J133" s="88">
        <f t="shared" si="23"/>
        <v>0</v>
      </c>
      <c r="K133" s="88">
        <f t="shared" si="23"/>
        <v>0</v>
      </c>
      <c r="L133" s="88">
        <f t="shared" si="23"/>
        <v>0</v>
      </c>
      <c r="M133" s="88">
        <f>+M132+M131</f>
        <v>0</v>
      </c>
      <c r="N133" s="88">
        <f>+N132+N131</f>
        <v>0</v>
      </c>
      <c r="O133" s="88">
        <f>+O132+O131</f>
        <v>0</v>
      </c>
      <c r="P133" s="88">
        <v>0</v>
      </c>
      <c r="Q133" s="87">
        <f>+Q132+Q131</f>
        <v>0</v>
      </c>
      <c r="R133" s="71"/>
    </row>
    <row r="134" outlineLevel="1" spans="1:17">
      <c r="A134" s="69" t="s">
        <v>258</v>
      </c>
      <c r="B134" s="82">
        <v>6666029996</v>
      </c>
      <c r="C134" s="82" t="s">
        <v>306</v>
      </c>
      <c r="D134" s="82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91">
        <f t="shared" ref="Q134:Q170" si="24">F134+E134+G134+H134+I134+J134+K134+L134+M134+N134+O134+P134</f>
        <v>0</v>
      </c>
    </row>
    <row r="135" outlineLevel="1" spans="1:17">
      <c r="A135" s="69" t="s">
        <v>258</v>
      </c>
      <c r="B135" s="82">
        <v>6666029700</v>
      </c>
      <c r="C135" s="82" t="s">
        <v>304</v>
      </c>
      <c r="D135" s="82"/>
      <c r="E135" s="83">
        <v>5.24075096818212</v>
      </c>
      <c r="F135" s="83">
        <v>5.24075096818212</v>
      </c>
      <c r="G135" s="83">
        <v>5.24075096818212</v>
      </c>
      <c r="H135" s="83">
        <v>5.24075096818212</v>
      </c>
      <c r="I135" s="83">
        <v>5.24075096818212</v>
      </c>
      <c r="J135" s="83">
        <v>5.24075096818212</v>
      </c>
      <c r="K135" s="83">
        <v>5.24075096818212</v>
      </c>
      <c r="L135" s="83">
        <v>5.24075096818212</v>
      </c>
      <c r="M135" s="83">
        <v>5.24075096818212</v>
      </c>
      <c r="N135" s="83">
        <v>5.24075096818212</v>
      </c>
      <c r="O135" s="83">
        <v>5.24075096818212</v>
      </c>
      <c r="P135" s="83">
        <v>5.24075096818212</v>
      </c>
      <c r="Q135" s="91">
        <f t="shared" si="24"/>
        <v>62.8890116181854</v>
      </c>
    </row>
    <row r="136" outlineLevel="1" spans="1:17">
      <c r="A136" s="69" t="s">
        <v>258</v>
      </c>
      <c r="B136" s="82">
        <v>6666010322</v>
      </c>
      <c r="C136" s="82" t="s">
        <v>281</v>
      </c>
      <c r="D136" s="82"/>
      <c r="E136" s="83">
        <v>2.9365637814514</v>
      </c>
      <c r="F136" s="83">
        <v>2.9365637814514</v>
      </c>
      <c r="G136" s="83">
        <v>2.9365637814514</v>
      </c>
      <c r="H136" s="83">
        <v>2.9365637814514</v>
      </c>
      <c r="I136" s="83">
        <v>2.9365637814514</v>
      </c>
      <c r="J136" s="83">
        <v>2.9365637814514</v>
      </c>
      <c r="K136" s="83">
        <v>2.9365637814514</v>
      </c>
      <c r="L136" s="83">
        <v>2.9365637814514</v>
      </c>
      <c r="M136" s="83">
        <v>2.9365637814514</v>
      </c>
      <c r="N136" s="83">
        <v>2.9365637814514</v>
      </c>
      <c r="O136" s="83">
        <v>2.9365637814514</v>
      </c>
      <c r="P136" s="83">
        <v>2.9365637814514</v>
      </c>
      <c r="Q136" s="91">
        <f t="shared" si="24"/>
        <v>35.2387653774168</v>
      </c>
    </row>
    <row r="137" outlineLevel="1" spans="1:17">
      <c r="A137" s="69" t="s">
        <v>258</v>
      </c>
      <c r="B137" s="82">
        <v>6666020495</v>
      </c>
      <c r="C137" s="82" t="s">
        <v>292</v>
      </c>
      <c r="D137" s="82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91">
        <f t="shared" si="24"/>
        <v>0</v>
      </c>
    </row>
    <row r="138" outlineLevel="1" spans="1:17">
      <c r="A138" s="69" t="s">
        <v>258</v>
      </c>
      <c r="B138" s="82">
        <v>5301060000</v>
      </c>
      <c r="C138" s="82" t="s">
        <v>274</v>
      </c>
      <c r="D138" s="82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91">
        <f t="shared" si="24"/>
        <v>0</v>
      </c>
    </row>
    <row r="139" outlineLevel="1" spans="1:17">
      <c r="A139" s="69" t="s">
        <v>258</v>
      </c>
      <c r="B139" s="82">
        <v>5601050000</v>
      </c>
      <c r="C139" s="82" t="s">
        <v>277</v>
      </c>
      <c r="D139" s="82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91">
        <f t="shared" si="24"/>
        <v>0</v>
      </c>
    </row>
    <row r="140" outlineLevel="1" spans="1:17">
      <c r="A140" s="69" t="s">
        <v>258</v>
      </c>
      <c r="B140" s="82">
        <v>5601050100</v>
      </c>
      <c r="C140" s="82" t="s">
        <v>278</v>
      </c>
      <c r="D140" s="82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91">
        <f t="shared" si="24"/>
        <v>0</v>
      </c>
    </row>
    <row r="141" outlineLevel="1" spans="1:17">
      <c r="A141" s="69" t="s">
        <v>258</v>
      </c>
      <c r="B141" s="82">
        <v>5601080000</v>
      </c>
      <c r="C141" s="82" t="s">
        <v>369</v>
      </c>
      <c r="D141" s="82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91">
        <f t="shared" si="24"/>
        <v>0</v>
      </c>
    </row>
    <row r="142" outlineLevel="1" spans="1:17">
      <c r="A142" s="69" t="s">
        <v>258</v>
      </c>
      <c r="B142" s="82">
        <v>6666020101</v>
      </c>
      <c r="C142" s="82" t="s">
        <v>282</v>
      </c>
      <c r="D142" s="82"/>
      <c r="E142" s="83">
        <v>0.75516464632609</v>
      </c>
      <c r="F142" s="83">
        <v>0.75516464632609</v>
      </c>
      <c r="G142" s="83">
        <v>0.75516464632609</v>
      </c>
      <c r="H142" s="83">
        <v>0.75516464632609</v>
      </c>
      <c r="I142" s="83">
        <v>0.75516464632609</v>
      </c>
      <c r="J142" s="83">
        <v>0.75516464632609</v>
      </c>
      <c r="K142" s="83">
        <v>0.75516464632609</v>
      </c>
      <c r="L142" s="83">
        <v>0.75516464632609</v>
      </c>
      <c r="M142" s="83">
        <v>0.75516464632609</v>
      </c>
      <c r="N142" s="83">
        <v>0.75516464632609</v>
      </c>
      <c r="O142" s="83">
        <v>0.75516464632609</v>
      </c>
      <c r="P142" s="83">
        <v>0.75516464632609</v>
      </c>
      <c r="Q142" s="91">
        <f t="shared" si="24"/>
        <v>9.06197575591308</v>
      </c>
    </row>
    <row r="143" outlineLevel="1" spans="1:17">
      <c r="A143" s="69" t="s">
        <v>258</v>
      </c>
      <c r="B143" s="82">
        <v>6666021200</v>
      </c>
      <c r="C143" s="82" t="s">
        <v>370</v>
      </c>
      <c r="D143" s="82"/>
      <c r="E143" s="83">
        <v>2.57773881136026</v>
      </c>
      <c r="F143" s="83">
        <v>2.57773881136026</v>
      </c>
      <c r="G143" s="83">
        <v>2.57773881136026</v>
      </c>
      <c r="H143" s="83">
        <v>2.57773881136026</v>
      </c>
      <c r="I143" s="83">
        <v>2.57773881136026</v>
      </c>
      <c r="J143" s="83">
        <v>2.57773881136026</v>
      </c>
      <c r="K143" s="83">
        <v>2.57773881136026</v>
      </c>
      <c r="L143" s="83">
        <v>2.57773881136026</v>
      </c>
      <c r="M143" s="83">
        <v>2.57773881136026</v>
      </c>
      <c r="N143" s="83">
        <v>2.57773881136026</v>
      </c>
      <c r="O143" s="83">
        <v>2.57773881136026</v>
      </c>
      <c r="P143" s="83">
        <v>2.57773881136026</v>
      </c>
      <c r="Q143" s="91">
        <f t="shared" si="24"/>
        <v>30.9328657363231</v>
      </c>
    </row>
    <row r="144" outlineLevel="1" spans="1:17">
      <c r="A144" s="69" t="s">
        <v>258</v>
      </c>
      <c r="B144" s="82">
        <v>6666020201</v>
      </c>
      <c r="C144" s="82" t="s">
        <v>283</v>
      </c>
      <c r="D144" s="82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91">
        <f t="shared" si="24"/>
        <v>0</v>
      </c>
    </row>
    <row r="145" outlineLevel="1" spans="1:17">
      <c r="A145" s="69" t="s">
        <v>258</v>
      </c>
      <c r="B145" s="82">
        <v>6666020202</v>
      </c>
      <c r="C145" s="82" t="s">
        <v>284</v>
      </c>
      <c r="D145" s="82"/>
      <c r="E145" s="83">
        <v>0.927895355919412</v>
      </c>
      <c r="F145" s="83">
        <v>0.927895355919412</v>
      </c>
      <c r="G145" s="83">
        <v>0.927895355919412</v>
      </c>
      <c r="H145" s="83">
        <v>0.927895355919412</v>
      </c>
      <c r="I145" s="83">
        <v>0.927895355919412</v>
      </c>
      <c r="J145" s="83">
        <v>0.927895355919412</v>
      </c>
      <c r="K145" s="83">
        <v>0.927895355919412</v>
      </c>
      <c r="L145" s="83">
        <v>0.927895355919412</v>
      </c>
      <c r="M145" s="83">
        <v>0.927895355919412</v>
      </c>
      <c r="N145" s="83">
        <v>0.927895355919412</v>
      </c>
      <c r="O145" s="83">
        <v>0.927895355919412</v>
      </c>
      <c r="P145" s="83">
        <v>0.927895355919412</v>
      </c>
      <c r="Q145" s="91">
        <f t="shared" si="24"/>
        <v>11.1347442710329</v>
      </c>
    </row>
    <row r="146" outlineLevel="1" spans="1:17">
      <c r="A146" s="69" t="s">
        <v>258</v>
      </c>
      <c r="B146" s="82">
        <v>6666020204</v>
      </c>
      <c r="C146" s="82" t="s">
        <v>285</v>
      </c>
      <c r="D146" s="82"/>
      <c r="E146" s="83">
        <v>0.512751095599367</v>
      </c>
      <c r="F146" s="83">
        <v>0.512751095599367</v>
      </c>
      <c r="G146" s="83">
        <v>0.512751095599367</v>
      </c>
      <c r="H146" s="83">
        <v>0.512751095599367</v>
      </c>
      <c r="I146" s="83">
        <v>0.512751095599367</v>
      </c>
      <c r="J146" s="83">
        <v>0.512751095599367</v>
      </c>
      <c r="K146" s="83">
        <v>0.512751095599367</v>
      </c>
      <c r="L146" s="83">
        <v>0.512751095599367</v>
      </c>
      <c r="M146" s="83">
        <v>0.512751095599367</v>
      </c>
      <c r="N146" s="83">
        <v>0.512751095599367</v>
      </c>
      <c r="O146" s="83">
        <v>0.512751095599367</v>
      </c>
      <c r="P146" s="83">
        <v>0.512751095599367</v>
      </c>
      <c r="Q146" s="91">
        <f t="shared" si="24"/>
        <v>6.1530131471924</v>
      </c>
    </row>
    <row r="147" outlineLevel="1" spans="1:17">
      <c r="A147" s="69" t="s">
        <v>258</v>
      </c>
      <c r="B147" s="82">
        <v>6666020301</v>
      </c>
      <c r="C147" s="82" t="s">
        <v>371</v>
      </c>
      <c r="D147" s="82"/>
      <c r="E147" s="83">
        <v>0.340412668003159</v>
      </c>
      <c r="F147" s="83">
        <v>0.340412668003159</v>
      </c>
      <c r="G147" s="83">
        <v>0.340412668003159</v>
      </c>
      <c r="H147" s="83">
        <v>0.340412668003159</v>
      </c>
      <c r="I147" s="83">
        <v>0.340412668003159</v>
      </c>
      <c r="J147" s="83">
        <v>0.340412668003159</v>
      </c>
      <c r="K147" s="83">
        <v>0.340412668003159</v>
      </c>
      <c r="L147" s="83">
        <v>0.340412668003159</v>
      </c>
      <c r="M147" s="83">
        <v>0.340412668003159</v>
      </c>
      <c r="N147" s="83">
        <v>0.340412668003159</v>
      </c>
      <c r="O147" s="83">
        <v>0.340412668003159</v>
      </c>
      <c r="P147" s="83">
        <v>0.340412668003159</v>
      </c>
      <c r="Q147" s="91">
        <f t="shared" si="24"/>
        <v>4.08495201603791</v>
      </c>
    </row>
    <row r="148" outlineLevel="1" spans="1:17">
      <c r="A148" s="69" t="s">
        <v>258</v>
      </c>
      <c r="B148" s="82">
        <v>6666020403</v>
      </c>
      <c r="C148" s="82" t="s">
        <v>290</v>
      </c>
      <c r="D148" s="82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91">
        <f t="shared" si="24"/>
        <v>0</v>
      </c>
    </row>
    <row r="149" outlineLevel="1" spans="1:17">
      <c r="A149" s="69" t="s">
        <v>258</v>
      </c>
      <c r="B149" s="82">
        <v>6666020504</v>
      </c>
      <c r="C149" s="82" t="s">
        <v>293</v>
      </c>
      <c r="D149" s="82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91">
        <f t="shared" si="24"/>
        <v>0</v>
      </c>
    </row>
    <row r="150" outlineLevel="1" spans="1:17">
      <c r="A150" s="69" t="s">
        <v>258</v>
      </c>
      <c r="B150" s="82">
        <v>6666020508</v>
      </c>
      <c r="C150" s="82" t="s">
        <v>294</v>
      </c>
      <c r="D150" s="82"/>
      <c r="E150" s="83">
        <v>0.0209630038727285</v>
      </c>
      <c r="F150" s="83">
        <v>0.0209630038727285</v>
      </c>
      <c r="G150" s="83">
        <v>0.0209630038727285</v>
      </c>
      <c r="H150" s="83">
        <v>0.0209630038727285</v>
      </c>
      <c r="I150" s="83">
        <v>0.0209630038727285</v>
      </c>
      <c r="J150" s="83">
        <v>0.0209630038727285</v>
      </c>
      <c r="K150" s="83">
        <v>0.0209630038727285</v>
      </c>
      <c r="L150" s="83">
        <v>0.0209630038727285</v>
      </c>
      <c r="M150" s="83">
        <v>0.0209630038727285</v>
      </c>
      <c r="N150" s="83">
        <v>0.0209630038727285</v>
      </c>
      <c r="O150" s="83">
        <v>0.0209630038727285</v>
      </c>
      <c r="P150" s="83">
        <v>0.0209630038727285</v>
      </c>
      <c r="Q150" s="91">
        <f t="shared" si="24"/>
        <v>0.251556046472741</v>
      </c>
    </row>
    <row r="151" outlineLevel="1" spans="1:17">
      <c r="A151" s="69" t="s">
        <v>258</v>
      </c>
      <c r="B151" s="82">
        <v>6666020601</v>
      </c>
      <c r="C151" s="82" t="s">
        <v>372</v>
      </c>
      <c r="D151" s="82"/>
      <c r="E151" s="83">
        <v>0.760758238274319</v>
      </c>
      <c r="F151" s="83">
        <v>0.760758238274319</v>
      </c>
      <c r="G151" s="83">
        <v>0.760758238274319</v>
      </c>
      <c r="H151" s="83">
        <v>0.760758238274319</v>
      </c>
      <c r="I151" s="83">
        <v>0.760758238274319</v>
      </c>
      <c r="J151" s="83">
        <v>0.760758238274319</v>
      </c>
      <c r="K151" s="83">
        <v>0.760758238274319</v>
      </c>
      <c r="L151" s="83">
        <v>0.760758238274319</v>
      </c>
      <c r="M151" s="83">
        <v>0.760758238274319</v>
      </c>
      <c r="N151" s="83">
        <v>0.760758238274319</v>
      </c>
      <c r="O151" s="83">
        <v>0.760758238274319</v>
      </c>
      <c r="P151" s="83">
        <v>0.760758238274319</v>
      </c>
      <c r="Q151" s="91">
        <f t="shared" si="24"/>
        <v>9.12909885929183</v>
      </c>
    </row>
    <row r="152" outlineLevel="1" spans="1:17">
      <c r="A152" s="69" t="s">
        <v>258</v>
      </c>
      <c r="B152" s="82">
        <v>6666020701</v>
      </c>
      <c r="C152" s="82" t="s">
        <v>296</v>
      </c>
      <c r="D152" s="82"/>
      <c r="E152" s="83">
        <v>19.2312766666667</v>
      </c>
      <c r="F152" s="83">
        <v>19.2312766666667</v>
      </c>
      <c r="G152" s="83">
        <v>19.2312766666667</v>
      </c>
      <c r="H152" s="83">
        <v>19.2312766666667</v>
      </c>
      <c r="I152" s="83">
        <v>19.2312766666667</v>
      </c>
      <c r="J152" s="83">
        <v>19.2312766666667</v>
      </c>
      <c r="K152" s="83">
        <v>19.2312766666667</v>
      </c>
      <c r="L152" s="83">
        <v>19.2312766666667</v>
      </c>
      <c r="M152" s="83">
        <v>19.2312766666667</v>
      </c>
      <c r="N152" s="83">
        <v>19.2312766666667</v>
      </c>
      <c r="O152" s="83">
        <v>19.2312766666667</v>
      </c>
      <c r="P152" s="83">
        <v>19.2312766666667</v>
      </c>
      <c r="Q152" s="91">
        <f t="shared" si="24"/>
        <v>230.77532</v>
      </c>
    </row>
    <row r="153" outlineLevel="1" spans="1:17">
      <c r="A153" s="69" t="s">
        <v>258</v>
      </c>
      <c r="B153" s="82">
        <v>6666020801</v>
      </c>
      <c r="C153" s="82" t="s">
        <v>373</v>
      </c>
      <c r="D153" s="82"/>
      <c r="E153" s="83">
        <v>0.922416666666667</v>
      </c>
      <c r="F153" s="83">
        <v>0.922416666666667</v>
      </c>
      <c r="G153" s="83">
        <v>0.922416666666667</v>
      </c>
      <c r="H153" s="83">
        <v>0.922416666666667</v>
      </c>
      <c r="I153" s="83">
        <v>0.922416666666667</v>
      </c>
      <c r="J153" s="83">
        <v>0.922416666666667</v>
      </c>
      <c r="K153" s="83">
        <v>0.922416666666667</v>
      </c>
      <c r="L153" s="83">
        <v>0.922416666666667</v>
      </c>
      <c r="M153" s="83">
        <v>0.922416666666667</v>
      </c>
      <c r="N153" s="83">
        <v>0.922416666666667</v>
      </c>
      <c r="O153" s="83">
        <v>0.922416666666667</v>
      </c>
      <c r="P153" s="83">
        <v>0.922416666666667</v>
      </c>
      <c r="Q153" s="91">
        <f t="shared" si="24"/>
        <v>11.069</v>
      </c>
    </row>
    <row r="154" outlineLevel="1" spans="1:17">
      <c r="A154" s="69" t="s">
        <v>258</v>
      </c>
      <c r="B154" s="82">
        <v>6666020803</v>
      </c>
      <c r="C154" s="82" t="s">
        <v>298</v>
      </c>
      <c r="D154" s="82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91">
        <f t="shared" si="24"/>
        <v>0</v>
      </c>
    </row>
    <row r="155" outlineLevel="1" spans="1:17">
      <c r="A155" s="69" t="s">
        <v>258</v>
      </c>
      <c r="B155" s="82">
        <v>6666021100</v>
      </c>
      <c r="C155" s="82" t="s">
        <v>299</v>
      </c>
      <c r="D155" s="82"/>
      <c r="E155" s="83">
        <v>1.05636796135884</v>
      </c>
      <c r="F155" s="83">
        <v>1.05636796135884</v>
      </c>
      <c r="G155" s="83">
        <v>1.05636796135884</v>
      </c>
      <c r="H155" s="83">
        <v>1.05636796135884</v>
      </c>
      <c r="I155" s="83">
        <v>1.05636796135884</v>
      </c>
      <c r="J155" s="83">
        <v>1.05636796135884</v>
      </c>
      <c r="K155" s="83">
        <v>1.05636796135884</v>
      </c>
      <c r="L155" s="83">
        <v>1.05636796135884</v>
      </c>
      <c r="M155" s="83">
        <v>1.05636796135884</v>
      </c>
      <c r="N155" s="83">
        <v>1.05636796135884</v>
      </c>
      <c r="O155" s="83">
        <v>1.05636796135884</v>
      </c>
      <c r="P155" s="83">
        <v>1.05636796135884</v>
      </c>
      <c r="Q155" s="91">
        <f t="shared" si="24"/>
        <v>12.6764155363061</v>
      </c>
    </row>
    <row r="156" outlineLevel="1" spans="1:17">
      <c r="A156" s="69" t="s">
        <v>258</v>
      </c>
      <c r="B156" s="82">
        <v>6666021102</v>
      </c>
      <c r="C156" s="82" t="s">
        <v>374</v>
      </c>
      <c r="D156" s="82"/>
      <c r="E156" s="83">
        <v>2.84986521069777</v>
      </c>
      <c r="F156" s="83">
        <v>2.84986521069777</v>
      </c>
      <c r="G156" s="83">
        <v>2.84986521069777</v>
      </c>
      <c r="H156" s="83">
        <v>2.84986521069777</v>
      </c>
      <c r="I156" s="83">
        <v>2.84986521069777</v>
      </c>
      <c r="J156" s="83">
        <v>2.84986521069777</v>
      </c>
      <c r="K156" s="83">
        <v>2.84986521069777</v>
      </c>
      <c r="L156" s="83">
        <v>2.84986521069777</v>
      </c>
      <c r="M156" s="83">
        <v>2.84986521069777</v>
      </c>
      <c r="N156" s="83">
        <v>2.84986521069777</v>
      </c>
      <c r="O156" s="83">
        <v>2.84986521069777</v>
      </c>
      <c r="P156" s="83">
        <v>2.84986521069777</v>
      </c>
      <c r="Q156" s="91">
        <f t="shared" si="24"/>
        <v>34.1983825283733</v>
      </c>
    </row>
    <row r="157" outlineLevel="1" spans="1:17">
      <c r="A157" s="69" t="s">
        <v>258</v>
      </c>
      <c r="B157" s="82">
        <v>6666021104</v>
      </c>
      <c r="C157" s="82" t="s">
        <v>300</v>
      </c>
      <c r="D157" s="82"/>
      <c r="E157" s="83">
        <v>0.540986994865496</v>
      </c>
      <c r="F157" s="83">
        <v>0.540986994865496</v>
      </c>
      <c r="G157" s="83">
        <v>0.540986994865496</v>
      </c>
      <c r="H157" s="83">
        <v>0.540986994865496</v>
      </c>
      <c r="I157" s="83">
        <v>0.540986994865496</v>
      </c>
      <c r="J157" s="83">
        <v>0.540986994865496</v>
      </c>
      <c r="K157" s="83">
        <v>0.540986994865496</v>
      </c>
      <c r="L157" s="83">
        <v>0.540986994865496</v>
      </c>
      <c r="M157" s="83">
        <v>0.540986994865496</v>
      </c>
      <c r="N157" s="83">
        <v>0.540986994865496</v>
      </c>
      <c r="O157" s="83">
        <v>0.540986994865496</v>
      </c>
      <c r="P157" s="83">
        <v>0.540986994865496</v>
      </c>
      <c r="Q157" s="91">
        <f t="shared" si="24"/>
        <v>6.49184393838594</v>
      </c>
    </row>
    <row r="158" outlineLevel="1" spans="1:17">
      <c r="A158" s="69" t="s">
        <v>258</v>
      </c>
      <c r="B158" s="82">
        <v>6666021103</v>
      </c>
      <c r="C158" s="82" t="s">
        <v>375</v>
      </c>
      <c r="D158" s="82"/>
      <c r="E158" s="83">
        <v>3.67652257410532</v>
      </c>
      <c r="F158" s="83">
        <v>3.67652257410532</v>
      </c>
      <c r="G158" s="83">
        <v>3.67652257410532</v>
      </c>
      <c r="H158" s="83">
        <v>3.67652257410532</v>
      </c>
      <c r="I158" s="83">
        <v>3.67652257410532</v>
      </c>
      <c r="J158" s="83">
        <v>3.67652257410532</v>
      </c>
      <c r="K158" s="83">
        <v>3.67652257410532</v>
      </c>
      <c r="L158" s="83">
        <v>3.67652257410532</v>
      </c>
      <c r="M158" s="83">
        <v>3.67652257410532</v>
      </c>
      <c r="N158" s="83">
        <v>3.67652257410532</v>
      </c>
      <c r="O158" s="83">
        <v>3.67652257410532</v>
      </c>
      <c r="P158" s="83">
        <v>3.67652257410532</v>
      </c>
      <c r="Q158" s="91">
        <f t="shared" si="24"/>
        <v>44.1182708892639</v>
      </c>
    </row>
    <row r="159" outlineLevel="1" spans="1:17">
      <c r="A159" s="69" t="s">
        <v>258</v>
      </c>
      <c r="B159" s="82">
        <v>6666021300</v>
      </c>
      <c r="C159" s="82" t="s">
        <v>376</v>
      </c>
      <c r="D159" s="82"/>
      <c r="E159" s="83">
        <v>3.5101284159639</v>
      </c>
      <c r="F159" s="83">
        <v>3.5101284159639</v>
      </c>
      <c r="G159" s="83">
        <v>3.5101284159639</v>
      </c>
      <c r="H159" s="83">
        <v>3.5101284159639</v>
      </c>
      <c r="I159" s="83">
        <v>3.5101284159639</v>
      </c>
      <c r="J159" s="83">
        <v>3.5101284159639</v>
      </c>
      <c r="K159" s="83">
        <v>3.5101284159639</v>
      </c>
      <c r="L159" s="83">
        <v>3.5101284159639</v>
      </c>
      <c r="M159" s="83">
        <v>3.5101284159639</v>
      </c>
      <c r="N159" s="83">
        <v>3.5101284159639</v>
      </c>
      <c r="O159" s="83">
        <v>3.5101284159639</v>
      </c>
      <c r="P159" s="83">
        <v>3.5101284159639</v>
      </c>
      <c r="Q159" s="91">
        <f t="shared" si="24"/>
        <v>42.1215409915668</v>
      </c>
    </row>
    <row r="160" outlineLevel="1" spans="1:17">
      <c r="A160" s="69" t="s">
        <v>258</v>
      </c>
      <c r="B160" s="82">
        <v>6666021902</v>
      </c>
      <c r="C160" s="82" t="s">
        <v>301</v>
      </c>
      <c r="D160" s="82"/>
      <c r="E160" s="83">
        <v>4.01548077357898</v>
      </c>
      <c r="F160" s="83">
        <v>4.01548077357898</v>
      </c>
      <c r="G160" s="83">
        <v>4.01548077357898</v>
      </c>
      <c r="H160" s="83">
        <v>4.01548077357898</v>
      </c>
      <c r="I160" s="83">
        <v>4.01548077357898</v>
      </c>
      <c r="J160" s="83">
        <v>4.01548077357898</v>
      </c>
      <c r="K160" s="83">
        <v>4.01548077357898</v>
      </c>
      <c r="L160" s="83">
        <v>4.01548077357898</v>
      </c>
      <c r="M160" s="83">
        <v>4.01548077357898</v>
      </c>
      <c r="N160" s="83">
        <v>4.01548077357898</v>
      </c>
      <c r="O160" s="83">
        <v>4.01548077357898</v>
      </c>
      <c r="P160" s="83">
        <v>4.01548077357898</v>
      </c>
      <c r="Q160" s="91">
        <f t="shared" si="24"/>
        <v>48.1857692829478</v>
      </c>
    </row>
    <row r="161" outlineLevel="1" spans="1:17">
      <c r="A161" s="69" t="s">
        <v>258</v>
      </c>
      <c r="B161" s="82">
        <v>6666022100</v>
      </c>
      <c r="C161" s="82" t="s">
        <v>302</v>
      </c>
      <c r="D161" s="82"/>
      <c r="E161" s="83">
        <v>0.544287023617356</v>
      </c>
      <c r="F161" s="83">
        <v>0.544287023617356</v>
      </c>
      <c r="G161" s="83">
        <v>0.544287023617356</v>
      </c>
      <c r="H161" s="83">
        <v>0.544287023617356</v>
      </c>
      <c r="I161" s="83">
        <v>0.544287023617356</v>
      </c>
      <c r="J161" s="83">
        <v>0.544287023617356</v>
      </c>
      <c r="K161" s="83">
        <v>0.544287023617356</v>
      </c>
      <c r="L161" s="83">
        <v>0.544287023617356</v>
      </c>
      <c r="M161" s="83">
        <v>0.544287023617356</v>
      </c>
      <c r="N161" s="83">
        <v>0.544287023617356</v>
      </c>
      <c r="O161" s="83">
        <v>0.544287023617356</v>
      </c>
      <c r="P161" s="83">
        <v>0.544287023617356</v>
      </c>
      <c r="Q161" s="91">
        <f t="shared" si="24"/>
        <v>6.53144428340827</v>
      </c>
    </row>
    <row r="162" outlineLevel="1" spans="1:18">
      <c r="A162" s="69" t="s">
        <v>232</v>
      </c>
      <c r="B162" s="82">
        <v>6666022300</v>
      </c>
      <c r="C162" s="82" t="s">
        <v>303</v>
      </c>
      <c r="D162" s="82"/>
      <c r="E162" s="83">
        <v>6.52546918407845</v>
      </c>
      <c r="F162" s="83">
        <v>6.87466217646497</v>
      </c>
      <c r="G162" s="83">
        <v>6.86499235104439</v>
      </c>
      <c r="H162" s="83">
        <v>6.70707056525902</v>
      </c>
      <c r="I162" s="83">
        <v>7.36333162061196</v>
      </c>
      <c r="J162" s="83">
        <v>7.02117127005382</v>
      </c>
      <c r="K162" s="83">
        <v>6.87082787846284</v>
      </c>
      <c r="L162" s="83">
        <v>6.79822216344767</v>
      </c>
      <c r="M162" s="83">
        <v>7.45534999124164</v>
      </c>
      <c r="N162" s="83">
        <v>7.03440836102026</v>
      </c>
      <c r="O162" s="83">
        <v>6.85996467786249</v>
      </c>
      <c r="P162" s="83">
        <v>7.32036005919851</v>
      </c>
      <c r="Q162" s="91">
        <f t="shared" si="24"/>
        <v>83.695830298746</v>
      </c>
      <c r="R162" s="71" t="s">
        <v>39</v>
      </c>
    </row>
    <row r="163" outlineLevel="1" spans="1:17">
      <c r="A163" s="69" t="s">
        <v>258</v>
      </c>
      <c r="B163" s="82">
        <v>6666029900</v>
      </c>
      <c r="C163" s="82" t="s">
        <v>305</v>
      </c>
      <c r="D163" s="82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91">
        <f t="shared" si="24"/>
        <v>0</v>
      </c>
    </row>
    <row r="164" outlineLevel="1" spans="1:17">
      <c r="A164" s="69" t="s">
        <v>258</v>
      </c>
      <c r="B164" s="82">
        <v>6666029997</v>
      </c>
      <c r="C164" s="82" t="s">
        <v>307</v>
      </c>
      <c r="D164" s="82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91">
        <f t="shared" si="24"/>
        <v>0</v>
      </c>
    </row>
    <row r="165" outlineLevel="1" spans="1:17">
      <c r="A165" s="69" t="s">
        <v>258</v>
      </c>
      <c r="B165" s="82">
        <v>6666031100</v>
      </c>
      <c r="C165" s="82" t="s">
        <v>377</v>
      </c>
      <c r="D165" s="82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91">
        <f t="shared" si="24"/>
        <v>0</v>
      </c>
    </row>
    <row r="166" outlineLevel="1" spans="1:17">
      <c r="A166" s="69" t="s">
        <v>258</v>
      </c>
      <c r="B166" s="82">
        <v>6666050107</v>
      </c>
      <c r="C166" s="82" t="s">
        <v>310</v>
      </c>
      <c r="D166" s="82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91">
        <f t="shared" si="24"/>
        <v>0</v>
      </c>
    </row>
    <row r="167" outlineLevel="1" spans="1:18">
      <c r="A167" s="69" t="s">
        <v>258</v>
      </c>
      <c r="B167" s="82">
        <v>6666079999</v>
      </c>
      <c r="C167" s="82" t="s">
        <v>378</v>
      </c>
      <c r="D167" s="82"/>
      <c r="E167" s="83">
        <v>90.6972225</v>
      </c>
      <c r="F167" s="83">
        <v>90.6972225</v>
      </c>
      <c r="G167" s="83">
        <v>90.6972225</v>
      </c>
      <c r="H167" s="83">
        <v>90.6972225</v>
      </c>
      <c r="I167" s="83">
        <v>90.6972225</v>
      </c>
      <c r="J167" s="83">
        <v>90.6972225</v>
      </c>
      <c r="K167" s="83">
        <v>90.6972225</v>
      </c>
      <c r="L167" s="83">
        <v>90.6972225</v>
      </c>
      <c r="M167" s="83">
        <v>90.6972225</v>
      </c>
      <c r="N167" s="83">
        <v>90.6972225</v>
      </c>
      <c r="O167" s="83">
        <v>90.6972225</v>
      </c>
      <c r="P167" s="83">
        <v>90.6972225</v>
      </c>
      <c r="Q167" s="91">
        <f t="shared" si="24"/>
        <v>1088.36667</v>
      </c>
      <c r="R167" s="71" t="s">
        <v>38</v>
      </c>
    </row>
    <row r="168" outlineLevel="1" spans="1:17">
      <c r="A168" s="69" t="s">
        <v>258</v>
      </c>
      <c r="B168" s="82">
        <v>6666090100</v>
      </c>
      <c r="C168" s="82" t="s">
        <v>379</v>
      </c>
      <c r="D168" s="82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91">
        <f t="shared" si="24"/>
        <v>0</v>
      </c>
    </row>
    <row r="169" outlineLevel="1" spans="1:17">
      <c r="A169" s="69" t="s">
        <v>258</v>
      </c>
      <c r="B169" s="82">
        <v>6666093800</v>
      </c>
      <c r="C169" s="82" t="s">
        <v>380</v>
      </c>
      <c r="D169" s="82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91">
        <f t="shared" si="24"/>
        <v>0</v>
      </c>
    </row>
    <row r="170" outlineLevel="1" spans="1:17">
      <c r="A170" s="69" t="s">
        <v>258</v>
      </c>
      <c r="B170" s="82">
        <v>6666021400</v>
      </c>
      <c r="C170" s="82" t="s">
        <v>381</v>
      </c>
      <c r="D170" s="82"/>
      <c r="E170" s="83">
        <v>0.645917944967594</v>
      </c>
      <c r="F170" s="83">
        <v>0.645917944967594</v>
      </c>
      <c r="G170" s="83">
        <v>0.645917944967594</v>
      </c>
      <c r="H170" s="83">
        <v>0.645917944967594</v>
      </c>
      <c r="I170" s="83">
        <v>0.645917944967594</v>
      </c>
      <c r="J170" s="83">
        <v>0.645917944967594</v>
      </c>
      <c r="K170" s="83">
        <v>0.645917944967594</v>
      </c>
      <c r="L170" s="83">
        <v>0.645917944967594</v>
      </c>
      <c r="M170" s="83">
        <v>0.645917944967594</v>
      </c>
      <c r="N170" s="83">
        <v>0.645917944967594</v>
      </c>
      <c r="O170" s="83">
        <v>0.645917944967594</v>
      </c>
      <c r="P170" s="83">
        <v>0.645917944967594</v>
      </c>
      <c r="Q170" s="91">
        <f t="shared" si="24"/>
        <v>7.75101533961113</v>
      </c>
    </row>
    <row r="171" s="63" customFormat="1" spans="1:18">
      <c r="A171" s="69"/>
      <c r="B171" s="84" t="s">
        <v>382</v>
      </c>
      <c r="C171" s="85" t="s">
        <v>267</v>
      </c>
      <c r="D171" s="86"/>
      <c r="E171" s="87">
        <f t="shared" ref="E171:Q171" si="25">SUM(E134:E170)</f>
        <v>148.288940485556</v>
      </c>
      <c r="F171" s="88">
        <f t="shared" si="25"/>
        <v>148.638133477942</v>
      </c>
      <c r="G171" s="88">
        <f t="shared" si="25"/>
        <v>148.628463652522</v>
      </c>
      <c r="H171" s="88">
        <f t="shared" si="25"/>
        <v>148.470541866737</v>
      </c>
      <c r="I171" s="88">
        <f t="shared" si="25"/>
        <v>149.126802922089</v>
      </c>
      <c r="J171" s="88">
        <f t="shared" si="25"/>
        <v>148.784642571531</v>
      </c>
      <c r="K171" s="88">
        <f t="shared" si="25"/>
        <v>148.63429917994</v>
      </c>
      <c r="L171" s="88">
        <f t="shared" si="25"/>
        <v>148.561693464925</v>
      </c>
      <c r="M171" s="88">
        <f t="shared" si="25"/>
        <v>149.218821292719</v>
      </c>
      <c r="N171" s="88">
        <f t="shared" si="25"/>
        <v>148.797879662498</v>
      </c>
      <c r="O171" s="88">
        <f t="shared" si="25"/>
        <v>148.62343597934</v>
      </c>
      <c r="P171" s="88">
        <f t="shared" si="25"/>
        <v>149.083831360676</v>
      </c>
      <c r="Q171" s="87">
        <f t="shared" si="25"/>
        <v>1784.85748591648</v>
      </c>
      <c r="R171" s="71"/>
    </row>
    <row r="172" outlineLevel="1" spans="1:17">
      <c r="A172" s="89" t="s">
        <v>258</v>
      </c>
      <c r="B172" s="106">
        <v>5102040000</v>
      </c>
      <c r="C172" s="70" t="s">
        <v>319</v>
      </c>
      <c r="E172" s="83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8">
        <f>F172+E172+G172+H172+I172+J172+K172+L172+M172+N172+O172+P172</f>
        <v>0</v>
      </c>
    </row>
    <row r="173" s="63" customFormat="1" spans="1:18">
      <c r="A173" s="69"/>
      <c r="B173" s="84" t="s">
        <v>383</v>
      </c>
      <c r="C173" s="85" t="s">
        <v>317</v>
      </c>
      <c r="D173" s="86"/>
      <c r="E173" s="87">
        <f>E172</f>
        <v>0</v>
      </c>
      <c r="F173" s="88">
        <f t="shared" ref="F173:Q173" si="26">+F172</f>
        <v>0</v>
      </c>
      <c r="G173" s="88">
        <f t="shared" si="26"/>
        <v>0</v>
      </c>
      <c r="H173" s="88">
        <f t="shared" si="26"/>
        <v>0</v>
      </c>
      <c r="I173" s="88">
        <f t="shared" si="26"/>
        <v>0</v>
      </c>
      <c r="J173" s="88">
        <f t="shared" si="26"/>
        <v>0</v>
      </c>
      <c r="K173" s="88">
        <f t="shared" si="26"/>
        <v>0</v>
      </c>
      <c r="L173" s="88">
        <f t="shared" si="26"/>
        <v>0</v>
      </c>
      <c r="M173" s="88">
        <f t="shared" si="26"/>
        <v>0</v>
      </c>
      <c r="N173" s="88">
        <f t="shared" si="26"/>
        <v>0</v>
      </c>
      <c r="O173" s="88">
        <f t="shared" si="26"/>
        <v>0</v>
      </c>
      <c r="P173" s="88">
        <f t="shared" si="26"/>
        <v>0</v>
      </c>
      <c r="Q173" s="87">
        <f t="shared" si="26"/>
        <v>0</v>
      </c>
      <c r="R173" s="71"/>
    </row>
    <row r="174" outlineLevel="1" spans="1:17">
      <c r="A174" s="89" t="s">
        <v>258</v>
      </c>
      <c r="B174" s="106">
        <v>6666021600</v>
      </c>
      <c r="C174" s="70" t="s">
        <v>331</v>
      </c>
      <c r="E174" s="83">
        <v>1.36259525172735</v>
      </c>
      <c r="F174" s="107">
        <v>1.36259525172735</v>
      </c>
      <c r="G174" s="107">
        <v>1.36259525172735</v>
      </c>
      <c r="H174" s="107">
        <v>1.36259525172735</v>
      </c>
      <c r="I174" s="107">
        <v>1.36259525172735</v>
      </c>
      <c r="J174" s="107">
        <v>1.36259525172735</v>
      </c>
      <c r="K174" s="107">
        <v>1.36259525172735</v>
      </c>
      <c r="L174" s="107">
        <v>1.36259525172735</v>
      </c>
      <c r="M174" s="107">
        <v>1.36259525172735</v>
      </c>
      <c r="N174" s="107">
        <v>1.36259525172735</v>
      </c>
      <c r="O174" s="107">
        <v>1.36259525172735</v>
      </c>
      <c r="P174" s="107">
        <v>1.36259525172735</v>
      </c>
      <c r="Q174" s="108">
        <f>F174+E174+G174+H174+I174+J174+K174+L174+M174+N174+O174+P174</f>
        <v>16.3511430207282</v>
      </c>
    </row>
    <row r="175" outlineLevel="1" spans="1:17">
      <c r="A175" s="89" t="s">
        <v>258</v>
      </c>
      <c r="B175" s="106">
        <v>6666021604</v>
      </c>
      <c r="C175" s="70" t="s">
        <v>335</v>
      </c>
      <c r="E175" s="83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8">
        <f>F175+E175+G175+H175+I175+J175+K175+L175+M175+N175+O175+P175</f>
        <v>0</v>
      </c>
    </row>
    <row r="176" s="63" customFormat="1" spans="1:18">
      <c r="A176" s="69"/>
      <c r="B176" s="84" t="s">
        <v>383</v>
      </c>
      <c r="C176" s="85" t="s">
        <v>332</v>
      </c>
      <c r="D176" s="86"/>
      <c r="E176" s="87">
        <f>SUM(E174:E175)</f>
        <v>1.36259525172735</v>
      </c>
      <c r="F176" s="88">
        <f>+F174</f>
        <v>1.36259525172735</v>
      </c>
      <c r="G176" s="88">
        <f>+G174</f>
        <v>1.36259525172735</v>
      </c>
      <c r="H176" s="88">
        <f>+H174</f>
        <v>1.36259525172735</v>
      </c>
      <c r="I176" s="88">
        <f>+I174</f>
        <v>1.36259525172735</v>
      </c>
      <c r="J176" s="88">
        <f>+J174</f>
        <v>1.36259525172735</v>
      </c>
      <c r="K176" s="88">
        <f t="shared" ref="K176:Q176" si="27">+SUM(K174:K175)</f>
        <v>1.36259525172735</v>
      </c>
      <c r="L176" s="88">
        <f t="shared" si="27"/>
        <v>1.36259525172735</v>
      </c>
      <c r="M176" s="88">
        <f t="shared" si="27"/>
        <v>1.36259525172735</v>
      </c>
      <c r="N176" s="88">
        <f t="shared" si="27"/>
        <v>1.36259525172735</v>
      </c>
      <c r="O176" s="88">
        <f t="shared" si="27"/>
        <v>1.36259525172735</v>
      </c>
      <c r="P176" s="88">
        <f t="shared" si="27"/>
        <v>1.36259525172735</v>
      </c>
      <c r="Q176" s="87">
        <f t="shared" si="27"/>
        <v>16.3511430207282</v>
      </c>
      <c r="R176" s="71"/>
    </row>
    <row r="177" outlineLevel="2" spans="1:17">
      <c r="A177" s="89" t="s">
        <v>258</v>
      </c>
      <c r="B177" s="106">
        <v>6666010012</v>
      </c>
      <c r="C177" s="70" t="s">
        <v>342</v>
      </c>
      <c r="E177" s="83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8">
        <f>F177+E177+G177+H177+I177+J177+K177+L177+M177+N177+O177+P177</f>
        <v>0</v>
      </c>
    </row>
    <row r="178" outlineLevel="2" spans="1:17">
      <c r="A178" s="89" t="s">
        <v>258</v>
      </c>
      <c r="B178" s="106">
        <v>6666010102</v>
      </c>
      <c r="C178" s="70" t="s">
        <v>384</v>
      </c>
      <c r="E178" s="83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8">
        <f>F178+E178+G178+H178+I178+J178+K178+L178+M178+N178+O178+P178</f>
        <v>0</v>
      </c>
    </row>
    <row r="179" s="63" customFormat="1" spans="1:18">
      <c r="A179" s="69"/>
      <c r="B179" s="84" t="s">
        <v>385</v>
      </c>
      <c r="C179" s="85" t="s">
        <v>337</v>
      </c>
      <c r="D179" s="86"/>
      <c r="E179" s="87">
        <f t="shared" ref="E179:P179" si="28">SUM(E177:E178)</f>
        <v>0</v>
      </c>
      <c r="F179" s="88">
        <f t="shared" si="28"/>
        <v>0</v>
      </c>
      <c r="G179" s="88">
        <f t="shared" si="28"/>
        <v>0</v>
      </c>
      <c r="H179" s="88">
        <f t="shared" si="28"/>
        <v>0</v>
      </c>
      <c r="I179" s="88">
        <f t="shared" si="28"/>
        <v>0</v>
      </c>
      <c r="J179" s="88">
        <f t="shared" si="28"/>
        <v>0</v>
      </c>
      <c r="K179" s="88">
        <f t="shared" si="28"/>
        <v>0</v>
      </c>
      <c r="L179" s="88">
        <f t="shared" si="28"/>
        <v>0</v>
      </c>
      <c r="M179" s="88">
        <f t="shared" si="28"/>
        <v>0</v>
      </c>
      <c r="N179" s="88">
        <f t="shared" si="28"/>
        <v>0</v>
      </c>
      <c r="O179" s="88">
        <f t="shared" si="28"/>
        <v>0</v>
      </c>
      <c r="P179" s="88">
        <f t="shared" si="28"/>
        <v>0</v>
      </c>
      <c r="Q179" s="87">
        <f>+SUM(Q177:Q178)</f>
        <v>0</v>
      </c>
      <c r="R179" s="71"/>
    </row>
    <row r="180" outlineLevel="2" spans="1:17">
      <c r="A180" s="89" t="s">
        <v>258</v>
      </c>
      <c r="B180" s="106">
        <v>6666010196</v>
      </c>
      <c r="C180" s="70" t="s">
        <v>346</v>
      </c>
      <c r="E180" s="83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8">
        <f>F180+E180+G180+H180+I180+J180+K180+L180+M180+N180+O180+P180</f>
        <v>0</v>
      </c>
    </row>
    <row r="181" outlineLevel="2" spans="1:17">
      <c r="A181" s="89" t="s">
        <v>258</v>
      </c>
      <c r="B181" s="106">
        <v>6666010101</v>
      </c>
      <c r="C181" s="70" t="s">
        <v>349</v>
      </c>
      <c r="E181" s="83">
        <v>37.0658333333333</v>
      </c>
      <c r="F181" s="107">
        <v>37.0658333333333</v>
      </c>
      <c r="G181" s="107">
        <v>37.0658333333333</v>
      </c>
      <c r="H181" s="107">
        <v>37.0658333333333</v>
      </c>
      <c r="I181" s="107">
        <v>37.0658333333333</v>
      </c>
      <c r="J181" s="107">
        <v>37.0658333333333</v>
      </c>
      <c r="K181" s="107">
        <v>37.0658333333333</v>
      </c>
      <c r="L181" s="107">
        <v>37.0658333333333</v>
      </c>
      <c r="M181" s="107">
        <v>37.0658333333333</v>
      </c>
      <c r="N181" s="107">
        <v>37.0658333333333</v>
      </c>
      <c r="O181" s="107">
        <v>37.0658333333333</v>
      </c>
      <c r="P181" s="107">
        <v>37.0658333333333</v>
      </c>
      <c r="Q181" s="108">
        <f>F181+E181+G181+H181+I181+J181+K181+L181+M181+N181+O181+P181</f>
        <v>444.79</v>
      </c>
    </row>
    <row r="182" outlineLevel="2" spans="1:17">
      <c r="A182" s="89" t="s">
        <v>258</v>
      </c>
      <c r="B182" s="106">
        <v>6666010199</v>
      </c>
      <c r="C182" s="70" t="s">
        <v>350</v>
      </c>
      <c r="E182" s="83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8">
        <f>F182+E182+G182+H182+I182+J182+K182+L182+M182+N182+O182+P182</f>
        <v>0</v>
      </c>
    </row>
    <row r="183" outlineLevel="2" spans="1:17">
      <c r="A183" s="89" t="s">
        <v>258</v>
      </c>
      <c r="B183" s="106">
        <v>6666010207</v>
      </c>
      <c r="C183" s="70" t="s">
        <v>352</v>
      </c>
      <c r="E183" s="83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8">
        <f>F183+E183+G183+H183+I183+J183+K183+L183+M183+N183+O183+P183</f>
        <v>0</v>
      </c>
    </row>
    <row r="184" outlineLevel="2" spans="1:17">
      <c r="A184" s="89" t="s">
        <v>258</v>
      </c>
      <c r="B184" s="106">
        <v>6666010227</v>
      </c>
      <c r="C184" s="70" t="s">
        <v>386</v>
      </c>
      <c r="E184" s="83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8">
        <f>F184+E184+G184+H184+I184+J184+K184+L184+M184+N184+O184+P184</f>
        <v>0</v>
      </c>
    </row>
    <row r="185" s="63" customFormat="1" spans="1:18">
      <c r="A185" s="69"/>
      <c r="B185" s="84" t="s">
        <v>387</v>
      </c>
      <c r="C185" s="85" t="s">
        <v>347</v>
      </c>
      <c r="D185" s="86"/>
      <c r="E185" s="87">
        <f t="shared" ref="E185:Q185" si="29">SUM(E180:E184)</f>
        <v>37.0658333333333</v>
      </c>
      <c r="F185" s="88">
        <f t="shared" si="29"/>
        <v>37.0658333333333</v>
      </c>
      <c r="G185" s="88">
        <f t="shared" si="29"/>
        <v>37.0658333333333</v>
      </c>
      <c r="H185" s="88">
        <f t="shared" si="29"/>
        <v>37.0658333333333</v>
      </c>
      <c r="I185" s="88">
        <f t="shared" si="29"/>
        <v>37.0658333333333</v>
      </c>
      <c r="J185" s="88">
        <f t="shared" si="29"/>
        <v>37.0658333333333</v>
      </c>
      <c r="K185" s="88">
        <f t="shared" si="29"/>
        <v>37.0658333333333</v>
      </c>
      <c r="L185" s="88">
        <f t="shared" si="29"/>
        <v>37.0658333333333</v>
      </c>
      <c r="M185" s="88">
        <f t="shared" si="29"/>
        <v>37.0658333333333</v>
      </c>
      <c r="N185" s="88">
        <f t="shared" si="29"/>
        <v>37.0658333333333</v>
      </c>
      <c r="O185" s="88">
        <f t="shared" si="29"/>
        <v>37.0658333333333</v>
      </c>
      <c r="P185" s="88">
        <f t="shared" si="29"/>
        <v>37.0658333333333</v>
      </c>
      <c r="Q185" s="87">
        <f t="shared" si="29"/>
        <v>444.79</v>
      </c>
      <c r="R185" s="109"/>
    </row>
    <row r="186" outlineLevel="2" spans="1:17">
      <c r="A186" s="89" t="s">
        <v>258</v>
      </c>
      <c r="B186" s="106">
        <v>6666010314</v>
      </c>
      <c r="C186" s="70" t="s">
        <v>357</v>
      </c>
      <c r="E186" s="83">
        <v>0.469713995524043</v>
      </c>
      <c r="F186" s="107">
        <v>0.469713995524043</v>
      </c>
      <c r="G186" s="107">
        <v>0.469713995524043</v>
      </c>
      <c r="H186" s="107">
        <v>0.469713995524043</v>
      </c>
      <c r="I186" s="107">
        <v>0.469713995524043</v>
      </c>
      <c r="J186" s="107">
        <v>0.469713995524043</v>
      </c>
      <c r="K186" s="107">
        <v>0.469713995524043</v>
      </c>
      <c r="L186" s="107">
        <v>0.469713995524043</v>
      </c>
      <c r="M186" s="107">
        <v>0.469713995524043</v>
      </c>
      <c r="N186" s="107">
        <v>0.469713995524043</v>
      </c>
      <c r="O186" s="107">
        <v>0.469713995524043</v>
      </c>
      <c r="P186" s="107">
        <v>0.469713995524043</v>
      </c>
      <c r="Q186" s="108">
        <f t="shared" ref="Q186:Q192" si="30">F186+E186+G186+H186+I186+J186+K186+L186+M186+N186+O186+P186</f>
        <v>5.63656794628852</v>
      </c>
    </row>
    <row r="187" outlineLevel="2" spans="1:17">
      <c r="A187" s="89" t="s">
        <v>258</v>
      </c>
      <c r="B187" s="106">
        <v>6666020401</v>
      </c>
      <c r="C187" s="70" t="s">
        <v>358</v>
      </c>
      <c r="E187" s="83">
        <v>1.511904562044</v>
      </c>
      <c r="F187" s="107">
        <v>1.52280256576784</v>
      </c>
      <c r="G187" s="107">
        <v>1.52280256576784</v>
      </c>
      <c r="H187" s="107">
        <v>1.52280256576784</v>
      </c>
      <c r="I187" s="107">
        <v>1.58464257921524</v>
      </c>
      <c r="J187" s="107">
        <v>1.49974903342664</v>
      </c>
      <c r="K187" s="107">
        <v>1.66091537809949</v>
      </c>
      <c r="L187" s="107">
        <v>1.65533535746337</v>
      </c>
      <c r="M187" s="107">
        <v>1.66091537809949</v>
      </c>
      <c r="N187" s="107">
        <v>1.64975533682725</v>
      </c>
      <c r="O187" s="107">
        <v>1.7001441470641</v>
      </c>
      <c r="P187" s="107">
        <v>1.69439035415903</v>
      </c>
      <c r="Q187" s="108">
        <f t="shared" si="30"/>
        <v>19.1861598237021</v>
      </c>
    </row>
    <row r="188" outlineLevel="2" spans="1:17">
      <c r="A188" s="89" t="s">
        <v>258</v>
      </c>
      <c r="B188" s="106">
        <v>6666020502</v>
      </c>
      <c r="C188" s="70" t="s">
        <v>359</v>
      </c>
      <c r="E188" s="83">
        <v>2.07815120849764</v>
      </c>
      <c r="F188" s="107">
        <v>2.18172081800783</v>
      </c>
      <c r="G188" s="107">
        <v>2.18172081800783</v>
      </c>
      <c r="H188" s="107">
        <v>2.18172081800783</v>
      </c>
      <c r="I188" s="107">
        <v>2.20066347817953</v>
      </c>
      <c r="J188" s="107">
        <v>1.89758091543235</v>
      </c>
      <c r="K188" s="107">
        <v>2.48368130959396</v>
      </c>
      <c r="L188" s="107">
        <v>2.46181992405379</v>
      </c>
      <c r="M188" s="107">
        <v>2.48368130959396</v>
      </c>
      <c r="N188" s="107">
        <v>2.43995853851362</v>
      </c>
      <c r="O188" s="107">
        <v>2.46181992405379</v>
      </c>
      <c r="P188" s="107">
        <v>2.43995853851362</v>
      </c>
      <c r="Q188" s="108">
        <f t="shared" si="30"/>
        <v>27.4924776004558</v>
      </c>
    </row>
    <row r="189" outlineLevel="2" spans="1:17">
      <c r="A189" s="89" t="s">
        <v>258</v>
      </c>
      <c r="B189" s="106">
        <v>6666020503</v>
      </c>
      <c r="C189" s="70" t="s">
        <v>360</v>
      </c>
      <c r="E189" s="83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8">
        <f t="shared" si="30"/>
        <v>0</v>
      </c>
    </row>
    <row r="190" outlineLevel="2" spans="1:17">
      <c r="A190" s="89" t="s">
        <v>258</v>
      </c>
      <c r="B190" s="106">
        <v>6666021502</v>
      </c>
      <c r="C190" s="70" t="s">
        <v>361</v>
      </c>
      <c r="E190" s="83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8">
        <f t="shared" si="30"/>
        <v>0</v>
      </c>
    </row>
    <row r="191" outlineLevel="2" spans="1:18">
      <c r="A191" s="89" t="s">
        <v>258</v>
      </c>
      <c r="B191" s="106">
        <v>6666021505</v>
      </c>
      <c r="C191" s="70" t="s">
        <v>388</v>
      </c>
      <c r="E191" s="83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8">
        <f t="shared" si="30"/>
        <v>0</v>
      </c>
      <c r="R191" s="65"/>
    </row>
    <row r="192" outlineLevel="2" spans="1:18">
      <c r="A192" s="89" t="s">
        <v>258</v>
      </c>
      <c r="B192" s="106">
        <v>6666091600</v>
      </c>
      <c r="C192" s="70" t="s">
        <v>364</v>
      </c>
      <c r="E192" s="83">
        <v>0.39782963391474</v>
      </c>
      <c r="F192" s="107">
        <v>0.39782963391474</v>
      </c>
      <c r="G192" s="107">
        <v>0.39782963391474</v>
      </c>
      <c r="H192" s="107">
        <v>0.39782963391474</v>
      </c>
      <c r="I192" s="107">
        <v>0.39782963391474</v>
      </c>
      <c r="J192" s="107">
        <v>0.39782963391474</v>
      </c>
      <c r="K192" s="107">
        <v>0.39782963391474</v>
      </c>
      <c r="L192" s="107">
        <v>0.39782963391474</v>
      </c>
      <c r="M192" s="107">
        <v>0.39782963391474</v>
      </c>
      <c r="N192" s="107">
        <v>0.39782963391474</v>
      </c>
      <c r="O192" s="107">
        <v>0.39782963391474</v>
      </c>
      <c r="P192" s="107">
        <v>0.39782963391474</v>
      </c>
      <c r="Q192" s="108">
        <f t="shared" si="30"/>
        <v>4.77395560697687</v>
      </c>
      <c r="R192" s="65"/>
    </row>
    <row r="193" s="63" customFormat="1" spans="1:18">
      <c r="A193" s="69"/>
      <c r="B193" s="84" t="s">
        <v>389</v>
      </c>
      <c r="C193" s="85" t="s">
        <v>355</v>
      </c>
      <c r="D193" s="86"/>
      <c r="E193" s="87">
        <f t="shared" ref="E193:Q193" si="31">SUM(E186:E192)</f>
        <v>4.45759939998042</v>
      </c>
      <c r="F193" s="88">
        <f t="shared" si="31"/>
        <v>4.57206701321445</v>
      </c>
      <c r="G193" s="88">
        <f t="shared" si="31"/>
        <v>4.57206701321445</v>
      </c>
      <c r="H193" s="88">
        <f t="shared" si="31"/>
        <v>4.57206701321445</v>
      </c>
      <c r="I193" s="88">
        <f t="shared" si="31"/>
        <v>4.65284968683355</v>
      </c>
      <c r="J193" s="88">
        <f t="shared" si="31"/>
        <v>4.26487357829778</v>
      </c>
      <c r="K193" s="88">
        <f t="shared" si="31"/>
        <v>5.01214031713223</v>
      </c>
      <c r="L193" s="88">
        <f t="shared" si="31"/>
        <v>4.98469891095594</v>
      </c>
      <c r="M193" s="88">
        <f t="shared" si="31"/>
        <v>5.01214031713223</v>
      </c>
      <c r="N193" s="88">
        <f t="shared" si="31"/>
        <v>4.95725750477965</v>
      </c>
      <c r="O193" s="88">
        <f t="shared" si="31"/>
        <v>5.02950770055667</v>
      </c>
      <c r="P193" s="88">
        <f t="shared" si="31"/>
        <v>5.00189252211143</v>
      </c>
      <c r="Q193" s="87">
        <f t="shared" si="31"/>
        <v>57.0891609774233</v>
      </c>
      <c r="R193" s="65"/>
    </row>
    <row r="194" s="64" customFormat="1" spans="1:18">
      <c r="A194" s="89"/>
      <c r="B194" s="110"/>
      <c r="C194" s="111"/>
      <c r="D194" s="111" t="s">
        <v>390</v>
      </c>
      <c r="E194" s="112">
        <f>SUM(E193,E185,E179,E176,E173,E171,E133,E130)</f>
        <v>191.454863615893</v>
      </c>
      <c r="F194" s="112">
        <f t="shared" ref="F194:Q194" si="32">+F130+F133+F171+F173+F176+F179+F185+F193</f>
        <v>191.918524221513</v>
      </c>
      <c r="G194" s="113">
        <f t="shared" si="32"/>
        <v>191.908854396093</v>
      </c>
      <c r="H194" s="113">
        <f t="shared" si="32"/>
        <v>191.750932610307</v>
      </c>
      <c r="I194" s="113">
        <f t="shared" si="32"/>
        <v>192.487976339279</v>
      </c>
      <c r="J194" s="113">
        <f t="shared" si="32"/>
        <v>191.757839880185</v>
      </c>
      <c r="K194" s="113">
        <f t="shared" si="32"/>
        <v>192.354763227429</v>
      </c>
      <c r="L194" s="113">
        <f t="shared" si="32"/>
        <v>192.254716106237</v>
      </c>
      <c r="M194" s="113">
        <f t="shared" si="32"/>
        <v>192.939285340208</v>
      </c>
      <c r="N194" s="113">
        <f t="shared" si="32"/>
        <v>192.463460897634</v>
      </c>
      <c r="O194" s="113">
        <f t="shared" si="32"/>
        <v>192.361267410253</v>
      </c>
      <c r="P194" s="113">
        <f t="shared" si="32"/>
        <v>192.794047613144</v>
      </c>
      <c r="Q194" s="153">
        <f t="shared" si="32"/>
        <v>2306.44653165817</v>
      </c>
      <c r="R194" s="71" t="s">
        <v>37</v>
      </c>
    </row>
    <row r="195" spans="5:18">
      <c r="E195" s="99"/>
      <c r="F195" s="99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65"/>
    </row>
    <row r="196" spans="5:17">
      <c r="E196" s="99"/>
      <c r="F196" s="99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</row>
    <row r="197" spans="5:17">
      <c r="E197" s="99"/>
      <c r="F197" s="99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</row>
    <row r="198" s="64" customFormat="1" spans="1:18">
      <c r="A198" s="89"/>
      <c r="B198" s="114"/>
      <c r="C198" s="114"/>
      <c r="D198" s="114" t="s">
        <v>391</v>
      </c>
      <c r="E198" s="113">
        <f t="shared" ref="E198:P198" si="33">E194+E122</f>
        <v>1838.25562589263</v>
      </c>
      <c r="F198" s="113">
        <f t="shared" si="33"/>
        <v>1852.39235597551</v>
      </c>
      <c r="G198" s="113">
        <f t="shared" si="33"/>
        <v>1893.03651095637</v>
      </c>
      <c r="H198" s="113">
        <f t="shared" si="33"/>
        <v>1849.66731083101</v>
      </c>
      <c r="I198" s="113">
        <f t="shared" si="33"/>
        <v>1928.86884185175</v>
      </c>
      <c r="J198" s="113">
        <f t="shared" si="33"/>
        <v>1870.43255354125</v>
      </c>
      <c r="K198" s="113">
        <f t="shared" si="33"/>
        <v>1859.23509922568</v>
      </c>
      <c r="L198" s="113">
        <f t="shared" si="33"/>
        <v>1842.16734103215</v>
      </c>
      <c r="M198" s="113">
        <f t="shared" si="33"/>
        <v>1948.68678955627</v>
      </c>
      <c r="N198" s="113">
        <f t="shared" si="33"/>
        <v>1894.92463260729</v>
      </c>
      <c r="O198" s="113">
        <f t="shared" si="33"/>
        <v>1861.96276515168</v>
      </c>
      <c r="P198" s="113">
        <f t="shared" si="33"/>
        <v>1947.15049037351</v>
      </c>
      <c r="Q198" s="113">
        <f>+E198+F198+G198+H198+I198+J198+K198+L198+M198+N198+O198+P198</f>
        <v>22586.7803169951</v>
      </c>
      <c r="R198" s="71"/>
    </row>
    <row r="199" spans="5:17">
      <c r="E199" s="99"/>
      <c r="F199" s="99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</row>
    <row r="200" spans="5:18">
      <c r="E200" s="99"/>
      <c r="F200" s="99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65"/>
    </row>
    <row r="201" spans="3:18">
      <c r="C201" s="115"/>
      <c r="E201" s="99"/>
      <c r="F201" s="99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65"/>
    </row>
    <row r="202" spans="3:18">
      <c r="C202" s="115"/>
      <c r="E202" s="99"/>
      <c r="F202" s="99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65"/>
    </row>
    <row r="203" spans="5:18">
      <c r="E203" s="99"/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65"/>
    </row>
    <row r="204" s="65" customFormat="1" spans="1:17">
      <c r="A204" s="66"/>
      <c r="B204" s="116"/>
      <c r="C204" s="117"/>
      <c r="D204" s="118" t="s">
        <v>392</v>
      </c>
      <c r="E204" s="119" t="s">
        <v>393</v>
      </c>
      <c r="F204" s="119" t="s">
        <v>393</v>
      </c>
      <c r="G204" s="119" t="s">
        <v>393</v>
      </c>
      <c r="H204" s="119" t="s">
        <v>393</v>
      </c>
      <c r="I204" s="119" t="s">
        <v>393</v>
      </c>
      <c r="J204" s="119" t="s">
        <v>393</v>
      </c>
      <c r="K204" s="119" t="s">
        <v>393</v>
      </c>
      <c r="L204" s="119" t="s">
        <v>393</v>
      </c>
      <c r="M204" s="119" t="s">
        <v>393</v>
      </c>
      <c r="N204" s="119" t="s">
        <v>393</v>
      </c>
      <c r="O204" s="119" t="s">
        <v>393</v>
      </c>
      <c r="P204" s="119" t="s">
        <v>393</v>
      </c>
      <c r="Q204" s="119" t="s">
        <v>393</v>
      </c>
    </row>
    <row r="205" s="65" customFormat="1" ht="14.4" spans="1:17">
      <c r="A205" s="66"/>
      <c r="B205" s="116"/>
      <c r="C205" s="120"/>
      <c r="D205" s="121" t="s">
        <v>394</v>
      </c>
      <c r="E205" s="122">
        <f t="shared" ref="E205:Q205" si="34">E23</f>
        <v>484.806380547116</v>
      </c>
      <c r="F205" s="122">
        <f t="shared" si="34"/>
        <v>524.315303288247</v>
      </c>
      <c r="G205" s="122">
        <f t="shared" si="34"/>
        <v>529.368699903566</v>
      </c>
      <c r="H205" s="122">
        <f t="shared" si="34"/>
        <v>509.438537241846</v>
      </c>
      <c r="I205" s="122">
        <f t="shared" si="34"/>
        <v>578.720168494663</v>
      </c>
      <c r="J205" s="122">
        <f t="shared" si="34"/>
        <v>502.710509175787</v>
      </c>
      <c r="K205" s="122">
        <f t="shared" si="34"/>
        <v>450.86149193711</v>
      </c>
      <c r="L205" s="122">
        <f t="shared" si="34"/>
        <v>460.101357535196</v>
      </c>
      <c r="M205" s="122">
        <f t="shared" si="34"/>
        <v>549.644745249955</v>
      </c>
      <c r="N205" s="122">
        <f t="shared" si="34"/>
        <v>507.15553055353</v>
      </c>
      <c r="O205" s="122">
        <f t="shared" si="34"/>
        <v>487.878888345277</v>
      </c>
      <c r="P205" s="122">
        <f t="shared" si="34"/>
        <v>492.362311307803</v>
      </c>
      <c r="Q205" s="122">
        <f t="shared" si="34"/>
        <v>6077.3639235801</v>
      </c>
    </row>
    <row r="206" s="65" customFormat="1" ht="14.4" spans="1:17">
      <c r="A206" s="66"/>
      <c r="B206" s="116"/>
      <c r="C206" s="116"/>
      <c r="D206" s="121" t="s">
        <v>395</v>
      </c>
      <c r="E206" s="122">
        <f t="shared" ref="E206:Q206" si="35">E28+E93+E82+E86</f>
        <v>27.4863085771464</v>
      </c>
      <c r="F206" s="122">
        <f t="shared" si="35"/>
        <v>26.3884108145412</v>
      </c>
      <c r="G206" s="122">
        <f t="shared" si="35"/>
        <v>26.6161589577432</v>
      </c>
      <c r="H206" s="122">
        <f t="shared" si="35"/>
        <v>23.1010460159536</v>
      </c>
      <c r="I206" s="122">
        <f t="shared" si="35"/>
        <v>14.0774174997746</v>
      </c>
      <c r="J206" s="122">
        <f t="shared" si="35"/>
        <v>21.5004100443107</v>
      </c>
      <c r="K206" s="122">
        <f t="shared" si="35"/>
        <v>17.3568833307866</v>
      </c>
      <c r="L206" s="122">
        <f t="shared" si="35"/>
        <v>19.7376789005194</v>
      </c>
      <c r="M206" s="122">
        <f t="shared" si="35"/>
        <v>15.7418145285225</v>
      </c>
      <c r="N206" s="122">
        <f t="shared" si="35"/>
        <v>16.8481012940879</v>
      </c>
      <c r="O206" s="122">
        <f t="shared" si="35"/>
        <v>25.9967468155138</v>
      </c>
      <c r="P206" s="122">
        <f t="shared" si="35"/>
        <v>18.4650353759786</v>
      </c>
      <c r="Q206" s="122">
        <f t="shared" si="35"/>
        <v>253.316012154879</v>
      </c>
    </row>
    <row r="207" s="65" customFormat="1" ht="14.4" spans="1:17">
      <c r="A207" s="66"/>
      <c r="B207" s="116"/>
      <c r="C207" s="116"/>
      <c r="D207" s="123" t="s">
        <v>338</v>
      </c>
      <c r="E207" s="124">
        <f t="shared" ref="E207:Q207" si="36">E101</f>
        <v>194.748953488223</v>
      </c>
      <c r="F207" s="124">
        <f t="shared" si="36"/>
        <v>207.516386811601</v>
      </c>
      <c r="G207" s="124">
        <f t="shared" si="36"/>
        <v>211.953181005167</v>
      </c>
      <c r="H207" s="124">
        <f t="shared" si="36"/>
        <v>204.699273934209</v>
      </c>
      <c r="I207" s="124">
        <f t="shared" si="36"/>
        <v>228.484987028532</v>
      </c>
      <c r="J207" s="124">
        <f t="shared" si="36"/>
        <v>217.318558084708</v>
      </c>
      <c r="K207" s="124">
        <f t="shared" si="36"/>
        <v>251.552220940851</v>
      </c>
      <c r="L207" s="124">
        <f t="shared" si="36"/>
        <v>229.246546818395</v>
      </c>
      <c r="M207" s="124">
        <f t="shared" si="36"/>
        <v>235.05248519491</v>
      </c>
      <c r="N207" s="124">
        <f t="shared" si="36"/>
        <v>218.983048179345</v>
      </c>
      <c r="O207" s="124">
        <f t="shared" si="36"/>
        <v>213.595903298693</v>
      </c>
      <c r="P207" s="124">
        <f t="shared" si="36"/>
        <v>288.177261580331</v>
      </c>
      <c r="Q207" s="124">
        <f t="shared" si="36"/>
        <v>2701.32880636497</v>
      </c>
    </row>
    <row r="208" s="65" customFormat="1" ht="14.4" spans="1:18">
      <c r="A208" s="66"/>
      <c r="B208" s="116"/>
      <c r="C208" s="116"/>
      <c r="D208" s="123" t="s">
        <v>348</v>
      </c>
      <c r="E208" s="124">
        <f t="shared" ref="E208:Q208" si="37">E109</f>
        <v>106.579995375852</v>
      </c>
      <c r="F208" s="124">
        <f t="shared" si="37"/>
        <v>112.971485589759</v>
      </c>
      <c r="G208" s="124">
        <f t="shared" si="37"/>
        <v>102.642525456804</v>
      </c>
      <c r="H208" s="124">
        <f t="shared" si="37"/>
        <v>104.328646472686</v>
      </c>
      <c r="I208" s="124">
        <f t="shared" si="37"/>
        <v>110.758169865168</v>
      </c>
      <c r="J208" s="124">
        <f t="shared" si="37"/>
        <v>107.627264902579</v>
      </c>
      <c r="K208" s="124">
        <f t="shared" si="37"/>
        <v>100.464113511079</v>
      </c>
      <c r="L208" s="124">
        <f t="shared" si="37"/>
        <v>101.535265035301</v>
      </c>
      <c r="M208" s="124">
        <f t="shared" si="37"/>
        <v>106.971876084784</v>
      </c>
      <c r="N208" s="124">
        <f t="shared" si="37"/>
        <v>100.228910781881</v>
      </c>
      <c r="O208" s="124">
        <f t="shared" si="37"/>
        <v>98.5050720215048</v>
      </c>
      <c r="P208" s="124">
        <f t="shared" si="37"/>
        <v>96.8108815936165</v>
      </c>
      <c r="Q208" s="124">
        <f t="shared" si="37"/>
        <v>1249.42420669101</v>
      </c>
      <c r="R208" s="66"/>
    </row>
    <row r="209" s="65" customFormat="1" ht="14.4" spans="1:18">
      <c r="A209" s="66"/>
      <c r="B209" s="116"/>
      <c r="C209" s="116"/>
      <c r="D209" s="123" t="s">
        <v>396</v>
      </c>
      <c r="E209" s="124">
        <f t="shared" ref="E209:Q209" si="38">E77+E121+E84+E90</f>
        <v>255.698748455067</v>
      </c>
      <c r="F209" s="124">
        <f t="shared" si="38"/>
        <v>252.800239416516</v>
      </c>
      <c r="G209" s="124">
        <f t="shared" si="38"/>
        <v>248.687268736993</v>
      </c>
      <c r="H209" s="124">
        <f t="shared" si="38"/>
        <v>248.117522056007</v>
      </c>
      <c r="I209" s="124">
        <f t="shared" si="38"/>
        <v>224.104840124334</v>
      </c>
      <c r="J209" s="124">
        <f t="shared" si="38"/>
        <v>260.291530620347</v>
      </c>
      <c r="K209" s="124">
        <f t="shared" si="38"/>
        <v>247.241618294122</v>
      </c>
      <c r="L209" s="124">
        <f t="shared" si="38"/>
        <v>239.608871985535</v>
      </c>
      <c r="M209" s="124">
        <f t="shared" si="38"/>
        <v>262.757418506922</v>
      </c>
      <c r="N209" s="124">
        <f t="shared" si="38"/>
        <v>257.809732916511</v>
      </c>
      <c r="O209" s="124">
        <f t="shared" si="38"/>
        <v>252.903955942802</v>
      </c>
      <c r="P209" s="124">
        <f t="shared" si="38"/>
        <v>244.909089490811</v>
      </c>
      <c r="Q209" s="124">
        <f t="shared" si="38"/>
        <v>2994.93083654597</v>
      </c>
      <c r="R209" s="71"/>
    </row>
    <row r="210" s="65" customFormat="1" ht="14.4" spans="1:18">
      <c r="A210" s="66"/>
      <c r="B210" s="116"/>
      <c r="C210" s="116"/>
      <c r="D210" s="123" t="s">
        <v>235</v>
      </c>
      <c r="E210" s="124">
        <f t="shared" ref="E210:Q210" si="39">E14</f>
        <v>577.480375833335</v>
      </c>
      <c r="F210" s="124">
        <f t="shared" si="39"/>
        <v>536.482005833334</v>
      </c>
      <c r="G210" s="124">
        <f t="shared" si="39"/>
        <v>581.859822500002</v>
      </c>
      <c r="H210" s="124">
        <f t="shared" si="39"/>
        <v>568.2313525</v>
      </c>
      <c r="I210" s="124">
        <f t="shared" si="39"/>
        <v>580.235282500001</v>
      </c>
      <c r="J210" s="124">
        <f t="shared" si="39"/>
        <v>569.226440833335</v>
      </c>
      <c r="K210" s="124">
        <f t="shared" si="39"/>
        <v>599.4040079843</v>
      </c>
      <c r="L210" s="124">
        <f t="shared" si="39"/>
        <v>599.682904650966</v>
      </c>
      <c r="M210" s="124">
        <f t="shared" si="39"/>
        <v>585.579164650967</v>
      </c>
      <c r="N210" s="124">
        <f t="shared" si="39"/>
        <v>601.4358479843</v>
      </c>
      <c r="O210" s="124">
        <f t="shared" si="39"/>
        <v>590.720931317633</v>
      </c>
      <c r="P210" s="124">
        <f t="shared" si="39"/>
        <v>613.631863411828</v>
      </c>
      <c r="Q210" s="124">
        <f t="shared" si="39"/>
        <v>7003.97</v>
      </c>
      <c r="R210" s="71"/>
    </row>
    <row r="211" s="65" customFormat="1" ht="14.4" spans="1:18">
      <c r="A211" s="66"/>
      <c r="B211" s="116"/>
      <c r="C211" s="116"/>
      <c r="D211" s="125" t="s">
        <v>397</v>
      </c>
      <c r="E211" s="126">
        <f t="shared" ref="E211:Q211" si="40">E194</f>
        <v>191.454863615893</v>
      </c>
      <c r="F211" s="126">
        <f t="shared" si="40"/>
        <v>191.918524221513</v>
      </c>
      <c r="G211" s="126">
        <f t="shared" si="40"/>
        <v>191.908854396093</v>
      </c>
      <c r="H211" s="126">
        <f t="shared" si="40"/>
        <v>191.750932610307</v>
      </c>
      <c r="I211" s="126">
        <f t="shared" si="40"/>
        <v>192.487976339279</v>
      </c>
      <c r="J211" s="126">
        <f t="shared" si="40"/>
        <v>191.757839880185</v>
      </c>
      <c r="K211" s="126">
        <f t="shared" si="40"/>
        <v>192.354763227429</v>
      </c>
      <c r="L211" s="126">
        <f t="shared" si="40"/>
        <v>192.254716106237</v>
      </c>
      <c r="M211" s="126">
        <f t="shared" si="40"/>
        <v>192.939285340208</v>
      </c>
      <c r="N211" s="126">
        <f t="shared" si="40"/>
        <v>192.463460897634</v>
      </c>
      <c r="O211" s="126">
        <f t="shared" si="40"/>
        <v>192.361267410253</v>
      </c>
      <c r="P211" s="126">
        <f t="shared" si="40"/>
        <v>192.794047613144</v>
      </c>
      <c r="Q211" s="126">
        <f t="shared" si="40"/>
        <v>2306.44653165817</v>
      </c>
      <c r="R211" s="71"/>
    </row>
    <row r="212" s="66" customFormat="1" ht="14.4" spans="2:18">
      <c r="B212" s="116"/>
      <c r="C212" s="116"/>
      <c r="D212" s="127" t="s">
        <v>398</v>
      </c>
      <c r="E212" s="128">
        <f t="shared" ref="E212:Q212" si="41">SUM(E205:E211)</f>
        <v>1838.25562589263</v>
      </c>
      <c r="F212" s="128">
        <f t="shared" si="41"/>
        <v>1852.39235597551</v>
      </c>
      <c r="G212" s="128">
        <f t="shared" si="41"/>
        <v>1893.03651095637</v>
      </c>
      <c r="H212" s="128">
        <f t="shared" si="41"/>
        <v>1849.66731083101</v>
      </c>
      <c r="I212" s="128">
        <f t="shared" si="41"/>
        <v>1928.86884185175</v>
      </c>
      <c r="J212" s="128">
        <f t="shared" si="41"/>
        <v>1870.43255354125</v>
      </c>
      <c r="K212" s="128">
        <f t="shared" si="41"/>
        <v>1859.23509922568</v>
      </c>
      <c r="L212" s="128">
        <f t="shared" si="41"/>
        <v>1842.16734103215</v>
      </c>
      <c r="M212" s="128">
        <f t="shared" si="41"/>
        <v>1948.68678955627</v>
      </c>
      <c r="N212" s="128">
        <f t="shared" si="41"/>
        <v>1894.92463260729</v>
      </c>
      <c r="O212" s="128">
        <f t="shared" si="41"/>
        <v>1861.96276515168</v>
      </c>
      <c r="P212" s="128">
        <f t="shared" si="41"/>
        <v>1947.15049037351</v>
      </c>
      <c r="Q212" s="128">
        <f t="shared" si="41"/>
        <v>22586.7803169951</v>
      </c>
      <c r="R212" s="71"/>
    </row>
    <row r="213" spans="5:17">
      <c r="E213" s="99">
        <f t="shared" ref="E213" si="42">SUM(E205:E211)-E212</f>
        <v>0</v>
      </c>
      <c r="F213" s="99">
        <f t="shared" ref="F213" si="43">SUM(F205:F211)-F212</f>
        <v>0</v>
      </c>
      <c r="G213" s="99">
        <f t="shared" ref="G213:Q213" si="44">SUM(G205:G211)-G212</f>
        <v>0</v>
      </c>
      <c r="H213" s="99">
        <f t="shared" si="44"/>
        <v>0</v>
      </c>
      <c r="I213" s="99">
        <f t="shared" si="44"/>
        <v>0</v>
      </c>
      <c r="J213" s="99">
        <f t="shared" si="44"/>
        <v>0</v>
      </c>
      <c r="K213" s="99">
        <f t="shared" si="44"/>
        <v>0</v>
      </c>
      <c r="L213" s="99">
        <f t="shared" si="44"/>
        <v>0</v>
      </c>
      <c r="M213" s="99">
        <f t="shared" si="44"/>
        <v>0</v>
      </c>
      <c r="N213" s="99">
        <f t="shared" si="44"/>
        <v>0</v>
      </c>
      <c r="O213" s="99">
        <f t="shared" si="44"/>
        <v>0</v>
      </c>
      <c r="P213" s="99">
        <f t="shared" si="44"/>
        <v>0</v>
      </c>
      <c r="Q213" s="99">
        <f t="shared" si="44"/>
        <v>0</v>
      </c>
    </row>
    <row r="214" spans="5:17">
      <c r="E214" s="99"/>
      <c r="F214" s="99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</row>
    <row r="215" spans="4:18">
      <c r="D215" s="129"/>
      <c r="E215" s="130"/>
      <c r="F215" s="130"/>
      <c r="G215" s="130"/>
      <c r="H215" s="130"/>
      <c r="I215" s="130"/>
      <c r="J215" s="130"/>
      <c r="K215" s="130"/>
      <c r="L215" s="130"/>
      <c r="M215" s="130"/>
      <c r="N215" s="130"/>
      <c r="O215" s="130"/>
      <c r="P215" s="130"/>
      <c r="Q215" s="130"/>
      <c r="R215" s="65"/>
    </row>
    <row r="216" ht="14.4" spans="4:18">
      <c r="D216" s="131" t="s">
        <v>257</v>
      </c>
      <c r="E216" s="132">
        <f t="shared" ref="E216:Q216" si="45">E23+E28+E82+E86+E93</f>
        <v>512.292689124262</v>
      </c>
      <c r="F216" s="132">
        <f t="shared" si="45"/>
        <v>550.703714102788</v>
      </c>
      <c r="G216" s="132">
        <f t="shared" si="45"/>
        <v>555.984858861309</v>
      </c>
      <c r="H216" s="132">
        <f t="shared" si="45"/>
        <v>532.5395832578</v>
      </c>
      <c r="I216" s="132">
        <f t="shared" si="45"/>
        <v>592.797585994437</v>
      </c>
      <c r="J216" s="132">
        <f t="shared" si="45"/>
        <v>524.210919220098</v>
      </c>
      <c r="K216" s="132">
        <f t="shared" si="45"/>
        <v>468.218375267896</v>
      </c>
      <c r="L216" s="132">
        <f t="shared" si="45"/>
        <v>479.839036435715</v>
      </c>
      <c r="M216" s="132">
        <f t="shared" si="45"/>
        <v>565.386559778477</v>
      </c>
      <c r="N216" s="132">
        <f t="shared" si="45"/>
        <v>524.003631847618</v>
      </c>
      <c r="O216" s="132">
        <f t="shared" si="45"/>
        <v>513.875635160791</v>
      </c>
      <c r="P216" s="132">
        <f t="shared" si="45"/>
        <v>510.827346683782</v>
      </c>
      <c r="Q216" s="132">
        <f t="shared" si="45"/>
        <v>6330.67993573497</v>
      </c>
      <c r="R216" s="65"/>
    </row>
    <row r="217" ht="14.4" spans="4:18">
      <c r="D217" s="133" t="s">
        <v>245</v>
      </c>
      <c r="E217" s="134">
        <f t="shared" ref="E217:Q217" si="46">SUM(E14,E77,E84,E90,E101,E109,E121)</f>
        <v>1134.50807315248</v>
      </c>
      <c r="F217" s="134">
        <f t="shared" si="46"/>
        <v>1109.77011765121</v>
      </c>
      <c r="G217" s="134">
        <f t="shared" si="46"/>
        <v>1145.14279769897</v>
      </c>
      <c r="H217" s="134">
        <f t="shared" si="46"/>
        <v>1125.3767949629</v>
      </c>
      <c r="I217" s="134">
        <f t="shared" si="46"/>
        <v>1143.58327951804</v>
      </c>
      <c r="J217" s="134">
        <f t="shared" si="46"/>
        <v>1154.46379444097</v>
      </c>
      <c r="K217" s="134">
        <f t="shared" si="46"/>
        <v>1198.66196073035</v>
      </c>
      <c r="L217" s="134">
        <f t="shared" si="46"/>
        <v>1170.0735884902</v>
      </c>
      <c r="M217" s="134">
        <f t="shared" si="46"/>
        <v>1190.36094443758</v>
      </c>
      <c r="N217" s="134">
        <f t="shared" si="46"/>
        <v>1178.45753986204</v>
      </c>
      <c r="O217" s="134">
        <f t="shared" si="46"/>
        <v>1155.72586258063</v>
      </c>
      <c r="P217" s="134">
        <f t="shared" si="46"/>
        <v>1243.52909607659</v>
      </c>
      <c r="Q217" s="134">
        <f t="shared" si="46"/>
        <v>13949.6538496019</v>
      </c>
      <c r="R217" s="65"/>
    </row>
    <row r="218" spans="4:18">
      <c r="D218" s="135" t="s">
        <v>399</v>
      </c>
      <c r="E218" s="136">
        <f t="shared" ref="E218:Q218" si="47">E211</f>
        <v>191.454863615893</v>
      </c>
      <c r="F218" s="136">
        <f t="shared" si="47"/>
        <v>191.918524221513</v>
      </c>
      <c r="G218" s="136">
        <f t="shared" si="47"/>
        <v>191.908854396093</v>
      </c>
      <c r="H218" s="136">
        <f t="shared" si="47"/>
        <v>191.750932610307</v>
      </c>
      <c r="I218" s="136">
        <f t="shared" si="47"/>
        <v>192.487976339279</v>
      </c>
      <c r="J218" s="136">
        <f t="shared" si="47"/>
        <v>191.757839880185</v>
      </c>
      <c r="K218" s="136">
        <f t="shared" si="47"/>
        <v>192.354763227429</v>
      </c>
      <c r="L218" s="136">
        <f t="shared" si="47"/>
        <v>192.254716106237</v>
      </c>
      <c r="M218" s="136">
        <f t="shared" si="47"/>
        <v>192.939285340208</v>
      </c>
      <c r="N218" s="136">
        <f t="shared" si="47"/>
        <v>192.463460897634</v>
      </c>
      <c r="O218" s="136">
        <f t="shared" si="47"/>
        <v>192.361267410253</v>
      </c>
      <c r="P218" s="136">
        <f t="shared" si="47"/>
        <v>192.794047613144</v>
      </c>
      <c r="Q218" s="136">
        <f t="shared" si="47"/>
        <v>2306.44653165817</v>
      </c>
      <c r="R218" s="66"/>
    </row>
    <row r="219" spans="4:17">
      <c r="D219" s="137"/>
      <c r="E219" s="138"/>
      <c r="F219" s="138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</row>
    <row r="220" ht="14.4" spans="4:17">
      <c r="D220" s="139" t="s">
        <v>400</v>
      </c>
      <c r="E220" s="140">
        <f t="shared" ref="E220:Q220" si="48">SUM(E215:E219)</f>
        <v>1838.25562589263</v>
      </c>
      <c r="F220" s="140">
        <f t="shared" si="48"/>
        <v>1852.39235597551</v>
      </c>
      <c r="G220" s="140">
        <f t="shared" si="48"/>
        <v>1893.03651095637</v>
      </c>
      <c r="H220" s="140">
        <f t="shared" si="48"/>
        <v>1849.66731083101</v>
      </c>
      <c r="I220" s="140">
        <f t="shared" si="48"/>
        <v>1928.86884185175</v>
      </c>
      <c r="J220" s="140">
        <f t="shared" si="48"/>
        <v>1870.43255354125</v>
      </c>
      <c r="K220" s="140">
        <f t="shared" si="48"/>
        <v>1859.23509922568</v>
      </c>
      <c r="L220" s="140">
        <f t="shared" si="48"/>
        <v>1842.16734103215</v>
      </c>
      <c r="M220" s="140">
        <f t="shared" si="48"/>
        <v>1948.68678955627</v>
      </c>
      <c r="N220" s="140">
        <f t="shared" si="48"/>
        <v>1894.92463260729</v>
      </c>
      <c r="O220" s="140">
        <f t="shared" si="48"/>
        <v>1861.96276515168</v>
      </c>
      <c r="P220" s="140">
        <f t="shared" si="48"/>
        <v>1947.15049037351</v>
      </c>
      <c r="Q220" s="140">
        <f t="shared" si="48"/>
        <v>22586.7803169951</v>
      </c>
    </row>
    <row r="221" spans="5:17">
      <c r="E221" s="99"/>
      <c r="F221" s="99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</row>
    <row r="222" s="67" customFormat="1" spans="1:18">
      <c r="A222" s="141"/>
      <c r="B222" s="115"/>
      <c r="C222" s="115"/>
      <c r="D222" s="70" t="s">
        <v>401</v>
      </c>
      <c r="E222" s="99">
        <f t="shared" ref="E222:Q222" si="49">+E220*1000</f>
        <v>1838255.62589263</v>
      </c>
      <c r="F222" s="99">
        <f t="shared" si="49"/>
        <v>1852392.35597551</v>
      </c>
      <c r="G222" s="99">
        <f t="shared" si="49"/>
        <v>1893036.51095637</v>
      </c>
      <c r="H222" s="99">
        <f t="shared" si="49"/>
        <v>1849667.31083101</v>
      </c>
      <c r="I222" s="99">
        <f t="shared" si="49"/>
        <v>1928868.84185175</v>
      </c>
      <c r="J222" s="99">
        <f t="shared" si="49"/>
        <v>1870432.55354125</v>
      </c>
      <c r="K222" s="99">
        <f t="shared" si="49"/>
        <v>1859235.09922568</v>
      </c>
      <c r="L222" s="99">
        <f t="shared" si="49"/>
        <v>1842167.34103215</v>
      </c>
      <c r="M222" s="99">
        <f t="shared" si="49"/>
        <v>1948686.78955627</v>
      </c>
      <c r="N222" s="99">
        <f t="shared" si="49"/>
        <v>1894924.63260729</v>
      </c>
      <c r="O222" s="99">
        <f t="shared" si="49"/>
        <v>1861962.76515168</v>
      </c>
      <c r="P222" s="99">
        <f t="shared" si="49"/>
        <v>1947150.49037351</v>
      </c>
      <c r="Q222" s="99">
        <f t="shared" si="49"/>
        <v>22586780.3169951</v>
      </c>
      <c r="R222" s="71"/>
    </row>
    <row r="223" spans="5:17">
      <c r="E223" s="99"/>
      <c r="F223" s="99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</row>
    <row r="224" ht="17.4" hidden="1" spans="2:17">
      <c r="B224" s="142" t="s">
        <v>402</v>
      </c>
      <c r="C224" s="142"/>
      <c r="D224" s="142"/>
      <c r="E224" s="99"/>
      <c r="F224" s="99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</row>
    <row r="225" hidden="1" spans="1:17">
      <c r="A225" s="89" t="s">
        <v>232</v>
      </c>
      <c r="B225" s="82">
        <v>6666110101</v>
      </c>
      <c r="C225" s="82" t="s">
        <v>233</v>
      </c>
      <c r="D225" s="82" t="s">
        <v>234</v>
      </c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</row>
    <row r="226" hidden="1" spans="1:17">
      <c r="A226" s="89" t="s">
        <v>232</v>
      </c>
      <c r="B226" s="82">
        <v>6666110106</v>
      </c>
      <c r="C226" s="82" t="s">
        <v>236</v>
      </c>
      <c r="D226" s="82" t="s">
        <v>234</v>
      </c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</row>
    <row r="227" hidden="1" spans="1:17">
      <c r="A227" s="89" t="s">
        <v>232</v>
      </c>
      <c r="B227" s="82">
        <v>6666110107</v>
      </c>
      <c r="C227" s="82" t="s">
        <v>237</v>
      </c>
      <c r="D227" s="82" t="s">
        <v>234</v>
      </c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</row>
    <row r="228" hidden="1" spans="1:18">
      <c r="A228" s="89" t="s">
        <v>232</v>
      </c>
      <c r="B228" s="82">
        <v>6666110110</v>
      </c>
      <c r="C228" s="82" t="s">
        <v>238</v>
      </c>
      <c r="D228" s="82" t="s">
        <v>234</v>
      </c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154"/>
    </row>
    <row r="229" hidden="1" spans="1:17">
      <c r="A229" s="89" t="s">
        <v>232</v>
      </c>
      <c r="B229" s="82">
        <v>6666110112</v>
      </c>
      <c r="C229" s="82" t="s">
        <v>239</v>
      </c>
      <c r="D229" s="82" t="s">
        <v>234</v>
      </c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</row>
    <row r="230" hidden="1" spans="1:17">
      <c r="A230" s="89" t="s">
        <v>232</v>
      </c>
      <c r="B230" s="82">
        <v>6666110204</v>
      </c>
      <c r="C230" s="82" t="s">
        <v>240</v>
      </c>
      <c r="D230" s="82" t="s">
        <v>234</v>
      </c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</row>
    <row r="231" hidden="1" spans="1:17">
      <c r="A231" s="89" t="s">
        <v>232</v>
      </c>
      <c r="B231" s="82">
        <v>6666110207</v>
      </c>
      <c r="C231" s="82" t="s">
        <v>241</v>
      </c>
      <c r="D231" s="82" t="s">
        <v>234</v>
      </c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</row>
    <row r="232" hidden="1" spans="1:17">
      <c r="A232" s="89" t="s">
        <v>232</v>
      </c>
      <c r="B232" s="82">
        <v>6666110506</v>
      </c>
      <c r="C232" s="82" t="s">
        <v>242</v>
      </c>
      <c r="D232" s="82" t="s">
        <v>234</v>
      </c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</row>
    <row r="233" hidden="1" spans="1:17">
      <c r="A233" s="89" t="s">
        <v>232</v>
      </c>
      <c r="B233" s="82">
        <v>6666110206</v>
      </c>
      <c r="C233" s="143" t="s">
        <v>403</v>
      </c>
      <c r="D233" s="82" t="s">
        <v>234</v>
      </c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</row>
    <row r="234" hidden="1" spans="5:17">
      <c r="E234" s="144">
        <f t="shared" ref="E234:Q234" si="50">SUM(E225:E233)</f>
        <v>0</v>
      </c>
      <c r="F234" s="144">
        <f t="shared" si="50"/>
        <v>0</v>
      </c>
      <c r="G234" s="144">
        <f t="shared" si="50"/>
        <v>0</v>
      </c>
      <c r="H234" s="144">
        <f t="shared" si="50"/>
        <v>0</v>
      </c>
      <c r="I234" s="144">
        <f t="shared" si="50"/>
        <v>0</v>
      </c>
      <c r="J234" s="144">
        <f t="shared" si="50"/>
        <v>0</v>
      </c>
      <c r="K234" s="144">
        <f t="shared" si="50"/>
        <v>0</v>
      </c>
      <c r="L234" s="144">
        <f t="shared" si="50"/>
        <v>0</v>
      </c>
      <c r="M234" s="144">
        <f t="shared" si="50"/>
        <v>0</v>
      </c>
      <c r="N234" s="144">
        <f t="shared" si="50"/>
        <v>0</v>
      </c>
      <c r="O234" s="144">
        <f t="shared" si="50"/>
        <v>0</v>
      </c>
      <c r="P234" s="144">
        <f t="shared" si="50"/>
        <v>0</v>
      </c>
      <c r="Q234" s="144">
        <f t="shared" si="50"/>
        <v>0</v>
      </c>
    </row>
    <row r="235" hidden="1" spans="5:17">
      <c r="E235" s="99"/>
      <c r="F235" s="99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</row>
    <row r="236" hidden="1" spans="5:17">
      <c r="E236" s="99"/>
      <c r="F236" s="99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</row>
    <row r="237" hidden="1" spans="5:17">
      <c r="E237" s="99"/>
      <c r="F237" s="99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</row>
    <row r="238" hidden="1" spans="5:17"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</row>
    <row r="239" spans="3:17">
      <c r="C239" s="145" t="s">
        <v>404</v>
      </c>
      <c r="D239" s="145" t="s">
        <v>232</v>
      </c>
      <c r="E239" s="105">
        <f>+SUMIF($A$5:$A$233,D239,E5:E234)</f>
        <v>1672.05673835803</v>
      </c>
      <c r="F239" s="105">
        <f t="shared" ref="F239:P239" si="51">+SUMIF($A$5:$A$233,$D$239,F5:F234)</f>
        <v>1686.41979366171</v>
      </c>
      <c r="G239" s="105">
        <f t="shared" si="51"/>
        <v>1727.35468842945</v>
      </c>
      <c r="H239" s="105">
        <f t="shared" si="51"/>
        <v>1684.58162201887</v>
      </c>
      <c r="I239" s="105">
        <f t="shared" si="51"/>
        <v>1756.95775490276</v>
      </c>
      <c r="J239" s="105">
        <f t="shared" si="51"/>
        <v>1709.20753603496</v>
      </c>
      <c r="K239" s="105">
        <f t="shared" si="51"/>
        <v>1691.89457718665</v>
      </c>
      <c r="L239" s="105">
        <f t="shared" si="51"/>
        <v>1672.96535945488</v>
      </c>
      <c r="M239" s="105">
        <f t="shared" si="51"/>
        <v>1789.05169182905</v>
      </c>
      <c r="N239" s="105">
        <f t="shared" si="51"/>
        <v>1730.79733363419</v>
      </c>
      <c r="O239" s="105">
        <f t="shared" si="51"/>
        <v>1701.01184620629</v>
      </c>
      <c r="P239" s="105">
        <f t="shared" si="51"/>
        <v>1778.76779771584</v>
      </c>
      <c r="Q239" s="105">
        <f>F239+E239+G239+H239+I239+J239+K239+L239+M239+N239+O239+P239</f>
        <v>20601.0667394327</v>
      </c>
    </row>
    <row r="240" spans="3:17">
      <c r="C240" s="145" t="s">
        <v>405</v>
      </c>
      <c r="D240" s="145" t="s">
        <v>258</v>
      </c>
      <c r="E240" s="146">
        <f>+SUMIF($A$5:$A$234,D240,E5:E235)</f>
        <v>166.198887534597</v>
      </c>
      <c r="F240" s="146">
        <f t="shared" ref="F240:P240" si="52">+SUMIF($A$5:$A$234,$D$240,F5:F235)</f>
        <v>165.972562313804</v>
      </c>
      <c r="G240" s="146">
        <f t="shared" si="52"/>
        <v>165.681822526917</v>
      </c>
      <c r="H240" s="146">
        <f t="shared" si="52"/>
        <v>165.085688812137</v>
      </c>
      <c r="I240" s="146">
        <f t="shared" si="52"/>
        <v>171.911086948995</v>
      </c>
      <c r="J240" s="146">
        <f t="shared" si="52"/>
        <v>161.225017506288</v>
      </c>
      <c r="K240" s="146">
        <f t="shared" si="52"/>
        <v>167.340522039027</v>
      </c>
      <c r="L240" s="146">
        <f t="shared" si="52"/>
        <v>169.201981577268</v>
      </c>
      <c r="M240" s="146">
        <f t="shared" si="52"/>
        <v>159.635097727222</v>
      </c>
      <c r="N240" s="146">
        <f t="shared" si="52"/>
        <v>164.127298973094</v>
      </c>
      <c r="O240" s="146">
        <f t="shared" si="52"/>
        <v>160.950918945382</v>
      </c>
      <c r="P240" s="146">
        <f t="shared" si="52"/>
        <v>168.382692657675</v>
      </c>
      <c r="Q240" s="146">
        <f>+E240+F240+G240+H240+I240+J240+K240+L240+M240+N240+O240+P240</f>
        <v>1985.71357756241</v>
      </c>
    </row>
    <row r="241" spans="3:17">
      <c r="C241" s="145" t="s">
        <v>398</v>
      </c>
      <c r="E241" s="147">
        <f t="shared" ref="E241:Q241" si="53">+E240+E239</f>
        <v>1838.25562589263</v>
      </c>
      <c r="F241" s="147">
        <f t="shared" si="53"/>
        <v>1852.39235597551</v>
      </c>
      <c r="G241" s="147">
        <f t="shared" si="53"/>
        <v>1893.03651095637</v>
      </c>
      <c r="H241" s="147">
        <f t="shared" si="53"/>
        <v>1849.66731083101</v>
      </c>
      <c r="I241" s="147">
        <f t="shared" si="53"/>
        <v>1928.86884185175</v>
      </c>
      <c r="J241" s="147">
        <f t="shared" si="53"/>
        <v>1870.43255354125</v>
      </c>
      <c r="K241" s="147">
        <f t="shared" si="53"/>
        <v>1859.23509922568</v>
      </c>
      <c r="L241" s="147">
        <f t="shared" si="53"/>
        <v>1842.16734103215</v>
      </c>
      <c r="M241" s="147">
        <f t="shared" si="53"/>
        <v>1948.68678955627</v>
      </c>
      <c r="N241" s="147">
        <f t="shared" si="53"/>
        <v>1894.92463260729</v>
      </c>
      <c r="O241" s="147">
        <f t="shared" si="53"/>
        <v>1861.96276515168</v>
      </c>
      <c r="P241" s="147">
        <f t="shared" si="53"/>
        <v>1947.15049037351</v>
      </c>
      <c r="Q241" s="147">
        <f t="shared" si="53"/>
        <v>22586.7803169951</v>
      </c>
    </row>
    <row r="242" spans="5:17"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</row>
    <row r="243" s="67" customFormat="1" spans="1:18">
      <c r="A243" s="141"/>
      <c r="B243" s="115"/>
      <c r="C243" s="115"/>
      <c r="D243" s="148" t="s">
        <v>406</v>
      </c>
      <c r="E243" s="147">
        <f t="shared" ref="E243:Q243" si="54">+E220+E234</f>
        <v>1838.25562589263</v>
      </c>
      <c r="F243" s="147">
        <f t="shared" si="54"/>
        <v>1852.39235597551</v>
      </c>
      <c r="G243" s="147">
        <f t="shared" si="54"/>
        <v>1893.03651095637</v>
      </c>
      <c r="H243" s="147">
        <f t="shared" si="54"/>
        <v>1849.66731083101</v>
      </c>
      <c r="I243" s="147">
        <f t="shared" si="54"/>
        <v>1928.86884185175</v>
      </c>
      <c r="J243" s="147">
        <f t="shared" si="54"/>
        <v>1870.43255354125</v>
      </c>
      <c r="K243" s="147">
        <f t="shared" si="54"/>
        <v>1859.23509922568</v>
      </c>
      <c r="L243" s="147">
        <f t="shared" si="54"/>
        <v>1842.16734103215</v>
      </c>
      <c r="M243" s="147">
        <f t="shared" si="54"/>
        <v>1948.68678955627</v>
      </c>
      <c r="N243" s="147">
        <f t="shared" si="54"/>
        <v>1894.92463260729</v>
      </c>
      <c r="O243" s="147">
        <f t="shared" si="54"/>
        <v>1861.96276515168</v>
      </c>
      <c r="P243" s="147">
        <f t="shared" si="54"/>
        <v>1947.15049037351</v>
      </c>
      <c r="Q243" s="147">
        <f t="shared" si="54"/>
        <v>22586.7803169951</v>
      </c>
      <c r="R243" s="71"/>
    </row>
    <row r="244" spans="4:17">
      <c r="D244" s="79" t="s">
        <v>407</v>
      </c>
      <c r="E244" s="147">
        <f t="shared" ref="E244:Q244" si="55">+E243-E241</f>
        <v>0</v>
      </c>
      <c r="F244" s="147">
        <f t="shared" si="55"/>
        <v>0</v>
      </c>
      <c r="G244" s="147">
        <f t="shared" si="55"/>
        <v>0</v>
      </c>
      <c r="H244" s="147">
        <f t="shared" si="55"/>
        <v>0</v>
      </c>
      <c r="I244" s="147">
        <f t="shared" si="55"/>
        <v>0</v>
      </c>
      <c r="J244" s="147">
        <f t="shared" si="55"/>
        <v>0</v>
      </c>
      <c r="K244" s="147">
        <f t="shared" si="55"/>
        <v>0</v>
      </c>
      <c r="L244" s="147">
        <f t="shared" si="55"/>
        <v>0</v>
      </c>
      <c r="M244" s="147">
        <f t="shared" si="55"/>
        <v>0</v>
      </c>
      <c r="N244" s="147">
        <f t="shared" si="55"/>
        <v>0</v>
      </c>
      <c r="O244" s="147">
        <f t="shared" si="55"/>
        <v>0</v>
      </c>
      <c r="P244" s="147">
        <f t="shared" si="55"/>
        <v>0</v>
      </c>
      <c r="Q244" s="147">
        <f t="shared" si="55"/>
        <v>0</v>
      </c>
    </row>
    <row r="246" spans="5:17">
      <c r="E246" s="149"/>
      <c r="F246" s="150"/>
      <c r="G246" s="150"/>
      <c r="H246" s="150"/>
      <c r="I246" s="150"/>
      <c r="J246" s="150"/>
      <c r="K246" s="150"/>
      <c r="L246" s="150"/>
      <c r="M246" s="150"/>
      <c r="N246" s="150"/>
      <c r="O246" s="150"/>
      <c r="P246" s="150"/>
      <c r="Q246" s="150"/>
    </row>
    <row r="247" s="67" customFormat="1" spans="1:18">
      <c r="A247" s="141"/>
      <c r="B247" s="115"/>
      <c r="C247" s="115"/>
      <c r="D247" s="115"/>
      <c r="E247" s="150"/>
      <c r="F247" s="150"/>
      <c r="G247" s="150"/>
      <c r="H247" s="150"/>
      <c r="I247" s="150"/>
      <c r="J247" s="150"/>
      <c r="K247" s="150"/>
      <c r="L247" s="150"/>
      <c r="M247" s="150"/>
      <c r="N247" s="150"/>
      <c r="O247" s="150"/>
      <c r="P247" s="150"/>
      <c r="Q247" s="150"/>
      <c r="R247" s="71"/>
    </row>
    <row r="248" spans="6:7">
      <c r="F248" s="150"/>
      <c r="G248" s="150"/>
    </row>
    <row r="249" spans="5:9">
      <c r="E249" s="149"/>
      <c r="F249" s="151"/>
      <c r="G249" s="149"/>
      <c r="H249" s="149"/>
      <c r="I249" s="150"/>
    </row>
    <row r="250" spans="6:7">
      <c r="F250" s="150"/>
      <c r="G250" s="152"/>
    </row>
    <row r="251" spans="5:8">
      <c r="E251" s="149"/>
      <c r="F251" s="149"/>
      <c r="G251" s="149"/>
      <c r="H251" s="149"/>
    </row>
    <row r="253" spans="5:5">
      <c r="E253" s="149"/>
    </row>
    <row r="255" s="68" customFormat="1" spans="1:18">
      <c r="A255" s="69"/>
      <c r="B255" s="70"/>
      <c r="C255" s="70"/>
      <c r="D255" s="70"/>
      <c r="E255" s="152"/>
      <c r="R255" s="154"/>
    </row>
    <row r="259" spans="18:18">
      <c r="R259" s="154"/>
    </row>
  </sheetData>
  <autoFilter xmlns:etc="http://www.wps.cn/officeDocument/2017/etCustomData" ref="A4:Q198" etc:filterBottomFollowUsedRange="0">
    <extLst/>
  </autoFilter>
  <mergeCells count="1">
    <mergeCell ref="B224:D224"/>
  </mergeCells>
  <pageMargins left="0.7" right="0.7" top="0.75" bottom="0.75" header="0.3" footer="0.3"/>
  <pageSetup paperSize="1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81"/>
  <sheetViews>
    <sheetView zoomScale="80" zoomScaleNormal="80" workbookViewId="0">
      <pane xSplit="1" ySplit="3" topLeftCell="B4" activePane="bottomRight" state="frozen"/>
      <selection/>
      <selection pane="topRight"/>
      <selection pane="bottomLeft"/>
      <selection pane="bottomRight" activeCell="C46" sqref="C46"/>
    </sheetView>
  </sheetViews>
  <sheetFormatPr defaultColWidth="9.08333333333333" defaultRowHeight="13.8"/>
  <cols>
    <col min="1" max="1" width="24.4166666666667" style="2" customWidth="1"/>
    <col min="2" max="2" width="51.4166666666667" style="2" customWidth="1"/>
    <col min="3" max="3" width="13.4166666666667" style="2" customWidth="1"/>
    <col min="4" max="5" width="14.75" style="4" customWidth="1"/>
    <col min="6" max="15" width="19.75" style="4" customWidth="1"/>
    <col min="16" max="16" width="9.08333333333333" style="2"/>
    <col min="17" max="17" width="13.0833333333333" style="2" customWidth="1"/>
    <col min="18" max="16384" width="9.08333333333333" style="2"/>
  </cols>
  <sheetData>
    <row r="1" spans="2:5">
      <c r="B1" s="2" t="s">
        <v>413</v>
      </c>
      <c r="D1" s="4">
        <v>33822</v>
      </c>
      <c r="E1" s="4">
        <v>35042</v>
      </c>
    </row>
    <row r="2" spans="4:15">
      <c r="D2" s="4" t="s">
        <v>414</v>
      </c>
      <c r="E2" s="4" t="s">
        <v>414</v>
      </c>
      <c r="F2" s="4" t="s">
        <v>414</v>
      </c>
      <c r="G2" s="4" t="s">
        <v>414</v>
      </c>
      <c r="H2" s="4" t="s">
        <v>414</v>
      </c>
      <c r="I2" s="4" t="s">
        <v>414</v>
      </c>
      <c r="J2" s="4" t="s">
        <v>414</v>
      </c>
      <c r="K2" s="4" t="s">
        <v>414</v>
      </c>
      <c r="L2" s="4" t="s">
        <v>414</v>
      </c>
      <c r="M2" s="4" t="s">
        <v>414</v>
      </c>
      <c r="N2" s="4" t="s">
        <v>414</v>
      </c>
      <c r="O2" s="4" t="s">
        <v>414</v>
      </c>
    </row>
    <row r="3" spans="1:15">
      <c r="A3" s="5"/>
      <c r="B3" s="5" t="s">
        <v>415</v>
      </c>
      <c r="C3" s="5"/>
      <c r="D3" s="5" t="s">
        <v>193</v>
      </c>
      <c r="E3" s="5" t="s">
        <v>194</v>
      </c>
      <c r="F3" s="5" t="s">
        <v>195</v>
      </c>
      <c r="G3" s="5" t="s">
        <v>196</v>
      </c>
      <c r="H3" s="5" t="s">
        <v>197</v>
      </c>
      <c r="I3" s="5" t="s">
        <v>416</v>
      </c>
      <c r="J3" s="5" t="s">
        <v>199</v>
      </c>
      <c r="K3" s="5" t="s">
        <v>417</v>
      </c>
      <c r="L3" s="5" t="s">
        <v>418</v>
      </c>
      <c r="M3" s="5" t="s">
        <v>419</v>
      </c>
      <c r="N3" s="6" t="s">
        <v>420</v>
      </c>
      <c r="O3" s="6" t="s">
        <v>421</v>
      </c>
    </row>
    <row r="4" spans="1:17">
      <c r="A4" s="2" t="str">
        <f>MID(B4,5,10)</f>
        <v>6666110101</v>
      </c>
      <c r="B4" s="33" t="s">
        <v>233</v>
      </c>
      <c r="C4" s="33"/>
      <c r="D4" s="56">
        <v>6390.63</v>
      </c>
      <c r="E4" s="56">
        <v>5772.19</v>
      </c>
      <c r="Q4" s="16"/>
    </row>
    <row r="5" spans="1:17">
      <c r="A5" s="2" t="str">
        <f t="shared" ref="A5:A11" si="0">MID(B5,5,10)</f>
        <v>6666110106</v>
      </c>
      <c r="B5" s="33" t="s">
        <v>236</v>
      </c>
      <c r="C5" s="33"/>
      <c r="D5" s="56">
        <v>0</v>
      </c>
      <c r="E5" s="56">
        <v>0</v>
      </c>
      <c r="Q5" s="16"/>
    </row>
    <row r="6" spans="1:17">
      <c r="A6" s="2" t="str">
        <f t="shared" si="0"/>
        <v>6666110107</v>
      </c>
      <c r="B6" s="33" t="s">
        <v>237</v>
      </c>
      <c r="C6" s="33" t="s">
        <v>41</v>
      </c>
      <c r="D6" s="56">
        <v>76932.79</v>
      </c>
      <c r="E6" s="56">
        <v>72590.44</v>
      </c>
      <c r="Q6" s="16"/>
    </row>
    <row r="7" spans="1:5">
      <c r="A7" s="2" t="str">
        <f t="shared" si="0"/>
        <v>6666110110</v>
      </c>
      <c r="B7" s="33" t="s">
        <v>238</v>
      </c>
      <c r="C7" s="33"/>
      <c r="D7" s="56">
        <v>81297.41</v>
      </c>
      <c r="E7" s="56">
        <v>72795.95</v>
      </c>
    </row>
    <row r="8" spans="1:5">
      <c r="A8" s="2" t="str">
        <f t="shared" si="0"/>
        <v>6666110112</v>
      </c>
      <c r="B8" s="33" t="s">
        <v>239</v>
      </c>
      <c r="C8" s="33"/>
      <c r="D8" s="56">
        <v>4665.49</v>
      </c>
      <c r="E8" s="56">
        <v>4371.23</v>
      </c>
    </row>
    <row r="9" spans="1:5">
      <c r="A9" s="2" t="str">
        <f t="shared" si="0"/>
        <v>6666110207</v>
      </c>
      <c r="B9" s="33" t="s">
        <v>241</v>
      </c>
      <c r="C9" s="33"/>
      <c r="D9" s="56">
        <v>12162.16</v>
      </c>
      <c r="E9" s="56">
        <v>10876.63</v>
      </c>
    </row>
    <row r="10" spans="1:5">
      <c r="A10" s="2" t="str">
        <f t="shared" si="0"/>
        <v>6666110506</v>
      </c>
      <c r="B10" s="33" t="s">
        <v>242</v>
      </c>
      <c r="C10" s="33"/>
      <c r="D10" s="56">
        <v>3151.21</v>
      </c>
      <c r="E10" s="56">
        <v>2859.7</v>
      </c>
    </row>
    <row r="11" spans="1:5">
      <c r="A11" s="2" t="str">
        <f t="shared" si="0"/>
        <v>6666110206</v>
      </c>
      <c r="B11" s="33" t="s">
        <v>244</v>
      </c>
      <c r="C11" s="33"/>
      <c r="D11" s="56">
        <v>79.98</v>
      </c>
      <c r="E11" s="56">
        <v>0</v>
      </c>
    </row>
    <row r="12" spans="1:15">
      <c r="A12" s="2" t="str">
        <f>B12</f>
        <v>*   CS_Depreciation</v>
      </c>
      <c r="B12" s="36" t="s">
        <v>234</v>
      </c>
      <c r="C12" s="33"/>
      <c r="D12" s="57">
        <f>SUM(D4:D11)</f>
        <v>184679.67</v>
      </c>
      <c r="E12" s="57">
        <f t="shared" ref="E12:O12" si="1">SUM(E4:E11)</f>
        <v>169266.14</v>
      </c>
      <c r="F12" s="57">
        <f t="shared" si="1"/>
        <v>0</v>
      </c>
      <c r="G12" s="57">
        <f t="shared" si="1"/>
        <v>0</v>
      </c>
      <c r="H12" s="57">
        <f t="shared" si="1"/>
        <v>0</v>
      </c>
      <c r="I12" s="57">
        <f t="shared" si="1"/>
        <v>0</v>
      </c>
      <c r="J12" s="57">
        <f t="shared" si="1"/>
        <v>0</v>
      </c>
      <c r="K12" s="57">
        <f t="shared" si="1"/>
        <v>0</v>
      </c>
      <c r="L12" s="57">
        <f t="shared" si="1"/>
        <v>0</v>
      </c>
      <c r="M12" s="57">
        <f t="shared" si="1"/>
        <v>0</v>
      </c>
      <c r="N12" s="57">
        <f t="shared" si="1"/>
        <v>0</v>
      </c>
      <c r="O12" s="57">
        <f t="shared" si="1"/>
        <v>0</v>
      </c>
    </row>
    <row r="13" spans="1:5">
      <c r="A13" s="2" t="str">
        <f t="shared" ref="A13:A105" si="2">MID(B13,5,10)</f>
        <v>5001010205</v>
      </c>
      <c r="B13" s="33" t="s">
        <v>246</v>
      </c>
      <c r="C13" s="33"/>
      <c r="D13" s="56">
        <v>4986.75</v>
      </c>
      <c r="E13" s="56">
        <v>4995.6</v>
      </c>
    </row>
    <row r="14" spans="1:5">
      <c r="A14" s="2" t="str">
        <f t="shared" si="2"/>
        <v>6666010380</v>
      </c>
      <c r="B14" s="33" t="s">
        <v>250</v>
      </c>
      <c r="C14" s="33"/>
      <c r="D14" s="56">
        <v>-978.2</v>
      </c>
      <c r="E14" s="56">
        <v>-861.87</v>
      </c>
    </row>
    <row r="15" spans="1:5">
      <c r="A15" s="2" t="str">
        <f t="shared" si="2"/>
        <v>6666010019</v>
      </c>
      <c r="B15" s="33" t="s">
        <v>251</v>
      </c>
      <c r="C15" s="33"/>
      <c r="D15" s="56">
        <v>40103.8</v>
      </c>
      <c r="E15" s="56">
        <v>40099.69</v>
      </c>
    </row>
    <row r="16" spans="1:5">
      <c r="A16" s="2" t="str">
        <f t="shared" si="2"/>
        <v>6666010183</v>
      </c>
      <c r="B16" s="33" t="s">
        <v>252</v>
      </c>
      <c r="C16" s="33"/>
      <c r="D16" s="56">
        <v>2489.48</v>
      </c>
      <c r="E16" s="56">
        <v>3117.95</v>
      </c>
    </row>
    <row r="17" spans="1:5">
      <c r="A17" s="2" t="str">
        <f t="shared" si="2"/>
        <v>6666010229</v>
      </c>
      <c r="B17" s="33" t="s">
        <v>253</v>
      </c>
      <c r="C17" s="33"/>
      <c r="D17" s="56">
        <v>21281.45</v>
      </c>
      <c r="E17" s="56">
        <v>-22568.51</v>
      </c>
    </row>
    <row r="18" spans="1:5">
      <c r="A18" s="2" t="str">
        <f t="shared" si="2"/>
        <v>6666010188</v>
      </c>
      <c r="B18" s="33" t="s">
        <v>254</v>
      </c>
      <c r="C18" s="33"/>
      <c r="D18" s="56">
        <v>241930.62</v>
      </c>
      <c r="E18" s="56">
        <v>265522.16</v>
      </c>
    </row>
    <row r="19" spans="1:5">
      <c r="A19" s="2" t="str">
        <f t="shared" si="2"/>
        <v>6666010115</v>
      </c>
      <c r="B19" s="33" t="s">
        <v>256</v>
      </c>
      <c r="C19" s="33"/>
      <c r="D19" s="56">
        <v>-1299.44</v>
      </c>
      <c r="E19" s="56">
        <v>-208.04</v>
      </c>
    </row>
    <row r="20" spans="1:15">
      <c r="A20" s="2" t="str">
        <f>B20</f>
        <v>*   CS_Direct Labour</v>
      </c>
      <c r="B20" s="36" t="s">
        <v>247</v>
      </c>
      <c r="C20" s="33"/>
      <c r="D20" s="57">
        <f>SUM(D13:D19)</f>
        <v>308514.46</v>
      </c>
      <c r="E20" s="57">
        <f t="shared" ref="E20:O20" si="3">SUM(E13:E19)</f>
        <v>290096.98</v>
      </c>
      <c r="F20" s="57">
        <f t="shared" si="3"/>
        <v>0</v>
      </c>
      <c r="G20" s="57">
        <f t="shared" si="3"/>
        <v>0</v>
      </c>
      <c r="H20" s="57">
        <f t="shared" si="3"/>
        <v>0</v>
      </c>
      <c r="I20" s="57">
        <f t="shared" si="3"/>
        <v>0</v>
      </c>
      <c r="J20" s="57">
        <f t="shared" si="3"/>
        <v>0</v>
      </c>
      <c r="K20" s="57">
        <f t="shared" si="3"/>
        <v>0</v>
      </c>
      <c r="L20" s="57">
        <f t="shared" si="3"/>
        <v>0</v>
      </c>
      <c r="M20" s="57">
        <f t="shared" si="3"/>
        <v>0</v>
      </c>
      <c r="N20" s="57">
        <f t="shared" si="3"/>
        <v>0</v>
      </c>
      <c r="O20" s="57">
        <f t="shared" si="3"/>
        <v>0</v>
      </c>
    </row>
    <row r="21" spans="1:5">
      <c r="A21" s="2" t="str">
        <f t="shared" si="2"/>
        <v>8701530201</v>
      </c>
      <c r="B21" s="33" t="s">
        <v>259</v>
      </c>
      <c r="C21" s="33" t="s">
        <v>41</v>
      </c>
      <c r="D21" s="56">
        <v>0</v>
      </c>
      <c r="E21" s="56">
        <v>0</v>
      </c>
    </row>
    <row r="22" spans="1:5">
      <c r="A22" s="2" t="str">
        <f t="shared" si="2"/>
        <v>6666050309</v>
      </c>
      <c r="B22" s="33" t="s">
        <v>263</v>
      </c>
      <c r="C22" s="33" t="s">
        <v>41</v>
      </c>
      <c r="D22" s="56">
        <v>11636.3</v>
      </c>
      <c r="E22" s="56">
        <v>9289.4</v>
      </c>
    </row>
    <row r="23" spans="1:5">
      <c r="A23" s="2" t="str">
        <f t="shared" si="2"/>
        <v>6666050308</v>
      </c>
      <c r="B23" s="33" t="s">
        <v>264</v>
      </c>
      <c r="C23" s="33" t="s">
        <v>41</v>
      </c>
      <c r="D23" s="56">
        <v>670.42</v>
      </c>
      <c r="E23" s="56">
        <v>2686.94</v>
      </c>
    </row>
    <row r="24" spans="1:5">
      <c r="A24" s="2" t="str">
        <f t="shared" si="2"/>
        <v>6666050306</v>
      </c>
      <c r="B24" s="33" t="s">
        <v>265</v>
      </c>
      <c r="C24" s="33" t="s">
        <v>41</v>
      </c>
      <c r="D24" s="56">
        <v>191.89</v>
      </c>
      <c r="E24" s="56">
        <v>0</v>
      </c>
    </row>
    <row r="25" spans="1:15">
      <c r="A25" s="2" t="str">
        <f>B25</f>
        <v>*   CS_SCRAP_VARIABLE</v>
      </c>
      <c r="B25" s="36" t="s">
        <v>260</v>
      </c>
      <c r="C25" s="33"/>
      <c r="D25" s="57">
        <f>SUM(D21:D24)</f>
        <v>12498.61</v>
      </c>
      <c r="E25" s="57">
        <f t="shared" ref="E25:O25" si="4">SUM(E21:E24)</f>
        <v>11976.34</v>
      </c>
      <c r="F25" s="57">
        <f t="shared" si="4"/>
        <v>0</v>
      </c>
      <c r="G25" s="57">
        <f t="shared" si="4"/>
        <v>0</v>
      </c>
      <c r="H25" s="57">
        <f t="shared" si="4"/>
        <v>0</v>
      </c>
      <c r="I25" s="57">
        <f t="shared" si="4"/>
        <v>0</v>
      </c>
      <c r="J25" s="57">
        <f t="shared" si="4"/>
        <v>0</v>
      </c>
      <c r="K25" s="57">
        <f t="shared" si="4"/>
        <v>0</v>
      </c>
      <c r="L25" s="57">
        <f t="shared" si="4"/>
        <v>0</v>
      </c>
      <c r="M25" s="57">
        <f t="shared" si="4"/>
        <v>0</v>
      </c>
      <c r="N25" s="57">
        <f t="shared" si="4"/>
        <v>0</v>
      </c>
      <c r="O25" s="57">
        <f t="shared" si="4"/>
        <v>0</v>
      </c>
    </row>
    <row r="26" spans="1:5">
      <c r="A26" s="2" t="str">
        <f t="shared" si="2"/>
        <v>5102010151</v>
      </c>
      <c r="B26" s="33" t="s">
        <v>266</v>
      </c>
      <c r="C26" s="33" t="s">
        <v>41</v>
      </c>
      <c r="D26" s="56">
        <v>0</v>
      </c>
      <c r="E26" s="56">
        <v>0</v>
      </c>
    </row>
    <row r="27" spans="1:5">
      <c r="A27" s="2" t="str">
        <f t="shared" si="2"/>
        <v>5301999999</v>
      </c>
      <c r="B27" s="33" t="s">
        <v>275</v>
      </c>
      <c r="C27" s="33" t="s">
        <v>41</v>
      </c>
      <c r="D27" s="56">
        <v>0</v>
      </c>
      <c r="E27" s="56">
        <v>0</v>
      </c>
    </row>
    <row r="28" spans="1:5">
      <c r="A28" s="2" t="str">
        <f t="shared" si="2"/>
        <v>6666020504</v>
      </c>
      <c r="B28" s="33" t="s">
        <v>293</v>
      </c>
      <c r="C28" s="33"/>
      <c r="D28" s="56">
        <v>0</v>
      </c>
      <c r="E28" s="56">
        <v>0</v>
      </c>
    </row>
    <row r="29" spans="1:5">
      <c r="A29" s="2" t="str">
        <f t="shared" si="2"/>
        <v>5001010200</v>
      </c>
      <c r="B29" s="33" t="s">
        <v>269</v>
      </c>
      <c r="C29" s="33" t="s">
        <v>41</v>
      </c>
      <c r="D29" s="56">
        <v>57.3</v>
      </c>
      <c r="E29" s="56">
        <v>1028.54</v>
      </c>
    </row>
    <row r="30" spans="1:5">
      <c r="A30" s="2" t="str">
        <f t="shared" si="2"/>
        <v>5001010201</v>
      </c>
      <c r="B30" s="33" t="s">
        <v>270</v>
      </c>
      <c r="C30" s="33" t="s">
        <v>41</v>
      </c>
      <c r="D30" s="56">
        <v>0.19</v>
      </c>
      <c r="E30" s="56">
        <v>0</v>
      </c>
    </row>
    <row r="31" spans="1:5">
      <c r="A31" s="2" t="str">
        <f t="shared" si="2"/>
        <v>5301060000</v>
      </c>
      <c r="B31" s="33" t="s">
        <v>274</v>
      </c>
      <c r="C31" s="33" t="s">
        <v>41</v>
      </c>
      <c r="D31" s="56">
        <v>-1441.01</v>
      </c>
      <c r="E31" s="56">
        <v>0</v>
      </c>
    </row>
    <row r="32" spans="1:5">
      <c r="A32" s="2" t="str">
        <f t="shared" si="2"/>
        <v>5405030000</v>
      </c>
      <c r="B32" s="33" t="s">
        <v>276</v>
      </c>
      <c r="C32" s="33" t="s">
        <v>41</v>
      </c>
      <c r="D32" s="56">
        <v>44.14</v>
      </c>
      <c r="E32" s="56">
        <v>0</v>
      </c>
    </row>
    <row r="33" spans="1:5">
      <c r="A33" s="2" t="str">
        <f t="shared" si="2"/>
        <v>5601050100</v>
      </c>
      <c r="B33" s="33" t="s">
        <v>278</v>
      </c>
      <c r="C33" s="33" t="s">
        <v>41</v>
      </c>
      <c r="D33" s="56">
        <v>5.6</v>
      </c>
      <c r="E33" s="56">
        <v>0</v>
      </c>
    </row>
    <row r="34" spans="1:5">
      <c r="A34" s="2" t="str">
        <f t="shared" si="2"/>
        <v>5601050000</v>
      </c>
      <c r="B34" s="33" t="s">
        <v>277</v>
      </c>
      <c r="C34" s="33" t="s">
        <v>41</v>
      </c>
      <c r="D34" s="56">
        <v>0</v>
      </c>
      <c r="E34" s="56">
        <v>0</v>
      </c>
    </row>
    <row r="35" spans="1:5">
      <c r="A35" s="2" t="str">
        <f t="shared" si="2"/>
        <v>5801000041</v>
      </c>
      <c r="B35" s="33" t="s">
        <v>422</v>
      </c>
      <c r="C35" s="33"/>
      <c r="D35" s="56">
        <v>0</v>
      </c>
      <c r="E35" s="56">
        <v>0</v>
      </c>
    </row>
    <row r="36" spans="1:5">
      <c r="A36" s="2" t="str">
        <f t="shared" si="2"/>
        <v>6666010322</v>
      </c>
      <c r="B36" s="33" t="s">
        <v>281</v>
      </c>
      <c r="C36" s="33"/>
      <c r="D36" s="56">
        <v>1761.83</v>
      </c>
      <c r="E36" s="56">
        <v>1693.74</v>
      </c>
    </row>
    <row r="37" spans="1:5">
      <c r="A37" s="2" t="str">
        <f t="shared" si="2"/>
        <v>6666020101</v>
      </c>
      <c r="B37" s="33" t="s">
        <v>282</v>
      </c>
      <c r="C37" s="33"/>
      <c r="D37" s="56">
        <v>0</v>
      </c>
      <c r="E37" s="56">
        <v>0</v>
      </c>
    </row>
    <row r="38" spans="1:5">
      <c r="A38" s="2" t="str">
        <f t="shared" si="2"/>
        <v>6666020201</v>
      </c>
      <c r="B38" s="33" t="s">
        <v>283</v>
      </c>
      <c r="C38" s="33"/>
      <c r="D38" s="56">
        <v>0.87</v>
      </c>
      <c r="E38" s="56">
        <v>55.73</v>
      </c>
    </row>
    <row r="39" spans="1:5">
      <c r="A39" s="2" t="str">
        <f t="shared" si="2"/>
        <v>6666020202</v>
      </c>
      <c r="B39" s="33" t="s">
        <v>284</v>
      </c>
      <c r="C39" s="33"/>
      <c r="D39" s="56">
        <v>0</v>
      </c>
      <c r="E39" s="56">
        <v>0</v>
      </c>
    </row>
    <row r="40" spans="1:5">
      <c r="A40" s="2" t="str">
        <f t="shared" si="2"/>
        <v>6666020205</v>
      </c>
      <c r="B40" s="33" t="s">
        <v>286</v>
      </c>
      <c r="C40" s="33"/>
      <c r="D40" s="56">
        <v>0</v>
      </c>
      <c r="E40" s="56">
        <v>0</v>
      </c>
    </row>
    <row r="41" spans="1:5">
      <c r="A41" s="2" t="str">
        <f t="shared" si="2"/>
        <v>6666020204</v>
      </c>
      <c r="B41" s="33" t="s">
        <v>285</v>
      </c>
      <c r="C41" s="33"/>
      <c r="D41" s="56">
        <v>7.19</v>
      </c>
      <c r="E41" s="56">
        <v>5.96</v>
      </c>
    </row>
    <row r="42" spans="1:5">
      <c r="A42" s="2" t="str">
        <f t="shared" si="2"/>
        <v>6666020302</v>
      </c>
      <c r="B42" s="33" t="s">
        <v>288</v>
      </c>
      <c r="C42" s="33"/>
      <c r="D42" s="56">
        <v>0</v>
      </c>
      <c r="E42" s="56">
        <v>0</v>
      </c>
    </row>
    <row r="43" spans="1:5">
      <c r="A43" s="2" t="str">
        <f t="shared" si="2"/>
        <v>6666020508</v>
      </c>
      <c r="B43" s="33" t="s">
        <v>294</v>
      </c>
      <c r="C43" s="33"/>
      <c r="D43" s="56">
        <v>0</v>
      </c>
      <c r="E43" s="56">
        <v>0</v>
      </c>
    </row>
    <row r="44" spans="1:5">
      <c r="A44" s="2" t="str">
        <f t="shared" si="2"/>
        <v>6666020602</v>
      </c>
      <c r="B44" s="33" t="s">
        <v>295</v>
      </c>
      <c r="C44" s="33"/>
      <c r="D44" s="56">
        <v>0</v>
      </c>
      <c r="E44" s="56">
        <v>0</v>
      </c>
    </row>
    <row r="45" spans="1:5">
      <c r="A45" s="2" t="str">
        <f t="shared" si="2"/>
        <v>6666020802</v>
      </c>
      <c r="B45" s="33" t="s">
        <v>297</v>
      </c>
      <c r="C45" s="33"/>
      <c r="D45" s="56">
        <v>9957</v>
      </c>
      <c r="E45" s="56">
        <v>7927</v>
      </c>
    </row>
    <row r="46" spans="1:5">
      <c r="A46" s="2" t="str">
        <f t="shared" si="2"/>
        <v>6666020803</v>
      </c>
      <c r="B46" s="33" t="s">
        <v>298</v>
      </c>
      <c r="C46" s="33"/>
      <c r="D46" s="56">
        <v>2759.89</v>
      </c>
      <c r="E46" s="56">
        <v>4489.77</v>
      </c>
    </row>
    <row r="47" spans="1:5">
      <c r="A47" s="2" t="str">
        <f t="shared" si="2"/>
        <v>6666021100</v>
      </c>
      <c r="B47" s="33" t="s">
        <v>299</v>
      </c>
      <c r="C47" s="33"/>
      <c r="D47" s="56">
        <v>4432.83</v>
      </c>
      <c r="E47" s="56">
        <v>3024.52</v>
      </c>
    </row>
    <row r="48" spans="1:5">
      <c r="A48" s="2" t="str">
        <f t="shared" si="2"/>
        <v>6666021902</v>
      </c>
      <c r="B48" s="33" t="s">
        <v>301</v>
      </c>
      <c r="C48" s="33"/>
      <c r="D48" s="56">
        <v>8433.53</v>
      </c>
      <c r="E48" s="56">
        <v>7025.46</v>
      </c>
    </row>
    <row r="49" spans="1:5">
      <c r="A49" s="2" t="str">
        <f t="shared" si="2"/>
        <v>6666022100</v>
      </c>
      <c r="B49" s="33" t="s">
        <v>302</v>
      </c>
      <c r="C49" s="33"/>
      <c r="D49" s="56">
        <v>8567.37</v>
      </c>
      <c r="E49" s="56">
        <v>8507.33</v>
      </c>
    </row>
    <row r="50" spans="1:5">
      <c r="A50" s="2" t="str">
        <f t="shared" si="2"/>
        <v>6666029900</v>
      </c>
      <c r="B50" s="33" t="s">
        <v>305</v>
      </c>
      <c r="C50" s="33"/>
      <c r="D50" s="56">
        <v>0</v>
      </c>
      <c r="E50" s="56">
        <v>0</v>
      </c>
    </row>
    <row r="51" spans="1:5">
      <c r="A51" s="2" t="str">
        <f t="shared" si="2"/>
        <v>6666029997</v>
      </c>
      <c r="B51" s="33" t="s">
        <v>307</v>
      </c>
      <c r="C51" s="33" t="s">
        <v>41</v>
      </c>
      <c r="D51" s="56">
        <v>0</v>
      </c>
      <c r="E51" s="56">
        <v>6575.73</v>
      </c>
    </row>
    <row r="52" spans="1:5">
      <c r="A52" s="2" t="str">
        <f t="shared" si="2"/>
        <v>6666020495</v>
      </c>
      <c r="B52" s="33" t="s">
        <v>292</v>
      </c>
      <c r="C52" s="33"/>
      <c r="D52" s="56">
        <v>38.7</v>
      </c>
      <c r="E52" s="56">
        <v>20.79</v>
      </c>
    </row>
    <row r="53" spans="1:5">
      <c r="A53" s="2" t="str">
        <f t="shared" si="2"/>
        <v>6666030300</v>
      </c>
      <c r="B53" s="33" t="s">
        <v>423</v>
      </c>
      <c r="C53" s="33"/>
      <c r="D53" s="56">
        <v>0</v>
      </c>
      <c r="E53" s="56">
        <v>0</v>
      </c>
    </row>
    <row r="54" spans="1:5">
      <c r="A54" s="2" t="str">
        <f t="shared" si="2"/>
        <v>6666031200</v>
      </c>
      <c r="B54" s="33" t="s">
        <v>309</v>
      </c>
      <c r="C54" s="33"/>
      <c r="D54" s="56">
        <v>0</v>
      </c>
      <c r="E54" s="56">
        <v>0</v>
      </c>
    </row>
    <row r="55" spans="1:5">
      <c r="A55" s="2" t="str">
        <f t="shared" si="2"/>
        <v>6666050107</v>
      </c>
      <c r="B55" s="33" t="s">
        <v>310</v>
      </c>
      <c r="C55" s="33"/>
      <c r="D55" s="56">
        <v>0</v>
      </c>
      <c r="E55" s="56">
        <v>0</v>
      </c>
    </row>
    <row r="56" spans="1:5">
      <c r="A56" s="2" t="str">
        <f t="shared" si="2"/>
        <v>6666050320</v>
      </c>
      <c r="B56" s="33" t="s">
        <v>424</v>
      </c>
      <c r="C56" s="33"/>
      <c r="D56" s="56">
        <v>-31.97</v>
      </c>
      <c r="E56" s="56">
        <v>-44.53</v>
      </c>
    </row>
    <row r="57" spans="1:5">
      <c r="A57" s="2" t="str">
        <f t="shared" si="2"/>
        <v>6666070400</v>
      </c>
      <c r="B57" s="33" t="s">
        <v>313</v>
      </c>
      <c r="C57" s="33"/>
      <c r="D57" s="56">
        <v>7947.1</v>
      </c>
      <c r="E57" s="56">
        <v>-761.48</v>
      </c>
    </row>
    <row r="58" spans="1:5">
      <c r="A58" s="2" t="str">
        <f t="shared" si="2"/>
        <v>6666070100</v>
      </c>
      <c r="B58" s="33" t="s">
        <v>311</v>
      </c>
      <c r="C58" s="33"/>
      <c r="D58" s="56">
        <v>0</v>
      </c>
      <c r="E58" s="56">
        <v>0</v>
      </c>
    </row>
    <row r="59" spans="1:5">
      <c r="A59" s="2" t="str">
        <f t="shared" si="2"/>
        <v>6666093800</v>
      </c>
      <c r="B59" s="33" t="s">
        <v>380</v>
      </c>
      <c r="C59" s="33"/>
      <c r="D59" s="56">
        <v>0</v>
      </c>
      <c r="E59" s="56">
        <v>0</v>
      </c>
    </row>
    <row r="60" spans="1:5">
      <c r="A60" s="2" t="str">
        <f t="shared" si="2"/>
        <v>6666020301</v>
      </c>
      <c r="B60" s="33" t="s">
        <v>371</v>
      </c>
      <c r="C60" s="33"/>
      <c r="D60" s="56">
        <v>0</v>
      </c>
      <c r="E60" s="56">
        <v>0</v>
      </c>
    </row>
    <row r="61" spans="1:5">
      <c r="A61" s="2" t="str">
        <f t="shared" si="2"/>
        <v>6666029996</v>
      </c>
      <c r="B61" s="33" t="s">
        <v>425</v>
      </c>
      <c r="C61" s="33"/>
      <c r="D61" s="56">
        <v>0</v>
      </c>
      <c r="E61" s="56">
        <v>2.9</v>
      </c>
    </row>
    <row r="62" spans="1:5">
      <c r="A62" s="2" t="str">
        <f t="shared" si="2"/>
        <v>6666070300</v>
      </c>
      <c r="B62" s="33" t="s">
        <v>312</v>
      </c>
      <c r="C62" s="33"/>
      <c r="D62" s="56">
        <v>0</v>
      </c>
      <c r="E62" s="56">
        <v>13.53</v>
      </c>
    </row>
    <row r="63" spans="1:15">
      <c r="A63" s="2" t="str">
        <f>B63</f>
        <v>*   CS_Fix Cost</v>
      </c>
      <c r="B63" s="36" t="s">
        <v>267</v>
      </c>
      <c r="C63" s="33"/>
      <c r="D63" s="57">
        <f>SUM(D26:D62)</f>
        <v>42540.56</v>
      </c>
      <c r="E63" s="57">
        <f t="shared" ref="E63:O63" si="5">SUM(E26:E62)</f>
        <v>39564.99</v>
      </c>
      <c r="F63" s="57">
        <f t="shared" si="5"/>
        <v>0</v>
      </c>
      <c r="G63" s="57">
        <f t="shared" si="5"/>
        <v>0</v>
      </c>
      <c r="H63" s="57">
        <f t="shared" si="5"/>
        <v>0</v>
      </c>
      <c r="I63" s="57">
        <f t="shared" si="5"/>
        <v>0</v>
      </c>
      <c r="J63" s="57">
        <f t="shared" si="5"/>
        <v>0</v>
      </c>
      <c r="K63" s="57">
        <f t="shared" si="5"/>
        <v>0</v>
      </c>
      <c r="L63" s="57">
        <f t="shared" si="5"/>
        <v>0</v>
      </c>
      <c r="M63" s="57">
        <f t="shared" si="5"/>
        <v>0</v>
      </c>
      <c r="N63" s="57">
        <f t="shared" si="5"/>
        <v>0</v>
      </c>
      <c r="O63" s="57">
        <f t="shared" si="5"/>
        <v>0</v>
      </c>
    </row>
    <row r="64" spans="1:5">
      <c r="A64" s="2" t="str">
        <f t="shared" si="2"/>
        <v>6666110203</v>
      </c>
      <c r="B64" s="33" t="s">
        <v>316</v>
      </c>
      <c r="C64" s="33" t="s">
        <v>41</v>
      </c>
      <c r="D64" s="56">
        <v>1132.41</v>
      </c>
      <c r="E64" s="56">
        <v>1342.56</v>
      </c>
    </row>
    <row r="65" spans="1:5">
      <c r="A65" s="2" t="str">
        <f t="shared" si="2"/>
        <v>6666050307</v>
      </c>
      <c r="B65" s="33" t="s">
        <v>320</v>
      </c>
      <c r="C65" s="33" t="s">
        <v>41</v>
      </c>
      <c r="D65" s="56">
        <v>-4959.31</v>
      </c>
      <c r="E65" s="56">
        <v>-9140.75</v>
      </c>
    </row>
    <row r="66" spans="1:5">
      <c r="A66" s="2" t="str">
        <f t="shared" si="2"/>
        <v>6666050312</v>
      </c>
      <c r="B66" s="33" t="s">
        <v>321</v>
      </c>
      <c r="C66" s="33" t="s">
        <v>41</v>
      </c>
      <c r="D66" s="56">
        <v>2693.08</v>
      </c>
      <c r="E66" s="56">
        <v>2137.76</v>
      </c>
    </row>
    <row r="67" spans="1:15">
      <c r="A67" s="2" t="str">
        <f>B67</f>
        <v>*   CS_Variable Cost</v>
      </c>
      <c r="B67" s="36" t="s">
        <v>317</v>
      </c>
      <c r="C67" s="33"/>
      <c r="D67" s="57">
        <f>SUM(D64:D66)</f>
        <v>-1133.82</v>
      </c>
      <c r="E67" s="57">
        <f t="shared" ref="E67:O67" si="6">SUM(E64:E66)</f>
        <v>-5660.43</v>
      </c>
      <c r="F67" s="57">
        <f t="shared" si="6"/>
        <v>0</v>
      </c>
      <c r="G67" s="57">
        <f t="shared" si="6"/>
        <v>0</v>
      </c>
      <c r="H67" s="57">
        <f t="shared" si="6"/>
        <v>0</v>
      </c>
      <c r="I67" s="57">
        <f t="shared" si="6"/>
        <v>0</v>
      </c>
      <c r="J67" s="57">
        <f t="shared" si="6"/>
        <v>0</v>
      </c>
      <c r="K67" s="57">
        <f t="shared" si="6"/>
        <v>0</v>
      </c>
      <c r="L67" s="57">
        <f t="shared" si="6"/>
        <v>0</v>
      </c>
      <c r="M67" s="57">
        <f t="shared" si="6"/>
        <v>0</v>
      </c>
      <c r="N67" s="57">
        <f t="shared" si="6"/>
        <v>0</v>
      </c>
      <c r="O67" s="57">
        <f t="shared" si="6"/>
        <v>0</v>
      </c>
    </row>
    <row r="68" spans="1:5">
      <c r="A68" s="2" t="str">
        <f t="shared" si="2"/>
        <v>6666100203</v>
      </c>
      <c r="B68" s="33" t="s">
        <v>322</v>
      </c>
      <c r="C68" s="33" t="s">
        <v>41</v>
      </c>
      <c r="D68" s="56">
        <v>24151.03</v>
      </c>
      <c r="E68" s="56">
        <v>20000</v>
      </c>
    </row>
    <row r="69" spans="1:15">
      <c r="A69" s="2" t="str">
        <f>B69</f>
        <v>*   CS_Obsolescence</v>
      </c>
      <c r="B69" s="36" t="s">
        <v>323</v>
      </c>
      <c r="C69" s="33"/>
      <c r="D69" s="57">
        <f>SUM(D68)</f>
        <v>24151.03</v>
      </c>
      <c r="E69" s="57">
        <f t="shared" ref="E69:O69" si="7">SUM(E68)</f>
        <v>20000</v>
      </c>
      <c r="F69" s="57">
        <f t="shared" si="7"/>
        <v>0</v>
      </c>
      <c r="G69" s="57">
        <f t="shared" si="7"/>
        <v>0</v>
      </c>
      <c r="H69" s="57">
        <f t="shared" si="7"/>
        <v>0</v>
      </c>
      <c r="I69" s="57">
        <f t="shared" si="7"/>
        <v>0</v>
      </c>
      <c r="J69" s="57">
        <f t="shared" si="7"/>
        <v>0</v>
      </c>
      <c r="K69" s="57">
        <f t="shared" si="7"/>
        <v>0</v>
      </c>
      <c r="L69" s="57">
        <f t="shared" si="7"/>
        <v>0</v>
      </c>
      <c r="M69" s="57">
        <f t="shared" si="7"/>
        <v>0</v>
      </c>
      <c r="N69" s="57">
        <f t="shared" si="7"/>
        <v>0</v>
      </c>
      <c r="O69" s="57">
        <f t="shared" si="7"/>
        <v>0</v>
      </c>
    </row>
    <row r="70" spans="1:5">
      <c r="A70" s="2" t="str">
        <f t="shared" si="2"/>
        <v>5301070000</v>
      </c>
      <c r="B70" s="33" t="s">
        <v>325</v>
      </c>
      <c r="C70" s="33" t="s">
        <v>41</v>
      </c>
      <c r="D70" s="56">
        <v>-20407.01</v>
      </c>
      <c r="E70" s="56">
        <v>-7604.92</v>
      </c>
    </row>
    <row r="71" spans="1:15">
      <c r="A71" s="2" t="str">
        <f>B71</f>
        <v>*   CS_Reselling</v>
      </c>
      <c r="B71" s="36" t="s">
        <v>326</v>
      </c>
      <c r="C71" s="33"/>
      <c r="D71" s="57">
        <f>SUM(D70)</f>
        <v>-20407.01</v>
      </c>
      <c r="E71" s="57">
        <f t="shared" ref="E71:O71" si="8">SUM(E70)</f>
        <v>-7604.92</v>
      </c>
      <c r="F71" s="57">
        <f t="shared" si="8"/>
        <v>0</v>
      </c>
      <c r="G71" s="57">
        <f t="shared" si="8"/>
        <v>0</v>
      </c>
      <c r="H71" s="57">
        <f t="shared" si="8"/>
        <v>0</v>
      </c>
      <c r="I71" s="57">
        <f t="shared" si="8"/>
        <v>0</v>
      </c>
      <c r="J71" s="57">
        <f t="shared" si="8"/>
        <v>0</v>
      </c>
      <c r="K71" s="57">
        <f t="shared" si="8"/>
        <v>0</v>
      </c>
      <c r="L71" s="57">
        <f t="shared" si="8"/>
        <v>0</v>
      </c>
      <c r="M71" s="57">
        <f t="shared" si="8"/>
        <v>0</v>
      </c>
      <c r="N71" s="57">
        <f t="shared" si="8"/>
        <v>0</v>
      </c>
      <c r="O71" s="57">
        <f t="shared" si="8"/>
        <v>0</v>
      </c>
    </row>
    <row r="72" spans="1:16">
      <c r="A72" s="2" t="str">
        <f t="shared" si="2"/>
        <v>6666021602</v>
      </c>
      <c r="B72" s="39" t="s">
        <v>328</v>
      </c>
      <c r="C72" s="33"/>
      <c r="D72" s="56">
        <v>17082.11</v>
      </c>
      <c r="E72" s="56">
        <v>18336.7</v>
      </c>
      <c r="P72" s="16"/>
    </row>
    <row r="73" spans="1:15">
      <c r="A73" s="2" t="str">
        <f>B73</f>
        <v>*   CS_Fix Utilities</v>
      </c>
      <c r="B73" s="36" t="s">
        <v>329</v>
      </c>
      <c r="C73" s="33"/>
      <c r="D73" s="57">
        <f>SUM(D72)</f>
        <v>17082.11</v>
      </c>
      <c r="E73" s="57">
        <f t="shared" ref="E73:O73" si="9">SUM(E72)</f>
        <v>18336.7</v>
      </c>
      <c r="F73" s="57">
        <f t="shared" si="9"/>
        <v>0</v>
      </c>
      <c r="G73" s="57">
        <f t="shared" si="9"/>
        <v>0</v>
      </c>
      <c r="H73" s="57">
        <f t="shared" si="9"/>
        <v>0</v>
      </c>
      <c r="I73" s="57">
        <f t="shared" si="9"/>
        <v>0</v>
      </c>
      <c r="J73" s="57">
        <f t="shared" si="9"/>
        <v>0</v>
      </c>
      <c r="K73" s="57">
        <f t="shared" si="9"/>
        <v>0</v>
      </c>
      <c r="L73" s="57">
        <f t="shared" si="9"/>
        <v>0</v>
      </c>
      <c r="M73" s="57">
        <f t="shared" si="9"/>
        <v>0</v>
      </c>
      <c r="N73" s="57">
        <f t="shared" si="9"/>
        <v>0</v>
      </c>
      <c r="O73" s="57">
        <f t="shared" si="9"/>
        <v>0</v>
      </c>
    </row>
    <row r="74" spans="1:16">
      <c r="A74" s="2" t="str">
        <f t="shared" si="2"/>
        <v>6666021600</v>
      </c>
      <c r="B74" s="33" t="s">
        <v>331</v>
      </c>
      <c r="C74" s="33"/>
      <c r="D74" s="56">
        <v>2034.76</v>
      </c>
      <c r="E74" s="56">
        <v>12550.05</v>
      </c>
      <c r="P74" s="16"/>
    </row>
    <row r="75" spans="1:5">
      <c r="A75" s="2" t="str">
        <f t="shared" si="2"/>
        <v>6666021603</v>
      </c>
      <c r="B75" s="33" t="s">
        <v>334</v>
      </c>
      <c r="C75" s="33"/>
      <c r="D75" s="56">
        <v>82.34</v>
      </c>
      <c r="E75" s="56">
        <v>812.92</v>
      </c>
    </row>
    <row r="76" spans="1:5">
      <c r="A76" s="2" t="str">
        <f t="shared" si="2"/>
        <v>6666021604</v>
      </c>
      <c r="B76" s="33" t="s">
        <v>335</v>
      </c>
      <c r="C76" s="33"/>
      <c r="D76" s="56">
        <v>16481.2</v>
      </c>
      <c r="E76" s="56">
        <v>10783.66</v>
      </c>
    </row>
    <row r="77" spans="1:15">
      <c r="A77" s="2" t="str">
        <f>B77</f>
        <v>*   CS_Variable Utilities</v>
      </c>
      <c r="B77" s="36" t="s">
        <v>332</v>
      </c>
      <c r="C77" s="33"/>
      <c r="D77" s="57">
        <f>SUM(D74:D76)</f>
        <v>18598.3</v>
      </c>
      <c r="E77" s="57">
        <f t="shared" ref="E77:O77" si="10">SUM(E74:E76)</f>
        <v>24146.63</v>
      </c>
      <c r="F77" s="57">
        <f t="shared" si="10"/>
        <v>0</v>
      </c>
      <c r="G77" s="57">
        <f t="shared" si="10"/>
        <v>0</v>
      </c>
      <c r="H77" s="57">
        <f t="shared" si="10"/>
        <v>0</v>
      </c>
      <c r="I77" s="57">
        <f t="shared" si="10"/>
        <v>0</v>
      </c>
      <c r="J77" s="57">
        <f t="shared" si="10"/>
        <v>0</v>
      </c>
      <c r="K77" s="57">
        <f t="shared" si="10"/>
        <v>0</v>
      </c>
      <c r="L77" s="57">
        <f t="shared" si="10"/>
        <v>0</v>
      </c>
      <c r="M77" s="57">
        <f t="shared" si="10"/>
        <v>0</v>
      </c>
      <c r="N77" s="57">
        <f t="shared" si="10"/>
        <v>0</v>
      </c>
      <c r="O77" s="57">
        <f t="shared" si="10"/>
        <v>0</v>
      </c>
    </row>
    <row r="78" spans="1:5">
      <c r="A78" s="2" t="str">
        <f t="shared" si="2"/>
        <v>5001010206</v>
      </c>
      <c r="B78" s="33" t="s">
        <v>336</v>
      </c>
      <c r="C78" s="33"/>
      <c r="D78" s="56">
        <v>2577.77</v>
      </c>
      <c r="E78" s="56">
        <v>2507.81</v>
      </c>
    </row>
    <row r="79" spans="1:5">
      <c r="A79" s="2" t="str">
        <f t="shared" si="2"/>
        <v>6666010184</v>
      </c>
      <c r="B79" s="33" t="s">
        <v>339</v>
      </c>
      <c r="C79" s="33"/>
      <c r="D79" s="56">
        <v>-247.19</v>
      </c>
      <c r="E79" s="56">
        <v>-223.19</v>
      </c>
    </row>
    <row r="80" spans="1:5">
      <c r="A80" s="2" t="str">
        <f t="shared" si="2"/>
        <v>6666010186</v>
      </c>
      <c r="B80" s="33" t="s">
        <v>340</v>
      </c>
      <c r="C80" s="33"/>
      <c r="D80" s="56">
        <v>1211.18</v>
      </c>
      <c r="E80" s="56">
        <v>1341.93</v>
      </c>
    </row>
    <row r="81" spans="1:5">
      <c r="A81" s="2" t="str">
        <f t="shared" si="2"/>
        <v>6666010189</v>
      </c>
      <c r="B81" s="33" t="s">
        <v>341</v>
      </c>
      <c r="C81" s="33"/>
      <c r="D81" s="56">
        <v>5799.69</v>
      </c>
      <c r="E81" s="56">
        <v>0</v>
      </c>
    </row>
    <row r="82" spans="1:5">
      <c r="A82" s="2" t="str">
        <f t="shared" si="2"/>
        <v>6666010012</v>
      </c>
      <c r="B82" s="33" t="s">
        <v>342</v>
      </c>
      <c r="C82" s="33"/>
      <c r="D82" s="56">
        <v>21213.23</v>
      </c>
      <c r="E82" s="56">
        <v>20542.93</v>
      </c>
    </row>
    <row r="83" spans="1:5">
      <c r="A83" s="2" t="str">
        <f t="shared" si="2"/>
        <v>6666010226</v>
      </c>
      <c r="B83" s="33" t="s">
        <v>343</v>
      </c>
      <c r="C83" s="33"/>
      <c r="D83" s="56">
        <v>5591.97</v>
      </c>
      <c r="E83" s="56">
        <v>4507.98</v>
      </c>
    </row>
    <row r="84" spans="1:5">
      <c r="A84" s="2" t="str">
        <f t="shared" si="2"/>
        <v>6666010102</v>
      </c>
      <c r="B84" s="33" t="s">
        <v>344</v>
      </c>
      <c r="C84" s="33"/>
      <c r="D84" s="56">
        <v>124405.66</v>
      </c>
      <c r="E84" s="56">
        <v>124494.11</v>
      </c>
    </row>
    <row r="85" spans="1:15">
      <c r="A85" s="2" t="str">
        <f>B85</f>
        <v>*   CS_Indirect Labour</v>
      </c>
      <c r="B85" s="36" t="s">
        <v>337</v>
      </c>
      <c r="C85" s="33"/>
      <c r="D85" s="57">
        <f>SUM(D78:D84)</f>
        <v>160552.31</v>
      </c>
      <c r="E85" s="57">
        <f t="shared" ref="E85:O85" si="11">SUM(E78:E84)</f>
        <v>153171.57</v>
      </c>
      <c r="F85" s="57">
        <f t="shared" si="11"/>
        <v>0</v>
      </c>
      <c r="G85" s="57">
        <f t="shared" si="11"/>
        <v>0</v>
      </c>
      <c r="H85" s="57">
        <f t="shared" si="11"/>
        <v>0</v>
      </c>
      <c r="I85" s="57">
        <f t="shared" si="11"/>
        <v>0</v>
      </c>
      <c r="J85" s="57">
        <f t="shared" si="11"/>
        <v>0</v>
      </c>
      <c r="K85" s="57">
        <f t="shared" si="11"/>
        <v>0</v>
      </c>
      <c r="L85" s="57">
        <f t="shared" si="11"/>
        <v>0</v>
      </c>
      <c r="M85" s="57">
        <f t="shared" si="11"/>
        <v>0</v>
      </c>
      <c r="N85" s="57">
        <f t="shared" si="11"/>
        <v>0</v>
      </c>
      <c r="O85" s="57">
        <f t="shared" si="11"/>
        <v>0</v>
      </c>
    </row>
    <row r="86" spans="1:5">
      <c r="A86" s="2" t="str">
        <f t="shared" si="2"/>
        <v>6666010196</v>
      </c>
      <c r="B86" s="33" t="s">
        <v>346</v>
      </c>
      <c r="C86" s="33"/>
      <c r="D86" s="56">
        <v>9920.11</v>
      </c>
      <c r="E86" s="56">
        <v>8069.87</v>
      </c>
    </row>
    <row r="87" spans="1:5">
      <c r="A87" s="2" t="str">
        <f t="shared" si="2"/>
        <v>6666010101</v>
      </c>
      <c r="B87" s="33" t="s">
        <v>349</v>
      </c>
      <c r="C87" s="33"/>
      <c r="D87" s="56">
        <v>68815.75</v>
      </c>
      <c r="E87" s="56">
        <v>47413.48</v>
      </c>
    </row>
    <row r="88" spans="1:5">
      <c r="A88" s="2" t="str">
        <f t="shared" si="2"/>
        <v>6666010199</v>
      </c>
      <c r="B88" s="33" t="s">
        <v>350</v>
      </c>
      <c r="C88" s="33"/>
      <c r="D88" s="56">
        <v>1813.16</v>
      </c>
      <c r="E88" s="56">
        <v>-5829.11</v>
      </c>
    </row>
    <row r="89" spans="1:5">
      <c r="A89" s="2" t="str">
        <f t="shared" si="2"/>
        <v>6666010185</v>
      </c>
      <c r="B89" s="33" t="s">
        <v>351</v>
      </c>
      <c r="C89" s="33"/>
      <c r="D89" s="56">
        <v>-114.71</v>
      </c>
      <c r="E89" s="56">
        <v>-108.04</v>
      </c>
    </row>
    <row r="90" spans="1:5">
      <c r="A90" s="2" t="str">
        <f t="shared" si="2"/>
        <v>6666010207</v>
      </c>
      <c r="B90" s="33" t="s">
        <v>352</v>
      </c>
      <c r="C90" s="33"/>
      <c r="D90" s="56">
        <v>1125.63</v>
      </c>
      <c r="E90" s="56">
        <v>897.55</v>
      </c>
    </row>
    <row r="91" spans="1:5">
      <c r="A91" s="2" t="str">
        <f t="shared" si="2"/>
        <v>6666010227</v>
      </c>
      <c r="B91" s="33" t="s">
        <v>353</v>
      </c>
      <c r="C91" s="33"/>
      <c r="D91" s="56">
        <v>1221.04</v>
      </c>
      <c r="E91" s="56">
        <v>854.3</v>
      </c>
    </row>
    <row r="92" spans="1:15">
      <c r="A92" s="2" t="str">
        <f>B92</f>
        <v>*   CS_Fixed Labour</v>
      </c>
      <c r="B92" s="36" t="s">
        <v>347</v>
      </c>
      <c r="C92" s="33"/>
      <c r="D92" s="57">
        <f>SUM(D86:D91)</f>
        <v>82780.98</v>
      </c>
      <c r="E92" s="57">
        <f t="shared" ref="E92:O92" si="12">SUM(E86:E91)</f>
        <v>51298.05</v>
      </c>
      <c r="F92" s="57">
        <f t="shared" si="12"/>
        <v>0</v>
      </c>
      <c r="G92" s="57">
        <f t="shared" si="12"/>
        <v>0</v>
      </c>
      <c r="H92" s="57">
        <f t="shared" si="12"/>
        <v>0</v>
      </c>
      <c r="I92" s="57">
        <f t="shared" si="12"/>
        <v>0</v>
      </c>
      <c r="J92" s="57">
        <f t="shared" si="12"/>
        <v>0</v>
      </c>
      <c r="K92" s="57">
        <f t="shared" si="12"/>
        <v>0</v>
      </c>
      <c r="L92" s="57">
        <f t="shared" si="12"/>
        <v>0</v>
      </c>
      <c r="M92" s="57">
        <f t="shared" si="12"/>
        <v>0</v>
      </c>
      <c r="N92" s="57">
        <f t="shared" si="12"/>
        <v>0</v>
      </c>
      <c r="O92" s="57">
        <f t="shared" si="12"/>
        <v>0</v>
      </c>
    </row>
    <row r="93" spans="1:5">
      <c r="A93" s="2" t="str">
        <f t="shared" si="2"/>
        <v>6666010302</v>
      </c>
      <c r="B93" s="33" t="s">
        <v>354</v>
      </c>
      <c r="C93" s="33"/>
      <c r="D93" s="56">
        <v>0</v>
      </c>
      <c r="E93" s="56">
        <v>9953.3</v>
      </c>
    </row>
    <row r="94" spans="1:5">
      <c r="A94" s="2" t="str">
        <f t="shared" si="2"/>
        <v>6666010314</v>
      </c>
      <c r="B94" s="33" t="s">
        <v>357</v>
      </c>
      <c r="C94" s="33"/>
      <c r="D94" s="56">
        <v>13414.42</v>
      </c>
      <c r="E94" s="56">
        <v>39605.65</v>
      </c>
    </row>
    <row r="95" spans="1:5">
      <c r="A95" s="2" t="str">
        <f t="shared" si="2"/>
        <v>6666020401</v>
      </c>
      <c r="B95" s="33" t="s">
        <v>358</v>
      </c>
      <c r="C95" s="33"/>
      <c r="D95" s="56">
        <v>43363.13</v>
      </c>
      <c r="E95" s="56">
        <v>17145</v>
      </c>
    </row>
    <row r="96" spans="1:5">
      <c r="A96" s="2" t="str">
        <f t="shared" si="2"/>
        <v>6666020502</v>
      </c>
      <c r="B96" s="33" t="s">
        <v>359</v>
      </c>
      <c r="C96" s="33"/>
      <c r="D96" s="56">
        <v>29774.62</v>
      </c>
      <c r="E96" s="56">
        <v>23577.25</v>
      </c>
    </row>
    <row r="97" spans="1:5">
      <c r="A97" s="2" t="str">
        <f t="shared" si="2"/>
        <v>6666020503</v>
      </c>
      <c r="B97" s="33" t="s">
        <v>360</v>
      </c>
      <c r="C97" s="33"/>
      <c r="D97" s="56">
        <v>150.48</v>
      </c>
      <c r="E97" s="56">
        <v>1.03</v>
      </c>
    </row>
    <row r="98" spans="1:5">
      <c r="A98" s="2" t="str">
        <f t="shared" si="2"/>
        <v>6666020805</v>
      </c>
      <c r="B98" s="33" t="s">
        <v>426</v>
      </c>
      <c r="C98" s="33"/>
      <c r="D98" s="56">
        <v>0</v>
      </c>
      <c r="E98" s="56">
        <v>0</v>
      </c>
    </row>
    <row r="99" spans="1:5">
      <c r="A99" s="2" t="str">
        <f t="shared" si="2"/>
        <v>6666020901</v>
      </c>
      <c r="B99" s="33" t="s">
        <v>427</v>
      </c>
      <c r="C99" s="33"/>
      <c r="D99" s="56">
        <v>0</v>
      </c>
      <c r="E99" s="56">
        <v>0</v>
      </c>
    </row>
    <row r="100" spans="1:5">
      <c r="A100" s="2" t="str">
        <f t="shared" si="2"/>
        <v>6666020903</v>
      </c>
      <c r="B100" s="33" t="s">
        <v>428</v>
      </c>
      <c r="C100" s="33"/>
      <c r="D100" s="56">
        <v>0</v>
      </c>
      <c r="E100" s="56">
        <v>0</v>
      </c>
    </row>
    <row r="101" spans="1:5">
      <c r="A101" s="2" t="str">
        <f t="shared" si="2"/>
        <v>6666021502</v>
      </c>
      <c r="B101" s="33" t="s">
        <v>361</v>
      </c>
      <c r="C101" s="33"/>
      <c r="D101" s="56">
        <v>5921.24</v>
      </c>
      <c r="E101" s="56">
        <v>-1025.3</v>
      </c>
    </row>
    <row r="102" spans="1:5">
      <c r="A102" s="2" t="str">
        <f t="shared" si="2"/>
        <v>6666021503</v>
      </c>
      <c r="B102" s="33" t="s">
        <v>362</v>
      </c>
      <c r="C102" s="33"/>
      <c r="D102" s="56">
        <v>-23.33</v>
      </c>
      <c r="E102" s="56">
        <v>-32.48</v>
      </c>
    </row>
    <row r="103" spans="1:5">
      <c r="A103" s="2" t="str">
        <f t="shared" si="2"/>
        <v>6666021505</v>
      </c>
      <c r="B103" s="33" t="s">
        <v>388</v>
      </c>
      <c r="C103" s="33"/>
      <c r="D103" s="56">
        <v>0</v>
      </c>
      <c r="E103" s="56">
        <v>0</v>
      </c>
    </row>
    <row r="104" spans="1:5">
      <c r="A104" s="2" t="str">
        <f t="shared" si="2"/>
        <v>6666021506</v>
      </c>
      <c r="B104" s="33" t="s">
        <v>363</v>
      </c>
      <c r="C104" s="33"/>
      <c r="D104" s="56">
        <v>-1530.43</v>
      </c>
      <c r="E104" s="56">
        <v>4798.46</v>
      </c>
    </row>
    <row r="105" spans="1:5">
      <c r="A105" s="2" t="str">
        <f t="shared" si="2"/>
        <v>6666091600</v>
      </c>
      <c r="B105" s="33" t="s">
        <v>364</v>
      </c>
      <c r="C105" s="33"/>
      <c r="D105" s="56">
        <v>0</v>
      </c>
      <c r="E105" s="56">
        <v>1271.61</v>
      </c>
    </row>
    <row r="106" spans="1:15">
      <c r="A106" s="2" t="str">
        <f>B106</f>
        <v>*   CS_Semifix</v>
      </c>
      <c r="B106" s="36" t="s">
        <v>355</v>
      </c>
      <c r="C106" s="33"/>
      <c r="D106" s="57">
        <f>SUM(D93:D105)</f>
        <v>91070.13</v>
      </c>
      <c r="E106" s="57">
        <f t="shared" ref="E106:O106" si="13">SUM(E93:E105)</f>
        <v>95294.52</v>
      </c>
      <c r="F106" s="57">
        <f t="shared" si="13"/>
        <v>0</v>
      </c>
      <c r="G106" s="57">
        <f t="shared" si="13"/>
        <v>0</v>
      </c>
      <c r="H106" s="57">
        <f t="shared" si="13"/>
        <v>0</v>
      </c>
      <c r="I106" s="57">
        <f t="shared" si="13"/>
        <v>0</v>
      </c>
      <c r="J106" s="57">
        <f t="shared" si="13"/>
        <v>0</v>
      </c>
      <c r="K106" s="57">
        <f t="shared" si="13"/>
        <v>0</v>
      </c>
      <c r="L106" s="57">
        <f t="shared" si="13"/>
        <v>0</v>
      </c>
      <c r="M106" s="57">
        <f t="shared" si="13"/>
        <v>0</v>
      </c>
      <c r="N106" s="57">
        <f t="shared" si="13"/>
        <v>0</v>
      </c>
      <c r="O106" s="57">
        <f t="shared" si="13"/>
        <v>0</v>
      </c>
    </row>
    <row r="107" spans="1:15">
      <c r="A107" s="2" t="s">
        <v>40</v>
      </c>
      <c r="B107" s="41" t="s">
        <v>415</v>
      </c>
      <c r="C107" s="33"/>
      <c r="D107" s="42" t="s">
        <v>429</v>
      </c>
      <c r="E107" s="42" t="s">
        <v>429</v>
      </c>
      <c r="F107" s="42" t="s">
        <v>429</v>
      </c>
      <c r="G107" s="42" t="s">
        <v>429</v>
      </c>
      <c r="H107" s="42" t="s">
        <v>429</v>
      </c>
      <c r="I107" s="42" t="s">
        <v>429</v>
      </c>
      <c r="J107" s="42" t="s">
        <v>429</v>
      </c>
      <c r="K107" s="42" t="s">
        <v>429</v>
      </c>
      <c r="L107" s="42" t="s">
        <v>429</v>
      </c>
      <c r="M107" s="42" t="s">
        <v>429</v>
      </c>
      <c r="N107" s="42" t="s">
        <v>429</v>
      </c>
      <c r="O107" s="42" t="s">
        <v>429</v>
      </c>
    </row>
    <row r="108" spans="1:15">
      <c r="A108" s="2" t="str">
        <f>MID(B108,5,10)</f>
        <v>6666020701</v>
      </c>
      <c r="B108" s="43" t="s">
        <v>430</v>
      </c>
      <c r="C108" s="15"/>
      <c r="D108" s="44">
        <v>10452.76</v>
      </c>
      <c r="E108" s="44">
        <v>8987.48</v>
      </c>
      <c r="F108" s="58"/>
      <c r="G108" s="58"/>
      <c r="H108" s="58"/>
      <c r="I108" s="58"/>
      <c r="J108" s="58"/>
      <c r="K108" s="58"/>
      <c r="L108" s="58"/>
      <c r="M108" s="58"/>
      <c r="N108" s="58"/>
      <c r="O108" s="58"/>
    </row>
    <row r="109" spans="1:15">
      <c r="A109" s="2" t="str">
        <f t="shared" ref="A109:A155" si="14">MID(B109,5,10)</f>
        <v>6666022300</v>
      </c>
      <c r="B109" s="39" t="s">
        <v>303</v>
      </c>
      <c r="C109" s="33"/>
      <c r="D109" s="34">
        <v>4271.36</v>
      </c>
      <c r="E109" s="34">
        <v>4250.29</v>
      </c>
      <c r="F109" s="58"/>
      <c r="G109" s="58"/>
      <c r="H109" s="58"/>
      <c r="I109" s="58"/>
      <c r="J109" s="58"/>
      <c r="K109" s="58"/>
      <c r="L109" s="58"/>
      <c r="M109" s="58"/>
      <c r="N109" s="58"/>
      <c r="O109" s="58"/>
    </row>
    <row r="110" spans="1:15">
      <c r="A110" s="2" t="str">
        <f t="shared" si="14"/>
        <v>6666029700</v>
      </c>
      <c r="B110" s="15" t="s">
        <v>431</v>
      </c>
      <c r="C110" s="15" t="s">
        <v>41</v>
      </c>
      <c r="D110" s="44">
        <v>24027.54</v>
      </c>
      <c r="E110" s="44">
        <v>52704.61</v>
      </c>
      <c r="F110" s="58"/>
      <c r="G110" s="58"/>
      <c r="H110" s="58"/>
      <c r="I110" s="58"/>
      <c r="J110" s="58"/>
      <c r="K110" s="58"/>
      <c r="L110" s="58"/>
      <c r="M110" s="58"/>
      <c r="N110" s="58"/>
      <c r="O110" s="58"/>
    </row>
    <row r="111" spans="1:15">
      <c r="A111" s="2" t="str">
        <f t="shared" si="14"/>
        <v>6666029997</v>
      </c>
      <c r="B111" s="33" t="s">
        <v>307</v>
      </c>
      <c r="C111" s="33" t="s">
        <v>41</v>
      </c>
      <c r="D111" s="34">
        <v>0</v>
      </c>
      <c r="E111" s="34">
        <v>8530</v>
      </c>
      <c r="F111" s="58"/>
      <c r="G111" s="58"/>
      <c r="H111" s="58"/>
      <c r="I111" s="58"/>
      <c r="J111" s="58"/>
      <c r="K111" s="58"/>
      <c r="L111" s="58"/>
      <c r="M111" s="58"/>
      <c r="N111" s="58"/>
      <c r="O111" s="58"/>
    </row>
    <row r="112" spans="1:15">
      <c r="A112" s="2" t="str">
        <f t="shared" si="14"/>
        <v>5301999999</v>
      </c>
      <c r="B112" s="33" t="s">
        <v>275</v>
      </c>
      <c r="C112" s="33" t="s">
        <v>41</v>
      </c>
      <c r="D112" s="34">
        <v>0</v>
      </c>
      <c r="E112" s="34">
        <v>0</v>
      </c>
      <c r="F112" s="58"/>
      <c r="G112" s="58"/>
      <c r="H112" s="58"/>
      <c r="I112" s="58"/>
      <c r="J112" s="58"/>
      <c r="K112" s="58"/>
      <c r="L112" s="58"/>
      <c r="M112" s="58"/>
      <c r="N112" s="58"/>
      <c r="O112" s="58"/>
    </row>
    <row r="113" spans="1:5">
      <c r="A113" s="2" t="str">
        <f t="shared" si="14"/>
        <v>6666079999</v>
      </c>
      <c r="B113" s="15" t="s">
        <v>378</v>
      </c>
      <c r="C113" s="15" t="s">
        <v>41</v>
      </c>
      <c r="D113" s="44">
        <v>31215.04</v>
      </c>
      <c r="E113" s="44">
        <v>31215.04</v>
      </c>
    </row>
    <row r="114" spans="1:5">
      <c r="A114" s="2" t="str">
        <f t="shared" si="14"/>
        <v>5207000011</v>
      </c>
      <c r="B114" s="33" t="s">
        <v>271</v>
      </c>
      <c r="C114" s="33" t="s">
        <v>41</v>
      </c>
      <c r="D114" s="34">
        <v>0</v>
      </c>
      <c r="E114" s="34">
        <v>0</v>
      </c>
    </row>
    <row r="115" spans="1:5">
      <c r="A115" s="2" t="str">
        <f t="shared" si="14"/>
        <v>6666029900</v>
      </c>
      <c r="B115" s="39" t="s">
        <v>432</v>
      </c>
      <c r="C115" s="33" t="s">
        <v>41</v>
      </c>
      <c r="D115" s="34">
        <v>158.98</v>
      </c>
      <c r="E115" s="34">
        <v>34.08</v>
      </c>
    </row>
    <row r="116" spans="1:5">
      <c r="A116" s="2" t="str">
        <f t="shared" si="14"/>
        <v>5102040000</v>
      </c>
      <c r="B116" s="39" t="s">
        <v>433</v>
      </c>
      <c r="C116" s="33"/>
      <c r="D116" s="34">
        <v>-22.69</v>
      </c>
      <c r="E116" s="34">
        <v>0</v>
      </c>
    </row>
    <row r="117" spans="1:5">
      <c r="A117" s="2" t="str">
        <f t="shared" si="14"/>
        <v>5102040406</v>
      </c>
      <c r="B117" s="39" t="s">
        <v>434</v>
      </c>
      <c r="C117" s="33"/>
      <c r="D117" s="34">
        <v>4.91</v>
      </c>
      <c r="E117" s="34">
        <v>0</v>
      </c>
    </row>
    <row r="118" spans="1:5">
      <c r="A118" s="2" t="str">
        <f t="shared" si="14"/>
        <v>5102040894</v>
      </c>
      <c r="B118" s="39" t="s">
        <v>435</v>
      </c>
      <c r="C118" s="33"/>
      <c r="D118" s="34">
        <v>100.040000000001</v>
      </c>
      <c r="E118" s="34">
        <v>0</v>
      </c>
    </row>
    <row r="119" spans="1:5">
      <c r="A119" s="2" t="str">
        <f t="shared" si="14"/>
        <v>5301060000</v>
      </c>
      <c r="B119" s="39" t="s">
        <v>436</v>
      </c>
      <c r="C119" s="33"/>
      <c r="D119" s="34">
        <v>-34.56</v>
      </c>
      <c r="E119" s="34">
        <v>0</v>
      </c>
    </row>
    <row r="120" spans="1:5">
      <c r="A120" s="2" t="str">
        <f t="shared" si="14"/>
        <v>5601050100</v>
      </c>
      <c r="B120" s="39" t="s">
        <v>437</v>
      </c>
      <c r="C120" s="33"/>
      <c r="D120" s="34">
        <v>43.62</v>
      </c>
      <c r="E120" s="34">
        <v>463.64</v>
      </c>
    </row>
    <row r="121" spans="1:5">
      <c r="A121" s="2" t="str">
        <f t="shared" si="14"/>
        <v>5601080000</v>
      </c>
      <c r="B121" s="39" t="s">
        <v>438</v>
      </c>
      <c r="C121" s="33"/>
      <c r="D121" s="34">
        <v>961.8</v>
      </c>
      <c r="E121" s="34">
        <v>0.01</v>
      </c>
    </row>
    <row r="122" spans="1:5">
      <c r="A122" s="2" t="str">
        <f t="shared" si="14"/>
        <v>5801000041</v>
      </c>
      <c r="B122" s="39" t="s">
        <v>439</v>
      </c>
      <c r="C122" s="33"/>
      <c r="D122" s="34">
        <v>0</v>
      </c>
      <c r="E122" s="34">
        <v>0</v>
      </c>
    </row>
    <row r="123" spans="1:5">
      <c r="A123" s="2" t="str">
        <f t="shared" si="14"/>
        <v>6666010012</v>
      </c>
      <c r="B123" s="39" t="s">
        <v>440</v>
      </c>
      <c r="C123" s="33"/>
      <c r="D123" s="34">
        <v>22.51</v>
      </c>
      <c r="E123" s="34">
        <v>26.62</v>
      </c>
    </row>
    <row r="124" spans="1:5">
      <c r="A124" s="2" t="str">
        <f t="shared" si="14"/>
        <v>6666010101</v>
      </c>
      <c r="B124" s="39" t="s">
        <v>441</v>
      </c>
      <c r="C124" s="33"/>
      <c r="D124" s="34">
        <v>7832.76</v>
      </c>
      <c r="E124" s="34">
        <v>15108.36</v>
      </c>
    </row>
    <row r="125" spans="1:5">
      <c r="A125" s="2" t="str">
        <f t="shared" si="14"/>
        <v>6666010102</v>
      </c>
      <c r="B125" s="39" t="s">
        <v>442</v>
      </c>
      <c r="C125" s="33"/>
      <c r="D125" s="34">
        <v>133.21</v>
      </c>
      <c r="E125" s="34">
        <v>143.6</v>
      </c>
    </row>
    <row r="126" spans="1:5">
      <c r="A126" s="2" t="str">
        <f t="shared" si="14"/>
        <v>6666010196</v>
      </c>
      <c r="B126" s="39" t="s">
        <v>443</v>
      </c>
      <c r="C126" s="33"/>
      <c r="D126" s="34">
        <v>1137.65</v>
      </c>
      <c r="E126" s="34">
        <v>1120.88</v>
      </c>
    </row>
    <row r="127" spans="1:5">
      <c r="A127" s="2" t="str">
        <f t="shared" si="14"/>
        <v>6666010199</v>
      </c>
      <c r="B127" s="39" t="s">
        <v>444</v>
      </c>
      <c r="C127" s="33"/>
      <c r="D127" s="34">
        <v>1045.65</v>
      </c>
      <c r="E127" s="34">
        <v>-39.19</v>
      </c>
    </row>
    <row r="128" spans="1:5">
      <c r="A128" s="2" t="str">
        <f t="shared" si="14"/>
        <v>6666010207</v>
      </c>
      <c r="B128" s="39" t="s">
        <v>445</v>
      </c>
      <c r="C128" s="33"/>
      <c r="D128" s="34">
        <v>144.47</v>
      </c>
      <c r="E128" s="34">
        <v>140.25</v>
      </c>
    </row>
    <row r="129" spans="1:5">
      <c r="A129" s="2" t="str">
        <f t="shared" si="14"/>
        <v>6666010227</v>
      </c>
      <c r="B129" s="39" t="s">
        <v>446</v>
      </c>
      <c r="C129" s="33"/>
      <c r="D129" s="34">
        <v>165.13</v>
      </c>
      <c r="E129" s="34">
        <v>145.8</v>
      </c>
    </row>
    <row r="130" spans="1:5">
      <c r="A130" s="2" t="str">
        <f t="shared" si="14"/>
        <v>6666010314</v>
      </c>
      <c r="B130" s="39" t="s">
        <v>447</v>
      </c>
      <c r="C130" s="33"/>
      <c r="D130" s="34">
        <v>102.9</v>
      </c>
      <c r="E130" s="34">
        <v>0</v>
      </c>
    </row>
    <row r="131" spans="1:5">
      <c r="A131" s="2" t="str">
        <f t="shared" si="14"/>
        <v>6666010322</v>
      </c>
      <c r="B131" s="39" t="s">
        <v>448</v>
      </c>
      <c r="C131" s="33"/>
      <c r="D131" s="34">
        <v>20.65</v>
      </c>
      <c r="E131" s="34">
        <v>1.25</v>
      </c>
    </row>
    <row r="132" spans="1:5">
      <c r="A132" s="2" t="str">
        <f t="shared" si="14"/>
        <v>6666020201</v>
      </c>
      <c r="B132" s="39" t="s">
        <v>449</v>
      </c>
      <c r="C132" s="33"/>
      <c r="D132" s="34">
        <v>35.86</v>
      </c>
      <c r="E132" s="34">
        <v>59.2</v>
      </c>
    </row>
    <row r="133" spans="1:5">
      <c r="A133" s="2" t="str">
        <f t="shared" si="14"/>
        <v>6666020301</v>
      </c>
      <c r="B133" s="43" t="s">
        <v>450</v>
      </c>
      <c r="C133" s="33"/>
      <c r="D133" s="34">
        <v>4.2</v>
      </c>
      <c r="E133" s="34">
        <v>81.52</v>
      </c>
    </row>
    <row r="134" spans="1:5">
      <c r="A134" s="2" t="str">
        <f t="shared" si="14"/>
        <v>6666020495</v>
      </c>
      <c r="B134" s="39" t="s">
        <v>451</v>
      </c>
      <c r="C134" s="33"/>
      <c r="D134" s="34">
        <v>1.39</v>
      </c>
      <c r="E134" s="34">
        <v>1371.96</v>
      </c>
    </row>
    <row r="135" spans="1:5">
      <c r="A135" s="2" t="str">
        <f t="shared" si="14"/>
        <v>6666020502</v>
      </c>
      <c r="B135" s="39" t="s">
        <v>452</v>
      </c>
      <c r="C135" s="33"/>
      <c r="D135" s="34">
        <v>325.58</v>
      </c>
      <c r="E135" s="34">
        <v>-593.49</v>
      </c>
    </row>
    <row r="136" spans="1:5">
      <c r="A136" s="2" t="str">
        <f t="shared" si="14"/>
        <v>6666020508</v>
      </c>
      <c r="B136" s="39" t="s">
        <v>453</v>
      </c>
      <c r="C136" s="33"/>
      <c r="D136" s="34">
        <v>18.96</v>
      </c>
      <c r="E136" s="34">
        <v>3.13</v>
      </c>
    </row>
    <row r="137" spans="1:5">
      <c r="A137" s="2" t="str">
        <f t="shared" si="14"/>
        <v>6666020803</v>
      </c>
      <c r="B137" s="39" t="s">
        <v>454</v>
      </c>
      <c r="C137" s="33"/>
      <c r="D137" s="34">
        <v>-8.01</v>
      </c>
      <c r="E137" s="34">
        <v>0</v>
      </c>
    </row>
    <row r="138" spans="1:5">
      <c r="A138" s="2" t="str">
        <f t="shared" si="14"/>
        <v>6666021102</v>
      </c>
      <c r="B138" s="39" t="s">
        <v>455</v>
      </c>
      <c r="C138" s="33"/>
      <c r="D138" s="34">
        <v>134.09</v>
      </c>
      <c r="E138" s="34">
        <v>2099.03</v>
      </c>
    </row>
    <row r="139" spans="1:5">
      <c r="A139" s="2" t="str">
        <f t="shared" si="14"/>
        <v>6666021300</v>
      </c>
      <c r="B139" s="39" t="s">
        <v>456</v>
      </c>
      <c r="C139" s="33"/>
      <c r="D139" s="34">
        <v>543.14</v>
      </c>
      <c r="E139" s="34">
        <v>0</v>
      </c>
    </row>
    <row r="140" spans="1:5">
      <c r="A140" s="2" t="str">
        <f t="shared" si="14"/>
        <v>6666021600</v>
      </c>
      <c r="B140" s="39" t="s">
        <v>457</v>
      </c>
      <c r="C140" s="33"/>
      <c r="D140" s="34">
        <v>378.26</v>
      </c>
      <c r="E140" s="34">
        <v>2872.82</v>
      </c>
    </row>
    <row r="141" spans="1:5">
      <c r="A141" s="2" t="str">
        <f t="shared" si="14"/>
        <v>6666029996</v>
      </c>
      <c r="B141" s="39" t="s">
        <v>458</v>
      </c>
      <c r="C141" s="33"/>
      <c r="D141" s="34">
        <v>8.79</v>
      </c>
      <c r="E141" s="34">
        <v>8.12</v>
      </c>
    </row>
    <row r="142" spans="1:5">
      <c r="A142" s="2" t="str">
        <f t="shared" si="14"/>
        <v>6666093800</v>
      </c>
      <c r="B142" s="39" t="s">
        <v>459</v>
      </c>
      <c r="C142" s="33"/>
      <c r="D142" s="34">
        <v>20.99</v>
      </c>
      <c r="E142" s="34">
        <v>26.03</v>
      </c>
    </row>
    <row r="143" spans="1:5">
      <c r="A143" s="2" t="str">
        <f t="shared" si="14"/>
        <v>6666110110</v>
      </c>
      <c r="B143" s="39" t="s">
        <v>460</v>
      </c>
      <c r="C143" s="33"/>
      <c r="D143" s="34">
        <v>19.99</v>
      </c>
      <c r="E143" s="34">
        <v>18.05</v>
      </c>
    </row>
    <row r="144" spans="1:5">
      <c r="A144" s="2" t="str">
        <f t="shared" si="14"/>
        <v>6666110112</v>
      </c>
      <c r="B144" s="39" t="s">
        <v>461</v>
      </c>
      <c r="C144" s="33"/>
      <c r="D144" s="34">
        <v>21.81</v>
      </c>
      <c r="E144" s="34">
        <v>19.7</v>
      </c>
    </row>
    <row r="145" spans="1:5">
      <c r="A145" s="2" t="str">
        <f t="shared" si="14"/>
        <v>6666110207</v>
      </c>
      <c r="B145" s="39" t="s">
        <v>462</v>
      </c>
      <c r="C145" s="33"/>
      <c r="D145" s="34">
        <v>19.11</v>
      </c>
      <c r="E145" s="34">
        <v>17.27</v>
      </c>
    </row>
    <row r="146" spans="1:5">
      <c r="A146" s="2" t="str">
        <f t="shared" si="14"/>
        <v>6666110506</v>
      </c>
      <c r="B146" s="39" t="s">
        <v>463</v>
      </c>
      <c r="C146" s="33"/>
      <c r="D146" s="34">
        <v>21.32</v>
      </c>
      <c r="E146" s="34">
        <v>19.26</v>
      </c>
    </row>
    <row r="147" spans="1:5">
      <c r="A147" s="2" t="str">
        <f t="shared" si="14"/>
        <v>5601050000</v>
      </c>
      <c r="B147" s="39" t="s">
        <v>464</v>
      </c>
      <c r="C147" s="33"/>
      <c r="D147" s="34">
        <v>21.32</v>
      </c>
      <c r="E147" s="34">
        <v>2.57</v>
      </c>
    </row>
    <row r="148" spans="1:5">
      <c r="A148" s="2" t="str">
        <f t="shared" si="14"/>
        <v>5601050099</v>
      </c>
      <c r="B148" s="39" t="s">
        <v>465</v>
      </c>
      <c r="C148" s="33"/>
      <c r="D148" s="34">
        <v>21.32</v>
      </c>
      <c r="E148" s="34">
        <v>0</v>
      </c>
    </row>
    <row r="149" spans="1:5">
      <c r="A149" s="2" t="str">
        <f t="shared" si="14"/>
        <v>6666020503</v>
      </c>
      <c r="B149" s="39" t="s">
        <v>466</v>
      </c>
      <c r="C149" s="33"/>
      <c r="D149" s="34">
        <v>21.32</v>
      </c>
      <c r="E149" s="34">
        <v>3.22</v>
      </c>
    </row>
    <row r="150" spans="1:5">
      <c r="A150" s="2" t="str">
        <f t="shared" si="14"/>
        <v>6666021100</v>
      </c>
      <c r="B150" s="39" t="s">
        <v>467</v>
      </c>
      <c r="C150" s="33"/>
      <c r="D150" s="34">
        <v>21.32</v>
      </c>
      <c r="E150" s="34">
        <v>304.73</v>
      </c>
    </row>
    <row r="151" spans="1:5">
      <c r="A151" s="2" t="str">
        <f t="shared" si="14"/>
        <v>6666021502</v>
      </c>
      <c r="B151" s="39" t="s">
        <v>468</v>
      </c>
      <c r="C151" s="33"/>
      <c r="D151" s="34">
        <v>21.32</v>
      </c>
      <c r="E151" s="34">
        <v>560.08</v>
      </c>
    </row>
    <row r="152" spans="1:5">
      <c r="A152" s="2" t="str">
        <f t="shared" si="14"/>
        <v>6666021902</v>
      </c>
      <c r="B152" s="39" t="s">
        <v>469</v>
      </c>
      <c r="C152" s="33"/>
      <c r="D152" s="34">
        <v>21.32</v>
      </c>
      <c r="E152" s="34">
        <v>0</v>
      </c>
    </row>
    <row r="153" spans="1:5">
      <c r="A153" s="2" t="str">
        <f t="shared" si="14"/>
        <v>6666022100</v>
      </c>
      <c r="B153" s="39" t="s">
        <v>470</v>
      </c>
      <c r="C153" s="33"/>
      <c r="D153" s="34">
        <v>21.32</v>
      </c>
      <c r="E153" s="34">
        <v>0.05</v>
      </c>
    </row>
    <row r="154" spans="1:5">
      <c r="A154" s="2" t="str">
        <f t="shared" si="14"/>
        <v>6666050107</v>
      </c>
      <c r="B154" s="39" t="s">
        <v>471</v>
      </c>
      <c r="C154" s="33"/>
      <c r="D154" s="34">
        <v>21.32</v>
      </c>
      <c r="E154" s="34">
        <v>2</v>
      </c>
    </row>
    <row r="155" spans="1:5">
      <c r="A155" s="2" t="str">
        <f t="shared" si="14"/>
        <v>6666091600</v>
      </c>
      <c r="B155" s="39" t="s">
        <v>472</v>
      </c>
      <c r="C155" s="33"/>
      <c r="D155" s="34">
        <v>21.32</v>
      </c>
      <c r="E155" s="34">
        <v>0.25</v>
      </c>
    </row>
    <row r="156" spans="1:15">
      <c r="A156" s="2" t="s">
        <v>473</v>
      </c>
      <c r="B156" s="46"/>
      <c r="C156" s="36"/>
      <c r="D156" s="47">
        <f t="shared" ref="D156" si="15">SUM(D108:D146)</f>
        <v>83329.21</v>
      </c>
      <c r="E156" s="47">
        <f>SUM(E108:E155)</f>
        <v>129708.22</v>
      </c>
      <c r="F156" s="47">
        <f t="shared" ref="F156:O156" si="16">SUM(F108:F146)</f>
        <v>0</v>
      </c>
      <c r="G156" s="47">
        <f t="shared" si="16"/>
        <v>0</v>
      </c>
      <c r="H156" s="47">
        <f t="shared" si="16"/>
        <v>0</v>
      </c>
      <c r="I156" s="47">
        <f t="shared" si="16"/>
        <v>0</v>
      </c>
      <c r="J156" s="47">
        <f t="shared" si="16"/>
        <v>0</v>
      </c>
      <c r="K156" s="47">
        <f t="shared" si="16"/>
        <v>0</v>
      </c>
      <c r="L156" s="47">
        <f t="shared" si="16"/>
        <v>0</v>
      </c>
      <c r="M156" s="47">
        <f t="shared" si="16"/>
        <v>0</v>
      </c>
      <c r="N156" s="47">
        <f t="shared" si="16"/>
        <v>0</v>
      </c>
      <c r="O156" s="47">
        <f t="shared" si="16"/>
        <v>0</v>
      </c>
    </row>
    <row r="157" spans="1:15">
      <c r="A157" s="10" t="s">
        <v>474</v>
      </c>
      <c r="B157" s="10" t="s">
        <v>474</v>
      </c>
      <c r="C157" s="10"/>
      <c r="D157" s="10">
        <f>D20+D25+D67+D71+D77</f>
        <v>318070.54</v>
      </c>
      <c r="E157" s="10">
        <f>E20+E25+E67+E71+E77</f>
        <v>312954.6</v>
      </c>
      <c r="F157" s="10">
        <f t="shared" ref="F157:O157" si="17">F20+F25+F67+F71+F77</f>
        <v>0</v>
      </c>
      <c r="G157" s="10">
        <f t="shared" si="17"/>
        <v>0</v>
      </c>
      <c r="H157" s="10">
        <f t="shared" si="17"/>
        <v>0</v>
      </c>
      <c r="I157" s="10">
        <f t="shared" si="17"/>
        <v>0</v>
      </c>
      <c r="J157" s="10">
        <f t="shared" si="17"/>
        <v>0</v>
      </c>
      <c r="K157" s="10">
        <f t="shared" si="17"/>
        <v>0</v>
      </c>
      <c r="L157" s="10">
        <f t="shared" si="17"/>
        <v>0</v>
      </c>
      <c r="M157" s="10">
        <f t="shared" si="17"/>
        <v>0</v>
      </c>
      <c r="N157" s="10">
        <f t="shared" si="17"/>
        <v>0</v>
      </c>
      <c r="O157" s="10">
        <f t="shared" si="17"/>
        <v>0</v>
      </c>
    </row>
    <row r="158" spans="1:15">
      <c r="A158" s="10" t="s">
        <v>475</v>
      </c>
      <c r="B158" s="10" t="s">
        <v>475</v>
      </c>
      <c r="C158" s="10"/>
      <c r="D158" s="10">
        <f>D12+D63+D69+D73+D85+D92+D106</f>
        <v>602856.79</v>
      </c>
      <c r="E158" s="10">
        <f>E12+E63+E69+E73+E85+E92+E106</f>
        <v>546931.97</v>
      </c>
      <c r="F158" s="10">
        <f t="shared" ref="F158:O158" si="18">F12+F63+F69+F73+F85+F92+F106</f>
        <v>0</v>
      </c>
      <c r="G158" s="10">
        <f t="shared" si="18"/>
        <v>0</v>
      </c>
      <c r="H158" s="10">
        <f t="shared" si="18"/>
        <v>0</v>
      </c>
      <c r="I158" s="10">
        <f t="shared" si="18"/>
        <v>0</v>
      </c>
      <c r="J158" s="10">
        <f t="shared" si="18"/>
        <v>0</v>
      </c>
      <c r="K158" s="10">
        <f t="shared" si="18"/>
        <v>0</v>
      </c>
      <c r="L158" s="10">
        <f t="shared" si="18"/>
        <v>0</v>
      </c>
      <c r="M158" s="10">
        <f t="shared" si="18"/>
        <v>0</v>
      </c>
      <c r="N158" s="10">
        <f t="shared" si="18"/>
        <v>0</v>
      </c>
      <c r="O158" s="10">
        <f t="shared" si="18"/>
        <v>0</v>
      </c>
    </row>
    <row r="159" ht="15" customHeight="1" spans="1:15">
      <c r="A159" s="10" t="s">
        <v>476</v>
      </c>
      <c r="B159" s="10" t="s">
        <v>476</v>
      </c>
      <c r="C159" s="10"/>
      <c r="D159" s="10">
        <f>D158+D157</f>
        <v>920927.33</v>
      </c>
      <c r="E159" s="10">
        <f>E158+E157</f>
        <v>859886.57</v>
      </c>
      <c r="F159" s="10">
        <f t="shared" ref="F159:O159" si="19">F158+F157</f>
        <v>0</v>
      </c>
      <c r="G159" s="10">
        <f t="shared" si="19"/>
        <v>0</v>
      </c>
      <c r="H159" s="10">
        <f t="shared" si="19"/>
        <v>0</v>
      </c>
      <c r="I159" s="10">
        <f t="shared" si="19"/>
        <v>0</v>
      </c>
      <c r="J159" s="10">
        <f t="shared" si="19"/>
        <v>0</v>
      </c>
      <c r="K159" s="10">
        <f t="shared" si="19"/>
        <v>0</v>
      </c>
      <c r="L159" s="10">
        <f t="shared" si="19"/>
        <v>0</v>
      </c>
      <c r="M159" s="10">
        <f t="shared" si="19"/>
        <v>0</v>
      </c>
      <c r="N159" s="10">
        <f t="shared" si="19"/>
        <v>0</v>
      </c>
      <c r="O159" s="10">
        <f t="shared" si="19"/>
        <v>0</v>
      </c>
    </row>
    <row r="160" ht="15" customHeight="1" spans="1:15">
      <c r="A160" s="10" t="s">
        <v>473</v>
      </c>
      <c r="B160" s="10"/>
      <c r="C160" s="10"/>
      <c r="D160" s="10">
        <f>D156</f>
        <v>83329.21</v>
      </c>
      <c r="E160" s="10">
        <f>E156</f>
        <v>129708.22</v>
      </c>
      <c r="F160" s="10">
        <f t="shared" ref="F160:O160" si="20">F156</f>
        <v>0</v>
      </c>
      <c r="G160" s="10">
        <f t="shared" si="20"/>
        <v>0</v>
      </c>
      <c r="H160" s="10">
        <f t="shared" si="20"/>
        <v>0</v>
      </c>
      <c r="I160" s="10">
        <f t="shared" si="20"/>
        <v>0</v>
      </c>
      <c r="J160" s="10">
        <f t="shared" si="20"/>
        <v>0</v>
      </c>
      <c r="K160" s="10">
        <f t="shared" si="20"/>
        <v>0</v>
      </c>
      <c r="L160" s="10">
        <f t="shared" si="20"/>
        <v>0</v>
      </c>
      <c r="M160" s="10">
        <f t="shared" si="20"/>
        <v>0</v>
      </c>
      <c r="N160" s="10">
        <f t="shared" si="20"/>
        <v>0</v>
      </c>
      <c r="O160" s="10">
        <f t="shared" si="20"/>
        <v>0</v>
      </c>
    </row>
    <row r="161" spans="1:15">
      <c r="A161" s="48" t="s">
        <v>477</v>
      </c>
      <c r="B161" s="59"/>
      <c r="C161" s="59"/>
      <c r="D161" s="60">
        <f>D160+D159</f>
        <v>1004256.54</v>
      </c>
      <c r="E161" s="60">
        <f>E160+E159</f>
        <v>989594.79</v>
      </c>
      <c r="F161" s="60">
        <f t="shared" ref="F161:O161" si="21">F160+F159</f>
        <v>0</v>
      </c>
      <c r="G161" s="60">
        <f t="shared" si="21"/>
        <v>0</v>
      </c>
      <c r="H161" s="60">
        <f t="shared" si="21"/>
        <v>0</v>
      </c>
      <c r="I161" s="60">
        <f t="shared" si="21"/>
        <v>0</v>
      </c>
      <c r="J161" s="60">
        <f t="shared" si="21"/>
        <v>0</v>
      </c>
      <c r="K161" s="60">
        <f t="shared" si="21"/>
        <v>0</v>
      </c>
      <c r="L161" s="60">
        <f t="shared" si="21"/>
        <v>0</v>
      </c>
      <c r="M161" s="60">
        <f t="shared" si="21"/>
        <v>0</v>
      </c>
      <c r="N161" s="60">
        <f t="shared" si="21"/>
        <v>0</v>
      </c>
      <c r="O161" s="60">
        <f t="shared" si="21"/>
        <v>0</v>
      </c>
    </row>
    <row r="162" spans="1:15">
      <c r="A162" s="2" t="s">
        <v>478</v>
      </c>
      <c r="B162" s="2" t="s">
        <v>479</v>
      </c>
      <c r="D162" s="30">
        <f>D161/D1</f>
        <v>29.692405534859</v>
      </c>
      <c r="E162" s="30">
        <f>E161/E1</f>
        <v>28.2402485588722</v>
      </c>
      <c r="F162" s="30" t="e">
        <f t="shared" ref="F162:O162" si="22">F161/F1</f>
        <v>#DIV/0!</v>
      </c>
      <c r="G162" s="30" t="e">
        <f t="shared" si="22"/>
        <v>#DIV/0!</v>
      </c>
      <c r="H162" s="30" t="e">
        <f t="shared" si="22"/>
        <v>#DIV/0!</v>
      </c>
      <c r="I162" s="30" t="e">
        <f t="shared" si="22"/>
        <v>#DIV/0!</v>
      </c>
      <c r="J162" s="30" t="e">
        <f t="shared" si="22"/>
        <v>#DIV/0!</v>
      </c>
      <c r="K162" s="30" t="e">
        <f t="shared" si="22"/>
        <v>#DIV/0!</v>
      </c>
      <c r="L162" s="30" t="e">
        <f t="shared" si="22"/>
        <v>#DIV/0!</v>
      </c>
      <c r="M162" s="30" t="e">
        <f t="shared" si="22"/>
        <v>#DIV/0!</v>
      </c>
      <c r="N162" s="30" t="e">
        <f t="shared" si="22"/>
        <v>#DIV/0!</v>
      </c>
      <c r="O162" s="30" t="e">
        <f t="shared" si="22"/>
        <v>#DIV/0!</v>
      </c>
    </row>
    <row r="166" spans="1:1">
      <c r="A166" s="2" t="s">
        <v>480</v>
      </c>
    </row>
    <row r="167" spans="1:5">
      <c r="A167" s="21" t="s">
        <v>22</v>
      </c>
      <c r="B167" t="s">
        <v>59</v>
      </c>
      <c r="C167"/>
      <c r="D167" s="4">
        <f>D12</f>
        <v>184679.67</v>
      </c>
      <c r="E167" s="4">
        <f>E12</f>
        <v>169266.14</v>
      </c>
    </row>
    <row r="168" spans="1:5">
      <c r="A168" s="21"/>
      <c r="B168" t="s">
        <v>24</v>
      </c>
      <c r="C168"/>
      <c r="D168" s="4">
        <f>D63</f>
        <v>42540.56</v>
      </c>
      <c r="E168" s="4">
        <f>E63</f>
        <v>39564.99</v>
      </c>
    </row>
    <row r="169" spans="1:5">
      <c r="A169" s="21"/>
      <c r="B169" t="s">
        <v>25</v>
      </c>
      <c r="C169"/>
      <c r="D169" s="4">
        <f>D69</f>
        <v>24151.03</v>
      </c>
      <c r="E169" s="4">
        <f>E69</f>
        <v>20000</v>
      </c>
    </row>
    <row r="170" spans="1:5">
      <c r="A170" s="21"/>
      <c r="B170" t="s">
        <v>26</v>
      </c>
      <c r="C170"/>
      <c r="D170" s="30">
        <f>D73</f>
        <v>17082.11</v>
      </c>
      <c r="E170" s="30">
        <f>E73</f>
        <v>18336.7</v>
      </c>
    </row>
    <row r="171" spans="1:5">
      <c r="A171" s="21"/>
      <c r="B171" t="s">
        <v>27</v>
      </c>
      <c r="C171"/>
      <c r="D171" s="4">
        <f>D85</f>
        <v>160552.31</v>
      </c>
      <c r="E171" s="4">
        <f>E85</f>
        <v>153171.57</v>
      </c>
    </row>
    <row r="172" spans="1:5">
      <c r="A172" s="21"/>
      <c r="B172" t="s">
        <v>28</v>
      </c>
      <c r="C172"/>
      <c r="D172" s="4">
        <f>D92</f>
        <v>82780.98</v>
      </c>
      <c r="E172" s="4">
        <f>E92</f>
        <v>51298.05</v>
      </c>
    </row>
    <row r="173" spans="1:5">
      <c r="A173" s="21"/>
      <c r="B173" t="s">
        <v>29</v>
      </c>
      <c r="C173"/>
      <c r="D173" s="4">
        <f>D106</f>
        <v>91070.13</v>
      </c>
      <c r="E173" s="4">
        <f>E106</f>
        <v>95294.52</v>
      </c>
    </row>
    <row r="174" spans="1:5">
      <c r="A174" s="21" t="s">
        <v>30</v>
      </c>
      <c r="B174" t="s">
        <v>31</v>
      </c>
      <c r="C174"/>
      <c r="D174" s="4">
        <f>D20</f>
        <v>308514.46</v>
      </c>
      <c r="E174" s="4">
        <f>E20</f>
        <v>290096.98</v>
      </c>
    </row>
    <row r="175" spans="1:5">
      <c r="A175" s="21"/>
      <c r="B175" t="s">
        <v>32</v>
      </c>
      <c r="C175"/>
      <c r="D175" s="4">
        <f>D25</f>
        <v>12498.61</v>
      </c>
      <c r="E175" s="4">
        <f>E25</f>
        <v>11976.34</v>
      </c>
    </row>
    <row r="176" spans="1:5">
      <c r="A176" s="21"/>
      <c r="B176" t="s">
        <v>33</v>
      </c>
      <c r="C176"/>
      <c r="D176" s="4">
        <f>D67</f>
        <v>-1133.82</v>
      </c>
      <c r="E176" s="4">
        <f>E67</f>
        <v>-5660.43</v>
      </c>
    </row>
    <row r="177" spans="1:5">
      <c r="A177" s="21"/>
      <c r="B177" t="s">
        <v>34</v>
      </c>
      <c r="C177"/>
      <c r="D177" s="4">
        <f>D71</f>
        <v>-20407.01</v>
      </c>
      <c r="E177" s="4">
        <f>E71</f>
        <v>-7604.92</v>
      </c>
    </row>
    <row r="178" spans="1:5">
      <c r="A178" s="21"/>
      <c r="B178" t="s">
        <v>35</v>
      </c>
      <c r="C178"/>
      <c r="D178" s="4">
        <f>D77</f>
        <v>18598.3</v>
      </c>
      <c r="E178" s="4">
        <f>E77</f>
        <v>24146.63</v>
      </c>
    </row>
    <row r="179" spans="1:5">
      <c r="A179" s="21" t="s">
        <v>36</v>
      </c>
      <c r="B179"/>
      <c r="C179"/>
      <c r="D179" s="4">
        <f>D156</f>
        <v>83329.21</v>
      </c>
      <c r="E179" s="4">
        <f>E156</f>
        <v>129708.22</v>
      </c>
    </row>
    <row r="181" spans="1:5">
      <c r="A181" s="25" t="s">
        <v>41</v>
      </c>
      <c r="D181" s="4">
        <f>SUMIFS(D4:D155,$C$4:$C$155,$A$181)</f>
        <v>146109.38</v>
      </c>
      <c r="E181" s="4">
        <f>SUMIFS(E4:E155,$C$4:$C$155,$A$181)</f>
        <v>191389.43</v>
      </c>
    </row>
  </sheetData>
  <autoFilter xmlns:etc="http://www.wps.cn/officeDocument/2017/etCustomData" ref="A3:Q162" etc:filterBottomFollowUsedRange="0">
    <extLst/>
  </autoFilter>
  <mergeCells count="2">
    <mergeCell ref="A167:A173"/>
    <mergeCell ref="A174:A178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4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P4" sqref="B4:B12 P4:P12"/>
    </sheetView>
  </sheetViews>
  <sheetFormatPr defaultColWidth="9.08333333333333" defaultRowHeight="13.8"/>
  <cols>
    <col min="1" max="1" width="24.0833333333333" style="2" customWidth="1"/>
    <col min="2" max="2" width="51.0833333333333" style="2" customWidth="1"/>
    <col min="3" max="3" width="13.4166666666667" style="2" customWidth="1"/>
    <col min="4" max="4" width="14.0833333333333" style="4" customWidth="1"/>
    <col min="5" max="5" width="15.4166666666667" style="4" customWidth="1"/>
    <col min="6" max="6" width="15.4166666666667" style="4" hidden="1" customWidth="1"/>
    <col min="7" max="7" width="14.0833333333333" style="4" hidden="1" customWidth="1"/>
    <col min="8" max="15" width="15.4166666666667" style="4" hidden="1" customWidth="1"/>
    <col min="16" max="16" width="21" style="2" customWidth="1"/>
    <col min="17" max="17" width="36.4166666666667" style="2" customWidth="1"/>
    <col min="18" max="24" width="10.4166666666667" style="2" customWidth="1"/>
    <col min="25" max="16384" width="9.08333333333333" style="2"/>
  </cols>
  <sheetData>
    <row r="1" spans="2:16">
      <c r="B1" s="2" t="s">
        <v>413</v>
      </c>
      <c r="D1" s="4">
        <v>45890</v>
      </c>
      <c r="E1" s="4">
        <v>47063</v>
      </c>
      <c r="P1" s="37" t="s">
        <v>481</v>
      </c>
    </row>
    <row r="2" spans="4:15">
      <c r="D2" s="4" t="s">
        <v>414</v>
      </c>
      <c r="E2" s="4" t="s">
        <v>414</v>
      </c>
      <c r="F2" s="4" t="s">
        <v>414</v>
      </c>
      <c r="G2" s="4" t="s">
        <v>414</v>
      </c>
      <c r="H2" s="4" t="s">
        <v>414</v>
      </c>
      <c r="I2" s="4" t="s">
        <v>414</v>
      </c>
      <c r="J2" s="4" t="s">
        <v>414</v>
      </c>
      <c r="K2" s="4" t="s">
        <v>414</v>
      </c>
      <c r="L2" s="4" t="s">
        <v>414</v>
      </c>
      <c r="M2" s="4" t="s">
        <v>414</v>
      </c>
      <c r="N2" s="4" t="s">
        <v>414</v>
      </c>
      <c r="O2" s="4" t="s">
        <v>414</v>
      </c>
    </row>
    <row r="3" spans="1:17">
      <c r="A3" s="5"/>
      <c r="B3" s="5" t="s">
        <v>415</v>
      </c>
      <c r="C3" s="5"/>
      <c r="D3" s="5" t="s">
        <v>482</v>
      </c>
      <c r="E3" s="5" t="s">
        <v>483</v>
      </c>
      <c r="F3" s="5" t="s">
        <v>195</v>
      </c>
      <c r="G3" s="5" t="s">
        <v>196</v>
      </c>
      <c r="H3" s="5" t="s">
        <v>197</v>
      </c>
      <c r="I3" s="5" t="s">
        <v>416</v>
      </c>
      <c r="J3" s="5" t="s">
        <v>199</v>
      </c>
      <c r="K3" s="5" t="s">
        <v>417</v>
      </c>
      <c r="L3" s="5" t="s">
        <v>418</v>
      </c>
      <c r="M3" s="5" t="s">
        <v>419</v>
      </c>
      <c r="N3" s="6" t="s">
        <v>420</v>
      </c>
      <c r="O3" s="6" t="s">
        <v>421</v>
      </c>
      <c r="P3" s="6" t="s">
        <v>72</v>
      </c>
      <c r="Q3" s="6" t="s">
        <v>484</v>
      </c>
    </row>
    <row r="4" spans="1:16">
      <c r="A4" s="2" t="s">
        <v>485</v>
      </c>
      <c r="B4" s="33" t="s">
        <v>233</v>
      </c>
      <c r="C4" s="33"/>
      <c r="D4" s="34">
        <v>66673.03</v>
      </c>
      <c r="E4" s="4">
        <v>60693.44</v>
      </c>
      <c r="P4" s="2" t="s">
        <v>486</v>
      </c>
    </row>
    <row r="5" spans="1:5">
      <c r="A5" s="2" t="s">
        <v>487</v>
      </c>
      <c r="B5" s="33" t="s">
        <v>236</v>
      </c>
      <c r="C5" s="33"/>
      <c r="D5" s="34">
        <v>0</v>
      </c>
      <c r="E5" s="4">
        <v>0</v>
      </c>
    </row>
    <row r="6" spans="1:16">
      <c r="A6" s="2" t="s">
        <v>488</v>
      </c>
      <c r="B6" s="33" t="s">
        <v>237</v>
      </c>
      <c r="C6" s="33" t="s">
        <v>41</v>
      </c>
      <c r="D6" s="34">
        <v>134977.05</v>
      </c>
      <c r="E6" s="4">
        <v>132742.44</v>
      </c>
      <c r="P6" s="2" t="s">
        <v>489</v>
      </c>
    </row>
    <row r="7" spans="1:16">
      <c r="A7" s="2" t="s">
        <v>490</v>
      </c>
      <c r="B7" s="33" t="s">
        <v>238</v>
      </c>
      <c r="C7" s="33"/>
      <c r="D7" s="34">
        <v>326037.14</v>
      </c>
      <c r="E7" s="4">
        <v>320073.87</v>
      </c>
      <c r="P7" s="2" t="s">
        <v>491</v>
      </c>
    </row>
    <row r="8" spans="1:16">
      <c r="A8" s="2" t="s">
        <v>492</v>
      </c>
      <c r="B8" s="33" t="s">
        <v>239</v>
      </c>
      <c r="C8" s="33"/>
      <c r="D8" s="34">
        <v>32302.31</v>
      </c>
      <c r="E8" s="4">
        <v>32949.05</v>
      </c>
      <c r="P8" s="2" t="s">
        <v>493</v>
      </c>
    </row>
    <row r="9" spans="1:16">
      <c r="A9" s="2" t="s">
        <v>494</v>
      </c>
      <c r="B9" s="33" t="s">
        <v>241</v>
      </c>
      <c r="C9" s="33"/>
      <c r="D9" s="34">
        <v>22885.47</v>
      </c>
      <c r="E9" s="4">
        <v>22889.48</v>
      </c>
      <c r="P9" s="2" t="s">
        <v>495</v>
      </c>
    </row>
    <row r="10" spans="1:16">
      <c r="A10" s="2" t="s">
        <v>496</v>
      </c>
      <c r="B10" s="33" t="s">
        <v>242</v>
      </c>
      <c r="C10" s="33"/>
      <c r="D10" s="34">
        <v>0</v>
      </c>
      <c r="E10" s="4">
        <v>0</v>
      </c>
      <c r="P10" s="2" t="s">
        <v>497</v>
      </c>
    </row>
    <row r="11" spans="1:16">
      <c r="A11" s="2" t="s">
        <v>243</v>
      </c>
      <c r="B11" s="33" t="s">
        <v>244</v>
      </c>
      <c r="C11" s="33"/>
      <c r="D11" s="34">
        <v>0</v>
      </c>
      <c r="E11" s="4">
        <v>0</v>
      </c>
      <c r="P11" s="2" t="s">
        <v>497</v>
      </c>
    </row>
    <row r="12" spans="1:16">
      <c r="A12" s="2" t="s">
        <v>498</v>
      </c>
      <c r="B12" s="33" t="s">
        <v>240</v>
      </c>
      <c r="C12" s="33"/>
      <c r="D12" s="34">
        <v>2814.15</v>
      </c>
      <c r="E12" s="4">
        <v>2814.12</v>
      </c>
      <c r="P12" s="2" t="s">
        <v>499</v>
      </c>
    </row>
    <row r="13" spans="1:15">
      <c r="A13" s="35" t="s">
        <v>234</v>
      </c>
      <c r="B13" s="36" t="s">
        <v>234</v>
      </c>
      <c r="C13" s="33"/>
      <c r="D13" s="8">
        <f t="shared" ref="D13:O13" si="0">SUM(D4:D12)</f>
        <v>585689.15</v>
      </c>
      <c r="E13" s="8">
        <f t="shared" si="0"/>
        <v>572162.4</v>
      </c>
      <c r="F13" s="8">
        <f t="shared" si="0"/>
        <v>0</v>
      </c>
      <c r="G13" s="8">
        <f t="shared" si="0"/>
        <v>0</v>
      </c>
      <c r="H13" s="8">
        <f t="shared" si="0"/>
        <v>0</v>
      </c>
      <c r="I13" s="8">
        <f t="shared" si="0"/>
        <v>0</v>
      </c>
      <c r="J13" s="8">
        <f t="shared" si="0"/>
        <v>0</v>
      </c>
      <c r="K13" s="8">
        <f t="shared" si="0"/>
        <v>0</v>
      </c>
      <c r="L13" s="8">
        <f t="shared" si="0"/>
        <v>0</v>
      </c>
      <c r="M13" s="8">
        <f t="shared" si="0"/>
        <v>0</v>
      </c>
      <c r="N13" s="8">
        <f t="shared" si="0"/>
        <v>0</v>
      </c>
      <c r="O13" s="8">
        <f t="shared" si="0"/>
        <v>0</v>
      </c>
    </row>
    <row r="14" spans="1:16">
      <c r="A14" s="2" t="s">
        <v>500</v>
      </c>
      <c r="B14" s="33" t="s">
        <v>246</v>
      </c>
      <c r="C14" s="33"/>
      <c r="D14" s="34">
        <v>3988.6</v>
      </c>
      <c r="E14" s="4">
        <v>4038.53</v>
      </c>
      <c r="P14" s="2" t="s">
        <v>501</v>
      </c>
    </row>
    <row r="15" spans="1:16">
      <c r="A15" s="2" t="s">
        <v>502</v>
      </c>
      <c r="B15" s="33" t="s">
        <v>250</v>
      </c>
      <c r="C15" s="33"/>
      <c r="D15" s="34">
        <v>-329.73</v>
      </c>
      <c r="E15" s="4">
        <v>-880.61</v>
      </c>
      <c r="P15" s="2" t="s">
        <v>503</v>
      </c>
    </row>
    <row r="16" spans="1:16">
      <c r="A16" s="2" t="s">
        <v>504</v>
      </c>
      <c r="B16" s="33" t="s">
        <v>251</v>
      </c>
      <c r="C16" s="33"/>
      <c r="D16" s="34">
        <v>32716.46</v>
      </c>
      <c r="E16" s="4">
        <v>32997.05</v>
      </c>
      <c r="P16" s="2" t="s">
        <v>505</v>
      </c>
    </row>
    <row r="17" spans="1:16">
      <c r="A17" s="2" t="s">
        <v>506</v>
      </c>
      <c r="B17" s="33" t="s">
        <v>252</v>
      </c>
      <c r="C17" s="33"/>
      <c r="D17" s="34">
        <v>304.22</v>
      </c>
      <c r="E17" s="4">
        <v>2640.92</v>
      </c>
      <c r="P17" s="2" t="s">
        <v>507</v>
      </c>
    </row>
    <row r="18" spans="1:16">
      <c r="A18" s="2" t="s">
        <v>508</v>
      </c>
      <c r="B18" s="33" t="s">
        <v>253</v>
      </c>
      <c r="C18" s="33"/>
      <c r="D18" s="34">
        <v>21454.01</v>
      </c>
      <c r="E18" s="4">
        <v>-26358.84</v>
      </c>
      <c r="P18" s="2" t="s">
        <v>509</v>
      </c>
    </row>
    <row r="19" spans="1:17">
      <c r="A19" s="2" t="s">
        <v>510</v>
      </c>
      <c r="B19" s="33" t="s">
        <v>254</v>
      </c>
      <c r="C19" s="33"/>
      <c r="D19" s="34">
        <v>178686.75</v>
      </c>
      <c r="E19" s="4">
        <v>166487.92</v>
      </c>
      <c r="Q19" s="2" t="s">
        <v>511</v>
      </c>
    </row>
    <row r="20" spans="1:5">
      <c r="A20" s="2" t="s">
        <v>512</v>
      </c>
      <c r="B20" s="33" t="s">
        <v>256</v>
      </c>
      <c r="C20" s="33"/>
      <c r="D20" s="34">
        <v>-1176.33</v>
      </c>
      <c r="E20" s="4">
        <v>-1.84</v>
      </c>
    </row>
    <row r="21" spans="1:15">
      <c r="A21" s="2" t="s">
        <v>247</v>
      </c>
      <c r="B21" s="36" t="s">
        <v>247</v>
      </c>
      <c r="C21" s="33"/>
      <c r="D21" s="8">
        <f t="shared" ref="D21:O21" si="1">SUM(D14:D20)</f>
        <v>235643.98</v>
      </c>
      <c r="E21" s="8">
        <f t="shared" si="1"/>
        <v>178923.13</v>
      </c>
      <c r="F21" s="8">
        <f t="shared" si="1"/>
        <v>0</v>
      </c>
      <c r="G21" s="8">
        <f t="shared" si="1"/>
        <v>0</v>
      </c>
      <c r="H21" s="8">
        <f t="shared" si="1"/>
        <v>0</v>
      </c>
      <c r="I21" s="8">
        <f t="shared" si="1"/>
        <v>0</v>
      </c>
      <c r="J21" s="8">
        <f t="shared" si="1"/>
        <v>0</v>
      </c>
      <c r="K21" s="8">
        <f t="shared" si="1"/>
        <v>0</v>
      </c>
      <c r="L21" s="8">
        <f t="shared" si="1"/>
        <v>0</v>
      </c>
      <c r="M21" s="8">
        <f t="shared" si="1"/>
        <v>0</v>
      </c>
      <c r="N21" s="8">
        <f t="shared" si="1"/>
        <v>0</v>
      </c>
      <c r="O21" s="8">
        <f t="shared" si="1"/>
        <v>0</v>
      </c>
    </row>
    <row r="22" spans="1:5">
      <c r="A22" s="2" t="s">
        <v>513</v>
      </c>
      <c r="B22" s="33" t="s">
        <v>259</v>
      </c>
      <c r="C22" s="33" t="s">
        <v>41</v>
      </c>
      <c r="D22" s="34">
        <v>0</v>
      </c>
      <c r="E22" s="4">
        <v>0</v>
      </c>
    </row>
    <row r="23" spans="1:16">
      <c r="A23" s="2" t="s">
        <v>514</v>
      </c>
      <c r="B23" s="33" t="s">
        <v>263</v>
      </c>
      <c r="C23" s="33" t="s">
        <v>41</v>
      </c>
      <c r="D23" s="34">
        <v>11168.29</v>
      </c>
      <c r="E23" s="4">
        <v>10746.3</v>
      </c>
      <c r="P23" s="2" t="s">
        <v>515</v>
      </c>
    </row>
    <row r="24" spans="1:16">
      <c r="A24" s="2" t="s">
        <v>516</v>
      </c>
      <c r="B24" s="33" t="s">
        <v>264</v>
      </c>
      <c r="C24" s="33" t="s">
        <v>41</v>
      </c>
      <c r="D24" s="34">
        <v>6338.22</v>
      </c>
      <c r="E24" s="4">
        <v>8388.43</v>
      </c>
      <c r="P24" s="2" t="s">
        <v>517</v>
      </c>
    </row>
    <row r="25" spans="1:5">
      <c r="A25" s="2" t="s">
        <v>518</v>
      </c>
      <c r="B25" s="33" t="s">
        <v>265</v>
      </c>
      <c r="C25" s="33" t="s">
        <v>41</v>
      </c>
      <c r="D25" s="34">
        <v>0</v>
      </c>
      <c r="E25" s="4">
        <v>976.22</v>
      </c>
    </row>
    <row r="26" spans="1:15">
      <c r="A26" s="2" t="s">
        <v>260</v>
      </c>
      <c r="B26" s="36" t="s">
        <v>260</v>
      </c>
      <c r="C26" s="33"/>
      <c r="D26" s="8">
        <f t="shared" ref="D26:O26" si="2">SUM(D22:D25)</f>
        <v>17506.51</v>
      </c>
      <c r="E26" s="8">
        <f t="shared" si="2"/>
        <v>20110.95</v>
      </c>
      <c r="F26" s="8">
        <f t="shared" si="2"/>
        <v>0</v>
      </c>
      <c r="G26" s="8">
        <f t="shared" si="2"/>
        <v>0</v>
      </c>
      <c r="H26" s="8">
        <f t="shared" si="2"/>
        <v>0</v>
      </c>
      <c r="I26" s="8">
        <f t="shared" si="2"/>
        <v>0</v>
      </c>
      <c r="J26" s="8">
        <f t="shared" si="2"/>
        <v>0</v>
      </c>
      <c r="K26" s="8">
        <f t="shared" si="2"/>
        <v>0</v>
      </c>
      <c r="L26" s="8">
        <f t="shared" si="2"/>
        <v>0</v>
      </c>
      <c r="M26" s="8">
        <f t="shared" si="2"/>
        <v>0</v>
      </c>
      <c r="N26" s="8">
        <f t="shared" si="2"/>
        <v>0</v>
      </c>
      <c r="O26" s="8">
        <f t="shared" si="2"/>
        <v>0</v>
      </c>
    </row>
    <row r="27" spans="1:16">
      <c r="A27" s="2" t="s">
        <v>519</v>
      </c>
      <c r="B27" s="33" t="s">
        <v>266</v>
      </c>
      <c r="C27" s="33" t="s">
        <v>41</v>
      </c>
      <c r="D27" s="34">
        <v>-8962.5</v>
      </c>
      <c r="E27" s="4">
        <v>0</v>
      </c>
      <c r="P27" s="2" t="s">
        <v>520</v>
      </c>
    </row>
    <row r="28" spans="1:5">
      <c r="A28" s="2" t="s">
        <v>521</v>
      </c>
      <c r="B28" s="33" t="s">
        <v>275</v>
      </c>
      <c r="C28" s="33" t="s">
        <v>41</v>
      </c>
      <c r="D28" s="34">
        <v>0</v>
      </c>
      <c r="E28" s="4">
        <v>0</v>
      </c>
    </row>
    <row r="29" spans="1:5">
      <c r="A29" s="2" t="s">
        <v>522</v>
      </c>
      <c r="B29" s="33" t="s">
        <v>293</v>
      </c>
      <c r="C29" s="33"/>
      <c r="D29" s="34">
        <v>0</v>
      </c>
      <c r="E29" s="4">
        <v>0</v>
      </c>
    </row>
    <row r="30" spans="1:5">
      <c r="A30" s="2" t="s">
        <v>523</v>
      </c>
      <c r="B30" s="33" t="s">
        <v>269</v>
      </c>
      <c r="C30" s="33" t="s">
        <v>41</v>
      </c>
      <c r="D30" s="34">
        <v>311.19</v>
      </c>
      <c r="E30" s="4">
        <v>0</v>
      </c>
    </row>
    <row r="31" spans="1:5">
      <c r="A31" s="2" t="s">
        <v>524</v>
      </c>
      <c r="B31" s="33" t="s">
        <v>270</v>
      </c>
      <c r="C31" s="33" t="s">
        <v>41</v>
      </c>
      <c r="D31" s="34">
        <v>1.01</v>
      </c>
      <c r="E31" s="4">
        <v>0</v>
      </c>
    </row>
    <row r="32" spans="1:5">
      <c r="A32" s="2" t="s">
        <v>525</v>
      </c>
      <c r="B32" s="33" t="s">
        <v>274</v>
      </c>
      <c r="C32" s="33" t="s">
        <v>41</v>
      </c>
      <c r="D32" s="34">
        <v>0</v>
      </c>
      <c r="E32" s="4">
        <v>0</v>
      </c>
    </row>
    <row r="33" spans="1:5">
      <c r="A33" s="2" t="s">
        <v>526</v>
      </c>
      <c r="B33" s="33" t="s">
        <v>276</v>
      </c>
      <c r="C33" s="33" t="s">
        <v>41</v>
      </c>
      <c r="D33" s="34">
        <v>0</v>
      </c>
      <c r="E33" s="4">
        <v>0.02</v>
      </c>
    </row>
    <row r="34" spans="1:5">
      <c r="A34" s="2" t="s">
        <v>527</v>
      </c>
      <c r="B34" s="33" t="s">
        <v>278</v>
      </c>
      <c r="C34" s="33" t="s">
        <v>41</v>
      </c>
      <c r="D34" s="34">
        <v>30.44</v>
      </c>
      <c r="E34" s="4">
        <v>0</v>
      </c>
    </row>
    <row r="35" spans="1:5">
      <c r="A35" s="2" t="s">
        <v>528</v>
      </c>
      <c r="B35" s="33" t="s">
        <v>277</v>
      </c>
      <c r="C35" s="33" t="s">
        <v>41</v>
      </c>
      <c r="D35" s="34">
        <v>0</v>
      </c>
      <c r="E35" s="4">
        <v>0</v>
      </c>
    </row>
    <row r="36" spans="1:5">
      <c r="A36" s="2" t="s">
        <v>529</v>
      </c>
      <c r="B36" s="33" t="s">
        <v>422</v>
      </c>
      <c r="C36" s="33"/>
      <c r="D36" s="34">
        <v>0</v>
      </c>
      <c r="E36" s="4">
        <v>0</v>
      </c>
    </row>
    <row r="37" spans="1:16">
      <c r="A37" s="2" t="s">
        <v>530</v>
      </c>
      <c r="B37" s="33" t="s">
        <v>281</v>
      </c>
      <c r="C37" s="33"/>
      <c r="D37" s="34">
        <v>3030.06</v>
      </c>
      <c r="E37" s="4">
        <v>2608.73</v>
      </c>
      <c r="P37" s="2" t="s">
        <v>531</v>
      </c>
    </row>
    <row r="38" spans="1:5">
      <c r="A38" s="2" t="s">
        <v>532</v>
      </c>
      <c r="B38" s="33" t="s">
        <v>282</v>
      </c>
      <c r="C38" s="33"/>
      <c r="D38" s="34">
        <v>0</v>
      </c>
      <c r="E38" s="4">
        <v>0</v>
      </c>
    </row>
    <row r="39" spans="1:5">
      <c r="A39" s="2" t="s">
        <v>533</v>
      </c>
      <c r="B39" s="33" t="s">
        <v>283</v>
      </c>
      <c r="C39" s="33"/>
      <c r="D39" s="34">
        <v>4.71</v>
      </c>
      <c r="E39" s="4">
        <v>9.66</v>
      </c>
    </row>
    <row r="40" spans="1:5">
      <c r="A40" s="2" t="s">
        <v>534</v>
      </c>
      <c r="B40" s="33" t="s">
        <v>284</v>
      </c>
      <c r="C40" s="33"/>
      <c r="D40" s="34">
        <v>0</v>
      </c>
      <c r="E40" s="4">
        <v>0</v>
      </c>
    </row>
    <row r="41" spans="1:5">
      <c r="A41" s="2" t="s">
        <v>535</v>
      </c>
      <c r="B41" s="33" t="s">
        <v>286</v>
      </c>
      <c r="C41" s="33"/>
      <c r="D41" s="34">
        <v>0</v>
      </c>
      <c r="E41" s="4">
        <v>0</v>
      </c>
    </row>
    <row r="42" spans="1:5">
      <c r="A42" s="2" t="s">
        <v>536</v>
      </c>
      <c r="B42" s="33" t="s">
        <v>285</v>
      </c>
      <c r="C42" s="33"/>
      <c r="D42" s="34">
        <v>39.07</v>
      </c>
      <c r="E42" s="4">
        <v>293.19</v>
      </c>
    </row>
    <row r="43" spans="1:5">
      <c r="A43" s="2" t="s">
        <v>537</v>
      </c>
      <c r="B43" s="33" t="s">
        <v>288</v>
      </c>
      <c r="C43" s="33"/>
      <c r="D43" s="34">
        <v>0</v>
      </c>
      <c r="E43" s="4">
        <v>0</v>
      </c>
    </row>
    <row r="44" spans="1:5">
      <c r="A44" s="2" t="s">
        <v>538</v>
      </c>
      <c r="B44" s="33" t="s">
        <v>294</v>
      </c>
      <c r="C44" s="33"/>
      <c r="D44" s="34">
        <v>0</v>
      </c>
      <c r="E44" s="4">
        <v>0</v>
      </c>
    </row>
    <row r="45" spans="1:5">
      <c r="A45" s="2" t="s">
        <v>539</v>
      </c>
      <c r="B45" s="33" t="s">
        <v>295</v>
      </c>
      <c r="C45" s="33"/>
      <c r="D45" s="34">
        <v>0</v>
      </c>
      <c r="E45" s="4">
        <v>0</v>
      </c>
    </row>
    <row r="46" spans="1:16">
      <c r="A46" s="2" t="s">
        <v>540</v>
      </c>
      <c r="B46" s="33" t="s">
        <v>297</v>
      </c>
      <c r="C46" s="33"/>
      <c r="D46" s="34">
        <v>13524</v>
      </c>
      <c r="E46" s="4">
        <v>15554</v>
      </c>
      <c r="P46" s="2" t="s">
        <v>541</v>
      </c>
    </row>
    <row r="47" spans="1:16">
      <c r="A47" s="2" t="s">
        <v>542</v>
      </c>
      <c r="B47" s="33" t="s">
        <v>298</v>
      </c>
      <c r="C47" s="33"/>
      <c r="D47" s="34">
        <v>6792.51</v>
      </c>
      <c r="E47" s="4">
        <v>4352.5</v>
      </c>
      <c r="P47" s="2" t="s">
        <v>543</v>
      </c>
    </row>
    <row r="48" spans="1:16">
      <c r="A48" s="2" t="s">
        <v>544</v>
      </c>
      <c r="B48" s="33" t="s">
        <v>299</v>
      </c>
      <c r="C48" s="33"/>
      <c r="D48" s="34">
        <v>14425.13</v>
      </c>
      <c r="E48" s="4">
        <v>7947.34</v>
      </c>
      <c r="P48" s="2" t="s">
        <v>545</v>
      </c>
    </row>
    <row r="49" spans="1:16">
      <c r="A49" s="2" t="s">
        <v>546</v>
      </c>
      <c r="B49" s="33" t="s">
        <v>301</v>
      </c>
      <c r="C49" s="33"/>
      <c r="D49" s="34">
        <v>8801.01</v>
      </c>
      <c r="E49" s="4">
        <v>8366.51</v>
      </c>
      <c r="P49" s="38" t="s">
        <v>547</v>
      </c>
    </row>
    <row r="50" spans="1:16">
      <c r="A50" s="2" t="s">
        <v>548</v>
      </c>
      <c r="B50" s="33" t="s">
        <v>302</v>
      </c>
      <c r="C50" s="33"/>
      <c r="D50" s="34">
        <v>6833.87</v>
      </c>
      <c r="E50" s="4">
        <v>9430.31</v>
      </c>
      <c r="P50" s="38" t="s">
        <v>549</v>
      </c>
    </row>
    <row r="51" spans="1:5">
      <c r="A51" s="2" t="s">
        <v>550</v>
      </c>
      <c r="B51" s="33" t="s">
        <v>305</v>
      </c>
      <c r="C51" s="33"/>
      <c r="D51" s="34">
        <v>0</v>
      </c>
      <c r="E51" s="4">
        <v>0</v>
      </c>
    </row>
    <row r="52" spans="1:16">
      <c r="A52" s="2" t="s">
        <v>551</v>
      </c>
      <c r="B52" s="33" t="s">
        <v>307</v>
      </c>
      <c r="C52" s="33" t="s">
        <v>41</v>
      </c>
      <c r="D52" s="34">
        <v>0</v>
      </c>
      <c r="E52" s="4">
        <v>21042.34</v>
      </c>
      <c r="P52" s="2" t="s">
        <v>552</v>
      </c>
    </row>
    <row r="53" spans="1:5">
      <c r="A53" s="2" t="s">
        <v>553</v>
      </c>
      <c r="B53" s="33" t="s">
        <v>292</v>
      </c>
      <c r="C53" s="33"/>
      <c r="D53" s="34">
        <v>39.79</v>
      </c>
      <c r="E53" s="4">
        <v>102.59</v>
      </c>
    </row>
    <row r="54" spans="1:5">
      <c r="A54" s="2" t="s">
        <v>554</v>
      </c>
      <c r="B54" s="33" t="s">
        <v>423</v>
      </c>
      <c r="C54" s="33"/>
      <c r="D54" s="34">
        <v>0</v>
      </c>
      <c r="E54" s="4">
        <v>0</v>
      </c>
    </row>
    <row r="55" spans="1:5">
      <c r="A55" s="2" t="s">
        <v>555</v>
      </c>
      <c r="B55" s="33" t="s">
        <v>309</v>
      </c>
      <c r="C55" s="33"/>
      <c r="D55" s="34">
        <v>0</v>
      </c>
      <c r="E55" s="4">
        <v>0</v>
      </c>
    </row>
    <row r="56" spans="1:5">
      <c r="A56" s="2" t="s">
        <v>556</v>
      </c>
      <c r="B56" s="33" t="s">
        <v>310</v>
      </c>
      <c r="C56" s="33"/>
      <c r="D56" s="34">
        <v>0</v>
      </c>
      <c r="E56" s="4">
        <v>0</v>
      </c>
    </row>
    <row r="57" spans="1:5">
      <c r="A57" s="2" t="s">
        <v>557</v>
      </c>
      <c r="B57" s="33" t="s">
        <v>424</v>
      </c>
      <c r="C57" s="33"/>
      <c r="D57" s="34">
        <v>0</v>
      </c>
      <c r="E57" s="4">
        <v>0</v>
      </c>
    </row>
    <row r="58" spans="1:16">
      <c r="A58" s="2" t="s">
        <v>558</v>
      </c>
      <c r="B58" s="33" t="s">
        <v>313</v>
      </c>
      <c r="C58" s="33"/>
      <c r="D58" s="34">
        <v>8370.83</v>
      </c>
      <c r="E58" s="4">
        <v>-557.6</v>
      </c>
      <c r="P58" s="2" t="s">
        <v>559</v>
      </c>
    </row>
    <row r="59" spans="1:5">
      <c r="A59" s="2" t="s">
        <v>560</v>
      </c>
      <c r="B59" s="33" t="s">
        <v>311</v>
      </c>
      <c r="C59" s="33"/>
      <c r="D59" s="34">
        <v>0</v>
      </c>
      <c r="E59" s="4">
        <v>0</v>
      </c>
    </row>
    <row r="60" spans="1:5">
      <c r="A60" s="2" t="s">
        <v>561</v>
      </c>
      <c r="B60" s="33" t="s">
        <v>380</v>
      </c>
      <c r="C60" s="33"/>
      <c r="D60" s="34">
        <v>0</v>
      </c>
      <c r="E60" s="4">
        <v>0</v>
      </c>
    </row>
    <row r="61" spans="1:5">
      <c r="A61" s="2" t="s">
        <v>562</v>
      </c>
      <c r="B61" s="33" t="s">
        <v>371</v>
      </c>
      <c r="C61" s="33"/>
      <c r="D61" s="34">
        <v>0</v>
      </c>
      <c r="E61" s="4">
        <v>0</v>
      </c>
    </row>
    <row r="62" spans="1:5">
      <c r="A62" s="2" t="s">
        <v>563</v>
      </c>
      <c r="B62" s="33" t="s">
        <v>425</v>
      </c>
      <c r="C62" s="33"/>
      <c r="D62" s="34">
        <v>0</v>
      </c>
      <c r="E62" s="4">
        <v>0</v>
      </c>
    </row>
    <row r="63" spans="1:5">
      <c r="A63" s="2">
        <v>6666070300</v>
      </c>
      <c r="B63" s="33" t="s">
        <v>312</v>
      </c>
      <c r="C63" s="33"/>
      <c r="D63" s="34">
        <v>0</v>
      </c>
      <c r="E63" s="4">
        <v>8.41</v>
      </c>
    </row>
    <row r="64" spans="1:15">
      <c r="A64" s="2" t="s">
        <v>267</v>
      </c>
      <c r="B64" s="36" t="s">
        <v>267</v>
      </c>
      <c r="C64" s="33"/>
      <c r="D64" s="8">
        <f t="shared" ref="D64:O64" si="3">SUM(D27:D63)</f>
        <v>53241.12</v>
      </c>
      <c r="E64" s="8">
        <f t="shared" si="3"/>
        <v>69158</v>
      </c>
      <c r="F64" s="8">
        <f t="shared" si="3"/>
        <v>0</v>
      </c>
      <c r="G64" s="8">
        <f t="shared" si="3"/>
        <v>0</v>
      </c>
      <c r="H64" s="8">
        <f t="shared" si="3"/>
        <v>0</v>
      </c>
      <c r="I64" s="8">
        <f t="shared" si="3"/>
        <v>0</v>
      </c>
      <c r="J64" s="8">
        <f t="shared" si="3"/>
        <v>0</v>
      </c>
      <c r="K64" s="8">
        <f t="shared" si="3"/>
        <v>0</v>
      </c>
      <c r="L64" s="8">
        <f t="shared" si="3"/>
        <v>0</v>
      </c>
      <c r="M64" s="8">
        <f t="shared" si="3"/>
        <v>0</v>
      </c>
      <c r="N64" s="8">
        <f t="shared" si="3"/>
        <v>0</v>
      </c>
      <c r="O64" s="8">
        <f t="shared" si="3"/>
        <v>0</v>
      </c>
    </row>
    <row r="65" spans="1:16">
      <c r="A65" s="2" t="s">
        <v>564</v>
      </c>
      <c r="B65" s="33" t="s">
        <v>316</v>
      </c>
      <c r="C65" s="33" t="s">
        <v>41</v>
      </c>
      <c r="D65" s="34">
        <v>-4163.27</v>
      </c>
      <c r="E65" s="4">
        <v>595.58</v>
      </c>
      <c r="P65" s="2" t="s">
        <v>565</v>
      </c>
    </row>
    <row r="66" spans="1:5">
      <c r="A66" s="2" t="s">
        <v>566</v>
      </c>
      <c r="B66" s="33" t="s">
        <v>320</v>
      </c>
      <c r="C66" s="33" t="s">
        <v>41</v>
      </c>
      <c r="D66" s="34">
        <v>-974.34</v>
      </c>
      <c r="E66" s="4">
        <v>-369.33</v>
      </c>
    </row>
    <row r="67" spans="1:5">
      <c r="A67" s="2" t="s">
        <v>567</v>
      </c>
      <c r="B67" s="33" t="s">
        <v>321</v>
      </c>
      <c r="C67" s="33" t="s">
        <v>41</v>
      </c>
      <c r="D67" s="34">
        <v>91.06</v>
      </c>
      <c r="E67" s="4">
        <v>0</v>
      </c>
    </row>
    <row r="68" spans="1:15">
      <c r="A68" s="2" t="s">
        <v>317</v>
      </c>
      <c r="B68" s="36" t="s">
        <v>317</v>
      </c>
      <c r="C68" s="33"/>
      <c r="D68" s="8">
        <f t="shared" ref="D68:O68" si="4">SUM(D65:D67)</f>
        <v>-5046.55</v>
      </c>
      <c r="E68" s="8">
        <f t="shared" si="4"/>
        <v>226.25</v>
      </c>
      <c r="F68" s="8">
        <f t="shared" si="4"/>
        <v>0</v>
      </c>
      <c r="G68" s="8">
        <f t="shared" si="4"/>
        <v>0</v>
      </c>
      <c r="H68" s="8">
        <f t="shared" si="4"/>
        <v>0</v>
      </c>
      <c r="I68" s="8">
        <f t="shared" si="4"/>
        <v>0</v>
      </c>
      <c r="J68" s="8">
        <f t="shared" si="4"/>
        <v>0</v>
      </c>
      <c r="K68" s="8">
        <f t="shared" si="4"/>
        <v>0</v>
      </c>
      <c r="L68" s="8">
        <f t="shared" si="4"/>
        <v>0</v>
      </c>
      <c r="M68" s="8">
        <f t="shared" si="4"/>
        <v>0</v>
      </c>
      <c r="N68" s="8">
        <f t="shared" si="4"/>
        <v>0</v>
      </c>
      <c r="O68" s="8">
        <f t="shared" si="4"/>
        <v>0</v>
      </c>
    </row>
    <row r="69" spans="1:16">
      <c r="A69" s="2" t="s">
        <v>568</v>
      </c>
      <c r="B69" s="33" t="s">
        <v>322</v>
      </c>
      <c r="C69" s="33" t="s">
        <v>41</v>
      </c>
      <c r="D69" s="34">
        <v>10692.6</v>
      </c>
      <c r="E69" s="4">
        <v>8854.78</v>
      </c>
      <c r="P69" s="37" t="s">
        <v>569</v>
      </c>
    </row>
    <row r="70" spans="1:15">
      <c r="A70" s="2" t="s">
        <v>323</v>
      </c>
      <c r="B70" s="36" t="s">
        <v>323</v>
      </c>
      <c r="C70" s="33"/>
      <c r="D70" s="8">
        <f t="shared" ref="D70:O70" si="5">SUM(D69)</f>
        <v>10692.6</v>
      </c>
      <c r="E70" s="8">
        <f t="shared" si="5"/>
        <v>8854.78</v>
      </c>
      <c r="F70" s="8">
        <f t="shared" si="5"/>
        <v>0</v>
      </c>
      <c r="G70" s="8">
        <f t="shared" si="5"/>
        <v>0</v>
      </c>
      <c r="H70" s="8">
        <f t="shared" si="5"/>
        <v>0</v>
      </c>
      <c r="I70" s="8">
        <f t="shared" si="5"/>
        <v>0</v>
      </c>
      <c r="J70" s="8">
        <f t="shared" si="5"/>
        <v>0</v>
      </c>
      <c r="K70" s="8">
        <f t="shared" si="5"/>
        <v>0</v>
      </c>
      <c r="L70" s="8">
        <f t="shared" si="5"/>
        <v>0</v>
      </c>
      <c r="M70" s="8">
        <f t="shared" si="5"/>
        <v>0</v>
      </c>
      <c r="N70" s="8">
        <f t="shared" si="5"/>
        <v>0</v>
      </c>
      <c r="O70" s="8">
        <f t="shared" si="5"/>
        <v>0</v>
      </c>
    </row>
    <row r="71" spans="1:16">
      <c r="A71" s="2" t="s">
        <v>570</v>
      </c>
      <c r="B71" s="33" t="s">
        <v>325</v>
      </c>
      <c r="C71" s="33" t="s">
        <v>41</v>
      </c>
      <c r="D71" s="34">
        <v>-16004.01</v>
      </c>
      <c r="E71" s="4">
        <v>-30725.48</v>
      </c>
      <c r="P71" s="2" t="s">
        <v>571</v>
      </c>
    </row>
    <row r="72" spans="1:15">
      <c r="A72" s="2" t="s">
        <v>326</v>
      </c>
      <c r="B72" s="36" t="s">
        <v>326</v>
      </c>
      <c r="C72" s="33"/>
      <c r="D72" s="8">
        <f t="shared" ref="D72:O72" si="6">SUM(D71)</f>
        <v>-16004.01</v>
      </c>
      <c r="E72" s="8">
        <f t="shared" si="6"/>
        <v>-30725.48</v>
      </c>
      <c r="F72" s="8">
        <f t="shared" si="6"/>
        <v>0</v>
      </c>
      <c r="G72" s="8">
        <f t="shared" si="6"/>
        <v>0</v>
      </c>
      <c r="H72" s="8">
        <f t="shared" si="6"/>
        <v>0</v>
      </c>
      <c r="I72" s="8">
        <f t="shared" si="6"/>
        <v>0</v>
      </c>
      <c r="J72" s="8">
        <f t="shared" si="6"/>
        <v>0</v>
      </c>
      <c r="K72" s="8">
        <f t="shared" si="6"/>
        <v>0</v>
      </c>
      <c r="L72" s="8">
        <f t="shared" si="6"/>
        <v>0</v>
      </c>
      <c r="M72" s="8">
        <f t="shared" si="6"/>
        <v>0</v>
      </c>
      <c r="N72" s="8">
        <f t="shared" si="6"/>
        <v>0</v>
      </c>
      <c r="O72" s="8">
        <f t="shared" si="6"/>
        <v>0</v>
      </c>
    </row>
    <row r="73" spans="1:16">
      <c r="A73" s="2" t="s">
        <v>572</v>
      </c>
      <c r="B73" s="39" t="s">
        <v>328</v>
      </c>
      <c r="C73" s="33"/>
      <c r="D73" s="34">
        <v>30061.31</v>
      </c>
      <c r="E73" s="4">
        <v>16839.11</v>
      </c>
      <c r="P73" s="38" t="s">
        <v>573</v>
      </c>
    </row>
    <row r="74" spans="1:15">
      <c r="A74" s="2" t="s">
        <v>329</v>
      </c>
      <c r="B74" s="36" t="s">
        <v>329</v>
      </c>
      <c r="C74" s="33"/>
      <c r="D74" s="8">
        <f>SUM(D73)</f>
        <v>30061.31</v>
      </c>
      <c r="E74" s="8">
        <f>SUM(E73)</f>
        <v>16839.11</v>
      </c>
      <c r="F74" s="8">
        <f t="shared" ref="F74:O74" si="7">SUM(F73)</f>
        <v>0</v>
      </c>
      <c r="G74" s="8">
        <f t="shared" si="7"/>
        <v>0</v>
      </c>
      <c r="H74" s="8">
        <f t="shared" si="7"/>
        <v>0</v>
      </c>
      <c r="I74" s="8">
        <f t="shared" si="7"/>
        <v>0</v>
      </c>
      <c r="J74" s="8">
        <f t="shared" si="7"/>
        <v>0</v>
      </c>
      <c r="K74" s="8">
        <f t="shared" si="7"/>
        <v>0</v>
      </c>
      <c r="L74" s="8">
        <f t="shared" si="7"/>
        <v>0</v>
      </c>
      <c r="M74" s="8">
        <f t="shared" si="7"/>
        <v>0</v>
      </c>
      <c r="N74" s="8">
        <f t="shared" si="7"/>
        <v>0</v>
      </c>
      <c r="O74" s="8">
        <f t="shared" si="7"/>
        <v>0</v>
      </c>
    </row>
    <row r="75" spans="1:16">
      <c r="A75" s="2" t="s">
        <v>574</v>
      </c>
      <c r="B75" s="33" t="s">
        <v>331</v>
      </c>
      <c r="C75" s="33"/>
      <c r="D75" s="34">
        <v>3586.95</v>
      </c>
      <c r="E75" s="4">
        <v>13199.62</v>
      </c>
      <c r="P75" s="2" t="s">
        <v>575</v>
      </c>
    </row>
    <row r="76" spans="1:5">
      <c r="A76" s="2" t="s">
        <v>576</v>
      </c>
      <c r="B76" s="33" t="s">
        <v>334</v>
      </c>
      <c r="C76" s="33"/>
      <c r="D76" s="34">
        <v>-14.7</v>
      </c>
      <c r="E76" s="4">
        <v>769.33</v>
      </c>
    </row>
    <row r="77" spans="1:16">
      <c r="A77" s="2" t="s">
        <v>577</v>
      </c>
      <c r="B77" s="33" t="s">
        <v>335</v>
      </c>
      <c r="C77" s="33"/>
      <c r="D77" s="34">
        <v>4836.33</v>
      </c>
      <c r="E77" s="4">
        <v>3136.99</v>
      </c>
      <c r="P77" s="2" t="s">
        <v>578</v>
      </c>
    </row>
    <row r="78" spans="1:15">
      <c r="A78" s="2" t="s">
        <v>332</v>
      </c>
      <c r="B78" s="36" t="s">
        <v>332</v>
      </c>
      <c r="C78" s="33"/>
      <c r="D78" s="8">
        <f t="shared" ref="D78:O78" si="8">SUM(D75:D77)</f>
        <v>8408.58</v>
      </c>
      <c r="E78" s="8">
        <f t="shared" si="8"/>
        <v>17105.94</v>
      </c>
      <c r="F78" s="8">
        <f t="shared" si="8"/>
        <v>0</v>
      </c>
      <c r="G78" s="8">
        <f t="shared" si="8"/>
        <v>0</v>
      </c>
      <c r="H78" s="8">
        <f t="shared" si="8"/>
        <v>0</v>
      </c>
      <c r="I78" s="8">
        <f t="shared" si="8"/>
        <v>0</v>
      </c>
      <c r="J78" s="8">
        <f t="shared" si="8"/>
        <v>0</v>
      </c>
      <c r="K78" s="8">
        <f t="shared" si="8"/>
        <v>0</v>
      </c>
      <c r="L78" s="8">
        <f t="shared" si="8"/>
        <v>0</v>
      </c>
      <c r="M78" s="8">
        <f t="shared" si="8"/>
        <v>0</v>
      </c>
      <c r="N78" s="8">
        <f t="shared" si="8"/>
        <v>0</v>
      </c>
      <c r="O78" s="8">
        <f t="shared" si="8"/>
        <v>0</v>
      </c>
    </row>
    <row r="79" spans="1:16">
      <c r="A79" s="2" t="s">
        <v>579</v>
      </c>
      <c r="B79" s="33" t="s">
        <v>336</v>
      </c>
      <c r="C79" s="33"/>
      <c r="D79" s="34">
        <v>3295.18</v>
      </c>
      <c r="E79" s="4">
        <v>3127.57</v>
      </c>
      <c r="P79" s="2" t="s">
        <v>580</v>
      </c>
    </row>
    <row r="80" spans="1:5">
      <c r="A80" s="2" t="s">
        <v>581</v>
      </c>
      <c r="B80" s="33" t="s">
        <v>339</v>
      </c>
      <c r="C80" s="33"/>
      <c r="D80" s="34">
        <v>-142.2</v>
      </c>
      <c r="E80" s="4">
        <v>-102.11</v>
      </c>
    </row>
    <row r="81" spans="1:5">
      <c r="A81" s="2" t="s">
        <v>582</v>
      </c>
      <c r="B81" s="33" t="s">
        <v>340</v>
      </c>
      <c r="C81" s="33"/>
      <c r="D81" s="34">
        <v>2400.37</v>
      </c>
      <c r="E81" s="4">
        <v>3935.49</v>
      </c>
    </row>
    <row r="82" spans="1:5">
      <c r="A82" s="2" t="s">
        <v>583</v>
      </c>
      <c r="B82" s="33" t="s">
        <v>341</v>
      </c>
      <c r="C82" s="33"/>
      <c r="D82" s="34">
        <v>9960.25</v>
      </c>
      <c r="E82" s="4">
        <v>-239</v>
      </c>
    </row>
    <row r="83" spans="1:5">
      <c r="A83" s="2" t="s">
        <v>584</v>
      </c>
      <c r="B83" s="33" t="s">
        <v>342</v>
      </c>
      <c r="C83" s="33"/>
      <c r="D83" s="34">
        <v>30352.49</v>
      </c>
      <c r="E83" s="4">
        <v>28551.03</v>
      </c>
    </row>
    <row r="84" spans="1:5">
      <c r="A84" s="2" t="s">
        <v>585</v>
      </c>
      <c r="B84" s="33" t="s">
        <v>343</v>
      </c>
      <c r="C84" s="33"/>
      <c r="D84" s="34">
        <v>6278.82</v>
      </c>
      <c r="E84" s="4">
        <v>3850.21</v>
      </c>
    </row>
    <row r="85" spans="1:17">
      <c r="A85" s="2" t="s">
        <v>586</v>
      </c>
      <c r="B85" s="33" t="s">
        <v>344</v>
      </c>
      <c r="C85" s="33"/>
      <c r="D85" s="34">
        <v>173176.11</v>
      </c>
      <c r="E85" s="4">
        <v>165910.61</v>
      </c>
      <c r="Q85" s="2" t="s">
        <v>587</v>
      </c>
    </row>
    <row r="86" spans="1:15">
      <c r="A86" s="2" t="s">
        <v>337</v>
      </c>
      <c r="B86" s="36" t="s">
        <v>337</v>
      </c>
      <c r="C86" s="33"/>
      <c r="D86" s="8">
        <f t="shared" ref="D86:O86" si="9">SUM(D79:D85)</f>
        <v>225321.02</v>
      </c>
      <c r="E86" s="8">
        <f t="shared" si="9"/>
        <v>205033.8</v>
      </c>
      <c r="F86" s="8">
        <f t="shared" si="9"/>
        <v>0</v>
      </c>
      <c r="G86" s="8">
        <f t="shared" si="9"/>
        <v>0</v>
      </c>
      <c r="H86" s="8">
        <f t="shared" si="9"/>
        <v>0</v>
      </c>
      <c r="I86" s="8">
        <f t="shared" si="9"/>
        <v>0</v>
      </c>
      <c r="J86" s="8">
        <f t="shared" si="9"/>
        <v>0</v>
      </c>
      <c r="K86" s="8">
        <f t="shared" si="9"/>
        <v>0</v>
      </c>
      <c r="L86" s="8">
        <f t="shared" si="9"/>
        <v>0</v>
      </c>
      <c r="M86" s="8">
        <f t="shared" si="9"/>
        <v>0</v>
      </c>
      <c r="N86" s="8">
        <f t="shared" si="9"/>
        <v>0</v>
      </c>
      <c r="O86" s="8">
        <f t="shared" si="9"/>
        <v>0</v>
      </c>
    </row>
    <row r="87" spans="1:5">
      <c r="A87" s="2" t="s">
        <v>588</v>
      </c>
      <c r="B87" s="33" t="s">
        <v>346</v>
      </c>
      <c r="C87" s="33"/>
      <c r="D87" s="34">
        <v>21270.27</v>
      </c>
      <c r="E87" s="4">
        <v>18966.7</v>
      </c>
    </row>
    <row r="88" spans="1:17">
      <c r="A88" s="2" t="s">
        <v>589</v>
      </c>
      <c r="B88" s="33" t="s">
        <v>349</v>
      </c>
      <c r="C88" s="33"/>
      <c r="D88" s="34">
        <v>137702.94</v>
      </c>
      <c r="E88" s="4">
        <v>142481.67</v>
      </c>
      <c r="Q88" s="37" t="s">
        <v>590</v>
      </c>
    </row>
    <row r="89" spans="1:5">
      <c r="A89" s="2" t="s">
        <v>591</v>
      </c>
      <c r="B89" s="40" t="s">
        <v>350</v>
      </c>
      <c r="C89" s="33"/>
      <c r="D89" s="34">
        <v>31141.53</v>
      </c>
      <c r="E89" s="4">
        <v>29.8899999999994</v>
      </c>
    </row>
    <row r="90" spans="1:5">
      <c r="A90" s="2" t="s">
        <v>592</v>
      </c>
      <c r="B90" s="33" t="s">
        <v>351</v>
      </c>
      <c r="C90" s="33"/>
      <c r="D90" s="34">
        <v>-949.79</v>
      </c>
      <c r="E90" s="4">
        <v>-227.23</v>
      </c>
    </row>
    <row r="91" spans="1:5">
      <c r="A91" s="2" t="s">
        <v>593</v>
      </c>
      <c r="B91" s="33" t="s">
        <v>352</v>
      </c>
      <c r="C91" s="33"/>
      <c r="D91" s="34">
        <v>1931.99</v>
      </c>
      <c r="E91" s="4">
        <v>1765.87</v>
      </c>
    </row>
    <row r="92" spans="1:16">
      <c r="A92" s="2" t="s">
        <v>594</v>
      </c>
      <c r="B92" s="33" t="s">
        <v>353</v>
      </c>
      <c r="C92" s="33"/>
      <c r="D92" s="34">
        <v>2291.84</v>
      </c>
      <c r="E92" s="4">
        <v>-20964.97</v>
      </c>
      <c r="P92" s="45"/>
    </row>
    <row r="93" spans="1:16">
      <c r="A93" s="2" t="s">
        <v>347</v>
      </c>
      <c r="B93" s="36" t="s">
        <v>347</v>
      </c>
      <c r="C93" s="33"/>
      <c r="D93" s="8">
        <f t="shared" ref="D93:O93" si="10">SUM(D87:D92)</f>
        <v>193388.78</v>
      </c>
      <c r="E93" s="8">
        <f t="shared" si="10"/>
        <v>142051.93</v>
      </c>
      <c r="F93" s="8">
        <f t="shared" si="10"/>
        <v>0</v>
      </c>
      <c r="G93" s="8">
        <f t="shared" si="10"/>
        <v>0</v>
      </c>
      <c r="H93" s="8">
        <f t="shared" si="10"/>
        <v>0</v>
      </c>
      <c r="I93" s="8">
        <f t="shared" si="10"/>
        <v>0</v>
      </c>
      <c r="J93" s="8">
        <f t="shared" si="10"/>
        <v>0</v>
      </c>
      <c r="K93" s="8">
        <f t="shared" si="10"/>
        <v>0</v>
      </c>
      <c r="L93" s="8">
        <f t="shared" si="10"/>
        <v>0</v>
      </c>
      <c r="M93" s="8">
        <f t="shared" si="10"/>
        <v>0</v>
      </c>
      <c r="N93" s="8">
        <f t="shared" si="10"/>
        <v>0</v>
      </c>
      <c r="O93" s="8">
        <f t="shared" si="10"/>
        <v>0</v>
      </c>
      <c r="P93" s="38" t="s">
        <v>595</v>
      </c>
    </row>
    <row r="94" spans="1:16">
      <c r="A94" s="2" t="s">
        <v>596</v>
      </c>
      <c r="B94" s="33" t="s">
        <v>354</v>
      </c>
      <c r="C94" s="33"/>
      <c r="D94" s="34">
        <v>223.91</v>
      </c>
      <c r="E94" s="4">
        <v>12251.02</v>
      </c>
      <c r="P94" s="2" t="s">
        <v>597</v>
      </c>
    </row>
    <row r="95" spans="1:16">
      <c r="A95" s="2" t="s">
        <v>598</v>
      </c>
      <c r="B95" s="33" t="s">
        <v>357</v>
      </c>
      <c r="C95" s="33"/>
      <c r="D95" s="34">
        <v>62806.48</v>
      </c>
      <c r="E95" s="4">
        <v>41064.86</v>
      </c>
      <c r="P95" s="2" t="s">
        <v>599</v>
      </c>
    </row>
    <row r="96" spans="1:16">
      <c r="A96" s="2" t="s">
        <v>600</v>
      </c>
      <c r="B96" s="33" t="s">
        <v>358</v>
      </c>
      <c r="C96" s="33"/>
      <c r="D96" s="34">
        <v>18169.18</v>
      </c>
      <c r="E96" s="4">
        <v>35000</v>
      </c>
      <c r="P96" s="2" t="s">
        <v>601</v>
      </c>
    </row>
    <row r="97" spans="1:16">
      <c r="A97" s="2" t="s">
        <v>602</v>
      </c>
      <c r="B97" s="33" t="s">
        <v>359</v>
      </c>
      <c r="C97" s="33"/>
      <c r="D97" s="34">
        <v>28142.77</v>
      </c>
      <c r="E97" s="4">
        <v>28274.93</v>
      </c>
      <c r="P97" s="2" t="s">
        <v>603</v>
      </c>
    </row>
    <row r="98" spans="1:5">
      <c r="A98" s="2" t="s">
        <v>604</v>
      </c>
      <c r="B98" s="33" t="s">
        <v>360</v>
      </c>
      <c r="C98" s="33"/>
      <c r="D98" s="34">
        <v>211.63</v>
      </c>
      <c r="E98" s="4">
        <v>1.45</v>
      </c>
    </row>
    <row r="99" spans="1:5">
      <c r="A99" s="2" t="s">
        <v>605</v>
      </c>
      <c r="B99" s="33" t="s">
        <v>426</v>
      </c>
      <c r="C99" s="33"/>
      <c r="D99" s="34">
        <v>0</v>
      </c>
      <c r="E99" s="4">
        <v>0</v>
      </c>
    </row>
    <row r="100" spans="1:5">
      <c r="A100" s="2" t="s">
        <v>606</v>
      </c>
      <c r="B100" s="33" t="s">
        <v>427</v>
      </c>
      <c r="C100" s="33"/>
      <c r="D100" s="34">
        <v>0</v>
      </c>
      <c r="E100" s="4">
        <v>0</v>
      </c>
    </row>
    <row r="101" spans="1:5">
      <c r="A101" s="2" t="s">
        <v>607</v>
      </c>
      <c r="B101" s="33" t="s">
        <v>428</v>
      </c>
      <c r="C101" s="33"/>
      <c r="D101" s="34">
        <v>0</v>
      </c>
      <c r="E101" s="4">
        <v>1128.74</v>
      </c>
    </row>
    <row r="102" spans="1:5">
      <c r="A102" s="2" t="s">
        <v>608</v>
      </c>
      <c r="B102" s="33" t="s">
        <v>361</v>
      </c>
      <c r="C102" s="33"/>
      <c r="D102" s="34">
        <v>6839.73</v>
      </c>
      <c r="E102" s="4">
        <v>5275.38</v>
      </c>
    </row>
    <row r="103" spans="1:5">
      <c r="A103" s="2" t="s">
        <v>609</v>
      </c>
      <c r="B103" s="33" t="s">
        <v>362</v>
      </c>
      <c r="C103" s="33"/>
      <c r="D103" s="34">
        <v>2935.18</v>
      </c>
      <c r="E103" s="4">
        <v>2742.75</v>
      </c>
    </row>
    <row r="104" spans="1:5">
      <c r="A104" s="2" t="s">
        <v>610</v>
      </c>
      <c r="B104" s="33" t="s">
        <v>388</v>
      </c>
      <c r="C104" s="33"/>
      <c r="D104" s="34">
        <v>0</v>
      </c>
      <c r="E104" s="4">
        <v>0</v>
      </c>
    </row>
    <row r="105" spans="1:5">
      <c r="A105" s="2" t="s">
        <v>611</v>
      </c>
      <c r="B105" s="33" t="s">
        <v>363</v>
      </c>
      <c r="C105" s="33"/>
      <c r="D105" s="34">
        <v>9318.5</v>
      </c>
      <c r="E105" s="4">
        <v>-1270.89</v>
      </c>
    </row>
    <row r="106" spans="1:5">
      <c r="A106" s="2" t="s">
        <v>612</v>
      </c>
      <c r="B106" s="33" t="s">
        <v>364</v>
      </c>
      <c r="C106" s="33"/>
      <c r="D106" s="34">
        <v>0</v>
      </c>
      <c r="E106" s="4">
        <v>664.77</v>
      </c>
    </row>
    <row r="107" spans="1:15">
      <c r="A107" s="2" t="s">
        <v>355</v>
      </c>
      <c r="B107" s="36" t="s">
        <v>355</v>
      </c>
      <c r="C107" s="36"/>
      <c r="D107" s="8">
        <f>SUM(D94:D106)</f>
        <v>128647.38</v>
      </c>
      <c r="E107" s="8">
        <f t="shared" ref="E107:O107" si="11">SUM(E94:E106)</f>
        <v>125133.01</v>
      </c>
      <c r="F107" s="8">
        <f t="shared" si="11"/>
        <v>0</v>
      </c>
      <c r="G107" s="8">
        <f t="shared" si="11"/>
        <v>0</v>
      </c>
      <c r="H107" s="8">
        <f t="shared" si="11"/>
        <v>0</v>
      </c>
      <c r="I107" s="8">
        <f t="shared" si="11"/>
        <v>0</v>
      </c>
      <c r="J107" s="8">
        <f t="shared" si="11"/>
        <v>0</v>
      </c>
      <c r="K107" s="8">
        <f t="shared" si="11"/>
        <v>0</v>
      </c>
      <c r="L107" s="8">
        <f t="shared" si="11"/>
        <v>0</v>
      </c>
      <c r="M107" s="8">
        <f t="shared" si="11"/>
        <v>0</v>
      </c>
      <c r="N107" s="8">
        <f t="shared" si="11"/>
        <v>0</v>
      </c>
      <c r="O107" s="8">
        <f t="shared" si="11"/>
        <v>0</v>
      </c>
    </row>
    <row r="108" spans="2:15">
      <c r="B108" s="36"/>
      <c r="C108" s="36"/>
      <c r="D108" s="8"/>
      <c r="E108" s="36"/>
      <c r="F108" s="8"/>
      <c r="G108" s="36"/>
      <c r="H108" s="8"/>
      <c r="I108" s="36"/>
      <c r="J108" s="8"/>
      <c r="K108" s="36"/>
      <c r="L108" s="8"/>
      <c r="M108" s="36"/>
      <c r="N108" s="8"/>
      <c r="O108" s="36"/>
    </row>
    <row r="109" spans="1:15">
      <c r="A109" s="2" t="s">
        <v>40</v>
      </c>
      <c r="B109" s="41" t="s">
        <v>415</v>
      </c>
      <c r="C109" s="41"/>
      <c r="D109" s="42" t="s">
        <v>429</v>
      </c>
      <c r="E109" s="41" t="s">
        <v>415</v>
      </c>
      <c r="F109" s="42" t="s">
        <v>429</v>
      </c>
      <c r="G109" s="41" t="s">
        <v>415</v>
      </c>
      <c r="H109" s="42" t="s">
        <v>429</v>
      </c>
      <c r="I109" s="41" t="s">
        <v>415</v>
      </c>
      <c r="J109" s="42" t="s">
        <v>429</v>
      </c>
      <c r="K109" s="41" t="s">
        <v>415</v>
      </c>
      <c r="L109" s="42" t="s">
        <v>429</v>
      </c>
      <c r="M109" s="41" t="s">
        <v>415</v>
      </c>
      <c r="N109" s="42" t="s">
        <v>429</v>
      </c>
      <c r="O109" s="41" t="s">
        <v>415</v>
      </c>
    </row>
    <row r="110" spans="1:16">
      <c r="A110" s="2" t="s">
        <v>613</v>
      </c>
      <c r="B110" s="43" t="s">
        <v>614</v>
      </c>
      <c r="C110" s="33"/>
      <c r="D110" s="34">
        <v>29606.79</v>
      </c>
      <c r="E110" s="4">
        <v>26613.3</v>
      </c>
      <c r="P110" s="2" t="s">
        <v>615</v>
      </c>
    </row>
    <row r="111" spans="1:16">
      <c r="A111" s="2" t="s">
        <v>616</v>
      </c>
      <c r="B111" s="39" t="s">
        <v>303</v>
      </c>
      <c r="C111" s="33"/>
      <c r="D111" s="34">
        <v>4220.24</v>
      </c>
      <c r="E111" s="4">
        <v>4453.17</v>
      </c>
      <c r="P111" s="2" t="s">
        <v>617</v>
      </c>
    </row>
    <row r="112" spans="1:16">
      <c r="A112" s="2" t="s">
        <v>618</v>
      </c>
      <c r="B112" s="15" t="s">
        <v>619</v>
      </c>
      <c r="C112" s="33" t="s">
        <v>41</v>
      </c>
      <c r="D112" s="34">
        <v>29859.57</v>
      </c>
      <c r="E112" s="4">
        <v>69439.76</v>
      </c>
      <c r="P112" s="2" t="s">
        <v>620</v>
      </c>
    </row>
    <row r="113" spans="1:16">
      <c r="A113" s="2" t="s">
        <v>551</v>
      </c>
      <c r="B113" s="33" t="s">
        <v>307</v>
      </c>
      <c r="C113" s="33" t="s">
        <v>41</v>
      </c>
      <c r="D113" s="34">
        <v>0</v>
      </c>
      <c r="E113" s="4">
        <v>3866.54</v>
      </c>
      <c r="P113" s="2" t="s">
        <v>621</v>
      </c>
    </row>
    <row r="114" spans="1:5">
      <c r="A114" s="2" t="s">
        <v>521</v>
      </c>
      <c r="B114" s="33" t="s">
        <v>275</v>
      </c>
      <c r="C114" s="33" t="s">
        <v>41</v>
      </c>
      <c r="D114" s="34">
        <v>0</v>
      </c>
      <c r="E114" s="4">
        <v>0</v>
      </c>
    </row>
    <row r="115" spans="1:5">
      <c r="A115" s="2" t="s">
        <v>622</v>
      </c>
      <c r="B115" s="33"/>
      <c r="C115" s="33"/>
      <c r="D115" s="34">
        <v>0</v>
      </c>
      <c r="E115" s="4">
        <v>0</v>
      </c>
    </row>
    <row r="116" spans="1:5">
      <c r="A116" s="2" t="s">
        <v>623</v>
      </c>
      <c r="B116" s="33" t="s">
        <v>271</v>
      </c>
      <c r="C116" s="33" t="s">
        <v>41</v>
      </c>
      <c r="D116" s="34">
        <v>0</v>
      </c>
      <c r="E116" s="4">
        <v>0</v>
      </c>
    </row>
    <row r="117" spans="1:5">
      <c r="A117" s="2" t="s">
        <v>550</v>
      </c>
      <c r="B117" s="39" t="s">
        <v>432</v>
      </c>
      <c r="C117" s="33" t="s">
        <v>41</v>
      </c>
      <c r="D117" s="34">
        <v>173</v>
      </c>
      <c r="E117" s="4">
        <v>186.33</v>
      </c>
    </row>
    <row r="118" spans="1:5">
      <c r="A118" s="2" t="s">
        <v>624</v>
      </c>
      <c r="B118" s="39" t="s">
        <v>433</v>
      </c>
      <c r="C118" s="33"/>
      <c r="D118" s="34">
        <v>-22.68</v>
      </c>
      <c r="E118" s="4">
        <v>0</v>
      </c>
    </row>
    <row r="119" spans="1:5">
      <c r="A119" s="2" t="s">
        <v>625</v>
      </c>
      <c r="B119" s="39" t="s">
        <v>435</v>
      </c>
      <c r="C119" s="33"/>
      <c r="D119" s="34">
        <v>94.2799999999988</v>
      </c>
      <c r="E119" s="4">
        <v>0</v>
      </c>
    </row>
    <row r="120" spans="1:5">
      <c r="A120" s="2" t="s">
        <v>525</v>
      </c>
      <c r="B120" s="39" t="s">
        <v>436</v>
      </c>
      <c r="C120" s="33"/>
      <c r="D120" s="34">
        <v>-33.74</v>
      </c>
      <c r="E120" s="4">
        <v>0</v>
      </c>
    </row>
    <row r="121" s="1" customFormat="1" spans="1:16">
      <c r="A121" s="1" t="s">
        <v>527</v>
      </c>
      <c r="B121" s="43" t="s">
        <v>437</v>
      </c>
      <c r="C121" s="15"/>
      <c r="D121" s="44">
        <v>43.83</v>
      </c>
      <c r="E121" s="24">
        <v>459.07</v>
      </c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1" t="s">
        <v>626</v>
      </c>
    </row>
    <row r="122" spans="1:16">
      <c r="A122" s="1" t="s">
        <v>627</v>
      </c>
      <c r="B122" s="43" t="s">
        <v>438</v>
      </c>
      <c r="C122" s="15"/>
      <c r="D122" s="44">
        <v>6155.54</v>
      </c>
      <c r="E122" s="24">
        <v>0.05</v>
      </c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1" t="s">
        <v>628</v>
      </c>
    </row>
    <row r="123" spans="1:5">
      <c r="A123" s="2" t="s">
        <v>529</v>
      </c>
      <c r="B123" s="39" t="s">
        <v>439</v>
      </c>
      <c r="C123" s="33"/>
      <c r="D123" s="34">
        <v>0</v>
      </c>
      <c r="E123" s="4">
        <v>0</v>
      </c>
    </row>
    <row r="124" spans="1:5">
      <c r="A124" s="2" t="s">
        <v>584</v>
      </c>
      <c r="B124" s="39" t="s">
        <v>440</v>
      </c>
      <c r="C124" s="33"/>
      <c r="D124" s="34">
        <v>21.04</v>
      </c>
      <c r="E124" s="4">
        <v>24.74</v>
      </c>
    </row>
    <row r="125" spans="1:5">
      <c r="A125" s="2" t="s">
        <v>589</v>
      </c>
      <c r="B125" s="39" t="s">
        <v>441</v>
      </c>
      <c r="C125" s="33"/>
      <c r="D125" s="34">
        <v>14843.84</v>
      </c>
      <c r="E125" s="4">
        <v>21284.02</v>
      </c>
    </row>
    <row r="126" spans="1:5">
      <c r="A126" s="2" t="s">
        <v>586</v>
      </c>
      <c r="B126" s="39" t="s">
        <v>442</v>
      </c>
      <c r="C126" s="33"/>
      <c r="D126" s="34">
        <v>125.73</v>
      </c>
      <c r="E126" s="4">
        <v>134.73</v>
      </c>
    </row>
    <row r="127" spans="1:5">
      <c r="A127" s="2" t="s">
        <v>592</v>
      </c>
      <c r="B127" s="39" t="s">
        <v>629</v>
      </c>
      <c r="C127" s="33"/>
      <c r="D127" s="34">
        <v>0</v>
      </c>
      <c r="E127" s="4">
        <v>0</v>
      </c>
    </row>
    <row r="128" spans="1:5">
      <c r="A128" s="2" t="s">
        <v>588</v>
      </c>
      <c r="B128" s="39" t="s">
        <v>443</v>
      </c>
      <c r="C128" s="33"/>
      <c r="D128" s="34">
        <v>2190.44</v>
      </c>
      <c r="E128" s="4">
        <v>2139.16</v>
      </c>
    </row>
    <row r="129" spans="1:5">
      <c r="A129" s="2" t="s">
        <v>591</v>
      </c>
      <c r="B129" s="39" t="s">
        <v>444</v>
      </c>
      <c r="C129" s="33"/>
      <c r="D129" s="34">
        <v>2162.27</v>
      </c>
      <c r="E129" s="4">
        <v>321.76</v>
      </c>
    </row>
    <row r="130" spans="1:5">
      <c r="A130" s="2" t="s">
        <v>593</v>
      </c>
      <c r="B130" s="39" t="s">
        <v>445</v>
      </c>
      <c r="C130" s="33"/>
      <c r="D130" s="34">
        <v>278.15</v>
      </c>
      <c r="E130" s="4">
        <v>269.67</v>
      </c>
    </row>
    <row r="131" spans="1:5">
      <c r="A131" s="2" t="s">
        <v>594</v>
      </c>
      <c r="B131" s="39" t="s">
        <v>446</v>
      </c>
      <c r="C131" s="33"/>
      <c r="D131" s="34">
        <v>271.55</v>
      </c>
      <c r="E131" s="4">
        <v>232.23</v>
      </c>
    </row>
    <row r="132" spans="1:5">
      <c r="A132" s="2" t="s">
        <v>598</v>
      </c>
      <c r="B132" s="39" t="s">
        <v>447</v>
      </c>
      <c r="C132" s="33"/>
      <c r="D132" s="34">
        <v>99.45</v>
      </c>
      <c r="E132" s="4">
        <v>0</v>
      </c>
    </row>
    <row r="133" spans="1:5">
      <c r="A133" s="2" t="s">
        <v>530</v>
      </c>
      <c r="B133" s="39" t="s">
        <v>448</v>
      </c>
      <c r="C133" s="33"/>
      <c r="D133" s="34">
        <v>25.29</v>
      </c>
      <c r="E133" s="4">
        <v>1.52</v>
      </c>
    </row>
    <row r="134" spans="1:5">
      <c r="A134" s="2" t="s">
        <v>533</v>
      </c>
      <c r="B134" s="39" t="s">
        <v>449</v>
      </c>
      <c r="C134" s="33"/>
      <c r="D134" s="34">
        <v>36.03</v>
      </c>
      <c r="E134" s="4">
        <v>59.5</v>
      </c>
    </row>
    <row r="135" spans="1:5">
      <c r="A135" s="2" t="s">
        <v>562</v>
      </c>
      <c r="B135" s="39" t="s">
        <v>630</v>
      </c>
      <c r="C135" s="33"/>
      <c r="D135" s="34">
        <v>4.06</v>
      </c>
      <c r="E135" s="4">
        <v>78.78</v>
      </c>
    </row>
    <row r="136" spans="1:5">
      <c r="A136" s="2" t="s">
        <v>553</v>
      </c>
      <c r="B136" s="39" t="s">
        <v>451</v>
      </c>
      <c r="C136" s="33"/>
      <c r="D136" s="34">
        <v>1.4</v>
      </c>
      <c r="E136" s="4">
        <v>9374.59</v>
      </c>
    </row>
    <row r="137" spans="1:5">
      <c r="A137" s="2" t="s">
        <v>602</v>
      </c>
      <c r="B137" s="39" t="s">
        <v>452</v>
      </c>
      <c r="C137" s="33"/>
      <c r="D137" s="34">
        <v>220.21</v>
      </c>
      <c r="E137" s="4">
        <v>-641.25</v>
      </c>
    </row>
    <row r="138" spans="1:5">
      <c r="A138" s="2" t="s">
        <v>538</v>
      </c>
      <c r="B138" s="39" t="s">
        <v>453</v>
      </c>
      <c r="C138" s="33"/>
      <c r="D138" s="34">
        <v>18.33</v>
      </c>
      <c r="E138" s="4">
        <v>3.01</v>
      </c>
    </row>
    <row r="139" spans="1:5">
      <c r="A139" s="2" t="s">
        <v>542</v>
      </c>
      <c r="B139" s="39" t="s">
        <v>454</v>
      </c>
      <c r="C139" s="33"/>
      <c r="D139" s="34">
        <v>-9.45</v>
      </c>
      <c r="E139" s="4">
        <v>0</v>
      </c>
    </row>
    <row r="140" s="1" customFormat="1" spans="1:16">
      <c r="A140" s="1" t="s">
        <v>631</v>
      </c>
      <c r="B140" s="43" t="s">
        <v>455</v>
      </c>
      <c r="C140" s="15"/>
      <c r="D140" s="44">
        <v>858.2</v>
      </c>
      <c r="E140" s="24">
        <v>13433.81</v>
      </c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1" t="s">
        <v>632</v>
      </c>
    </row>
    <row r="141" s="1" customFormat="1" spans="1:16">
      <c r="A141" s="1" t="s">
        <v>633</v>
      </c>
      <c r="B141" s="43" t="s">
        <v>456</v>
      </c>
      <c r="C141" s="15"/>
      <c r="D141" s="44">
        <v>619.94</v>
      </c>
      <c r="E141" s="24">
        <v>0</v>
      </c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1" t="s">
        <v>634</v>
      </c>
    </row>
    <row r="142" spans="1:5">
      <c r="A142" s="2" t="s">
        <v>574</v>
      </c>
      <c r="B142" s="39" t="s">
        <v>457</v>
      </c>
      <c r="C142" s="33"/>
      <c r="D142" s="34">
        <v>379.76</v>
      </c>
      <c r="E142" s="4">
        <v>2884.18</v>
      </c>
    </row>
    <row r="143" spans="1:5">
      <c r="A143" s="2" t="s">
        <v>563</v>
      </c>
      <c r="B143" s="39" t="s">
        <v>458</v>
      </c>
      <c r="C143" s="33"/>
      <c r="D143" s="34">
        <v>8.83</v>
      </c>
      <c r="E143" s="4">
        <v>8.16</v>
      </c>
    </row>
    <row r="144" spans="1:5">
      <c r="A144" s="2" t="s">
        <v>635</v>
      </c>
      <c r="B144" s="43" t="s">
        <v>636</v>
      </c>
      <c r="C144" s="15"/>
      <c r="D144" s="44">
        <v>221613.12</v>
      </c>
      <c r="E144" s="24">
        <v>221613.12</v>
      </c>
    </row>
    <row r="145" spans="1:5">
      <c r="A145" s="2" t="s">
        <v>561</v>
      </c>
      <c r="B145" s="39" t="s">
        <v>459</v>
      </c>
      <c r="C145" s="33"/>
      <c r="D145" s="34">
        <v>134.35</v>
      </c>
      <c r="E145" s="4">
        <v>166.56</v>
      </c>
    </row>
    <row r="146" spans="1:5">
      <c r="A146" s="2" t="s">
        <v>490</v>
      </c>
      <c r="B146" s="39" t="s">
        <v>460</v>
      </c>
      <c r="C146" s="33"/>
      <c r="D146" s="34">
        <v>136.56</v>
      </c>
      <c r="E146" s="4">
        <v>123.36</v>
      </c>
    </row>
    <row r="147" spans="1:5">
      <c r="A147" s="2" t="s">
        <v>492</v>
      </c>
      <c r="B147" s="39" t="s">
        <v>461</v>
      </c>
      <c r="C147" s="33"/>
      <c r="D147" s="34">
        <v>149.06</v>
      </c>
      <c r="E147" s="4">
        <v>134.6</v>
      </c>
    </row>
    <row r="148" spans="1:5">
      <c r="A148" s="2" t="s">
        <v>494</v>
      </c>
      <c r="B148" s="39" t="s">
        <v>462</v>
      </c>
      <c r="C148" s="33"/>
      <c r="D148" s="34">
        <v>130.61</v>
      </c>
      <c r="E148" s="4">
        <v>117.95</v>
      </c>
    </row>
    <row r="149" spans="1:5">
      <c r="A149" s="2" t="s">
        <v>496</v>
      </c>
      <c r="B149" s="39" t="s">
        <v>463</v>
      </c>
      <c r="C149" s="33"/>
      <c r="D149" s="34">
        <v>145.69</v>
      </c>
      <c r="E149" s="4">
        <v>131.58</v>
      </c>
    </row>
    <row r="150" spans="1:5">
      <c r="A150" s="2" t="s">
        <v>637</v>
      </c>
      <c r="B150" s="39" t="s">
        <v>434</v>
      </c>
      <c r="C150" s="33"/>
      <c r="D150" s="34">
        <v>4.73</v>
      </c>
      <c r="E150" s="4">
        <v>0</v>
      </c>
    </row>
    <row r="151" spans="1:5">
      <c r="A151" s="2" t="s">
        <v>528</v>
      </c>
      <c r="B151" s="39" t="s">
        <v>277</v>
      </c>
      <c r="C151" s="33" t="s">
        <v>41</v>
      </c>
      <c r="D151" s="34"/>
      <c r="E151" s="4">
        <v>17.52</v>
      </c>
    </row>
    <row r="152" s="1" customFormat="1" spans="1:16">
      <c r="A152" s="1" t="s">
        <v>544</v>
      </c>
      <c r="B152" s="43" t="s">
        <v>299</v>
      </c>
      <c r="C152" s="15"/>
      <c r="D152" s="44"/>
      <c r="E152" s="24">
        <v>347.88</v>
      </c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1" t="s">
        <v>626</v>
      </c>
    </row>
    <row r="153" spans="1:5">
      <c r="A153" s="2" t="s">
        <v>546</v>
      </c>
      <c r="B153" s="39" t="s">
        <v>301</v>
      </c>
      <c r="C153" s="33"/>
      <c r="D153" s="34"/>
      <c r="E153" s="4">
        <v>-0.01</v>
      </c>
    </row>
    <row r="154" spans="1:5">
      <c r="A154" s="2" t="s">
        <v>548</v>
      </c>
      <c r="B154" s="39" t="s">
        <v>302</v>
      </c>
      <c r="C154" s="33"/>
      <c r="D154" s="34"/>
      <c r="E154" s="4">
        <v>0.05</v>
      </c>
    </row>
    <row r="155" spans="1:5">
      <c r="A155" s="2" t="s">
        <v>556</v>
      </c>
      <c r="B155" s="39" t="s">
        <v>310</v>
      </c>
      <c r="C155" s="33"/>
      <c r="D155" s="34"/>
      <c r="E155" s="4">
        <v>13.67</v>
      </c>
    </row>
    <row r="156" spans="1:5">
      <c r="A156" s="2" t="s">
        <v>604</v>
      </c>
      <c r="B156" s="39" t="s">
        <v>360</v>
      </c>
      <c r="C156" s="33"/>
      <c r="D156" s="34"/>
      <c r="E156" s="4">
        <v>3.11</v>
      </c>
    </row>
    <row r="157" spans="1:5">
      <c r="A157" s="2" t="s">
        <v>608</v>
      </c>
      <c r="B157" s="39" t="s">
        <v>361</v>
      </c>
      <c r="C157" s="33"/>
      <c r="D157" s="34"/>
      <c r="E157" s="4">
        <v>541.29</v>
      </c>
    </row>
    <row r="158" spans="1:5">
      <c r="A158" s="2" t="s">
        <v>612</v>
      </c>
      <c r="B158" s="39" t="s">
        <v>364</v>
      </c>
      <c r="C158" s="33"/>
      <c r="D158" s="34"/>
      <c r="E158" s="4">
        <v>1.69</v>
      </c>
    </row>
    <row r="159" spans="1:15">
      <c r="A159" s="2" t="s">
        <v>473</v>
      </c>
      <c r="B159" s="46"/>
      <c r="C159" s="36"/>
      <c r="D159" s="47">
        <f>SUM(D110:D158)</f>
        <v>314566.02</v>
      </c>
      <c r="E159" s="47">
        <f t="shared" ref="E159:O159" si="12">SUM(E110:E158)</f>
        <v>377839.2</v>
      </c>
      <c r="F159" s="47">
        <f t="shared" si="12"/>
        <v>0</v>
      </c>
      <c r="G159" s="47">
        <f t="shared" si="12"/>
        <v>0</v>
      </c>
      <c r="H159" s="47">
        <f t="shared" si="12"/>
        <v>0</v>
      </c>
      <c r="I159" s="47">
        <f t="shared" si="12"/>
        <v>0</v>
      </c>
      <c r="J159" s="47">
        <f t="shared" si="12"/>
        <v>0</v>
      </c>
      <c r="K159" s="47">
        <f t="shared" si="12"/>
        <v>0</v>
      </c>
      <c r="L159" s="47">
        <f t="shared" si="12"/>
        <v>0</v>
      </c>
      <c r="M159" s="47">
        <f t="shared" si="12"/>
        <v>0</v>
      </c>
      <c r="N159" s="47">
        <f t="shared" si="12"/>
        <v>0</v>
      </c>
      <c r="O159" s="47">
        <f t="shared" si="12"/>
        <v>0</v>
      </c>
    </row>
    <row r="161" spans="1:15">
      <c r="A161" s="10" t="s">
        <v>474</v>
      </c>
      <c r="B161" s="10" t="s">
        <v>474</v>
      </c>
      <c r="C161" s="10"/>
      <c r="D161" s="10">
        <f t="shared" ref="D161:O161" si="13">D21+D26+D68+D78+D72</f>
        <v>240508.51</v>
      </c>
      <c r="E161" s="10">
        <f t="shared" si="13"/>
        <v>185640.79</v>
      </c>
      <c r="F161" s="10">
        <f t="shared" si="13"/>
        <v>0</v>
      </c>
      <c r="G161" s="10">
        <f t="shared" si="13"/>
        <v>0</v>
      </c>
      <c r="H161" s="10">
        <f t="shared" si="13"/>
        <v>0</v>
      </c>
      <c r="I161" s="10">
        <f t="shared" si="13"/>
        <v>0</v>
      </c>
      <c r="J161" s="10">
        <f t="shared" si="13"/>
        <v>0</v>
      </c>
      <c r="K161" s="10">
        <f t="shared" si="13"/>
        <v>0</v>
      </c>
      <c r="L161" s="10">
        <f t="shared" si="13"/>
        <v>0</v>
      </c>
      <c r="M161" s="10">
        <f t="shared" si="13"/>
        <v>0</v>
      </c>
      <c r="N161" s="10">
        <f t="shared" si="13"/>
        <v>0</v>
      </c>
      <c r="O161" s="10">
        <f t="shared" si="13"/>
        <v>0</v>
      </c>
    </row>
    <row r="162" spans="1:15">
      <c r="A162" s="10" t="s">
        <v>475</v>
      </c>
      <c r="B162" s="10" t="s">
        <v>475</v>
      </c>
      <c r="C162" s="10"/>
      <c r="D162" s="10">
        <f t="shared" ref="D162:O162" si="14">D13+D64+D70+D74+D86+D93+D107</f>
        <v>1227041.36</v>
      </c>
      <c r="E162" s="10">
        <f t="shared" si="14"/>
        <v>1139233.03</v>
      </c>
      <c r="F162" s="10">
        <f t="shared" si="14"/>
        <v>0</v>
      </c>
      <c r="G162" s="10">
        <f t="shared" si="14"/>
        <v>0</v>
      </c>
      <c r="H162" s="10">
        <f t="shared" si="14"/>
        <v>0</v>
      </c>
      <c r="I162" s="10">
        <f t="shared" si="14"/>
        <v>0</v>
      </c>
      <c r="J162" s="10">
        <f t="shared" si="14"/>
        <v>0</v>
      </c>
      <c r="K162" s="10">
        <f t="shared" si="14"/>
        <v>0</v>
      </c>
      <c r="L162" s="10">
        <f t="shared" si="14"/>
        <v>0</v>
      </c>
      <c r="M162" s="10">
        <f t="shared" si="14"/>
        <v>0</v>
      </c>
      <c r="N162" s="10">
        <f t="shared" si="14"/>
        <v>0</v>
      </c>
      <c r="O162" s="10">
        <f t="shared" si="14"/>
        <v>0</v>
      </c>
    </row>
    <row r="163" spans="1:15">
      <c r="A163" s="10" t="s">
        <v>476</v>
      </c>
      <c r="B163" s="10" t="s">
        <v>476</v>
      </c>
      <c r="C163" s="10"/>
      <c r="D163" s="10">
        <f>D162+D161</f>
        <v>1467549.87</v>
      </c>
      <c r="E163" s="10">
        <f t="shared" ref="E163:O163" si="15">E162+E161</f>
        <v>1324873.82</v>
      </c>
      <c r="F163" s="10">
        <f t="shared" si="15"/>
        <v>0</v>
      </c>
      <c r="G163" s="10">
        <f t="shared" si="15"/>
        <v>0</v>
      </c>
      <c r="H163" s="10">
        <f t="shared" si="15"/>
        <v>0</v>
      </c>
      <c r="I163" s="10">
        <f t="shared" si="15"/>
        <v>0</v>
      </c>
      <c r="J163" s="10">
        <f t="shared" si="15"/>
        <v>0</v>
      </c>
      <c r="K163" s="10">
        <f t="shared" si="15"/>
        <v>0</v>
      </c>
      <c r="L163" s="10">
        <f t="shared" si="15"/>
        <v>0</v>
      </c>
      <c r="M163" s="10">
        <f t="shared" si="15"/>
        <v>0</v>
      </c>
      <c r="N163" s="10">
        <f t="shared" si="15"/>
        <v>0</v>
      </c>
      <c r="O163" s="10">
        <f t="shared" si="15"/>
        <v>0</v>
      </c>
    </row>
    <row r="164" spans="1:15">
      <c r="A164" s="10" t="s">
        <v>473</v>
      </c>
      <c r="B164" s="10" t="s">
        <v>40</v>
      </c>
      <c r="C164" s="10"/>
      <c r="D164" s="10">
        <f>D159</f>
        <v>314566.02</v>
      </c>
      <c r="E164" s="10">
        <f t="shared" ref="E164:O164" si="16">E159</f>
        <v>377839.2</v>
      </c>
      <c r="F164" s="10">
        <f t="shared" si="16"/>
        <v>0</v>
      </c>
      <c r="G164" s="10">
        <f t="shared" si="16"/>
        <v>0</v>
      </c>
      <c r="H164" s="10">
        <f t="shared" si="16"/>
        <v>0</v>
      </c>
      <c r="I164" s="10">
        <f t="shared" si="16"/>
        <v>0</v>
      </c>
      <c r="J164" s="10">
        <f t="shared" si="16"/>
        <v>0</v>
      </c>
      <c r="K164" s="10">
        <f t="shared" si="16"/>
        <v>0</v>
      </c>
      <c r="L164" s="10">
        <f t="shared" si="16"/>
        <v>0</v>
      </c>
      <c r="M164" s="10">
        <f t="shared" si="16"/>
        <v>0</v>
      </c>
      <c r="N164" s="10">
        <f t="shared" si="16"/>
        <v>0</v>
      </c>
      <c r="O164" s="10">
        <f t="shared" si="16"/>
        <v>0</v>
      </c>
    </row>
    <row r="165" spans="1:15">
      <c r="A165" s="48" t="s">
        <v>477</v>
      </c>
      <c r="B165" s="49" t="s">
        <v>476</v>
      </c>
      <c r="C165" s="49"/>
      <c r="D165" s="50">
        <f>D164+D163</f>
        <v>1782115.89</v>
      </c>
      <c r="E165" s="50">
        <f t="shared" ref="E165:O165" si="17">E164+E163</f>
        <v>1702713.02</v>
      </c>
      <c r="F165" s="50">
        <f t="shared" si="17"/>
        <v>0</v>
      </c>
      <c r="G165" s="50">
        <f t="shared" si="17"/>
        <v>0</v>
      </c>
      <c r="H165" s="50">
        <f t="shared" si="17"/>
        <v>0</v>
      </c>
      <c r="I165" s="50">
        <f t="shared" si="17"/>
        <v>0</v>
      </c>
      <c r="J165" s="50">
        <f t="shared" si="17"/>
        <v>0</v>
      </c>
      <c r="K165" s="50">
        <f t="shared" si="17"/>
        <v>0</v>
      </c>
      <c r="L165" s="50">
        <f t="shared" si="17"/>
        <v>0</v>
      </c>
      <c r="M165" s="50">
        <f t="shared" si="17"/>
        <v>0</v>
      </c>
      <c r="N165" s="50">
        <f t="shared" si="17"/>
        <v>0</v>
      </c>
      <c r="O165" s="50">
        <f t="shared" si="17"/>
        <v>0</v>
      </c>
    </row>
    <row r="166" spans="1:15">
      <c r="A166" s="2" t="s">
        <v>478</v>
      </c>
      <c r="B166" s="2" t="s">
        <v>479</v>
      </c>
      <c r="D166" s="30">
        <f t="shared" ref="D166:O166" si="18">D165/D1</f>
        <v>38.8345149269993</v>
      </c>
      <c r="E166" s="30">
        <f t="shared" si="18"/>
        <v>36.1794407496335</v>
      </c>
      <c r="F166" s="30" t="e">
        <f t="shared" si="18"/>
        <v>#DIV/0!</v>
      </c>
      <c r="G166" s="30" t="e">
        <f t="shared" si="18"/>
        <v>#DIV/0!</v>
      </c>
      <c r="H166" s="30" t="e">
        <f t="shared" si="18"/>
        <v>#DIV/0!</v>
      </c>
      <c r="I166" s="30" t="e">
        <f t="shared" si="18"/>
        <v>#DIV/0!</v>
      </c>
      <c r="J166" s="30" t="e">
        <f t="shared" si="18"/>
        <v>#DIV/0!</v>
      </c>
      <c r="K166" s="30" t="e">
        <f t="shared" si="18"/>
        <v>#DIV/0!</v>
      </c>
      <c r="L166" s="30" t="e">
        <f t="shared" si="18"/>
        <v>#DIV/0!</v>
      </c>
      <c r="M166" s="30" t="e">
        <f t="shared" si="18"/>
        <v>#DIV/0!</v>
      </c>
      <c r="N166" s="30" t="e">
        <f t="shared" si="18"/>
        <v>#DIV/0!</v>
      </c>
      <c r="O166" s="30" t="e">
        <f t="shared" si="18"/>
        <v>#DIV/0!</v>
      </c>
    </row>
    <row r="168" spans="2:2">
      <c r="B168" s="2" t="s">
        <v>638</v>
      </c>
    </row>
    <row r="169" spans="2:2">
      <c r="B169" s="2" t="s">
        <v>639</v>
      </c>
    </row>
    <row r="170" spans="1:1">
      <c r="A170" s="2" t="s">
        <v>480</v>
      </c>
    </row>
    <row r="171" spans="1:5">
      <c r="A171" s="21" t="s">
        <v>22</v>
      </c>
      <c r="B171" t="s">
        <v>59</v>
      </c>
      <c r="C171"/>
      <c r="D171" s="4">
        <f>D13</f>
        <v>585689.15</v>
      </c>
      <c r="E171" s="4">
        <f>E13</f>
        <v>572162.4</v>
      </c>
    </row>
    <row r="172" spans="1:5">
      <c r="A172" s="21"/>
      <c r="B172" t="s">
        <v>24</v>
      </c>
      <c r="C172"/>
      <c r="D172" s="4">
        <f>D64</f>
        <v>53241.12</v>
      </c>
      <c r="E172" s="4">
        <f>E64</f>
        <v>69158</v>
      </c>
    </row>
    <row r="173" spans="1:5">
      <c r="A173" s="21"/>
      <c r="B173" t="s">
        <v>25</v>
      </c>
      <c r="C173"/>
      <c r="D173" s="4">
        <f>D70</f>
        <v>10692.6</v>
      </c>
      <c r="E173" s="4">
        <f>E70</f>
        <v>8854.78</v>
      </c>
    </row>
    <row r="174" spans="1:5">
      <c r="A174" s="21"/>
      <c r="B174" t="s">
        <v>26</v>
      </c>
      <c r="C174"/>
      <c r="D174" s="4">
        <f>D74</f>
        <v>30061.31</v>
      </c>
      <c r="E174" s="4">
        <f>E74</f>
        <v>16839.11</v>
      </c>
    </row>
    <row r="175" spans="1:5">
      <c r="A175" s="21"/>
      <c r="B175" t="s">
        <v>27</v>
      </c>
      <c r="C175"/>
      <c r="D175" s="4">
        <f>D86</f>
        <v>225321.02</v>
      </c>
      <c r="E175" s="4">
        <f>E86</f>
        <v>205033.8</v>
      </c>
    </row>
    <row r="176" spans="1:5">
      <c r="A176" s="21"/>
      <c r="B176" t="s">
        <v>28</v>
      </c>
      <c r="C176"/>
      <c r="D176" s="4">
        <f>D93</f>
        <v>193388.78</v>
      </c>
      <c r="E176" s="4">
        <f>E93</f>
        <v>142051.93</v>
      </c>
    </row>
    <row r="177" spans="1:5">
      <c r="A177" s="21"/>
      <c r="B177" t="s">
        <v>29</v>
      </c>
      <c r="C177"/>
      <c r="D177" s="4">
        <f>D107</f>
        <v>128647.38</v>
      </c>
      <c r="E177" s="4">
        <f>E107</f>
        <v>125133.01</v>
      </c>
    </row>
    <row r="178" spans="1:5">
      <c r="A178" s="21" t="s">
        <v>30</v>
      </c>
      <c r="B178" t="s">
        <v>31</v>
      </c>
      <c r="C178"/>
      <c r="D178" s="4">
        <f>D21</f>
        <v>235643.98</v>
      </c>
      <c r="E178" s="4">
        <f>E21</f>
        <v>178923.13</v>
      </c>
    </row>
    <row r="179" spans="1:5">
      <c r="A179" s="21"/>
      <c r="B179" t="s">
        <v>32</v>
      </c>
      <c r="C179"/>
      <c r="D179" s="4">
        <f>D26</f>
        <v>17506.51</v>
      </c>
      <c r="E179" s="4">
        <f>E26</f>
        <v>20110.95</v>
      </c>
    </row>
    <row r="180" spans="1:5">
      <c r="A180" s="21"/>
      <c r="B180" t="s">
        <v>33</v>
      </c>
      <c r="C180"/>
      <c r="D180" s="4">
        <f>D68</f>
        <v>-5046.55</v>
      </c>
      <c r="E180" s="4">
        <f>E68</f>
        <v>226.25</v>
      </c>
    </row>
    <row r="181" spans="1:5">
      <c r="A181" s="21"/>
      <c r="B181" t="s">
        <v>34</v>
      </c>
      <c r="C181"/>
      <c r="D181" s="4">
        <f>D72</f>
        <v>-16004.01</v>
      </c>
      <c r="E181" s="4">
        <f>E72</f>
        <v>-30725.48</v>
      </c>
    </row>
    <row r="182" spans="1:5">
      <c r="A182" s="21"/>
      <c r="B182" t="s">
        <v>35</v>
      </c>
      <c r="C182"/>
      <c r="D182" s="4">
        <f>D78</f>
        <v>8408.58</v>
      </c>
      <c r="E182" s="4">
        <f>E78</f>
        <v>17105.94</v>
      </c>
    </row>
    <row r="183" spans="1:5">
      <c r="A183" s="21" t="s">
        <v>36</v>
      </c>
      <c r="B183"/>
      <c r="C183"/>
      <c r="D183" s="4">
        <f>D159</f>
        <v>314566.02</v>
      </c>
      <c r="E183" s="4">
        <f>E159</f>
        <v>377839.2</v>
      </c>
    </row>
    <row r="185" spans="1:5">
      <c r="A185" s="25" t="s">
        <v>41</v>
      </c>
      <c r="D185" s="4">
        <f>SUMIFS(D4:D159,$C$4:$C$159,$A$185)</f>
        <v>163538.31</v>
      </c>
      <c r="E185" s="4">
        <f>SUMIFS(E4:E159,$C$4:$C$159,$A$185)</f>
        <v>225761.45</v>
      </c>
    </row>
    <row r="190" spans="6:7">
      <c r="F190" s="51" t="s">
        <v>640</v>
      </c>
      <c r="G190" s="51" t="s">
        <v>19</v>
      </c>
    </row>
    <row r="191" spans="6:7">
      <c r="F191" s="52">
        <v>0.96</v>
      </c>
      <c r="G191" s="52">
        <v>-0.22</v>
      </c>
    </row>
    <row r="192" spans="6:7">
      <c r="F192" s="53">
        <v>0</v>
      </c>
      <c r="G192" s="53">
        <v>2.8</v>
      </c>
    </row>
    <row r="193" spans="6:7">
      <c r="F193" s="53">
        <v>0.1</v>
      </c>
      <c r="G193" s="53">
        <v>1.3</v>
      </c>
    </row>
    <row r="194" spans="6:7">
      <c r="F194" s="53">
        <v>-0.1</v>
      </c>
      <c r="G194" s="53">
        <v>1.1</v>
      </c>
    </row>
    <row r="195" spans="6:7">
      <c r="F195" s="53">
        <v>-0.1</v>
      </c>
      <c r="G195" s="53">
        <v>0.3</v>
      </c>
    </row>
    <row r="196" spans="6:7">
      <c r="F196" s="53">
        <v>-0.5</v>
      </c>
      <c r="G196" s="53">
        <v>0.2</v>
      </c>
    </row>
    <row r="197" spans="6:7">
      <c r="F197" s="53">
        <v>-0.9</v>
      </c>
      <c r="G197" s="53">
        <v>0.4</v>
      </c>
    </row>
    <row r="198" spans="6:7">
      <c r="F198" s="54">
        <v>-1.5</v>
      </c>
      <c r="G198" s="54">
        <v>6.1</v>
      </c>
    </row>
    <row r="199" spans="6:7">
      <c r="F199" s="53">
        <v>-0.1</v>
      </c>
      <c r="G199" s="53">
        <v>1.9</v>
      </c>
    </row>
    <row r="200" spans="6:7">
      <c r="F200" s="53">
        <v>0</v>
      </c>
      <c r="G200" s="53">
        <v>-0.1</v>
      </c>
    </row>
    <row r="201" spans="6:7">
      <c r="F201" s="53">
        <v>-0.2</v>
      </c>
      <c r="G201" s="53">
        <v>-0.4</v>
      </c>
    </row>
    <row r="202" spans="6:7">
      <c r="F202" s="54">
        <v>-0.3</v>
      </c>
      <c r="G202" s="54">
        <v>1.4</v>
      </c>
    </row>
    <row r="203" spans="6:7">
      <c r="F203" s="53">
        <v>-0.1</v>
      </c>
      <c r="G203" s="53">
        <v>1.7</v>
      </c>
    </row>
    <row r="204" spans="6:7">
      <c r="F204" s="55">
        <v>-2</v>
      </c>
      <c r="G204" s="55">
        <v>9.2</v>
      </c>
    </row>
  </sheetData>
  <autoFilter xmlns:etc="http://www.wps.cn/officeDocument/2017/etCustomData" ref="A3:O107" etc:filterBottomFollowUsedRange="0">
    <extLst/>
  </autoFilter>
  <mergeCells count="2">
    <mergeCell ref="A171:A177"/>
    <mergeCell ref="A178:A182"/>
  </mergeCells>
  <pageMargins left="0.7" right="0.7" top="0.75" bottom="0.75" header="0.3" footer="0.3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8"/>
  <sheetViews>
    <sheetView zoomScale="80" zoomScaleNormal="80" workbookViewId="0">
      <pane xSplit="2" ySplit="3" topLeftCell="D94" activePane="bottomRight" state="frozen"/>
      <selection/>
      <selection pane="topRight"/>
      <selection pane="bottomLeft"/>
      <selection pane="bottomRight" activeCell="B99" sqref="B99"/>
    </sheetView>
  </sheetViews>
  <sheetFormatPr defaultColWidth="9.08333333333333" defaultRowHeight="13.8"/>
  <cols>
    <col min="1" max="1" width="22.0833333333333" style="2" customWidth="1"/>
    <col min="2" max="2" width="37.0833333333333" style="2" customWidth="1"/>
    <col min="3" max="3" width="8.75" style="2" customWidth="1"/>
    <col min="4" max="15" width="16.4166666666667" style="4" customWidth="1"/>
    <col min="16" max="16" width="14.75" style="2" customWidth="1"/>
    <col min="17" max="17" width="15.0833333333333" style="2" customWidth="1"/>
    <col min="18" max="16384" width="9.08333333333333" style="2"/>
  </cols>
  <sheetData>
    <row r="1" spans="2:17">
      <c r="B1" s="2" t="s">
        <v>413</v>
      </c>
      <c r="D1" s="4">
        <v>85167</v>
      </c>
      <c r="E1" s="4">
        <v>107256</v>
      </c>
      <c r="F1" s="4">
        <v>107351</v>
      </c>
      <c r="G1" s="4">
        <v>97704</v>
      </c>
      <c r="H1" s="4">
        <v>138184</v>
      </c>
      <c r="I1" s="4">
        <v>107952</v>
      </c>
      <c r="J1" s="4">
        <v>116784</v>
      </c>
      <c r="K1" s="4">
        <v>45884</v>
      </c>
      <c r="L1" s="4">
        <v>61716</v>
      </c>
      <c r="M1" s="4">
        <v>62217</v>
      </c>
      <c r="N1" s="4">
        <v>58489</v>
      </c>
      <c r="O1" s="4">
        <v>38237</v>
      </c>
      <c r="P1" s="16">
        <f>SUM(D1:O1)</f>
        <v>1026941</v>
      </c>
      <c r="Q1" s="16">
        <f>P1+'[2]24年-CK2'!O1</f>
        <v>1287462</v>
      </c>
    </row>
    <row r="2" spans="4:15">
      <c r="D2" s="4" t="s">
        <v>641</v>
      </c>
      <c r="E2" s="4" t="s">
        <v>641</v>
      </c>
      <c r="F2" s="4" t="s">
        <v>641</v>
      </c>
      <c r="G2" s="4" t="s">
        <v>641</v>
      </c>
      <c r="H2" s="4" t="s">
        <v>641</v>
      </c>
      <c r="I2" s="4" t="s">
        <v>641</v>
      </c>
      <c r="J2" s="4" t="s">
        <v>641</v>
      </c>
      <c r="K2" s="4" t="s">
        <v>641</v>
      </c>
      <c r="L2" s="4" t="s">
        <v>641</v>
      </c>
      <c r="M2" s="4" t="s">
        <v>641</v>
      </c>
      <c r="N2" s="4" t="s">
        <v>641</v>
      </c>
      <c r="O2" s="4" t="s">
        <v>641</v>
      </c>
    </row>
    <row r="3" spans="1:16">
      <c r="A3" s="5"/>
      <c r="B3" s="5" t="s">
        <v>415</v>
      </c>
      <c r="C3" s="5"/>
      <c r="D3" s="5" t="s">
        <v>642</v>
      </c>
      <c r="E3" s="5" t="s">
        <v>643</v>
      </c>
      <c r="F3" s="5" t="s">
        <v>644</v>
      </c>
      <c r="G3" s="5" t="s">
        <v>645</v>
      </c>
      <c r="H3" s="5" t="s">
        <v>197</v>
      </c>
      <c r="I3" s="5" t="s">
        <v>416</v>
      </c>
      <c r="J3" s="5" t="s">
        <v>199</v>
      </c>
      <c r="K3" s="5" t="s">
        <v>417</v>
      </c>
      <c r="L3" s="5" t="s">
        <v>418</v>
      </c>
      <c r="M3" s="5" t="s">
        <v>419</v>
      </c>
      <c r="N3" s="6" t="s">
        <v>420</v>
      </c>
      <c r="O3" s="17" t="s">
        <v>421</v>
      </c>
      <c r="P3" s="6" t="s">
        <v>15</v>
      </c>
    </row>
    <row r="4" spans="1:16">
      <c r="A4" s="2" t="str">
        <f>MID(B4,5,10)</f>
        <v>6666110101</v>
      </c>
      <c r="B4" s="2" t="s">
        <v>233</v>
      </c>
      <c r="D4" s="7">
        <v>58683.47</v>
      </c>
      <c r="E4" s="7">
        <v>56062.11</v>
      </c>
      <c r="F4" s="7">
        <v>73791.97</v>
      </c>
      <c r="G4" s="7">
        <v>85057.9</v>
      </c>
      <c r="H4" s="7">
        <v>73791.95</v>
      </c>
      <c r="I4" s="7">
        <v>71411.58</v>
      </c>
      <c r="J4" s="7">
        <v>73791.96</v>
      </c>
      <c r="K4" s="7">
        <v>73792</v>
      </c>
      <c r="L4" s="7">
        <v>49020.72</v>
      </c>
      <c r="M4" s="7">
        <v>50665.47</v>
      </c>
      <c r="N4" s="3">
        <v>49379.82</v>
      </c>
      <c r="O4" s="3">
        <v>52330.2</v>
      </c>
      <c r="P4" s="16">
        <f>SUM(D4:O4)</f>
        <v>767779.15</v>
      </c>
    </row>
    <row r="5" spans="1:16">
      <c r="A5" s="2" t="str">
        <f t="shared" ref="A5:A11" si="0">MID(B5,5,10)</f>
        <v>6666110106</v>
      </c>
      <c r="B5" s="2" t="s">
        <v>236</v>
      </c>
      <c r="D5" s="7">
        <v>670190.65</v>
      </c>
      <c r="E5" s="7">
        <v>626952.53</v>
      </c>
      <c r="F5" s="7">
        <v>670190.65</v>
      </c>
      <c r="G5" s="7">
        <v>648571.59</v>
      </c>
      <c r="H5" s="7">
        <v>670190.65</v>
      </c>
      <c r="I5" s="7">
        <v>648571.59</v>
      </c>
      <c r="J5" s="7">
        <v>670190.64</v>
      </c>
      <c r="K5" s="7">
        <v>510489.26</v>
      </c>
      <c r="L5" s="7">
        <v>-5115347.56</v>
      </c>
      <c r="M5" s="7">
        <v>0</v>
      </c>
      <c r="N5" s="3">
        <v>0</v>
      </c>
      <c r="O5" s="3">
        <v>0</v>
      </c>
      <c r="P5" s="16">
        <f t="shared" ref="P5:P68" si="1">SUM(D5:O5)</f>
        <v>0</v>
      </c>
    </row>
    <row r="6" spans="1:16">
      <c r="A6" s="2" t="str">
        <f t="shared" si="0"/>
        <v>6666110107</v>
      </c>
      <c r="B6" s="2" t="s">
        <v>237</v>
      </c>
      <c r="C6" s="2" t="s">
        <v>41</v>
      </c>
      <c r="D6" s="7">
        <v>859452.1</v>
      </c>
      <c r="E6" s="7">
        <v>799464.87</v>
      </c>
      <c r="F6" s="7">
        <v>852130.65</v>
      </c>
      <c r="G6" s="7">
        <v>819816.69</v>
      </c>
      <c r="H6" s="7">
        <v>853298.33</v>
      </c>
      <c r="I6" s="7">
        <v>830333.39</v>
      </c>
      <c r="J6" s="7">
        <v>857123.35</v>
      </c>
      <c r="K6" s="7">
        <v>854385.99</v>
      </c>
      <c r="L6" s="7">
        <v>696129.34</v>
      </c>
      <c r="M6" s="7">
        <v>789155.47</v>
      </c>
      <c r="N6" s="3">
        <v>795791.41</v>
      </c>
      <c r="O6" s="3">
        <v>848448.09</v>
      </c>
      <c r="P6" s="16">
        <f t="shared" si="1"/>
        <v>9855529.68</v>
      </c>
    </row>
    <row r="7" spans="1:16">
      <c r="A7" s="2" t="str">
        <f t="shared" si="0"/>
        <v>6666110110</v>
      </c>
      <c r="B7" s="2" t="s">
        <v>238</v>
      </c>
      <c r="D7" s="7">
        <v>1266106.68</v>
      </c>
      <c r="E7" s="7">
        <v>1176376.72</v>
      </c>
      <c r="F7" s="7">
        <v>1268221.04</v>
      </c>
      <c r="G7" s="7">
        <v>1265665.46</v>
      </c>
      <c r="H7" s="7">
        <v>1299537.95</v>
      </c>
      <c r="I7" s="7">
        <v>1276551.74</v>
      </c>
      <c r="J7" s="7">
        <v>1316770.82</v>
      </c>
      <c r="K7" s="7">
        <v>1104646.38</v>
      </c>
      <c r="L7" s="7">
        <v>1026000.53</v>
      </c>
      <c r="M7" s="7">
        <v>1086465.11</v>
      </c>
      <c r="N7" s="3">
        <v>1047024.11</v>
      </c>
      <c r="O7" s="3">
        <v>1083747.55</v>
      </c>
      <c r="P7" s="16">
        <f t="shared" si="1"/>
        <v>14217114.09</v>
      </c>
    </row>
    <row r="8" spans="1:16">
      <c r="A8" s="2" t="str">
        <f t="shared" si="0"/>
        <v>6666110112</v>
      </c>
      <c r="B8" s="2" t="s">
        <v>239</v>
      </c>
      <c r="D8" s="7">
        <v>73556.69</v>
      </c>
      <c r="E8" s="7">
        <v>67407.95</v>
      </c>
      <c r="F8" s="7">
        <v>71742.16</v>
      </c>
      <c r="G8" s="7">
        <v>69527.11</v>
      </c>
      <c r="H8" s="7">
        <v>71718.64</v>
      </c>
      <c r="I8" s="7">
        <v>68810.07</v>
      </c>
      <c r="J8" s="7">
        <v>70892.33</v>
      </c>
      <c r="K8" s="7">
        <v>60077.17</v>
      </c>
      <c r="L8" s="7">
        <v>52675.88</v>
      </c>
      <c r="M8" s="7">
        <v>54347.47</v>
      </c>
      <c r="N8" s="3">
        <v>65047.87</v>
      </c>
      <c r="O8" s="3">
        <v>72688.4</v>
      </c>
      <c r="P8" s="16">
        <f t="shared" si="1"/>
        <v>798491.74</v>
      </c>
    </row>
    <row r="9" spans="1:16">
      <c r="A9" s="2" t="str">
        <f t="shared" si="0"/>
        <v>6666110207</v>
      </c>
      <c r="B9" s="2" t="s">
        <v>241</v>
      </c>
      <c r="D9" s="7">
        <v>270493.13</v>
      </c>
      <c r="E9" s="7">
        <v>241008.03</v>
      </c>
      <c r="F9" s="7">
        <v>253623.54</v>
      </c>
      <c r="G9" s="7">
        <v>242510.6</v>
      </c>
      <c r="H9" s="7">
        <v>240041.98</v>
      </c>
      <c r="I9" s="7">
        <v>231959.93</v>
      </c>
      <c r="J9" s="7">
        <v>239691.77</v>
      </c>
      <c r="K9" s="7">
        <v>239691.85</v>
      </c>
      <c r="L9" s="7">
        <v>210989.1</v>
      </c>
      <c r="M9" s="7">
        <v>218021.96</v>
      </c>
      <c r="N9" s="3">
        <v>207743.53</v>
      </c>
      <c r="O9" s="3">
        <v>206942.73</v>
      </c>
      <c r="P9" s="16">
        <f t="shared" si="1"/>
        <v>2802718.15</v>
      </c>
    </row>
    <row r="10" spans="1:16">
      <c r="A10" s="2" t="str">
        <f t="shared" si="0"/>
        <v>6666110506</v>
      </c>
      <c r="B10" s="2" t="s">
        <v>242</v>
      </c>
      <c r="D10" s="7">
        <v>21883.24</v>
      </c>
      <c r="E10" s="7">
        <v>20471.49</v>
      </c>
      <c r="F10" s="7">
        <v>21883.28</v>
      </c>
      <c r="G10" s="7">
        <v>25736.48</v>
      </c>
      <c r="H10" s="7">
        <v>26442.43</v>
      </c>
      <c r="I10" s="7">
        <v>25736.48</v>
      </c>
      <c r="J10" s="7">
        <v>26268.62</v>
      </c>
      <c r="K10" s="7">
        <v>26262.84</v>
      </c>
      <c r="L10" s="7">
        <v>25562.71</v>
      </c>
      <c r="M10" s="7">
        <v>26196.19</v>
      </c>
      <c r="N10" s="3">
        <v>25497.12</v>
      </c>
      <c r="O10" s="3">
        <v>26195.12</v>
      </c>
      <c r="P10" s="16">
        <f t="shared" si="1"/>
        <v>298136</v>
      </c>
    </row>
    <row r="11" spans="1:16">
      <c r="A11" s="2" t="str">
        <f t="shared" si="0"/>
        <v>6666110206</v>
      </c>
      <c r="B11" s="2" t="s">
        <v>244</v>
      </c>
      <c r="D11" s="7">
        <v>0</v>
      </c>
      <c r="E11" s="7">
        <v>0</v>
      </c>
      <c r="F11" s="7">
        <v>0</v>
      </c>
      <c r="G11" s="7">
        <v>0</v>
      </c>
      <c r="H11" s="7">
        <v>876.37</v>
      </c>
      <c r="I11" s="7">
        <v>0</v>
      </c>
      <c r="J11" s="7">
        <v>876.379999991506</v>
      </c>
      <c r="K11" s="7">
        <v>876.37</v>
      </c>
      <c r="L11" s="7">
        <v>848.08</v>
      </c>
      <c r="M11" s="7">
        <v>876.36</v>
      </c>
      <c r="N11" s="3">
        <v>848.11</v>
      </c>
      <c r="O11" s="3">
        <v>876.37</v>
      </c>
      <c r="P11" s="16">
        <f t="shared" si="1"/>
        <v>6078.03999999151</v>
      </c>
    </row>
    <row r="12" spans="1:16">
      <c r="A12" s="10" t="str">
        <f>B12</f>
        <v>*   CS_Depreciation</v>
      </c>
      <c r="B12" s="10" t="s">
        <v>234</v>
      </c>
      <c r="D12" s="10">
        <v>3220365.96</v>
      </c>
      <c r="E12" s="10">
        <v>2987743.7</v>
      </c>
      <c r="F12" s="10">
        <v>3211583.29</v>
      </c>
      <c r="G12" s="10">
        <v>3156885.83</v>
      </c>
      <c r="H12" s="10">
        <v>3235898.3</v>
      </c>
      <c r="I12" s="10">
        <v>3153374.78</v>
      </c>
      <c r="J12" s="10">
        <v>3255605.86999999</v>
      </c>
      <c r="K12" s="10">
        <v>2870221.86</v>
      </c>
      <c r="L12" s="10">
        <v>-3054121.2</v>
      </c>
      <c r="M12" s="10">
        <v>2225728.03</v>
      </c>
      <c r="N12" s="9">
        <f>SUM(N4:N11)</f>
        <v>2191331.97</v>
      </c>
      <c r="O12" s="9">
        <f>SUM(O4:O11)</f>
        <v>2291228.46</v>
      </c>
      <c r="P12" s="16">
        <f t="shared" si="1"/>
        <v>28745846.85</v>
      </c>
    </row>
    <row r="13" spans="1:16">
      <c r="A13" s="2" t="str">
        <f t="shared" ref="A13:A19" si="2">MID(B13,5,10)</f>
        <v>5001010205</v>
      </c>
      <c r="B13" s="2" t="s">
        <v>246</v>
      </c>
      <c r="D13" s="7">
        <v>226819.1</v>
      </c>
      <c r="E13" s="7">
        <v>600129</v>
      </c>
      <c r="F13" s="7">
        <v>317236.89</v>
      </c>
      <c r="G13" s="7">
        <v>357507.9</v>
      </c>
      <c r="H13" s="7">
        <v>342766.29</v>
      </c>
      <c r="I13" s="7">
        <v>397877.55</v>
      </c>
      <c r="J13" s="7">
        <v>366558.49</v>
      </c>
      <c r="K13" s="7">
        <v>305472.54</v>
      </c>
      <c r="L13" s="7">
        <v>269121.03</v>
      </c>
      <c r="M13" s="7">
        <v>267223.4</v>
      </c>
      <c r="N13" s="3">
        <v>244918.56</v>
      </c>
      <c r="O13" s="3">
        <v>223959.86</v>
      </c>
      <c r="P13" s="16">
        <f t="shared" si="1"/>
        <v>3919590.61</v>
      </c>
    </row>
    <row r="14" spans="1:16">
      <c r="A14" s="2" t="str">
        <f t="shared" si="2"/>
        <v>6666010380</v>
      </c>
      <c r="B14" s="2" t="s">
        <v>250</v>
      </c>
      <c r="D14" s="7"/>
      <c r="E14" s="7">
        <v>-292826.79</v>
      </c>
      <c r="F14" s="7">
        <v>-325835.74</v>
      </c>
      <c r="G14" s="7">
        <v>-332738.68</v>
      </c>
      <c r="H14" s="7">
        <v>-323504.9</v>
      </c>
      <c r="I14" s="7">
        <v>-319029.78</v>
      </c>
      <c r="J14" s="7">
        <v>-329260.96</v>
      </c>
      <c r="K14" s="7">
        <v>-286115.69</v>
      </c>
      <c r="L14" s="7">
        <v>-226513.25</v>
      </c>
      <c r="M14" s="7">
        <v>-224307.97</v>
      </c>
      <c r="N14" s="3">
        <v>-220422.44</v>
      </c>
      <c r="O14" s="3">
        <v>-274053.14</v>
      </c>
      <c r="P14" s="16">
        <f t="shared" si="1"/>
        <v>-3154609.34</v>
      </c>
    </row>
    <row r="15" spans="1:16">
      <c r="A15" s="2" t="str">
        <f t="shared" si="2"/>
        <v>6666010019</v>
      </c>
      <c r="B15" s="2" t="s">
        <v>251</v>
      </c>
      <c r="D15" s="7">
        <v>1787616.71</v>
      </c>
      <c r="E15" s="7">
        <v>4734265.29</v>
      </c>
      <c r="F15" s="7">
        <v>2513953.11</v>
      </c>
      <c r="G15" s="7">
        <v>2861887.53</v>
      </c>
      <c r="H15" s="7">
        <v>2706325.52</v>
      </c>
      <c r="I15" s="7">
        <v>3182024.59</v>
      </c>
      <c r="J15" s="7">
        <v>2897930.47</v>
      </c>
      <c r="K15" s="7">
        <v>2399534.09</v>
      </c>
      <c r="L15" s="7">
        <v>2136855.56</v>
      </c>
      <c r="M15" s="7">
        <v>2120375.14</v>
      </c>
      <c r="N15" s="3">
        <v>1945161.27</v>
      </c>
      <c r="O15" s="3">
        <v>1794182.75</v>
      </c>
      <c r="P15" s="16">
        <f t="shared" si="1"/>
        <v>31080112.03</v>
      </c>
    </row>
    <row r="16" spans="1:16">
      <c r="A16" s="2" t="str">
        <f t="shared" si="2"/>
        <v>6666010183</v>
      </c>
      <c r="B16" s="2" t="s">
        <v>252</v>
      </c>
      <c r="D16" s="7">
        <v>128971.15</v>
      </c>
      <c r="E16" s="7">
        <v>920717.54</v>
      </c>
      <c r="F16" s="7">
        <v>237136.71</v>
      </c>
      <c r="G16" s="7">
        <v>336527.97</v>
      </c>
      <c r="H16" s="7">
        <v>565746.22</v>
      </c>
      <c r="I16" s="7">
        <v>442216.05</v>
      </c>
      <c r="J16" s="7">
        <v>782850.92</v>
      </c>
      <c r="K16" s="7">
        <v>236272.16</v>
      </c>
      <c r="L16" s="7">
        <v>356529.39</v>
      </c>
      <c r="M16" s="7">
        <v>264274.37</v>
      </c>
      <c r="N16" s="3">
        <v>221020.78</v>
      </c>
      <c r="O16" s="3">
        <v>149856.62</v>
      </c>
      <c r="P16" s="16">
        <f t="shared" si="1"/>
        <v>4642119.88</v>
      </c>
    </row>
    <row r="17" spans="1:16">
      <c r="A17" s="2" t="str">
        <f t="shared" si="2"/>
        <v>6666010229</v>
      </c>
      <c r="B17" s="2" t="s">
        <v>253</v>
      </c>
      <c r="D17" s="7">
        <v>1824741.26</v>
      </c>
      <c r="E17" s="7">
        <v>1617161.31</v>
      </c>
      <c r="F17" s="7">
        <v>-1444165.33</v>
      </c>
      <c r="G17" s="7">
        <v>520114.15</v>
      </c>
      <c r="H17" s="7">
        <v>-180335.93</v>
      </c>
      <c r="I17" s="7">
        <v>727715.29</v>
      </c>
      <c r="J17" s="7">
        <v>601412.02</v>
      </c>
      <c r="K17" s="7">
        <v>482815.09</v>
      </c>
      <c r="L17" s="7">
        <v>1211049.61</v>
      </c>
      <c r="M17" s="7">
        <v>520334.83</v>
      </c>
      <c r="N17" s="3">
        <v>807743.83</v>
      </c>
      <c r="O17" s="3">
        <v>-990333.83</v>
      </c>
      <c r="P17" s="16">
        <f t="shared" si="1"/>
        <v>5698252.3</v>
      </c>
    </row>
    <row r="18" spans="1:16">
      <c r="A18" s="2" t="str">
        <f t="shared" si="2"/>
        <v>6666010188</v>
      </c>
      <c r="B18" s="2" t="s">
        <v>254</v>
      </c>
      <c r="D18" s="7">
        <v>11369700.47</v>
      </c>
      <c r="E18" s="7">
        <v>30032897.74</v>
      </c>
      <c r="F18" s="7">
        <v>16651418.91</v>
      </c>
      <c r="G18" s="7">
        <v>17627220.38</v>
      </c>
      <c r="H18" s="7">
        <v>16878096.62</v>
      </c>
      <c r="I18" s="7">
        <v>19245475.18</v>
      </c>
      <c r="J18" s="7">
        <v>17636636.53</v>
      </c>
      <c r="K18" s="7">
        <v>13896446.28</v>
      </c>
      <c r="L18" s="7">
        <v>12778952.96</v>
      </c>
      <c r="M18" s="7">
        <v>12622043.87</v>
      </c>
      <c r="N18" s="3">
        <v>11864921.19</v>
      </c>
      <c r="O18" s="3">
        <v>9881896.15</v>
      </c>
      <c r="P18" s="16">
        <f t="shared" si="1"/>
        <v>190485706.28</v>
      </c>
    </row>
    <row r="19" spans="1:16">
      <c r="A19" s="2" t="str">
        <f t="shared" si="2"/>
        <v>6666010115</v>
      </c>
      <c r="B19" s="2" t="s">
        <v>256</v>
      </c>
      <c r="D19" s="7">
        <v>743634.01</v>
      </c>
      <c r="E19" s="7">
        <v>-20779207.11</v>
      </c>
      <c r="F19" s="7">
        <v>-965401.46</v>
      </c>
      <c r="G19" s="7">
        <v>-95961.15</v>
      </c>
      <c r="H19" s="7">
        <v>38834.74</v>
      </c>
      <c r="I19" s="7">
        <v>-61009.75</v>
      </c>
      <c r="J19" s="7">
        <v>879.04</v>
      </c>
      <c r="K19" s="7">
        <v>-283883.66</v>
      </c>
      <c r="L19" s="7">
        <v>40875.42</v>
      </c>
      <c r="M19" s="7">
        <v>6864.01</v>
      </c>
      <c r="N19" s="3">
        <v>-42798.14</v>
      </c>
      <c r="O19" s="3">
        <v>-21995.58</v>
      </c>
      <c r="P19" s="16">
        <f t="shared" si="1"/>
        <v>-21419169.63</v>
      </c>
    </row>
    <row r="20" spans="1:16">
      <c r="A20" s="10" t="str">
        <f>B20</f>
        <v>*   CS_Direct Labour</v>
      </c>
      <c r="B20" s="10" t="s">
        <v>247</v>
      </c>
      <c r="D20" s="10">
        <v>16081482.7</v>
      </c>
      <c r="E20" s="10">
        <v>16833136.98</v>
      </c>
      <c r="F20" s="10">
        <v>16984343.09</v>
      </c>
      <c r="G20" s="10">
        <v>21274558.1</v>
      </c>
      <c r="H20" s="10">
        <v>20027928.56</v>
      </c>
      <c r="I20" s="10">
        <v>23615269.13</v>
      </c>
      <c r="J20" s="10">
        <v>21957006.51</v>
      </c>
      <c r="K20" s="10">
        <v>16750540.81</v>
      </c>
      <c r="L20" s="10">
        <v>16566870.72</v>
      </c>
      <c r="M20" s="10">
        <v>15576807.65</v>
      </c>
      <c r="N20" s="9">
        <f>SUM(N13:N19)</f>
        <v>14820545.05</v>
      </c>
      <c r="O20" s="9">
        <f>SUM(O13:O19)</f>
        <v>10763512.83</v>
      </c>
      <c r="P20" s="16">
        <f t="shared" si="1"/>
        <v>211252002.13</v>
      </c>
    </row>
    <row r="21" spans="1:16">
      <c r="A21" s="2" t="str">
        <f t="shared" ref="A21:A24" si="3">MID(B21,5,10)</f>
        <v>8701530201</v>
      </c>
      <c r="B21" s="2" t="s">
        <v>259</v>
      </c>
      <c r="C21" s="2" t="s">
        <v>41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3"/>
      <c r="O21" s="3"/>
      <c r="P21" s="16">
        <f t="shared" si="1"/>
        <v>0</v>
      </c>
    </row>
    <row r="22" spans="1:16">
      <c r="A22" s="2" t="str">
        <f t="shared" si="3"/>
        <v>6666050309</v>
      </c>
      <c r="B22" s="2" t="s">
        <v>263</v>
      </c>
      <c r="C22" s="2" t="s">
        <v>41</v>
      </c>
      <c r="D22" s="7">
        <v>343118.28</v>
      </c>
      <c r="E22" s="7">
        <v>743850.07</v>
      </c>
      <c r="F22" s="7">
        <v>422008.73</v>
      </c>
      <c r="G22" s="7">
        <v>609686.02</v>
      </c>
      <c r="H22" s="7">
        <v>1058878.53</v>
      </c>
      <c r="I22" s="7">
        <v>1149161.17</v>
      </c>
      <c r="J22" s="7">
        <v>1062843</v>
      </c>
      <c r="K22" s="7">
        <v>541037.72</v>
      </c>
      <c r="L22" s="7">
        <v>941447.28</v>
      </c>
      <c r="M22" s="7">
        <v>739765.14</v>
      </c>
      <c r="N22" s="3">
        <v>547856.39</v>
      </c>
      <c r="O22" s="3">
        <v>1417972.32</v>
      </c>
      <c r="P22" s="16">
        <f t="shared" si="1"/>
        <v>9577624.65</v>
      </c>
    </row>
    <row r="23" spans="1:16">
      <c r="A23" s="2" t="str">
        <f t="shared" si="3"/>
        <v>6666050308</v>
      </c>
      <c r="B23" s="2" t="s">
        <v>264</v>
      </c>
      <c r="C23" s="2" t="s">
        <v>41</v>
      </c>
      <c r="D23" s="7">
        <v>415197.85</v>
      </c>
      <c r="E23" s="7">
        <v>914824.55</v>
      </c>
      <c r="F23" s="7">
        <v>845602.72</v>
      </c>
      <c r="G23" s="7">
        <v>1015141.04</v>
      </c>
      <c r="H23" s="7">
        <v>1062204.27</v>
      </c>
      <c r="I23" s="7">
        <v>468922.43</v>
      </c>
      <c r="J23" s="7">
        <v>868079.45</v>
      </c>
      <c r="K23" s="7">
        <v>445947.47</v>
      </c>
      <c r="L23" s="7">
        <v>-87770.14</v>
      </c>
      <c r="M23" s="7">
        <v>320350.84</v>
      </c>
      <c r="N23" s="3">
        <v>68571.01</v>
      </c>
      <c r="O23" s="3">
        <v>64443.2100000022</v>
      </c>
      <c r="P23" s="16">
        <f t="shared" si="1"/>
        <v>6401514.7</v>
      </c>
    </row>
    <row r="24" spans="1:16">
      <c r="A24" s="2" t="str">
        <f t="shared" si="3"/>
        <v>6666050306</v>
      </c>
      <c r="B24" s="2" t="s">
        <v>265</v>
      </c>
      <c r="C24" s="2" t="s">
        <v>41</v>
      </c>
      <c r="D24" s="7">
        <v>6118.15</v>
      </c>
      <c r="E24" s="7">
        <v>-668358.89</v>
      </c>
      <c r="F24" s="7">
        <v>3707.72</v>
      </c>
      <c r="G24" s="7">
        <v>3542.54</v>
      </c>
      <c r="H24" s="7">
        <v>26872.02</v>
      </c>
      <c r="I24" s="7">
        <v>73075.41</v>
      </c>
      <c r="J24" s="7">
        <v>27103.68</v>
      </c>
      <c r="K24" s="7">
        <v>1061.55</v>
      </c>
      <c r="L24" s="7">
        <v>25308.26</v>
      </c>
      <c r="M24" s="7">
        <v>14341.34</v>
      </c>
      <c r="N24" s="3"/>
      <c r="O24" s="3">
        <v>16766.64</v>
      </c>
      <c r="P24" s="16">
        <f t="shared" si="1"/>
        <v>-470461.58</v>
      </c>
    </row>
    <row r="25" spans="1:16">
      <c r="A25" s="10" t="str">
        <f>B25</f>
        <v>*   CS_SCRAP_VARIABLE</v>
      </c>
      <c r="B25" s="10" t="s">
        <v>260</v>
      </c>
      <c r="D25" s="10">
        <v>764434.28</v>
      </c>
      <c r="E25" s="10">
        <v>990315.73</v>
      </c>
      <c r="F25" s="10">
        <v>1271319.17</v>
      </c>
      <c r="G25" s="10">
        <v>1628369.6</v>
      </c>
      <c r="H25" s="10">
        <v>2147954.82</v>
      </c>
      <c r="I25" s="10">
        <v>1691159.01</v>
      </c>
      <c r="J25" s="10">
        <v>1958026.13</v>
      </c>
      <c r="K25" s="10">
        <v>988046.74</v>
      </c>
      <c r="L25" s="10">
        <v>878985.4</v>
      </c>
      <c r="M25" s="10">
        <v>1074457.32</v>
      </c>
      <c r="N25" s="9">
        <f>SUM(N21:N24)</f>
        <v>616427.4</v>
      </c>
      <c r="O25" s="9">
        <f>SUM(O21:O24)</f>
        <v>1499182.17</v>
      </c>
      <c r="P25" s="16">
        <f t="shared" si="1"/>
        <v>15508677.77</v>
      </c>
    </row>
    <row r="26" spans="1:16">
      <c r="A26" s="2" t="str">
        <f t="shared" ref="A26:A67" si="4">MID(B26,5,10)</f>
        <v>5102010151</v>
      </c>
      <c r="B26" s="2" t="s">
        <v>266</v>
      </c>
      <c r="C26" s="2" t="s">
        <v>41</v>
      </c>
      <c r="D26" s="7">
        <v>-232454.88</v>
      </c>
      <c r="E26" s="7">
        <v>-133291</v>
      </c>
      <c r="F26" s="7">
        <v>-18560.16</v>
      </c>
      <c r="G26" s="7">
        <v>-421463.5</v>
      </c>
      <c r="H26" s="7">
        <v>-2343.18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3">
        <v>-0.01</v>
      </c>
      <c r="O26" s="3">
        <v>0</v>
      </c>
      <c r="P26" s="16">
        <f t="shared" si="1"/>
        <v>-808112.73</v>
      </c>
    </row>
    <row r="27" spans="1:16">
      <c r="A27" s="2" t="str">
        <f t="shared" si="4"/>
        <v>5301999999</v>
      </c>
      <c r="B27" s="2" t="s">
        <v>275</v>
      </c>
      <c r="C27" s="2" t="s">
        <v>41</v>
      </c>
      <c r="D27" s="7"/>
      <c r="E27" s="7">
        <v>-168372.64</v>
      </c>
      <c r="F27" s="7">
        <v>0</v>
      </c>
      <c r="G27" s="7">
        <v>0</v>
      </c>
      <c r="H27" s="7">
        <v>0.04</v>
      </c>
      <c r="I27" s="7">
        <v>-818.83</v>
      </c>
      <c r="J27" s="7">
        <v>706.39</v>
      </c>
      <c r="K27" s="7"/>
      <c r="L27" s="7">
        <v>-362.37</v>
      </c>
      <c r="M27" s="7">
        <v>0.04</v>
      </c>
      <c r="N27" s="3">
        <v>0</v>
      </c>
      <c r="O27" s="3">
        <v>0</v>
      </c>
      <c r="P27" s="16">
        <f t="shared" si="1"/>
        <v>-168847.37</v>
      </c>
    </row>
    <row r="28" spans="1:16">
      <c r="A28" s="2" t="str">
        <f t="shared" si="4"/>
        <v>6666020504</v>
      </c>
      <c r="B28" s="2" t="s">
        <v>293</v>
      </c>
      <c r="D28" s="7">
        <v>0</v>
      </c>
      <c r="E28" s="7">
        <v>0</v>
      </c>
      <c r="F28" s="7">
        <v>0</v>
      </c>
      <c r="G28" s="7">
        <v>0</v>
      </c>
      <c r="H28" s="7">
        <v>9750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3">
        <v>0</v>
      </c>
      <c r="O28" s="3">
        <v>0</v>
      </c>
      <c r="P28" s="16">
        <f t="shared" si="1"/>
        <v>9750</v>
      </c>
    </row>
    <row r="29" spans="1:16">
      <c r="A29" s="2" t="str">
        <f t="shared" si="4"/>
        <v>5001010200</v>
      </c>
      <c r="B29" s="2" t="s">
        <v>269</v>
      </c>
      <c r="C29" s="2" t="s">
        <v>41</v>
      </c>
      <c r="D29" s="7">
        <v>219263.24</v>
      </c>
      <c r="E29" s="7">
        <v>339159.77</v>
      </c>
      <c r="F29" s="7">
        <v>476634.43</v>
      </c>
      <c r="G29" s="7">
        <v>-58445.6800000001</v>
      </c>
      <c r="H29" s="7">
        <v>0</v>
      </c>
      <c r="I29" s="7">
        <v>-36086.5</v>
      </c>
      <c r="J29" s="7">
        <v>0</v>
      </c>
      <c r="K29" s="7">
        <v>0</v>
      </c>
      <c r="L29" s="7">
        <v>0</v>
      </c>
      <c r="M29" s="7">
        <v>0</v>
      </c>
      <c r="N29" s="3">
        <v>0</v>
      </c>
      <c r="O29" s="3">
        <v>0</v>
      </c>
      <c r="P29" s="16">
        <f t="shared" si="1"/>
        <v>940525.26</v>
      </c>
    </row>
    <row r="30" spans="1:16">
      <c r="A30" s="2" t="str">
        <f t="shared" si="4"/>
        <v>5001010201</v>
      </c>
      <c r="B30" s="2" t="s">
        <v>270</v>
      </c>
      <c r="C30" s="2" t="s">
        <v>41</v>
      </c>
      <c r="D30" s="7">
        <v>1669.51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3">
        <v>1768.73</v>
      </c>
      <c r="O30" s="3">
        <v>0</v>
      </c>
      <c r="P30" s="16">
        <f t="shared" si="1"/>
        <v>3438.24</v>
      </c>
    </row>
    <row r="31" spans="1:16">
      <c r="A31" s="2" t="str">
        <f t="shared" si="4"/>
        <v>5301060000</v>
      </c>
      <c r="B31" s="2" t="s">
        <v>274</v>
      </c>
      <c r="C31" s="2" t="s">
        <v>41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-21592.71</v>
      </c>
      <c r="L31" s="7">
        <v>-43055.45</v>
      </c>
      <c r="M31" s="7">
        <v>-37560</v>
      </c>
      <c r="N31" s="3">
        <v>0</v>
      </c>
      <c r="O31" s="3">
        <v>-29315</v>
      </c>
      <c r="P31" s="16">
        <f t="shared" si="1"/>
        <v>-131523.16</v>
      </c>
    </row>
    <row r="32" spans="1:16">
      <c r="A32" s="2" t="str">
        <f t="shared" si="4"/>
        <v>5405030000</v>
      </c>
      <c r="B32" s="2" t="s">
        <v>276</v>
      </c>
      <c r="C32" s="2" t="s">
        <v>41</v>
      </c>
      <c r="D32" s="7">
        <v>0</v>
      </c>
      <c r="E32" s="7">
        <v>3852.67</v>
      </c>
      <c r="F32" s="7">
        <v>-3852.63</v>
      </c>
      <c r="G32" s="7">
        <v>0.01</v>
      </c>
      <c r="H32" s="7">
        <v>6.79</v>
      </c>
      <c r="I32" s="7">
        <v>42.27</v>
      </c>
      <c r="J32" s="7">
        <v>-0.01</v>
      </c>
      <c r="K32" s="7">
        <v>0.03</v>
      </c>
      <c r="L32" s="7">
        <v>0</v>
      </c>
      <c r="M32" s="7">
        <v>0</v>
      </c>
      <c r="N32" s="3">
        <v>2.37</v>
      </c>
      <c r="O32" s="3">
        <v>0.33</v>
      </c>
      <c r="P32" s="16">
        <f t="shared" si="1"/>
        <v>51.83</v>
      </c>
    </row>
    <row r="33" spans="1:16">
      <c r="A33" s="2" t="str">
        <f t="shared" si="4"/>
        <v>5601050100</v>
      </c>
      <c r="B33" s="2" t="s">
        <v>278</v>
      </c>
      <c r="C33" s="2" t="s">
        <v>41</v>
      </c>
      <c r="D33" s="7">
        <v>871.01</v>
      </c>
      <c r="E33" s="7">
        <v>10.38</v>
      </c>
      <c r="F33" s="7">
        <v>5.83</v>
      </c>
      <c r="G33" s="7">
        <v>-236.52</v>
      </c>
      <c r="H33" s="7">
        <v>275.39</v>
      </c>
      <c r="I33" s="7">
        <v>170.16</v>
      </c>
      <c r="J33" s="7">
        <v>47.95</v>
      </c>
      <c r="K33" s="7">
        <v>205.03</v>
      </c>
      <c r="L33" s="7">
        <v>104.17</v>
      </c>
      <c r="M33" s="7">
        <v>727.93</v>
      </c>
      <c r="N33" s="3">
        <v>0.92</v>
      </c>
      <c r="O33" s="3">
        <v>0</v>
      </c>
      <c r="P33" s="16">
        <f t="shared" si="1"/>
        <v>2182.25</v>
      </c>
    </row>
    <row r="34" spans="1:16">
      <c r="A34" s="2" t="str">
        <f t="shared" si="4"/>
        <v>5601050000</v>
      </c>
      <c r="B34" s="2" t="s">
        <v>277</v>
      </c>
      <c r="C34" s="2" t="s">
        <v>41</v>
      </c>
      <c r="D34" s="7">
        <v>0</v>
      </c>
      <c r="E34" s="7">
        <v>147.36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3">
        <v>0</v>
      </c>
      <c r="O34" s="3">
        <v>0</v>
      </c>
      <c r="P34" s="16">
        <f t="shared" si="1"/>
        <v>147.36</v>
      </c>
    </row>
    <row r="35" spans="1:16">
      <c r="A35" s="2" t="str">
        <f t="shared" si="4"/>
        <v>5801000041</v>
      </c>
      <c r="B35" s="2" t="s">
        <v>422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3">
        <v>0</v>
      </c>
      <c r="O35" s="3">
        <v>0</v>
      </c>
      <c r="P35" s="16">
        <f t="shared" si="1"/>
        <v>0</v>
      </c>
    </row>
    <row r="36" spans="1:16">
      <c r="A36" s="2" t="str">
        <f t="shared" si="4"/>
        <v>6666010322</v>
      </c>
      <c r="B36" s="2" t="s">
        <v>281</v>
      </c>
      <c r="D36" s="7">
        <v>50469.94</v>
      </c>
      <c r="E36" s="7">
        <v>74741.59</v>
      </c>
      <c r="F36" s="7">
        <v>80881.48</v>
      </c>
      <c r="G36" s="7">
        <v>87932.11</v>
      </c>
      <c r="H36" s="7">
        <v>95157.29</v>
      </c>
      <c r="I36" s="7">
        <v>82447.39</v>
      </c>
      <c r="J36" s="7">
        <v>87576.5</v>
      </c>
      <c r="K36" s="7">
        <v>99875.95</v>
      </c>
      <c r="L36" s="7">
        <v>70584.26</v>
      </c>
      <c r="M36" s="7">
        <v>60150.02</v>
      </c>
      <c r="N36" s="3">
        <v>59002.96</v>
      </c>
      <c r="O36" s="3">
        <v>125937.65</v>
      </c>
      <c r="P36" s="16">
        <f t="shared" si="1"/>
        <v>974757.14</v>
      </c>
    </row>
    <row r="37" spans="1:16">
      <c r="A37" s="2" t="str">
        <f t="shared" si="4"/>
        <v>6666020101</v>
      </c>
      <c r="B37" s="2" t="s">
        <v>282</v>
      </c>
      <c r="D37" s="7">
        <v>0</v>
      </c>
      <c r="E37" s="7">
        <v>0</v>
      </c>
      <c r="F37" s="7">
        <v>6847.91</v>
      </c>
      <c r="G37" s="7">
        <v>565.6</v>
      </c>
      <c r="H37" s="7">
        <v>0</v>
      </c>
      <c r="I37" s="7">
        <v>112822</v>
      </c>
      <c r="J37" s="7">
        <v>24078</v>
      </c>
      <c r="K37" s="7">
        <v>100000</v>
      </c>
      <c r="L37" s="7">
        <v>0</v>
      </c>
      <c r="M37" s="7">
        <v>-200000</v>
      </c>
      <c r="N37" s="3">
        <v>0</v>
      </c>
      <c r="O37" s="3">
        <v>0</v>
      </c>
      <c r="P37" s="16">
        <f t="shared" si="1"/>
        <v>44313.51</v>
      </c>
    </row>
    <row r="38" spans="1:16">
      <c r="A38" s="2" t="str">
        <f t="shared" si="4"/>
        <v>6666020201</v>
      </c>
      <c r="B38" s="2" t="s">
        <v>283</v>
      </c>
      <c r="D38" s="7">
        <v>5426.66</v>
      </c>
      <c r="E38" s="7">
        <v>6905.38</v>
      </c>
      <c r="F38" s="7">
        <v>12575.3</v>
      </c>
      <c r="G38" s="7">
        <v>1150.83</v>
      </c>
      <c r="H38" s="7">
        <v>3950.71</v>
      </c>
      <c r="I38" s="7">
        <v>5473.63</v>
      </c>
      <c r="J38" s="7">
        <v>2867.8</v>
      </c>
      <c r="K38" s="7">
        <v>2128.77</v>
      </c>
      <c r="L38" s="7">
        <v>1962.95</v>
      </c>
      <c r="M38" s="7">
        <v>412.98</v>
      </c>
      <c r="N38" s="3">
        <v>289.95</v>
      </c>
      <c r="O38" s="3">
        <v>5156.04</v>
      </c>
      <c r="P38" s="16">
        <f t="shared" si="1"/>
        <v>48301</v>
      </c>
    </row>
    <row r="39" spans="1:16">
      <c r="A39" s="2" t="str">
        <f t="shared" si="4"/>
        <v>6666020202</v>
      </c>
      <c r="B39" s="2" t="s">
        <v>284</v>
      </c>
      <c r="D39" s="7">
        <v>2181.78</v>
      </c>
      <c r="E39" s="7">
        <v>0</v>
      </c>
      <c r="F39" s="7">
        <v>5931.26</v>
      </c>
      <c r="G39" s="7">
        <v>11490.58</v>
      </c>
      <c r="H39" s="7">
        <v>0</v>
      </c>
      <c r="I39" s="7">
        <v>877.65</v>
      </c>
      <c r="J39" s="7">
        <v>0</v>
      </c>
      <c r="K39" s="7">
        <v>0</v>
      </c>
      <c r="L39" s="7">
        <v>0</v>
      </c>
      <c r="M39" s="7">
        <v>0</v>
      </c>
      <c r="N39" s="3">
        <v>10674.51</v>
      </c>
      <c r="O39" s="3">
        <v>986</v>
      </c>
      <c r="P39" s="16">
        <f t="shared" si="1"/>
        <v>32141.78</v>
      </c>
    </row>
    <row r="40" spans="1:16">
      <c r="A40" s="2" t="str">
        <f t="shared" si="4"/>
        <v>6666020205</v>
      </c>
      <c r="B40" s="2" t="s">
        <v>286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1634.36</v>
      </c>
      <c r="J40" s="7">
        <v>0</v>
      </c>
      <c r="K40" s="7">
        <v>0</v>
      </c>
      <c r="L40" s="7">
        <v>0</v>
      </c>
      <c r="M40" s="7">
        <v>0</v>
      </c>
      <c r="N40" s="3">
        <v>0</v>
      </c>
      <c r="O40" s="3">
        <v>0</v>
      </c>
      <c r="P40" s="16">
        <f t="shared" si="1"/>
        <v>1634.36</v>
      </c>
    </row>
    <row r="41" spans="1:16">
      <c r="A41" s="2" t="str">
        <f t="shared" si="4"/>
        <v>6666020204</v>
      </c>
      <c r="B41" s="2" t="s">
        <v>285</v>
      </c>
      <c r="D41" s="7">
        <v>0</v>
      </c>
      <c r="E41" s="7">
        <v>15009.67</v>
      </c>
      <c r="F41" s="7">
        <v>0</v>
      </c>
      <c r="G41" s="7">
        <v>3655.12</v>
      </c>
      <c r="H41" s="7">
        <v>3890.68</v>
      </c>
      <c r="I41" s="7">
        <v>0</v>
      </c>
      <c r="J41" s="7">
        <v>4189.11</v>
      </c>
      <c r="K41" s="7">
        <v>0</v>
      </c>
      <c r="L41" s="7">
        <v>6228.71</v>
      </c>
      <c r="M41" s="7">
        <v>0</v>
      </c>
      <c r="N41" s="3">
        <v>24084.27</v>
      </c>
      <c r="O41" s="3">
        <v>2738.97</v>
      </c>
      <c r="P41" s="16">
        <f t="shared" si="1"/>
        <v>59796.53</v>
      </c>
    </row>
    <row r="42" spans="1:16">
      <c r="A42" s="2" t="str">
        <f t="shared" si="4"/>
        <v>6666020302</v>
      </c>
      <c r="B42" s="2" t="s">
        <v>288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3">
        <v>0</v>
      </c>
      <c r="O42" s="3">
        <v>0</v>
      </c>
      <c r="P42" s="16">
        <f t="shared" si="1"/>
        <v>0</v>
      </c>
    </row>
    <row r="43" spans="1:16">
      <c r="A43" s="2" t="str">
        <f t="shared" si="4"/>
        <v>6666020508</v>
      </c>
      <c r="B43" s="2" t="s">
        <v>294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3">
        <v>0</v>
      </c>
      <c r="O43" s="3">
        <v>0</v>
      </c>
      <c r="P43" s="16">
        <f t="shared" si="1"/>
        <v>0</v>
      </c>
    </row>
    <row r="44" spans="1:16">
      <c r="A44" s="2" t="str">
        <f t="shared" si="4"/>
        <v>6666020602</v>
      </c>
      <c r="B44" s="2" t="s">
        <v>295</v>
      </c>
      <c r="D44" s="7">
        <v>250367.4</v>
      </c>
      <c r="E44" s="7">
        <v>8277.6</v>
      </c>
      <c r="F44" s="7">
        <v>35808.33</v>
      </c>
      <c r="G44" s="7">
        <v>52565.79</v>
      </c>
      <c r="H44" s="7">
        <v>0</v>
      </c>
      <c r="I44" s="7">
        <v>28500</v>
      </c>
      <c r="J44" s="7">
        <v>11428.6</v>
      </c>
      <c r="K44" s="7">
        <v>28425</v>
      </c>
      <c r="L44" s="7">
        <v>0</v>
      </c>
      <c r="M44" s="7">
        <v>4333.33</v>
      </c>
      <c r="N44" s="3">
        <v>-3065.79</v>
      </c>
      <c r="O44" s="3">
        <v>-2502.32</v>
      </c>
      <c r="P44" s="16">
        <f t="shared" si="1"/>
        <v>414137.94</v>
      </c>
    </row>
    <row r="45" spans="1:16">
      <c r="A45" s="2" t="str">
        <f t="shared" si="4"/>
        <v>6666020701</v>
      </c>
      <c r="B45" s="2" t="s">
        <v>296</v>
      </c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9">
        <v>0</v>
      </c>
      <c r="O45" s="29"/>
      <c r="P45" s="16">
        <f t="shared" si="1"/>
        <v>0</v>
      </c>
    </row>
    <row r="46" spans="1:16">
      <c r="A46" s="2" t="str">
        <f t="shared" si="4"/>
        <v>6666020802</v>
      </c>
      <c r="B46" s="2" t="s">
        <v>297</v>
      </c>
      <c r="D46" s="7">
        <v>418431.21</v>
      </c>
      <c r="E46" s="7">
        <v>383489.2</v>
      </c>
      <c r="F46" s="7">
        <v>387172.48</v>
      </c>
      <c r="G46" s="7">
        <v>396206.69</v>
      </c>
      <c r="H46" s="7">
        <v>406226.64</v>
      </c>
      <c r="I46" s="7">
        <v>396995.51</v>
      </c>
      <c r="J46" s="7">
        <v>454577.11</v>
      </c>
      <c r="K46" s="7">
        <v>372766.28</v>
      </c>
      <c r="L46" s="7">
        <v>424724.33</v>
      </c>
      <c r="M46" s="7">
        <v>354744.32</v>
      </c>
      <c r="N46" s="3">
        <v>350209.61</v>
      </c>
      <c r="O46" s="3">
        <v>354338.36</v>
      </c>
      <c r="P46" s="16">
        <f t="shared" si="1"/>
        <v>4699881.74</v>
      </c>
    </row>
    <row r="47" spans="1:16">
      <c r="A47" s="2" t="str">
        <f t="shared" si="4"/>
        <v>6666020803</v>
      </c>
      <c r="B47" s="2" t="s">
        <v>298</v>
      </c>
      <c r="D47" s="7">
        <v>117000</v>
      </c>
      <c r="E47" s="7">
        <v>159092.84</v>
      </c>
      <c r="F47" s="7">
        <v>220166.97</v>
      </c>
      <c r="G47" s="7">
        <v>213635.31</v>
      </c>
      <c r="H47" s="7">
        <v>229086.2</v>
      </c>
      <c r="I47" s="7">
        <v>145955.36</v>
      </c>
      <c r="J47" s="7">
        <v>145560.18</v>
      </c>
      <c r="K47" s="7">
        <v>209836.5</v>
      </c>
      <c r="L47" s="7">
        <v>259278.82</v>
      </c>
      <c r="M47" s="7">
        <v>265782.72</v>
      </c>
      <c r="N47" s="3">
        <v>177138.64</v>
      </c>
      <c r="O47" s="3">
        <v>163165.52</v>
      </c>
      <c r="P47" s="16">
        <f t="shared" si="1"/>
        <v>2305699.06</v>
      </c>
    </row>
    <row r="48" spans="1:16">
      <c r="A48" s="2" t="str">
        <f t="shared" si="4"/>
        <v>6666021100</v>
      </c>
      <c r="B48" s="2" t="s">
        <v>299</v>
      </c>
      <c r="D48" s="7">
        <v>169007</v>
      </c>
      <c r="E48" s="7">
        <v>160327.87</v>
      </c>
      <c r="F48" s="7">
        <v>259196.6</v>
      </c>
      <c r="G48" s="7">
        <v>44139.97</v>
      </c>
      <c r="H48" s="7">
        <v>355654</v>
      </c>
      <c r="I48" s="7">
        <v>155137.96</v>
      </c>
      <c r="J48" s="7">
        <v>293747.04</v>
      </c>
      <c r="K48" s="7">
        <v>383621.31</v>
      </c>
      <c r="L48" s="7">
        <v>318729.52</v>
      </c>
      <c r="M48" s="7">
        <v>342168.25</v>
      </c>
      <c r="N48" s="3">
        <v>318396.9</v>
      </c>
      <c r="O48" s="3">
        <v>166571.62</v>
      </c>
      <c r="P48" s="16">
        <f t="shared" si="1"/>
        <v>2966698.04</v>
      </c>
    </row>
    <row r="49" spans="1:16">
      <c r="A49" s="2" t="str">
        <f t="shared" si="4"/>
        <v>6666021902</v>
      </c>
      <c r="B49" s="2" t="s">
        <v>301</v>
      </c>
      <c r="D49" s="7">
        <v>271232.81</v>
      </c>
      <c r="E49" s="7">
        <v>279912.59</v>
      </c>
      <c r="F49" s="7">
        <v>384671.94</v>
      </c>
      <c r="G49" s="7">
        <v>355616.37</v>
      </c>
      <c r="H49" s="7">
        <v>349619.36</v>
      </c>
      <c r="I49" s="7">
        <v>311747.42</v>
      </c>
      <c r="J49" s="7">
        <v>348946.11</v>
      </c>
      <c r="K49" s="7">
        <v>299446.55</v>
      </c>
      <c r="L49" s="7">
        <v>376897.36</v>
      </c>
      <c r="M49" s="7">
        <v>344952.24</v>
      </c>
      <c r="N49" s="3">
        <v>347587.78</v>
      </c>
      <c r="O49" s="3">
        <v>312630.19</v>
      </c>
      <c r="P49" s="16">
        <f t="shared" si="1"/>
        <v>3983260.72</v>
      </c>
    </row>
    <row r="50" spans="1:16">
      <c r="A50" s="2" t="str">
        <f t="shared" si="4"/>
        <v>6666022100</v>
      </c>
      <c r="B50" s="2" t="s">
        <v>302</v>
      </c>
      <c r="D50" s="7">
        <v>503630.23</v>
      </c>
      <c r="E50" s="7">
        <v>513645.39</v>
      </c>
      <c r="F50" s="7">
        <v>478565.48</v>
      </c>
      <c r="G50" s="7">
        <v>469139.33</v>
      </c>
      <c r="H50" s="7">
        <v>548166.59</v>
      </c>
      <c r="I50" s="7">
        <v>438070.66</v>
      </c>
      <c r="J50" s="7">
        <v>346410.4</v>
      </c>
      <c r="K50" s="7">
        <v>486337.76</v>
      </c>
      <c r="L50" s="7">
        <v>461454.96</v>
      </c>
      <c r="M50" s="7">
        <v>541918.61</v>
      </c>
      <c r="N50" s="3">
        <v>491845.2</v>
      </c>
      <c r="O50" s="3">
        <v>510429.44</v>
      </c>
      <c r="P50" s="16">
        <f t="shared" si="1"/>
        <v>5789614.05</v>
      </c>
    </row>
    <row r="51" spans="1:16">
      <c r="A51" s="2" t="str">
        <f t="shared" si="4"/>
        <v>6666022300</v>
      </c>
      <c r="B51" s="2" t="s">
        <v>303</v>
      </c>
      <c r="D51" s="28">
        <v>203815.18</v>
      </c>
      <c r="E51" s="28">
        <v>328664.92</v>
      </c>
      <c r="F51" s="28"/>
      <c r="G51" s="28"/>
      <c r="H51" s="28"/>
      <c r="I51" s="28"/>
      <c r="J51" s="28"/>
      <c r="K51" s="28"/>
      <c r="L51" s="28"/>
      <c r="M51" s="28"/>
      <c r="N51" s="29">
        <v>0</v>
      </c>
      <c r="O51" s="29"/>
      <c r="P51" s="16">
        <f t="shared" si="1"/>
        <v>532480.1</v>
      </c>
    </row>
    <row r="52" spans="1:16">
      <c r="A52" s="2" t="str">
        <f t="shared" si="4"/>
        <v>6666029900</v>
      </c>
      <c r="B52" s="2" t="s">
        <v>305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3">
        <v>0</v>
      </c>
      <c r="O52" s="3">
        <v>13473.53</v>
      </c>
      <c r="P52" s="16">
        <f t="shared" si="1"/>
        <v>13473.53</v>
      </c>
    </row>
    <row r="53" spans="1:16">
      <c r="A53" s="2" t="str">
        <f t="shared" si="4"/>
        <v>6666029997</v>
      </c>
      <c r="B53" s="2" t="s">
        <v>307</v>
      </c>
      <c r="C53" s="2" t="s">
        <v>41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5540000</v>
      </c>
      <c r="K53" s="7">
        <v>-5540000</v>
      </c>
      <c r="L53" s="7">
        <v>1200000</v>
      </c>
      <c r="M53" s="7">
        <v>0</v>
      </c>
      <c r="N53" s="3">
        <v>0</v>
      </c>
      <c r="O53" s="3">
        <v>0</v>
      </c>
      <c r="P53" s="16">
        <f t="shared" si="1"/>
        <v>1200000</v>
      </c>
    </row>
    <row r="54" spans="1:16">
      <c r="A54" s="2" t="str">
        <f t="shared" si="4"/>
        <v>6666020495</v>
      </c>
      <c r="B54" s="2" t="s">
        <v>292</v>
      </c>
      <c r="D54" s="7">
        <v>2753.93</v>
      </c>
      <c r="E54" s="7">
        <v>4758.77</v>
      </c>
      <c r="F54" s="7">
        <v>0</v>
      </c>
      <c r="G54" s="7">
        <v>15432.17</v>
      </c>
      <c r="H54" s="7">
        <v>18167.13</v>
      </c>
      <c r="I54" s="7">
        <v>11071.62</v>
      </c>
      <c r="J54" s="7">
        <v>17946.91</v>
      </c>
      <c r="K54" s="7">
        <v>15896.83</v>
      </c>
      <c r="L54" s="7">
        <v>4536.1</v>
      </c>
      <c r="M54" s="7">
        <v>9679.65</v>
      </c>
      <c r="N54" s="3">
        <v>9600.98</v>
      </c>
      <c r="O54" s="3">
        <v>6145.53</v>
      </c>
      <c r="P54" s="16">
        <f t="shared" si="1"/>
        <v>115989.62</v>
      </c>
    </row>
    <row r="55" spans="1:16">
      <c r="A55" s="2" t="str">
        <f t="shared" si="4"/>
        <v>6666030300</v>
      </c>
      <c r="B55" s="2" t="s">
        <v>423</v>
      </c>
      <c r="D55" s="7">
        <v>4000</v>
      </c>
      <c r="E55" s="7">
        <v>0</v>
      </c>
      <c r="F55" s="7">
        <v>200891.9</v>
      </c>
      <c r="G55" s="7">
        <v>0</v>
      </c>
      <c r="H55" s="7">
        <v>166385.35</v>
      </c>
      <c r="I55" s="7">
        <v>0</v>
      </c>
      <c r="J55" s="7">
        <v>0</v>
      </c>
      <c r="K55" s="7">
        <v>-3792</v>
      </c>
      <c r="L55" s="7">
        <v>76085.84</v>
      </c>
      <c r="M55" s="7">
        <v>112792</v>
      </c>
      <c r="N55" s="3">
        <v>31581.75</v>
      </c>
      <c r="O55" s="3">
        <v>93957.15</v>
      </c>
      <c r="P55" s="16">
        <f t="shared" si="1"/>
        <v>681901.99</v>
      </c>
    </row>
    <row r="56" spans="1:16">
      <c r="A56" s="2" t="str">
        <f t="shared" si="4"/>
        <v>6666031200</v>
      </c>
      <c r="B56" s="2" t="s">
        <v>309</v>
      </c>
      <c r="D56" s="7">
        <v>0</v>
      </c>
      <c r="E56" s="7">
        <v>262.25</v>
      </c>
      <c r="F56" s="7">
        <v>133.84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3">
        <v>0</v>
      </c>
      <c r="O56" s="3">
        <v>0</v>
      </c>
      <c r="P56" s="16">
        <f t="shared" si="1"/>
        <v>396.09</v>
      </c>
    </row>
    <row r="57" spans="1:16">
      <c r="A57" s="2" t="str">
        <f t="shared" si="4"/>
        <v>6666050107</v>
      </c>
      <c r="B57" s="2" t="s">
        <v>310</v>
      </c>
      <c r="D57" s="7">
        <v>13120.52</v>
      </c>
      <c r="E57" s="7">
        <v>0</v>
      </c>
      <c r="F57" s="7">
        <v>0</v>
      </c>
      <c r="G57" s="7">
        <v>8449.68</v>
      </c>
      <c r="H57" s="7">
        <v>0</v>
      </c>
      <c r="I57" s="7">
        <v>2992.17</v>
      </c>
      <c r="J57" s="7">
        <v>2218.07</v>
      </c>
      <c r="K57" s="7">
        <v>-907.89</v>
      </c>
      <c r="L57" s="7">
        <v>0</v>
      </c>
      <c r="M57" s="7">
        <v>3223.08</v>
      </c>
      <c r="N57" s="3">
        <v>0</v>
      </c>
      <c r="O57" s="3">
        <v>2606.75</v>
      </c>
      <c r="P57" s="16">
        <f t="shared" si="1"/>
        <v>31702.38</v>
      </c>
    </row>
    <row r="58" spans="1:16">
      <c r="A58" s="2" t="str">
        <f t="shared" si="4"/>
        <v>6666050309</v>
      </c>
      <c r="B58" s="2" t="s">
        <v>263</v>
      </c>
      <c r="C58" s="2" t="s">
        <v>41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3"/>
      <c r="O58" s="3"/>
      <c r="P58" s="16">
        <f t="shared" si="1"/>
        <v>0</v>
      </c>
    </row>
    <row r="59" spans="1:16">
      <c r="A59" s="2" t="str">
        <f t="shared" si="4"/>
        <v>6666050312</v>
      </c>
      <c r="B59" s="2" t="s">
        <v>321</v>
      </c>
      <c r="C59" s="2" t="s">
        <v>41</v>
      </c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3">
        <v>0</v>
      </c>
      <c r="O59" s="13"/>
      <c r="P59" s="16">
        <f t="shared" si="1"/>
        <v>0</v>
      </c>
    </row>
    <row r="60" spans="1:16">
      <c r="A60" s="2" t="str">
        <f t="shared" si="4"/>
        <v>6666050320</v>
      </c>
      <c r="B60" s="2" t="s">
        <v>424</v>
      </c>
      <c r="D60" s="7">
        <v>0</v>
      </c>
      <c r="E60" s="7">
        <v>3963.93</v>
      </c>
      <c r="F60" s="7">
        <v>0</v>
      </c>
      <c r="G60" s="7">
        <v>0</v>
      </c>
      <c r="H60" s="7">
        <v>741.61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3">
        <v>0</v>
      </c>
      <c r="O60" s="3">
        <v>2016220.71</v>
      </c>
      <c r="P60" s="16">
        <f t="shared" si="1"/>
        <v>2020926.25</v>
      </c>
    </row>
    <row r="61" spans="1:16">
      <c r="A61" s="2" t="str">
        <f t="shared" si="4"/>
        <v>6666070400</v>
      </c>
      <c r="B61" s="2" t="s">
        <v>313</v>
      </c>
      <c r="D61" s="7">
        <v>182975.77</v>
      </c>
      <c r="E61" s="7">
        <v>343449.13</v>
      </c>
      <c r="F61" s="7">
        <v>45408.63</v>
      </c>
      <c r="G61" s="7">
        <v>42867.71</v>
      </c>
      <c r="H61" s="7">
        <v>116951.03</v>
      </c>
      <c r="I61" s="7">
        <v>239778.85</v>
      </c>
      <c r="J61" s="7">
        <v>91933.29</v>
      </c>
      <c r="K61" s="7">
        <v>90305.19</v>
      </c>
      <c r="L61" s="7">
        <v>132197.19</v>
      </c>
      <c r="M61" s="7">
        <v>83424.7</v>
      </c>
      <c r="N61" s="3">
        <v>527524.48</v>
      </c>
      <c r="O61" s="3">
        <v>77088.23</v>
      </c>
      <c r="P61" s="16">
        <f t="shared" si="1"/>
        <v>1973904.2</v>
      </c>
    </row>
    <row r="62" spans="1:16">
      <c r="A62" s="2" t="str">
        <f t="shared" si="4"/>
        <v>5207000012</v>
      </c>
      <c r="B62" s="2" t="s">
        <v>272</v>
      </c>
      <c r="C62" s="2" t="s">
        <v>41</v>
      </c>
      <c r="D62" s="7">
        <v>0</v>
      </c>
      <c r="E62" s="7">
        <v>0</v>
      </c>
      <c r="F62" s="7">
        <v>0</v>
      </c>
      <c r="G62" s="7">
        <v>143250.2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3">
        <v>0</v>
      </c>
      <c r="O62" s="3">
        <v>0</v>
      </c>
      <c r="P62" s="16">
        <f t="shared" si="1"/>
        <v>143250.2</v>
      </c>
    </row>
    <row r="63" spans="1:16">
      <c r="A63" s="2" t="str">
        <f t="shared" si="4"/>
        <v>6666070100</v>
      </c>
      <c r="B63" s="2" t="s">
        <v>311</v>
      </c>
      <c r="D63" s="7">
        <v>0</v>
      </c>
      <c r="E63" s="7">
        <v>0</v>
      </c>
      <c r="F63" s="7">
        <v>0</v>
      </c>
      <c r="G63" s="7">
        <v>12870.9</v>
      </c>
      <c r="H63" s="7">
        <v>0</v>
      </c>
      <c r="I63" s="7">
        <v>7471.18</v>
      </c>
      <c r="J63" s="7">
        <v>0</v>
      </c>
      <c r="K63" s="7">
        <v>0</v>
      </c>
      <c r="L63" s="7">
        <v>0</v>
      </c>
      <c r="M63" s="7">
        <v>0</v>
      </c>
      <c r="N63" s="3">
        <v>293.84</v>
      </c>
      <c r="O63" s="3">
        <v>559773.13</v>
      </c>
      <c r="P63" s="16">
        <f t="shared" si="1"/>
        <v>580409.05</v>
      </c>
    </row>
    <row r="64" spans="1:16">
      <c r="A64" s="2" t="str">
        <f t="shared" si="4"/>
        <v>5207000011</v>
      </c>
      <c r="B64" s="2" t="s">
        <v>271</v>
      </c>
      <c r="C64" s="2" t="s">
        <v>41</v>
      </c>
      <c r="D64" s="7">
        <v>0</v>
      </c>
      <c r="E64" s="7">
        <v>0</v>
      </c>
      <c r="F64" s="7">
        <v>0</v>
      </c>
      <c r="G64" s="7">
        <v>-0.43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3">
        <v>0</v>
      </c>
      <c r="O64" s="3">
        <v>0</v>
      </c>
      <c r="P64" s="16">
        <f t="shared" si="1"/>
        <v>-0.43</v>
      </c>
    </row>
    <row r="65" spans="1:16">
      <c r="A65" s="2" t="str">
        <f t="shared" si="4"/>
        <v>6666093800</v>
      </c>
      <c r="B65" s="2" t="s">
        <v>380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590.61</v>
      </c>
      <c r="K65" s="7">
        <v>0</v>
      </c>
      <c r="L65" s="7">
        <v>0</v>
      </c>
      <c r="M65" s="7">
        <v>0</v>
      </c>
      <c r="N65" s="3">
        <v>0</v>
      </c>
      <c r="O65" s="3">
        <v>0</v>
      </c>
      <c r="P65" s="16">
        <f t="shared" si="1"/>
        <v>590.61</v>
      </c>
    </row>
    <row r="66" spans="1:16">
      <c r="A66" s="2" t="str">
        <f t="shared" si="4"/>
        <v>6666020301</v>
      </c>
      <c r="B66" s="2" t="s">
        <v>371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153069.14</v>
      </c>
      <c r="L66" s="7">
        <v>0</v>
      </c>
      <c r="M66" s="7">
        <v>78293.66</v>
      </c>
      <c r="N66" s="3">
        <v>27039.23</v>
      </c>
      <c r="O66" s="3">
        <v>29132.9</v>
      </c>
      <c r="P66" s="16">
        <f t="shared" si="1"/>
        <v>287534.93</v>
      </c>
    </row>
    <row r="67" spans="1:16">
      <c r="A67" s="2" t="str">
        <f t="shared" si="4"/>
        <v>6666029996</v>
      </c>
      <c r="B67" s="2" t="s">
        <v>425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734.6</v>
      </c>
      <c r="L67" s="7">
        <v>0</v>
      </c>
      <c r="M67" s="7">
        <v>0</v>
      </c>
      <c r="N67" s="3">
        <v>-0.02</v>
      </c>
      <c r="O67" s="3">
        <v>0</v>
      </c>
      <c r="P67" s="16">
        <f t="shared" si="1"/>
        <v>734.58</v>
      </c>
    </row>
    <row r="68" spans="1:16">
      <c r="A68" s="10" t="str">
        <f>B68</f>
        <v>*   CS_Fix Cost</v>
      </c>
      <c r="B68" s="10" t="s">
        <v>267</v>
      </c>
      <c r="D68" s="10">
        <v>2183761.31</v>
      </c>
      <c r="E68" s="10">
        <v>2324007.73</v>
      </c>
      <c r="F68" s="10">
        <v>2572479.59</v>
      </c>
      <c r="G68" s="10">
        <v>1378822.24</v>
      </c>
      <c r="H68" s="10">
        <v>2301685.63</v>
      </c>
      <c r="I68" s="10">
        <v>1904282.86</v>
      </c>
      <c r="J68" s="10">
        <v>7372824.06</v>
      </c>
      <c r="K68" s="10">
        <v>-3323643.66</v>
      </c>
      <c r="L68" s="10">
        <v>3289366.39</v>
      </c>
      <c r="M68" s="10">
        <v>1965043.53</v>
      </c>
      <c r="N68" s="9">
        <f>SUM(N26:N67)</f>
        <v>2373976.3</v>
      </c>
      <c r="O68" s="9">
        <f>SUM(O26:O67)</f>
        <v>4408534.73</v>
      </c>
      <c r="P68" s="16">
        <f t="shared" si="1"/>
        <v>28751140.71</v>
      </c>
    </row>
    <row r="69" spans="1:16">
      <c r="A69" s="2" t="str">
        <f t="shared" ref="A69:A71" si="5">MID(B69,5,10)</f>
        <v>6666110203</v>
      </c>
      <c r="B69" s="2" t="s">
        <v>316</v>
      </c>
      <c r="C69" s="2" t="s">
        <v>41</v>
      </c>
      <c r="D69" s="7">
        <v>635255.1</v>
      </c>
      <c r="E69" s="7">
        <v>1301950.83</v>
      </c>
      <c r="F69" s="7">
        <v>614077.75</v>
      </c>
      <c r="G69" s="7">
        <v>847830.31</v>
      </c>
      <c r="H69" s="7">
        <v>883367.93</v>
      </c>
      <c r="I69" s="7">
        <v>840452.82</v>
      </c>
      <c r="J69" s="7">
        <v>1071892.85</v>
      </c>
      <c r="K69" s="7">
        <v>726029.1</v>
      </c>
      <c r="L69" s="7">
        <v>682006.6</v>
      </c>
      <c r="M69" s="7">
        <v>646678.72</v>
      </c>
      <c r="N69" s="3">
        <v>747183.38</v>
      </c>
      <c r="O69" s="3">
        <v>441132.62</v>
      </c>
      <c r="P69" s="16">
        <f t="shared" ref="P69:P120" si="6">SUM(D69:O69)</f>
        <v>9437858.01</v>
      </c>
    </row>
    <row r="70" spans="1:16">
      <c r="A70" s="2" t="str">
        <f t="shared" si="5"/>
        <v>6666050307</v>
      </c>
      <c r="B70" s="2" t="s">
        <v>320</v>
      </c>
      <c r="C70" s="2" t="s">
        <v>41</v>
      </c>
      <c r="D70" s="7">
        <v>-871603.57</v>
      </c>
      <c r="E70" s="7">
        <v>-1220222.6</v>
      </c>
      <c r="F70" s="7">
        <v>-270165.76</v>
      </c>
      <c r="G70" s="7">
        <v>421964.24</v>
      </c>
      <c r="H70" s="7">
        <v>291359.25</v>
      </c>
      <c r="I70" s="7">
        <v>244663.14</v>
      </c>
      <c r="J70" s="7">
        <v>-1965157.71</v>
      </c>
      <c r="K70" s="7">
        <v>-3501466.22</v>
      </c>
      <c r="L70" s="7">
        <v>568358.84</v>
      </c>
      <c r="M70" s="7">
        <v>-568239.97</v>
      </c>
      <c r="N70" s="3">
        <v>-2471282.77</v>
      </c>
      <c r="O70" s="3">
        <v>-12352758.39</v>
      </c>
      <c r="P70" s="16">
        <f t="shared" si="6"/>
        <v>-21694551.52</v>
      </c>
    </row>
    <row r="71" spans="1:16">
      <c r="A71" s="2" t="str">
        <f t="shared" si="5"/>
        <v>6666050312</v>
      </c>
      <c r="B71" s="2" t="s">
        <v>321</v>
      </c>
      <c r="C71" s="2" t="s">
        <v>41</v>
      </c>
      <c r="D71" s="7">
        <v>53193.58</v>
      </c>
      <c r="E71" s="7">
        <v>17980.16</v>
      </c>
      <c r="F71" s="7">
        <v>165892.26</v>
      </c>
      <c r="G71" s="7">
        <v>-40250.29</v>
      </c>
      <c r="H71" s="7">
        <v>38201.18</v>
      </c>
      <c r="I71" s="7">
        <v>-12563.35</v>
      </c>
      <c r="J71" s="7">
        <v>126605.87</v>
      </c>
      <c r="K71" s="7">
        <v>4491082.45</v>
      </c>
      <c r="L71" s="7">
        <v>-135951.56</v>
      </c>
      <c r="M71" s="7">
        <v>956270.06</v>
      </c>
      <c r="N71" s="3">
        <v>2258145.01</v>
      </c>
      <c r="O71" s="3">
        <v>14317672.35</v>
      </c>
      <c r="P71" s="16">
        <f t="shared" si="6"/>
        <v>22236277.72</v>
      </c>
    </row>
    <row r="72" spans="1:16">
      <c r="A72" s="10" t="str">
        <f>B72</f>
        <v>*   CS_Variable Cost</v>
      </c>
      <c r="B72" s="10" t="s">
        <v>317</v>
      </c>
      <c r="D72" s="10">
        <v>-183154.89</v>
      </c>
      <c r="E72" s="10">
        <v>99708.3900000002</v>
      </c>
      <c r="F72" s="10">
        <v>509804.25</v>
      </c>
      <c r="G72" s="10">
        <v>1229544.26</v>
      </c>
      <c r="H72" s="10">
        <v>1212928.36</v>
      </c>
      <c r="I72" s="10">
        <v>1072552.61</v>
      </c>
      <c r="J72" s="10">
        <v>-766658.99</v>
      </c>
      <c r="K72" s="10">
        <v>1715645.33</v>
      </c>
      <c r="L72" s="10">
        <v>1114413.88</v>
      </c>
      <c r="M72" s="10">
        <v>1034708.81</v>
      </c>
      <c r="N72" s="9">
        <f>SUM(N69:N71)</f>
        <v>534045.62</v>
      </c>
      <c r="O72" s="9">
        <f>SUM(O69:O71)</f>
        <v>2406046.58</v>
      </c>
      <c r="P72" s="16">
        <f t="shared" si="6"/>
        <v>9979584.21</v>
      </c>
    </row>
    <row r="73" spans="1:16">
      <c r="A73" s="2" t="str">
        <f t="shared" ref="A73" si="7">MID(B73,5,10)</f>
        <v>6666100203</v>
      </c>
      <c r="B73" s="2" t="s">
        <v>322</v>
      </c>
      <c r="C73" s="2" t="s">
        <v>41</v>
      </c>
      <c r="D73" s="7">
        <v>988000</v>
      </c>
      <c r="E73" s="7">
        <v>988000</v>
      </c>
      <c r="F73" s="7">
        <v>463611.94</v>
      </c>
      <c r="G73" s="7">
        <v>988000</v>
      </c>
      <c r="H73" s="7">
        <v>988000</v>
      </c>
      <c r="I73" s="7">
        <v>988000</v>
      </c>
      <c r="J73" s="7">
        <v>14195331.67</v>
      </c>
      <c r="K73" s="7">
        <v>14195331.67</v>
      </c>
      <c r="L73" s="7">
        <v>15301431.18</v>
      </c>
      <c r="M73" s="7">
        <v>18784764.51</v>
      </c>
      <c r="N73" s="3">
        <v>18789834.85</v>
      </c>
      <c r="O73" s="3">
        <v>19265795.97</v>
      </c>
      <c r="P73" s="16">
        <f t="shared" si="6"/>
        <v>105936101.79</v>
      </c>
    </row>
    <row r="74" spans="1:16">
      <c r="A74" s="10" t="str">
        <f>B74</f>
        <v>*   CS_Obsolescence</v>
      </c>
      <c r="B74" s="10" t="s">
        <v>323</v>
      </c>
      <c r="D74" s="10">
        <v>988000</v>
      </c>
      <c r="E74" s="10">
        <v>988000</v>
      </c>
      <c r="F74" s="10">
        <v>463611.94</v>
      </c>
      <c r="G74" s="10">
        <v>988000</v>
      </c>
      <c r="H74" s="10">
        <v>988000</v>
      </c>
      <c r="I74" s="10">
        <v>988000</v>
      </c>
      <c r="J74" s="10">
        <v>14195331.67</v>
      </c>
      <c r="K74" s="10">
        <v>14195331.67</v>
      </c>
      <c r="L74" s="10">
        <v>15301431.18</v>
      </c>
      <c r="M74" s="10">
        <v>18784764.51</v>
      </c>
      <c r="N74" s="9">
        <f>N73</f>
        <v>18789834.85</v>
      </c>
      <c r="O74" s="9">
        <f>O73</f>
        <v>19265795.97</v>
      </c>
      <c r="P74" s="16">
        <f t="shared" si="6"/>
        <v>105936101.79</v>
      </c>
    </row>
    <row r="75" spans="1:16">
      <c r="A75" s="2" t="str">
        <f t="shared" ref="A75" si="8">MID(B75,5,10)</f>
        <v>5301070000</v>
      </c>
      <c r="B75" s="2" t="s">
        <v>325</v>
      </c>
      <c r="C75" s="2" t="s">
        <v>41</v>
      </c>
      <c r="D75" s="7">
        <v>-2239368.6</v>
      </c>
      <c r="E75" s="7">
        <v>-2654213</v>
      </c>
      <c r="F75" s="7">
        <v>-3081167</v>
      </c>
      <c r="G75" s="7">
        <v>-2856538</v>
      </c>
      <c r="H75" s="7">
        <v>-3630818</v>
      </c>
      <c r="I75" s="7">
        <v>-2964930</v>
      </c>
      <c r="J75" s="7">
        <v>-3556727</v>
      </c>
      <c r="K75" s="7">
        <v>-2353264</v>
      </c>
      <c r="L75" s="7">
        <v>-3010314</v>
      </c>
      <c r="M75" s="7">
        <v>-2986020</v>
      </c>
      <c r="N75" s="3">
        <v>-3854287</v>
      </c>
      <c r="O75" s="3">
        <v>-1917297</v>
      </c>
      <c r="P75" s="16">
        <f t="shared" si="6"/>
        <v>-35104943.6</v>
      </c>
    </row>
    <row r="76" spans="1:16">
      <c r="A76" s="10" t="str">
        <f>B76</f>
        <v>*   CS_Reselling</v>
      </c>
      <c r="B76" s="10" t="s">
        <v>326</v>
      </c>
      <c r="D76" s="10">
        <v>-2239368.6</v>
      </c>
      <c r="E76" s="10">
        <v>-2654213</v>
      </c>
      <c r="F76" s="10">
        <v>-3081167</v>
      </c>
      <c r="G76" s="10">
        <v>-2856538</v>
      </c>
      <c r="H76" s="10">
        <v>-3630818</v>
      </c>
      <c r="I76" s="10">
        <v>-2964930</v>
      </c>
      <c r="J76" s="10">
        <v>-3556727</v>
      </c>
      <c r="K76" s="10">
        <v>-2353264</v>
      </c>
      <c r="L76" s="10">
        <v>-3010314</v>
      </c>
      <c r="M76" s="10">
        <v>-2986020</v>
      </c>
      <c r="N76" s="9">
        <f>N75</f>
        <v>-3854287</v>
      </c>
      <c r="O76" s="9">
        <f>O75</f>
        <v>-1917297</v>
      </c>
      <c r="P76" s="16">
        <f t="shared" si="6"/>
        <v>-35104943.6</v>
      </c>
    </row>
    <row r="77" spans="1:16">
      <c r="A77" s="2" t="str">
        <f t="shared" ref="A77" si="9">MID(B77,5,10)</f>
        <v>6666021602</v>
      </c>
      <c r="B77" s="2" t="s">
        <v>328</v>
      </c>
      <c r="D77" s="7">
        <v>230007</v>
      </c>
      <c r="E77" s="7">
        <v>62217.33</v>
      </c>
      <c r="F77" s="7">
        <v>78890.16</v>
      </c>
      <c r="G77" s="7">
        <v>84795.27</v>
      </c>
      <c r="H77" s="7">
        <v>75669.12</v>
      </c>
      <c r="I77" s="7">
        <v>124352.69</v>
      </c>
      <c r="J77" s="7">
        <v>67431.54</v>
      </c>
      <c r="K77" s="7">
        <v>87826.65</v>
      </c>
      <c r="L77" s="7">
        <v>72050.2</v>
      </c>
      <c r="M77" s="7">
        <v>95186.78</v>
      </c>
      <c r="N77" s="3">
        <v>134822.74</v>
      </c>
      <c r="O77" s="3">
        <v>126848.22</v>
      </c>
      <c r="P77" s="16">
        <f t="shared" si="6"/>
        <v>1240097.7</v>
      </c>
    </row>
    <row r="78" spans="1:16">
      <c r="A78" s="10" t="str">
        <f>B78</f>
        <v>*   CS_Fix Utilities</v>
      </c>
      <c r="B78" s="10" t="s">
        <v>329</v>
      </c>
      <c r="D78" s="10">
        <v>230007</v>
      </c>
      <c r="E78" s="10">
        <v>62217.33</v>
      </c>
      <c r="F78" s="10">
        <v>78890.16</v>
      </c>
      <c r="G78" s="10">
        <v>84795.27</v>
      </c>
      <c r="H78" s="10">
        <v>75669.12</v>
      </c>
      <c r="I78" s="10">
        <v>124352.69</v>
      </c>
      <c r="J78" s="10">
        <v>67431.54</v>
      </c>
      <c r="K78" s="10">
        <v>87826.65</v>
      </c>
      <c r="L78" s="10">
        <v>72050.2</v>
      </c>
      <c r="M78" s="10">
        <v>95186.78</v>
      </c>
      <c r="N78" s="9">
        <f>N77</f>
        <v>134822.74</v>
      </c>
      <c r="O78" s="9">
        <f>O77</f>
        <v>126848.22</v>
      </c>
      <c r="P78" s="16">
        <f t="shared" si="6"/>
        <v>1240097.7</v>
      </c>
    </row>
    <row r="79" spans="1:16">
      <c r="A79" s="2" t="str">
        <f t="shared" ref="A79:A81" si="10">MID(B79,5,10)</f>
        <v>6666021600</v>
      </c>
      <c r="B79" s="2" t="s">
        <v>331</v>
      </c>
      <c r="D79" s="7">
        <v>2239796.57</v>
      </c>
      <c r="E79" s="7">
        <v>-84434.4</v>
      </c>
      <c r="F79" s="7">
        <v>1220370.28</v>
      </c>
      <c r="G79" s="7">
        <v>1257469.38</v>
      </c>
      <c r="H79" s="7">
        <v>1627829.61</v>
      </c>
      <c r="I79" s="7">
        <v>1096127.83</v>
      </c>
      <c r="J79" s="7">
        <v>1607808.97</v>
      </c>
      <c r="K79" s="7">
        <v>1353614.08</v>
      </c>
      <c r="L79" s="7">
        <v>1256142.69</v>
      </c>
      <c r="M79" s="7">
        <v>1284593.77</v>
      </c>
      <c r="N79" s="3">
        <v>1434922.92</v>
      </c>
      <c r="O79" s="3">
        <v>1009644.99</v>
      </c>
      <c r="P79" s="16">
        <f t="shared" si="6"/>
        <v>15303886.69</v>
      </c>
    </row>
    <row r="80" spans="1:16">
      <c r="A80" s="2" t="str">
        <f t="shared" si="10"/>
        <v>6666021603</v>
      </c>
      <c r="B80" s="2" t="s">
        <v>334</v>
      </c>
      <c r="D80" s="7">
        <v>0</v>
      </c>
      <c r="E80" s="7">
        <v>24368.13</v>
      </c>
      <c r="F80" s="7">
        <v>24968.8</v>
      </c>
      <c r="G80" s="7">
        <v>22424.76</v>
      </c>
      <c r="H80" s="7">
        <v>27947.87</v>
      </c>
      <c r="I80" s="7">
        <v>25349.71</v>
      </c>
      <c r="J80" s="7">
        <v>28073.79</v>
      </c>
      <c r="K80" s="7">
        <v>28463.05</v>
      </c>
      <c r="L80" s="7">
        <v>27427.31</v>
      </c>
      <c r="M80" s="7">
        <v>24110.63</v>
      </c>
      <c r="N80" s="3">
        <v>26421.12</v>
      </c>
      <c r="O80" s="3">
        <v>55516.91</v>
      </c>
      <c r="P80" s="16">
        <f t="shared" si="6"/>
        <v>315072.08</v>
      </c>
    </row>
    <row r="81" spans="1:16">
      <c r="A81" s="2" t="str">
        <f t="shared" si="10"/>
        <v>6666021604</v>
      </c>
      <c r="B81" s="2" t="s">
        <v>335</v>
      </c>
      <c r="D81" s="20">
        <v>1497639.6</v>
      </c>
      <c r="E81" s="20">
        <v>178211.71</v>
      </c>
      <c r="F81" s="20">
        <v>875304.91</v>
      </c>
      <c r="G81" s="20">
        <v>627770.71</v>
      </c>
      <c r="H81" s="20">
        <v>754248.62</v>
      </c>
      <c r="I81" s="20">
        <v>464942.9</v>
      </c>
      <c r="J81" s="20">
        <v>764763.26</v>
      </c>
      <c r="K81" s="20">
        <v>581278.99</v>
      </c>
      <c r="L81" s="20">
        <v>911363</v>
      </c>
      <c r="M81" s="20">
        <v>746221.41</v>
      </c>
      <c r="N81" s="18">
        <v>949164.59</v>
      </c>
      <c r="O81" s="18">
        <v>816005.44</v>
      </c>
      <c r="P81" s="16">
        <f t="shared" si="6"/>
        <v>9166915.14</v>
      </c>
    </row>
    <row r="82" spans="1:16">
      <c r="A82" s="10" t="str">
        <f>B82</f>
        <v>*   CS_Variable Utilities</v>
      </c>
      <c r="B82" s="10" t="s">
        <v>332</v>
      </c>
      <c r="D82" s="10">
        <v>3737436.17</v>
      </c>
      <c r="E82" s="10">
        <v>118145.44</v>
      </c>
      <c r="F82" s="10">
        <v>2120643.99</v>
      </c>
      <c r="G82" s="10">
        <v>1907664.85</v>
      </c>
      <c r="H82" s="10">
        <v>2410026.1</v>
      </c>
      <c r="I82" s="10">
        <v>1586420.44</v>
      </c>
      <c r="J82" s="10">
        <v>2400646.02</v>
      </c>
      <c r="K82" s="10">
        <v>1963356.12</v>
      </c>
      <c r="L82" s="10">
        <v>2194933</v>
      </c>
      <c r="M82" s="10">
        <v>2054925.81</v>
      </c>
      <c r="N82" s="9">
        <f>SUM(N79:N81)</f>
        <v>2410508.63</v>
      </c>
      <c r="O82" s="9">
        <f>SUM(O79:O81)</f>
        <v>1881167.34</v>
      </c>
      <c r="P82" s="16">
        <f t="shared" si="6"/>
        <v>24785873.91</v>
      </c>
    </row>
    <row r="83" spans="1:16">
      <c r="A83" s="2" t="str">
        <f t="shared" ref="A83:A89" si="11">MID(B83,5,10)</f>
        <v>5001010206</v>
      </c>
      <c r="B83" s="2" t="s">
        <v>336</v>
      </c>
      <c r="D83" s="7">
        <v>127248.4</v>
      </c>
      <c r="E83" s="7">
        <v>327528.41</v>
      </c>
      <c r="F83" s="7">
        <v>183177.15</v>
      </c>
      <c r="G83" s="7">
        <v>181500.39</v>
      </c>
      <c r="H83" s="7">
        <v>184096.44</v>
      </c>
      <c r="I83" s="7">
        <v>211901.44</v>
      </c>
      <c r="J83" s="7">
        <v>181292.82</v>
      </c>
      <c r="K83" s="7">
        <v>139516.21</v>
      </c>
      <c r="L83" s="7">
        <v>179315.44</v>
      </c>
      <c r="M83" s="7">
        <v>171721.94</v>
      </c>
      <c r="N83" s="3">
        <v>164765.45</v>
      </c>
      <c r="O83" s="3">
        <v>164101.75</v>
      </c>
      <c r="P83" s="16">
        <f t="shared" si="6"/>
        <v>2216165.84</v>
      </c>
    </row>
    <row r="84" spans="1:16">
      <c r="A84" s="2" t="str">
        <f t="shared" si="11"/>
        <v>6666010184</v>
      </c>
      <c r="B84" s="2" t="s">
        <v>339</v>
      </c>
      <c r="D84" s="7">
        <v>-179991.28</v>
      </c>
      <c r="E84" s="7">
        <v>-176213.16</v>
      </c>
      <c r="F84" s="7">
        <v>-171592.33</v>
      </c>
      <c r="G84" s="7">
        <v>-178109.13</v>
      </c>
      <c r="H84" s="7">
        <v>-173242.79</v>
      </c>
      <c r="I84" s="7">
        <v>-170870.39</v>
      </c>
      <c r="J84" s="7">
        <v>-170607.09</v>
      </c>
      <c r="K84" s="7">
        <v>-140423.62</v>
      </c>
      <c r="L84" s="7">
        <v>-137064.83</v>
      </c>
      <c r="M84" s="7">
        <v>-133312.42</v>
      </c>
      <c r="N84" s="3">
        <v>-130136.06</v>
      </c>
      <c r="O84" s="3">
        <v>-157461.75</v>
      </c>
      <c r="P84" s="16">
        <f t="shared" si="6"/>
        <v>-1919024.85</v>
      </c>
    </row>
    <row r="85" spans="1:16">
      <c r="A85" s="2" t="str">
        <f t="shared" si="11"/>
        <v>6666010186</v>
      </c>
      <c r="B85" s="2" t="s">
        <v>340</v>
      </c>
      <c r="D85" s="7">
        <v>83021.53</v>
      </c>
      <c r="E85" s="7">
        <v>552371.86</v>
      </c>
      <c r="F85" s="7">
        <v>217907.67</v>
      </c>
      <c r="G85" s="7">
        <v>399875.3</v>
      </c>
      <c r="H85" s="7">
        <v>431323.45</v>
      </c>
      <c r="I85" s="7">
        <v>461377.53</v>
      </c>
      <c r="J85" s="7">
        <v>492649.44</v>
      </c>
      <c r="K85" s="7">
        <v>251497.22</v>
      </c>
      <c r="L85" s="7">
        <v>443660.19</v>
      </c>
      <c r="M85" s="7">
        <v>264269.5</v>
      </c>
      <c r="N85" s="3">
        <v>227875.74</v>
      </c>
      <c r="O85" s="3">
        <v>266270.13</v>
      </c>
      <c r="P85" s="16">
        <f t="shared" si="6"/>
        <v>4092099.56</v>
      </c>
    </row>
    <row r="86" spans="1:16">
      <c r="A86" s="2" t="str">
        <f t="shared" si="11"/>
        <v>6666010189</v>
      </c>
      <c r="B86" s="2" t="s">
        <v>341</v>
      </c>
      <c r="D86" s="7">
        <v>0</v>
      </c>
      <c r="E86" s="7">
        <v>-39571.3</v>
      </c>
      <c r="F86" s="7">
        <v>-216151.62</v>
      </c>
      <c r="G86" s="7">
        <v>525133.35</v>
      </c>
      <c r="H86" s="7">
        <v>-22820.33</v>
      </c>
      <c r="I86" s="7">
        <v>-227849.54</v>
      </c>
      <c r="J86" s="7">
        <v>595410.68</v>
      </c>
      <c r="K86" s="7">
        <v>909780.5</v>
      </c>
      <c r="L86" s="7">
        <v>-88149.4</v>
      </c>
      <c r="M86" s="7">
        <v>14651.24</v>
      </c>
      <c r="N86" s="3">
        <v>-73939.15</v>
      </c>
      <c r="O86" s="3">
        <v>794131.19</v>
      </c>
      <c r="P86" s="16">
        <f t="shared" si="6"/>
        <v>2170625.62</v>
      </c>
    </row>
    <row r="87" spans="1:16">
      <c r="A87" s="2" t="str">
        <f t="shared" si="11"/>
        <v>6666010012</v>
      </c>
      <c r="B87" s="2" t="s">
        <v>342</v>
      </c>
      <c r="D87" s="7">
        <v>1070160.98</v>
      </c>
      <c r="E87" s="7">
        <v>2730126.95</v>
      </c>
      <c r="F87" s="7">
        <v>1525381.42</v>
      </c>
      <c r="G87" s="7">
        <v>1514986.47</v>
      </c>
      <c r="H87" s="7">
        <v>1535571.15</v>
      </c>
      <c r="I87" s="7">
        <v>1757705.29</v>
      </c>
      <c r="J87" s="7">
        <v>1493525.29</v>
      </c>
      <c r="K87" s="7">
        <v>1166596.69</v>
      </c>
      <c r="L87" s="7">
        <v>1552966.75</v>
      </c>
      <c r="M87" s="7">
        <v>1490030.02</v>
      </c>
      <c r="N87" s="3">
        <v>1426979.76</v>
      </c>
      <c r="O87" s="3">
        <v>1424422.66</v>
      </c>
      <c r="P87" s="16">
        <f t="shared" si="6"/>
        <v>18688453.43</v>
      </c>
    </row>
    <row r="88" spans="1:16">
      <c r="A88" s="2" t="str">
        <f t="shared" si="11"/>
        <v>6666010226</v>
      </c>
      <c r="B88" s="2" t="s">
        <v>343</v>
      </c>
      <c r="D88" s="7">
        <v>132433.72</v>
      </c>
      <c r="E88" s="7">
        <v>864094.32</v>
      </c>
      <c r="F88" s="7">
        <v>-369170.29</v>
      </c>
      <c r="G88" s="7">
        <v>282810.4</v>
      </c>
      <c r="H88" s="7">
        <v>1034702.31</v>
      </c>
      <c r="I88" s="7">
        <v>373884.05</v>
      </c>
      <c r="J88" s="7">
        <v>270429.44</v>
      </c>
      <c r="K88" s="7">
        <v>368825.57</v>
      </c>
      <c r="L88" s="7">
        <v>75164.28</v>
      </c>
      <c r="M88" s="7">
        <v>232988.12</v>
      </c>
      <c r="N88" s="3">
        <v>237499.42</v>
      </c>
      <c r="O88" s="3">
        <v>2083404.76</v>
      </c>
      <c r="P88" s="16">
        <f t="shared" si="6"/>
        <v>5587066.1</v>
      </c>
    </row>
    <row r="89" spans="1:16">
      <c r="A89" s="2" t="str">
        <f t="shared" si="11"/>
        <v>6666010102</v>
      </c>
      <c r="B89" s="2" t="s">
        <v>344</v>
      </c>
      <c r="D89" s="7">
        <v>7004127.36</v>
      </c>
      <c r="E89" s="7">
        <v>7428919.89</v>
      </c>
      <c r="F89" s="7">
        <v>12070524.53</v>
      </c>
      <c r="G89" s="7">
        <v>9636008.96</v>
      </c>
      <c r="H89" s="7">
        <v>9517559.58</v>
      </c>
      <c r="I89" s="7">
        <v>10850971.44</v>
      </c>
      <c r="J89" s="7">
        <v>9217127.91</v>
      </c>
      <c r="K89" s="7">
        <v>6594302.14</v>
      </c>
      <c r="L89" s="7">
        <v>9655898.94</v>
      </c>
      <c r="M89" s="7">
        <v>9591488.65</v>
      </c>
      <c r="N89" s="3">
        <v>8478480.61</v>
      </c>
      <c r="O89" s="3">
        <v>7533381.8</v>
      </c>
      <c r="P89" s="16">
        <f t="shared" si="6"/>
        <v>107578791.81</v>
      </c>
    </row>
    <row r="90" spans="1:16">
      <c r="A90" s="10" t="str">
        <f>B90</f>
        <v>*   CS_Indirect Labour</v>
      </c>
      <c r="B90" s="10" t="s">
        <v>337</v>
      </c>
      <c r="D90" s="10">
        <v>8237000.71</v>
      </c>
      <c r="E90" s="10">
        <v>11687256.97</v>
      </c>
      <c r="F90" s="10">
        <v>13240076.53</v>
      </c>
      <c r="G90" s="10">
        <v>12362205.74</v>
      </c>
      <c r="H90" s="10">
        <v>12507189.81</v>
      </c>
      <c r="I90" s="10">
        <v>13257119.82</v>
      </c>
      <c r="J90" s="10">
        <v>12079828.49</v>
      </c>
      <c r="K90" s="10">
        <v>9290094.71</v>
      </c>
      <c r="L90" s="10">
        <v>11681791.37</v>
      </c>
      <c r="M90" s="10">
        <v>11631837.05</v>
      </c>
      <c r="N90" s="9">
        <f>SUM(N83:N89)</f>
        <v>10331525.77</v>
      </c>
      <c r="O90" s="9">
        <f>SUM(O83:O89)</f>
        <v>12108250.54</v>
      </c>
      <c r="P90" s="16">
        <f t="shared" si="6"/>
        <v>138414177.51</v>
      </c>
    </row>
    <row r="91" spans="1:16">
      <c r="A91" s="2" t="str">
        <f t="shared" ref="A91:A97" si="12">MID(B91,5,10)</f>
        <v>6666010196</v>
      </c>
      <c r="B91" s="2" t="s">
        <v>346</v>
      </c>
      <c r="D91" s="7">
        <v>356889.96</v>
      </c>
      <c r="E91" s="7">
        <v>382312.06</v>
      </c>
      <c r="F91" s="7">
        <v>418724.11</v>
      </c>
      <c r="G91" s="7">
        <v>406995.84</v>
      </c>
      <c r="H91" s="7">
        <v>417987.24</v>
      </c>
      <c r="I91" s="7">
        <v>456446.79</v>
      </c>
      <c r="J91" s="7">
        <v>458388.64</v>
      </c>
      <c r="K91" s="7">
        <v>435011.37</v>
      </c>
      <c r="L91" s="7">
        <v>447103.02</v>
      </c>
      <c r="M91" s="7">
        <v>440675.09</v>
      </c>
      <c r="N91" s="3">
        <v>423974.21</v>
      </c>
      <c r="O91" s="3">
        <v>427425.13</v>
      </c>
      <c r="P91" s="16">
        <f t="shared" si="6"/>
        <v>5071933.46</v>
      </c>
    </row>
    <row r="92" spans="1:16">
      <c r="A92" s="2" t="str">
        <f t="shared" si="12"/>
        <v>6666010101</v>
      </c>
      <c r="B92" s="2" t="s">
        <v>349</v>
      </c>
      <c r="D92" s="7">
        <v>2172400.69</v>
      </c>
      <c r="E92" s="7">
        <v>2349430.32</v>
      </c>
      <c r="F92" s="7">
        <v>2486074.18</v>
      </c>
      <c r="G92" s="7">
        <v>3028537.19</v>
      </c>
      <c r="H92" s="7">
        <v>2462138.41</v>
      </c>
      <c r="I92" s="7">
        <v>2720396.32</v>
      </c>
      <c r="J92" s="7">
        <v>3005087.88</v>
      </c>
      <c r="K92" s="7">
        <v>2756146.89</v>
      </c>
      <c r="L92" s="7">
        <v>2583496.93</v>
      </c>
      <c r="M92" s="7">
        <v>2670896.97</v>
      </c>
      <c r="N92" s="3">
        <v>2568054.1</v>
      </c>
      <c r="O92" s="3">
        <v>2512783.65</v>
      </c>
      <c r="P92" s="16">
        <f t="shared" si="6"/>
        <v>31315443.53</v>
      </c>
    </row>
    <row r="93" spans="1:16">
      <c r="A93" s="2" t="str">
        <f t="shared" si="12"/>
        <v>6666010199</v>
      </c>
      <c r="B93" s="2" t="s">
        <v>350</v>
      </c>
      <c r="D93" s="7">
        <v>357640.94</v>
      </c>
      <c r="E93" s="7">
        <v>-111971.16</v>
      </c>
      <c r="F93" s="7">
        <v>654839.21</v>
      </c>
      <c r="G93" s="7">
        <v>-1591778.44</v>
      </c>
      <c r="H93" s="7">
        <v>853027.91</v>
      </c>
      <c r="I93" s="7">
        <v>87828.72</v>
      </c>
      <c r="J93" s="7">
        <v>591900.36</v>
      </c>
      <c r="K93" s="7">
        <v>352532.66</v>
      </c>
      <c r="L93" s="7">
        <v>88664.26</v>
      </c>
      <c r="M93" s="7">
        <v>341437.75</v>
      </c>
      <c r="N93" s="3">
        <v>240350.38</v>
      </c>
      <c r="O93" s="3">
        <v>238061.27</v>
      </c>
      <c r="P93" s="16">
        <f t="shared" si="6"/>
        <v>2102533.86</v>
      </c>
    </row>
    <row r="94" spans="1:16">
      <c r="A94" s="2" t="str">
        <f t="shared" si="12"/>
        <v>6666010185</v>
      </c>
      <c r="B94" s="2" t="s">
        <v>351</v>
      </c>
      <c r="D94" s="7">
        <v>-37938.94</v>
      </c>
      <c r="E94" s="7">
        <v>-41045.74</v>
      </c>
      <c r="F94" s="7">
        <v>-48840.36</v>
      </c>
      <c r="G94" s="7">
        <v>-47674.88</v>
      </c>
      <c r="H94" s="7">
        <v>-39899.68</v>
      </c>
      <c r="I94" s="7">
        <v>-41047.82</v>
      </c>
      <c r="J94" s="7">
        <v>-40843.48</v>
      </c>
      <c r="K94" s="7">
        <v>-40528.42</v>
      </c>
      <c r="L94" s="7">
        <v>-34803.32</v>
      </c>
      <c r="M94" s="7">
        <v>-34590.15</v>
      </c>
      <c r="N94" s="3">
        <v>-31387.99</v>
      </c>
      <c r="O94" s="3">
        <v>-34526.97</v>
      </c>
      <c r="P94" s="16">
        <f t="shared" si="6"/>
        <v>-473127.75</v>
      </c>
    </row>
    <row r="95" spans="1:16">
      <c r="A95" s="2" t="str">
        <f t="shared" si="12"/>
        <v>6666010207</v>
      </c>
      <c r="B95" s="2" t="s">
        <v>352</v>
      </c>
      <c r="D95" s="7">
        <v>34375.68</v>
      </c>
      <c r="E95" s="7">
        <v>37078.02</v>
      </c>
      <c r="F95" s="7">
        <v>38589.33</v>
      </c>
      <c r="G95" s="7">
        <v>37756.67</v>
      </c>
      <c r="H95" s="7">
        <v>39539.66</v>
      </c>
      <c r="I95" s="7">
        <v>43194.72</v>
      </c>
      <c r="J95" s="7">
        <v>43709.05</v>
      </c>
      <c r="K95" s="7">
        <v>42002.92</v>
      </c>
      <c r="L95" s="7">
        <v>40981.72</v>
      </c>
      <c r="M95" s="7">
        <v>40903.41</v>
      </c>
      <c r="N95" s="3">
        <v>39069.36</v>
      </c>
      <c r="O95" s="3">
        <v>39361.71</v>
      </c>
      <c r="P95" s="16">
        <f t="shared" si="6"/>
        <v>476562.25</v>
      </c>
    </row>
    <row r="96" spans="1:16">
      <c r="A96" s="2" t="str">
        <f t="shared" si="12"/>
        <v>6666010380</v>
      </c>
      <c r="B96" s="2" t="s">
        <v>250</v>
      </c>
      <c r="D96" s="7">
        <v>-312631.54</v>
      </c>
      <c r="E96" s="7"/>
      <c r="F96" s="7"/>
      <c r="G96" s="7"/>
      <c r="H96" s="7"/>
      <c r="I96" s="7"/>
      <c r="J96" s="7"/>
      <c r="K96" s="7"/>
      <c r="L96" s="7"/>
      <c r="M96" s="7"/>
      <c r="N96" s="3"/>
      <c r="O96" s="3"/>
      <c r="P96" s="16">
        <f t="shared" si="6"/>
        <v>-312631.54</v>
      </c>
    </row>
    <row r="97" spans="1:16">
      <c r="A97" s="2" t="str">
        <f t="shared" si="12"/>
        <v>6666010227</v>
      </c>
      <c r="B97" s="2" t="s">
        <v>353</v>
      </c>
      <c r="D97" s="7">
        <v>16790.28</v>
      </c>
      <c r="E97" s="7">
        <v>-1112604.45</v>
      </c>
      <c r="F97" s="7">
        <v>1170057.93</v>
      </c>
      <c r="G97" s="7">
        <v>31049.41</v>
      </c>
      <c r="H97" s="7">
        <v>32094.77</v>
      </c>
      <c r="I97" s="7">
        <v>32837.48</v>
      </c>
      <c r="J97" s="7">
        <v>26327.74</v>
      </c>
      <c r="K97" s="7">
        <v>35466.59</v>
      </c>
      <c r="L97" s="7">
        <v>65479.86</v>
      </c>
      <c r="M97" s="7">
        <v>35096.43</v>
      </c>
      <c r="N97" s="3">
        <v>37269.61</v>
      </c>
      <c r="O97" s="3">
        <v>-396972.92</v>
      </c>
      <c r="P97" s="16">
        <f t="shared" si="6"/>
        <v>-27107.2699999998</v>
      </c>
    </row>
    <row r="98" spans="1:16">
      <c r="A98" s="10" t="str">
        <f>B98</f>
        <v>*   CS_Fixed Labour</v>
      </c>
      <c r="B98" s="10" t="s">
        <v>347</v>
      </c>
      <c r="D98" s="10">
        <v>2587527.07</v>
      </c>
      <c r="E98" s="10">
        <v>1503199.05</v>
      </c>
      <c r="F98" s="10">
        <v>4719444.4</v>
      </c>
      <c r="G98" s="10">
        <v>1864885.79</v>
      </c>
      <c r="H98" s="10">
        <v>3764888.31</v>
      </c>
      <c r="I98" s="10">
        <v>3299656.21</v>
      </c>
      <c r="J98" s="10">
        <v>4084570.19</v>
      </c>
      <c r="K98" s="10">
        <v>3580632.01</v>
      </c>
      <c r="L98" s="10">
        <v>3190922.47</v>
      </c>
      <c r="M98" s="10">
        <v>3494419.5</v>
      </c>
      <c r="N98" s="9">
        <f>SUM(N91:N97)</f>
        <v>3277329.67</v>
      </c>
      <c r="O98" s="9">
        <f>SUM(O91:O97)</f>
        <v>2786131.87</v>
      </c>
      <c r="P98" s="16">
        <f t="shared" si="6"/>
        <v>38153606.54</v>
      </c>
    </row>
    <row r="99" spans="1:16">
      <c r="A99" s="2" t="str">
        <f t="shared" ref="A99:A111" si="13">MID(B99,5,10)</f>
        <v>6666010302</v>
      </c>
      <c r="B99" s="2" t="s">
        <v>354</v>
      </c>
      <c r="D99" s="7">
        <v>0</v>
      </c>
      <c r="E99" s="7">
        <v>0</v>
      </c>
      <c r="F99" s="7">
        <v>21402.77</v>
      </c>
      <c r="G99" s="7">
        <v>0</v>
      </c>
      <c r="H99" s="7">
        <v>7700</v>
      </c>
      <c r="I99" s="7">
        <v>293426</v>
      </c>
      <c r="J99" s="7">
        <v>230754.78</v>
      </c>
      <c r="K99" s="7">
        <v>10771.24</v>
      </c>
      <c r="L99" s="7">
        <v>285.12</v>
      </c>
      <c r="M99" s="7">
        <v>-435700</v>
      </c>
      <c r="N99" s="3">
        <v>15400</v>
      </c>
      <c r="O99" s="3">
        <v>3300</v>
      </c>
      <c r="P99" s="16">
        <f t="shared" si="6"/>
        <v>147339.91</v>
      </c>
    </row>
    <row r="100" spans="1:16">
      <c r="A100" s="2" t="str">
        <f t="shared" si="13"/>
        <v>6666010314</v>
      </c>
      <c r="B100" s="2" t="s">
        <v>357</v>
      </c>
      <c r="D100" s="7">
        <v>11598.62</v>
      </c>
      <c r="E100" s="7">
        <v>15459.96</v>
      </c>
      <c r="F100" s="7">
        <v>2580232.1</v>
      </c>
      <c r="G100" s="7">
        <v>1359213.64</v>
      </c>
      <c r="H100" s="7">
        <v>271706.24</v>
      </c>
      <c r="I100" s="7">
        <v>609435.15</v>
      </c>
      <c r="J100" s="7">
        <v>414085.79</v>
      </c>
      <c r="K100" s="7">
        <v>1311.64</v>
      </c>
      <c r="L100" s="7">
        <v>3083.06</v>
      </c>
      <c r="M100" s="7">
        <v>2938207.69</v>
      </c>
      <c r="N100" s="3">
        <v>0</v>
      </c>
      <c r="O100" s="3">
        <v>245050.99</v>
      </c>
      <c r="P100" s="16">
        <f t="shared" si="6"/>
        <v>8449384.88</v>
      </c>
    </row>
    <row r="101" spans="1:16">
      <c r="A101" s="2" t="str">
        <f t="shared" si="13"/>
        <v>6666020401</v>
      </c>
      <c r="B101" s="2" t="s">
        <v>358</v>
      </c>
      <c r="D101" s="7">
        <v>1487816.31</v>
      </c>
      <c r="E101" s="7">
        <v>2122112.01</v>
      </c>
      <c r="F101" s="7">
        <v>2058968.8</v>
      </c>
      <c r="G101" s="7">
        <v>1897373.02</v>
      </c>
      <c r="H101" s="7">
        <v>2260145.84</v>
      </c>
      <c r="I101" s="7">
        <v>1975677.84</v>
      </c>
      <c r="J101" s="7">
        <v>2329689.77</v>
      </c>
      <c r="K101" s="7">
        <v>1945836.54</v>
      </c>
      <c r="L101" s="7">
        <v>1924505.49</v>
      </c>
      <c r="M101" s="7">
        <v>1879774.93</v>
      </c>
      <c r="N101" s="3">
        <v>1739941.7</v>
      </c>
      <c r="O101" s="3">
        <v>1827414.37</v>
      </c>
      <c r="P101" s="16">
        <f t="shared" si="6"/>
        <v>23449256.62</v>
      </c>
    </row>
    <row r="102" spans="1:16">
      <c r="A102" s="2" t="str">
        <f t="shared" si="13"/>
        <v>6666020502</v>
      </c>
      <c r="B102" s="2" t="s">
        <v>359</v>
      </c>
      <c r="D102" s="7">
        <v>1279598.45</v>
      </c>
      <c r="E102" s="7">
        <v>1749007.07</v>
      </c>
      <c r="F102" s="7">
        <v>1529705</v>
      </c>
      <c r="G102" s="7">
        <v>1586113.23</v>
      </c>
      <c r="H102" s="7">
        <v>2182871.7</v>
      </c>
      <c r="I102" s="7">
        <v>1743987.02</v>
      </c>
      <c r="J102" s="7">
        <v>2272187.23</v>
      </c>
      <c r="K102" s="7">
        <v>1716359.27</v>
      </c>
      <c r="L102" s="7">
        <v>1560811.24</v>
      </c>
      <c r="M102" s="7">
        <v>1681003.71</v>
      </c>
      <c r="N102" s="3">
        <v>1449239.4</v>
      </c>
      <c r="O102" s="3">
        <v>1693947.48</v>
      </c>
      <c r="P102" s="16">
        <f t="shared" si="6"/>
        <v>20444830.8</v>
      </c>
    </row>
    <row r="103" spans="1:16">
      <c r="A103" s="2" t="str">
        <f t="shared" si="13"/>
        <v>6666020503</v>
      </c>
      <c r="B103" s="2" t="s">
        <v>360</v>
      </c>
      <c r="D103" s="7">
        <v>-123646.6</v>
      </c>
      <c r="E103" s="7">
        <v>150253.9</v>
      </c>
      <c r="F103" s="7">
        <v>33293.88</v>
      </c>
      <c r="G103" s="7">
        <v>192215.12</v>
      </c>
      <c r="H103" s="7">
        <v>19481.2</v>
      </c>
      <c r="I103" s="7">
        <v>55866.4</v>
      </c>
      <c r="J103" s="7">
        <v>59768.3</v>
      </c>
      <c r="K103" s="7">
        <v>5000</v>
      </c>
      <c r="L103" s="7">
        <v>46160.51</v>
      </c>
      <c r="M103" s="7">
        <v>42372.09</v>
      </c>
      <c r="N103" s="3">
        <v>46567.97</v>
      </c>
      <c r="O103" s="3">
        <v>61623.33</v>
      </c>
      <c r="P103" s="16">
        <f t="shared" si="6"/>
        <v>588956.1</v>
      </c>
    </row>
    <row r="104" spans="1:16">
      <c r="A104" s="2" t="str">
        <f t="shared" si="13"/>
        <v>6666020805</v>
      </c>
      <c r="B104" s="2" t="s">
        <v>426</v>
      </c>
      <c r="D104" s="7">
        <v>0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3">
        <v>0</v>
      </c>
      <c r="O104" s="3">
        <v>0</v>
      </c>
      <c r="P104" s="16">
        <f t="shared" si="6"/>
        <v>0</v>
      </c>
    </row>
    <row r="105" spans="1:16">
      <c r="A105" s="2" t="str">
        <f t="shared" si="13"/>
        <v>6666020901</v>
      </c>
      <c r="B105" s="2" t="s">
        <v>427</v>
      </c>
      <c r="D105" s="7">
        <v>0</v>
      </c>
      <c r="E105" s="7">
        <v>536.14</v>
      </c>
      <c r="F105" s="7">
        <v>0</v>
      </c>
      <c r="G105" s="7">
        <v>0</v>
      </c>
      <c r="H105" s="7">
        <v>0</v>
      </c>
      <c r="I105" s="7">
        <v>0</v>
      </c>
      <c r="J105" s="7">
        <v>104.48</v>
      </c>
      <c r="K105" s="7">
        <v>0</v>
      </c>
      <c r="L105" s="7">
        <v>0</v>
      </c>
      <c r="M105" s="7">
        <v>257849.9</v>
      </c>
      <c r="N105" s="3">
        <v>-257850</v>
      </c>
      <c r="O105" s="3">
        <v>0</v>
      </c>
      <c r="P105" s="16">
        <f t="shared" si="6"/>
        <v>640.51999999999</v>
      </c>
    </row>
    <row r="106" spans="1:16">
      <c r="A106" s="2" t="str">
        <f t="shared" si="13"/>
        <v>6666020903</v>
      </c>
      <c r="B106" s="2" t="s">
        <v>428</v>
      </c>
      <c r="D106" s="7">
        <v>0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3">
        <v>0</v>
      </c>
      <c r="O106" s="3">
        <v>0</v>
      </c>
      <c r="P106" s="16">
        <f t="shared" si="6"/>
        <v>0</v>
      </c>
    </row>
    <row r="107" spans="1:16">
      <c r="A107" s="2" t="str">
        <f t="shared" si="13"/>
        <v>6666021502</v>
      </c>
      <c r="B107" s="2" t="s">
        <v>361</v>
      </c>
      <c r="D107" s="7">
        <v>166276.73</v>
      </c>
      <c r="E107" s="7">
        <v>272418.54</v>
      </c>
      <c r="F107" s="7">
        <v>544416.23</v>
      </c>
      <c r="G107" s="7">
        <v>175820.58</v>
      </c>
      <c r="H107" s="7">
        <v>276405.23</v>
      </c>
      <c r="I107" s="7">
        <v>872627.68</v>
      </c>
      <c r="J107" s="7">
        <v>226377.82</v>
      </c>
      <c r="K107" s="7">
        <v>409896.81</v>
      </c>
      <c r="L107" s="7">
        <v>226925.5</v>
      </c>
      <c r="M107" s="7">
        <v>446592.67</v>
      </c>
      <c r="N107" s="3">
        <v>468888.76</v>
      </c>
      <c r="O107" s="3">
        <v>-1744.21</v>
      </c>
      <c r="P107" s="16">
        <f t="shared" si="6"/>
        <v>4084902.34</v>
      </c>
    </row>
    <row r="108" spans="1:16">
      <c r="A108" s="2" t="str">
        <f t="shared" si="13"/>
        <v>6666021503</v>
      </c>
      <c r="B108" s="2" t="s">
        <v>362</v>
      </c>
      <c r="D108" s="7">
        <v>22768.39</v>
      </c>
      <c r="E108" s="7">
        <v>243751.77</v>
      </c>
      <c r="F108" s="7">
        <v>61133.7</v>
      </c>
      <c r="G108" s="7">
        <v>30726.19</v>
      </c>
      <c r="H108" s="7">
        <v>17391.33</v>
      </c>
      <c r="I108" s="7">
        <v>114153.71</v>
      </c>
      <c r="J108" s="7">
        <v>113736.11</v>
      </c>
      <c r="K108" s="7">
        <v>98005</v>
      </c>
      <c r="L108" s="7">
        <v>116031.43</v>
      </c>
      <c r="M108" s="7">
        <v>35659.66</v>
      </c>
      <c r="N108" s="3">
        <v>-5669.21</v>
      </c>
      <c r="O108" s="3">
        <v>111198.33</v>
      </c>
      <c r="P108" s="16">
        <f t="shared" si="6"/>
        <v>958886.41</v>
      </c>
    </row>
    <row r="109" spans="1:16">
      <c r="A109" s="2" t="str">
        <f t="shared" si="13"/>
        <v>6666021505</v>
      </c>
      <c r="B109" s="2" t="s">
        <v>388</v>
      </c>
      <c r="D109" s="7">
        <v>0</v>
      </c>
      <c r="E109" s="7">
        <v>2645.22</v>
      </c>
      <c r="F109" s="7">
        <v>0</v>
      </c>
      <c r="G109" s="7">
        <v>0</v>
      </c>
      <c r="H109" s="7">
        <v>21.61</v>
      </c>
      <c r="I109" s="7">
        <v>59</v>
      </c>
      <c r="J109" s="7">
        <v>0</v>
      </c>
      <c r="K109" s="7">
        <v>1.39</v>
      </c>
      <c r="L109" s="7">
        <v>0</v>
      </c>
      <c r="M109" s="7">
        <v>131.25</v>
      </c>
      <c r="N109" s="3">
        <v>0</v>
      </c>
      <c r="O109" s="3">
        <v>25.65</v>
      </c>
      <c r="P109" s="16">
        <f t="shared" si="6"/>
        <v>2884.12</v>
      </c>
    </row>
    <row r="110" spans="1:16">
      <c r="A110" s="2" t="str">
        <f t="shared" si="13"/>
        <v>6666021506</v>
      </c>
      <c r="B110" s="2" t="s">
        <v>363</v>
      </c>
      <c r="D110" s="7">
        <v>1679528.28</v>
      </c>
      <c r="E110" s="7">
        <v>903763.85</v>
      </c>
      <c r="F110" s="7">
        <v>1422623.04</v>
      </c>
      <c r="G110" s="7">
        <v>1027372.63</v>
      </c>
      <c r="H110" s="7">
        <v>1102448.11</v>
      </c>
      <c r="I110" s="7">
        <v>1362151.62</v>
      </c>
      <c r="J110" s="7">
        <v>1238090.64</v>
      </c>
      <c r="K110" s="7">
        <v>754287.65</v>
      </c>
      <c r="L110" s="7">
        <v>673253.68</v>
      </c>
      <c r="M110" s="7">
        <v>752773.39</v>
      </c>
      <c r="N110" s="3">
        <v>464808.1</v>
      </c>
      <c r="O110" s="3">
        <v>517542.47</v>
      </c>
      <c r="P110" s="16">
        <f t="shared" si="6"/>
        <v>11898643.46</v>
      </c>
    </row>
    <row r="111" spans="1:16">
      <c r="A111" s="2" t="str">
        <f t="shared" si="13"/>
        <v>6666091600</v>
      </c>
      <c r="B111" s="2" t="s">
        <v>364</v>
      </c>
      <c r="D111" s="7">
        <v>8723.67</v>
      </c>
      <c r="E111" s="7">
        <v>0</v>
      </c>
      <c r="F111" s="7">
        <v>19151.22</v>
      </c>
      <c r="G111" s="7">
        <v>0</v>
      </c>
      <c r="H111" s="7">
        <v>4216</v>
      </c>
      <c r="I111" s="7">
        <v>14017.95</v>
      </c>
      <c r="J111" s="7">
        <v>23360.27</v>
      </c>
      <c r="K111" s="7">
        <v>7341.03</v>
      </c>
      <c r="L111" s="7">
        <v>45598.74</v>
      </c>
      <c r="M111" s="7">
        <v>9445.41</v>
      </c>
      <c r="N111" s="3">
        <v>50308.07</v>
      </c>
      <c r="O111" s="3">
        <v>11851.1</v>
      </c>
      <c r="P111" s="16">
        <f t="shared" si="6"/>
        <v>194013.46</v>
      </c>
    </row>
    <row r="112" spans="1:16">
      <c r="A112" s="10" t="str">
        <f>B112</f>
        <v>*   CS_Semifix</v>
      </c>
      <c r="B112" s="10" t="s">
        <v>355</v>
      </c>
      <c r="D112" s="10">
        <v>4532663.85</v>
      </c>
      <c r="E112" s="10">
        <v>5459948.46</v>
      </c>
      <c r="F112" s="10">
        <v>8270926.74</v>
      </c>
      <c r="G112" s="10">
        <v>6268834.41</v>
      </c>
      <c r="H112" s="10">
        <v>6142387.26</v>
      </c>
      <c r="I112" s="10">
        <v>7041402.37</v>
      </c>
      <c r="J112" s="10">
        <v>6908155.19</v>
      </c>
      <c r="K112" s="10">
        <v>4948810.57</v>
      </c>
      <c r="L112" s="10">
        <v>4596654.77</v>
      </c>
      <c r="M112" s="10">
        <v>7608110.7</v>
      </c>
      <c r="N112" s="9">
        <f>SUM(N99:N111)</f>
        <v>3971634.79</v>
      </c>
      <c r="O112" s="9">
        <f>SUM(O99:O111)</f>
        <v>4470209.51</v>
      </c>
      <c r="P112" s="16">
        <f t="shared" si="6"/>
        <v>70219738.62</v>
      </c>
    </row>
    <row r="113" spans="1:16">
      <c r="A113" s="2" t="s">
        <v>613</v>
      </c>
      <c r="B113" s="2" t="s">
        <v>430</v>
      </c>
      <c r="D113" s="7"/>
      <c r="E113" s="7"/>
      <c r="F113" s="7"/>
      <c r="G113" s="7">
        <v>589443.68</v>
      </c>
      <c r="H113" s="7">
        <v>151969.05</v>
      </c>
      <c r="I113" s="7">
        <v>597917.48</v>
      </c>
      <c r="J113" s="7">
        <v>223221.7</v>
      </c>
      <c r="K113" s="7">
        <v>223221.7</v>
      </c>
      <c r="L113" s="7">
        <v>223221.7</v>
      </c>
      <c r="M113" s="7">
        <v>223221.7</v>
      </c>
      <c r="N113" s="3">
        <v>223221.7</v>
      </c>
      <c r="O113" s="3">
        <v>223221.7</v>
      </c>
      <c r="P113" s="16">
        <f t="shared" si="6"/>
        <v>2678660.41</v>
      </c>
    </row>
    <row r="114" spans="1:16">
      <c r="A114" s="2" t="s">
        <v>616</v>
      </c>
      <c r="B114" s="2" t="s">
        <v>303</v>
      </c>
      <c r="D114" s="7"/>
      <c r="E114" s="7"/>
      <c r="F114" s="7"/>
      <c r="G114" s="7">
        <v>273505.9</v>
      </c>
      <c r="H114" s="7">
        <v>210953.86</v>
      </c>
      <c r="I114" s="7">
        <v>236855.86</v>
      </c>
      <c r="J114" s="7">
        <v>224980.86</v>
      </c>
      <c r="K114" s="7">
        <v>177386.17</v>
      </c>
      <c r="L114" s="7">
        <v>208129.44</v>
      </c>
      <c r="M114" s="7">
        <v>162090.35</v>
      </c>
      <c r="N114" s="3">
        <v>165516.43</v>
      </c>
      <c r="O114" s="3">
        <v>166441.8</v>
      </c>
      <c r="P114" s="16">
        <f t="shared" si="6"/>
        <v>1825860.67</v>
      </c>
    </row>
    <row r="115" spans="1:16">
      <c r="A115" s="2" t="s">
        <v>618</v>
      </c>
      <c r="B115" s="1" t="s">
        <v>646</v>
      </c>
      <c r="C115" s="2" t="s">
        <v>41</v>
      </c>
      <c r="D115" s="7">
        <v>6919721.86</v>
      </c>
      <c r="E115" s="7">
        <v>6117604.66</v>
      </c>
      <c r="F115" s="7">
        <v>7270541.39</v>
      </c>
      <c r="G115" s="7">
        <v>6512490.18</v>
      </c>
      <c r="H115" s="7">
        <v>6484945.79</v>
      </c>
      <c r="I115" s="7">
        <v>6459514.82</v>
      </c>
      <c r="J115" s="7">
        <v>7489349.73</v>
      </c>
      <c r="K115" s="7">
        <v>6776008.96</v>
      </c>
      <c r="L115" s="7">
        <v>7116968.56</v>
      </c>
      <c r="M115" s="7">
        <v>7505757.55</v>
      </c>
      <c r="N115" s="3">
        <v>8113620.6</v>
      </c>
      <c r="O115" s="3">
        <v>3778781.27</v>
      </c>
      <c r="P115" s="16">
        <f t="shared" si="6"/>
        <v>80545305.37</v>
      </c>
    </row>
    <row r="116" spans="1:16">
      <c r="A116" s="2" t="s">
        <v>551</v>
      </c>
      <c r="B116" s="2" t="s">
        <v>307</v>
      </c>
      <c r="C116" s="2" t="s">
        <v>41</v>
      </c>
      <c r="D116" s="7"/>
      <c r="E116" s="7"/>
      <c r="F116" s="7"/>
      <c r="G116" s="7"/>
      <c r="H116" s="7"/>
      <c r="I116" s="7"/>
      <c r="J116" s="7"/>
      <c r="K116" s="7">
        <v>6340000</v>
      </c>
      <c r="L116" s="7">
        <v>-800000</v>
      </c>
      <c r="M116" s="7">
        <v>0</v>
      </c>
      <c r="N116" s="3"/>
      <c r="O116" s="3"/>
      <c r="P116" s="16">
        <f t="shared" si="6"/>
        <v>5540000</v>
      </c>
    </row>
    <row r="117" spans="1:16">
      <c r="A117" s="2" t="s">
        <v>521</v>
      </c>
      <c r="B117" s="2" t="s">
        <v>275</v>
      </c>
      <c r="C117" s="2" t="s">
        <v>41</v>
      </c>
      <c r="D117" s="7"/>
      <c r="E117" s="7"/>
      <c r="F117" s="7"/>
      <c r="G117" s="7"/>
      <c r="H117" s="7"/>
      <c r="I117" s="7"/>
      <c r="J117" s="7"/>
      <c r="K117" s="7">
        <v>-146848.2</v>
      </c>
      <c r="L117" s="7"/>
      <c r="M117" s="7">
        <v>0</v>
      </c>
      <c r="N117" s="3"/>
      <c r="O117" s="3"/>
      <c r="P117" s="16">
        <f t="shared" si="6"/>
        <v>-146848.2</v>
      </c>
    </row>
    <row r="118" spans="1:16">
      <c r="A118" s="2" t="s">
        <v>550</v>
      </c>
      <c r="B118" s="2" t="s">
        <v>271</v>
      </c>
      <c r="C118" s="2" t="s">
        <v>41</v>
      </c>
      <c r="D118" s="7"/>
      <c r="E118" s="7"/>
      <c r="F118" s="7"/>
      <c r="G118" s="7"/>
      <c r="H118" s="7"/>
      <c r="I118" s="7">
        <v>-182431.22</v>
      </c>
      <c r="J118" s="7"/>
      <c r="K118" s="7"/>
      <c r="L118" s="7"/>
      <c r="M118" s="7">
        <v>0</v>
      </c>
      <c r="N118" s="3">
        <v>-6205.31</v>
      </c>
      <c r="O118" s="3"/>
      <c r="P118" s="16">
        <f t="shared" si="6"/>
        <v>-188636.53</v>
      </c>
    </row>
    <row r="119" spans="1:16">
      <c r="A119" s="2" t="s">
        <v>550</v>
      </c>
      <c r="B119" s="2" t="s">
        <v>432</v>
      </c>
      <c r="C119" s="2" t="s">
        <v>41</v>
      </c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3"/>
      <c r="O119" s="3"/>
      <c r="P119" s="16">
        <f t="shared" si="6"/>
        <v>0</v>
      </c>
    </row>
    <row r="120" spans="1:16">
      <c r="A120" s="10" t="str">
        <f>B120</f>
        <v>*   CS_Fix Cost</v>
      </c>
      <c r="B120" s="10" t="s">
        <v>267</v>
      </c>
      <c r="C120" s="10"/>
      <c r="D120" s="10">
        <v>6919721.86</v>
      </c>
      <c r="E120" s="10">
        <v>6117604.66</v>
      </c>
      <c r="F120" s="10">
        <v>7270541.39</v>
      </c>
      <c r="G120" s="10">
        <v>7375439.76</v>
      </c>
      <c r="H120" s="10">
        <v>6847868.7</v>
      </c>
      <c r="I120" s="10">
        <v>7111856.94</v>
      </c>
      <c r="J120" s="10">
        <v>7937552.29</v>
      </c>
      <c r="K120" s="10">
        <v>13369768.63</v>
      </c>
      <c r="L120" s="10">
        <v>6748319.7</v>
      </c>
      <c r="M120" s="10">
        <v>7891069.6</v>
      </c>
      <c r="N120" s="9">
        <f>SUM(N113:N119)</f>
        <v>8496153.42</v>
      </c>
      <c r="O120" s="9">
        <f>SUM(O113:O119)</f>
        <v>4168444.77</v>
      </c>
      <c r="P120" s="16">
        <f t="shared" si="6"/>
        <v>90254341.72</v>
      </c>
    </row>
    <row r="121" spans="16:16">
      <c r="P121" s="16">
        <f t="shared" ref="P121:P124" si="14">SUM(D121:O121)</f>
        <v>0</v>
      </c>
    </row>
    <row r="122" spans="1:16">
      <c r="A122" s="10" t="s">
        <v>474</v>
      </c>
      <c r="B122" s="10" t="s">
        <v>474</v>
      </c>
      <c r="C122" s="10"/>
      <c r="D122" s="10">
        <f>D20+D25+D72+D76+D82</f>
        <v>18160829.66</v>
      </c>
      <c r="E122" s="10">
        <f t="shared" ref="E122:O122" si="15">E20+E25+E72+E76+E82</f>
        <v>15387093.54</v>
      </c>
      <c r="F122" s="10">
        <f t="shared" si="15"/>
        <v>17804943.5</v>
      </c>
      <c r="G122" s="10">
        <f t="shared" si="15"/>
        <v>23183598.81</v>
      </c>
      <c r="H122" s="10">
        <f t="shared" si="15"/>
        <v>22168019.84</v>
      </c>
      <c r="I122" s="10">
        <f t="shared" si="15"/>
        <v>25000471.19</v>
      </c>
      <c r="J122" s="10">
        <f t="shared" si="15"/>
        <v>21992292.67</v>
      </c>
      <c r="K122" s="10">
        <f t="shared" si="15"/>
        <v>19064325</v>
      </c>
      <c r="L122" s="10">
        <f t="shared" si="15"/>
        <v>17744889</v>
      </c>
      <c r="M122" s="10">
        <f t="shared" si="15"/>
        <v>16754879.59</v>
      </c>
      <c r="N122" s="10">
        <f t="shared" si="15"/>
        <v>14527239.7</v>
      </c>
      <c r="O122" s="9">
        <f t="shared" si="15"/>
        <v>14632611.92</v>
      </c>
      <c r="P122" s="16">
        <f t="shared" si="14"/>
        <v>226421194.42</v>
      </c>
    </row>
    <row r="123" spans="1:16">
      <c r="A123" s="10" t="s">
        <v>475</v>
      </c>
      <c r="B123" s="10" t="s">
        <v>475</v>
      </c>
      <c r="C123" s="10"/>
      <c r="D123" s="10">
        <f>D12+D68+D74+D78+D90+D98+D112+D120</f>
        <v>28899047.76</v>
      </c>
      <c r="E123" s="10">
        <f t="shared" ref="E123:O123" si="16">E12+E68+E74+E78+E90+E98+E112+E120</f>
        <v>31129977.9</v>
      </c>
      <c r="F123" s="10">
        <f t="shared" si="16"/>
        <v>39827554.04</v>
      </c>
      <c r="G123" s="10">
        <f t="shared" si="16"/>
        <v>33479869.04</v>
      </c>
      <c r="H123" s="10">
        <f t="shared" si="16"/>
        <v>35863587.13</v>
      </c>
      <c r="I123" s="10">
        <f t="shared" si="16"/>
        <v>36880045.67</v>
      </c>
      <c r="J123" s="10">
        <f t="shared" si="16"/>
        <v>55901299.3</v>
      </c>
      <c r="K123" s="10">
        <f t="shared" si="16"/>
        <v>45019042.44</v>
      </c>
      <c r="L123" s="10">
        <f t="shared" si="16"/>
        <v>41826414.88</v>
      </c>
      <c r="M123" s="10">
        <f t="shared" si="16"/>
        <v>53696159.7</v>
      </c>
      <c r="N123" s="10">
        <f t="shared" si="16"/>
        <v>49566609.51</v>
      </c>
      <c r="O123" s="9">
        <f t="shared" si="16"/>
        <v>49625444.07</v>
      </c>
      <c r="P123" s="16">
        <f t="shared" si="14"/>
        <v>501715051.44</v>
      </c>
    </row>
    <row r="124" spans="1:17">
      <c r="A124" s="10" t="s">
        <v>476</v>
      </c>
      <c r="B124" s="10" t="s">
        <v>476</v>
      </c>
      <c r="C124" s="10"/>
      <c r="D124" s="10">
        <f>D123+D122</f>
        <v>47059877.42</v>
      </c>
      <c r="E124" s="10">
        <f t="shared" ref="E124:O124" si="17">E123+E122</f>
        <v>46517071.44</v>
      </c>
      <c r="F124" s="10">
        <f t="shared" si="17"/>
        <v>57632497.54</v>
      </c>
      <c r="G124" s="10">
        <f t="shared" si="17"/>
        <v>56663467.85</v>
      </c>
      <c r="H124" s="10">
        <f t="shared" si="17"/>
        <v>58031606.97</v>
      </c>
      <c r="I124" s="10">
        <f t="shared" si="17"/>
        <v>61880516.86</v>
      </c>
      <c r="J124" s="10">
        <f t="shared" si="17"/>
        <v>77893591.97</v>
      </c>
      <c r="K124" s="10">
        <f t="shared" si="17"/>
        <v>64083367.44</v>
      </c>
      <c r="L124" s="10">
        <f t="shared" si="17"/>
        <v>59571303.88</v>
      </c>
      <c r="M124" s="10">
        <f t="shared" si="17"/>
        <v>70451039.29</v>
      </c>
      <c r="N124" s="10">
        <f t="shared" si="17"/>
        <v>64093849.21</v>
      </c>
      <c r="O124" s="9">
        <f t="shared" si="17"/>
        <v>64258055.99</v>
      </c>
      <c r="P124" s="16">
        <f t="shared" si="14"/>
        <v>728136245.86</v>
      </c>
      <c r="Q124" s="16">
        <f>P124+'[2]24年-CK2'!O115</f>
        <v>1156711231.36</v>
      </c>
    </row>
    <row r="125" spans="1:17">
      <c r="A125" s="2" t="s">
        <v>478</v>
      </c>
      <c r="B125" s="2" t="s">
        <v>479</v>
      </c>
      <c r="D125" s="30">
        <f>D124/D1/38</f>
        <v>14.5410526006799</v>
      </c>
      <c r="E125" s="30">
        <f t="shared" ref="E125:Q125" si="18">E124/E1/38</f>
        <v>11.4131932847334</v>
      </c>
      <c r="F125" s="30">
        <f t="shared" si="18"/>
        <v>14.1279044639106</v>
      </c>
      <c r="G125" s="30">
        <f t="shared" si="18"/>
        <v>15.2618510070158</v>
      </c>
      <c r="H125" s="30">
        <f t="shared" si="18"/>
        <v>11.0515512059436</v>
      </c>
      <c r="I125" s="30">
        <f t="shared" si="18"/>
        <v>15.0848030069895</v>
      </c>
      <c r="J125" s="30">
        <f t="shared" si="18"/>
        <v>17.5523305215747</v>
      </c>
      <c r="K125" s="30">
        <f t="shared" si="18"/>
        <v>36.7536484682196</v>
      </c>
      <c r="L125" s="30">
        <f t="shared" si="18"/>
        <v>25.4012880222138</v>
      </c>
      <c r="M125" s="30">
        <f t="shared" si="18"/>
        <v>29.7985232035922</v>
      </c>
      <c r="N125" s="30">
        <f t="shared" si="18"/>
        <v>28.8375633429948</v>
      </c>
      <c r="O125" s="30">
        <f t="shared" si="18"/>
        <v>44.2242193012279</v>
      </c>
      <c r="P125" s="30">
        <f t="shared" si="18"/>
        <v>18.6587935959422</v>
      </c>
      <c r="Q125" s="30">
        <f t="shared" si="18"/>
        <v>23.6432370402511</v>
      </c>
    </row>
    <row r="126" spans="17:17">
      <c r="Q126" s="31">
        <f>Q125/121</f>
        <v>0.195398653225216</v>
      </c>
    </row>
    <row r="127" spans="17:17">
      <c r="Q127" s="16"/>
    </row>
    <row r="128" spans="1:17">
      <c r="A128" s="21" t="s">
        <v>22</v>
      </c>
      <c r="B128" t="s">
        <v>59</v>
      </c>
      <c r="C128"/>
      <c r="D128" s="4">
        <f>D12</f>
        <v>3220365.96</v>
      </c>
      <c r="E128" s="4">
        <f t="shared" ref="E128:P128" si="19">E12</f>
        <v>2987743.7</v>
      </c>
      <c r="F128" s="4">
        <f t="shared" si="19"/>
        <v>3211583.29</v>
      </c>
      <c r="G128" s="4">
        <f t="shared" si="19"/>
        <v>3156885.83</v>
      </c>
      <c r="H128" s="4">
        <f t="shared" si="19"/>
        <v>3235898.3</v>
      </c>
      <c r="I128" s="4">
        <f t="shared" si="19"/>
        <v>3153374.78</v>
      </c>
      <c r="J128" s="4">
        <f t="shared" si="19"/>
        <v>3255605.86999999</v>
      </c>
      <c r="K128" s="4">
        <f t="shared" si="19"/>
        <v>2870221.86</v>
      </c>
      <c r="L128" s="4">
        <f t="shared" si="19"/>
        <v>-3054121.2</v>
      </c>
      <c r="M128" s="4">
        <f t="shared" si="19"/>
        <v>2225728.03</v>
      </c>
      <c r="N128" s="4">
        <f t="shared" si="19"/>
        <v>2191331.97</v>
      </c>
      <c r="O128" s="4">
        <f t="shared" si="19"/>
        <v>2291228.46</v>
      </c>
      <c r="P128" s="4">
        <f t="shared" si="19"/>
        <v>28745846.85</v>
      </c>
      <c r="Q128" s="16"/>
    </row>
    <row r="129" spans="1:16">
      <c r="A129" s="21"/>
      <c r="B129" t="s">
        <v>24</v>
      </c>
      <c r="C129"/>
      <c r="D129" s="4">
        <f>D68</f>
        <v>2183761.31</v>
      </c>
      <c r="E129" s="4">
        <f t="shared" ref="E129:P129" si="20">E68</f>
        <v>2324007.73</v>
      </c>
      <c r="F129" s="4">
        <f t="shared" si="20"/>
        <v>2572479.59</v>
      </c>
      <c r="G129" s="4">
        <f t="shared" si="20"/>
        <v>1378822.24</v>
      </c>
      <c r="H129" s="4">
        <f t="shared" si="20"/>
        <v>2301685.63</v>
      </c>
      <c r="I129" s="4">
        <f t="shared" si="20"/>
        <v>1904282.86</v>
      </c>
      <c r="J129" s="4">
        <f t="shared" si="20"/>
        <v>7372824.06</v>
      </c>
      <c r="K129" s="4">
        <f t="shared" si="20"/>
        <v>-3323643.66</v>
      </c>
      <c r="L129" s="4">
        <f t="shared" si="20"/>
        <v>3289366.39</v>
      </c>
      <c r="M129" s="4">
        <f t="shared" si="20"/>
        <v>1965043.53</v>
      </c>
      <c r="N129" s="4">
        <f t="shared" si="20"/>
        <v>2373976.3</v>
      </c>
      <c r="O129" s="4">
        <f t="shared" si="20"/>
        <v>4408534.73</v>
      </c>
      <c r="P129" s="4">
        <f t="shared" si="20"/>
        <v>28751140.71</v>
      </c>
    </row>
    <row r="130" spans="1:16">
      <c r="A130" s="21"/>
      <c r="B130" t="s">
        <v>25</v>
      </c>
      <c r="C130"/>
      <c r="D130" s="4">
        <f>D74</f>
        <v>988000</v>
      </c>
      <c r="E130" s="4">
        <f t="shared" ref="E130:P130" si="21">E74</f>
        <v>988000</v>
      </c>
      <c r="F130" s="4">
        <f t="shared" si="21"/>
        <v>463611.94</v>
      </c>
      <c r="G130" s="4">
        <f t="shared" si="21"/>
        <v>988000</v>
      </c>
      <c r="H130" s="4">
        <f t="shared" si="21"/>
        <v>988000</v>
      </c>
      <c r="I130" s="4">
        <f t="shared" si="21"/>
        <v>988000</v>
      </c>
      <c r="J130" s="4">
        <f t="shared" si="21"/>
        <v>14195331.67</v>
      </c>
      <c r="K130" s="4">
        <f t="shared" si="21"/>
        <v>14195331.67</v>
      </c>
      <c r="L130" s="4">
        <f t="shared" si="21"/>
        <v>15301431.18</v>
      </c>
      <c r="M130" s="4">
        <f t="shared" si="21"/>
        <v>18784764.51</v>
      </c>
      <c r="N130" s="4">
        <f t="shared" si="21"/>
        <v>18789834.85</v>
      </c>
      <c r="O130" s="4">
        <f t="shared" si="21"/>
        <v>19265795.97</v>
      </c>
      <c r="P130" s="4">
        <f t="shared" si="21"/>
        <v>105936101.79</v>
      </c>
    </row>
    <row r="131" spans="1:16">
      <c r="A131" s="21"/>
      <c r="B131" t="s">
        <v>26</v>
      </c>
      <c r="C131"/>
      <c r="D131" s="4">
        <f>D78</f>
        <v>230007</v>
      </c>
      <c r="E131" s="4">
        <f t="shared" ref="E131:P131" si="22">E78</f>
        <v>62217.33</v>
      </c>
      <c r="F131" s="4">
        <f t="shared" si="22"/>
        <v>78890.16</v>
      </c>
      <c r="G131" s="4">
        <f t="shared" si="22"/>
        <v>84795.27</v>
      </c>
      <c r="H131" s="4">
        <f t="shared" si="22"/>
        <v>75669.12</v>
      </c>
      <c r="I131" s="4">
        <f t="shared" si="22"/>
        <v>124352.69</v>
      </c>
      <c r="J131" s="4">
        <f t="shared" si="22"/>
        <v>67431.54</v>
      </c>
      <c r="K131" s="4">
        <f t="shared" si="22"/>
        <v>87826.65</v>
      </c>
      <c r="L131" s="4">
        <f t="shared" si="22"/>
        <v>72050.2</v>
      </c>
      <c r="M131" s="4">
        <f t="shared" si="22"/>
        <v>95186.78</v>
      </c>
      <c r="N131" s="4">
        <f t="shared" si="22"/>
        <v>134822.74</v>
      </c>
      <c r="O131" s="4">
        <f t="shared" si="22"/>
        <v>126848.22</v>
      </c>
      <c r="P131" s="4">
        <f t="shared" si="22"/>
        <v>1240097.7</v>
      </c>
    </row>
    <row r="132" spans="1:16">
      <c r="A132" s="21"/>
      <c r="B132" t="s">
        <v>27</v>
      </c>
      <c r="C132"/>
      <c r="D132" s="4">
        <f>D90</f>
        <v>8237000.71</v>
      </c>
      <c r="E132" s="4">
        <f t="shared" ref="E132:P132" si="23">E90</f>
        <v>11687256.97</v>
      </c>
      <c r="F132" s="4">
        <f t="shared" si="23"/>
        <v>13240076.53</v>
      </c>
      <c r="G132" s="4">
        <f t="shared" si="23"/>
        <v>12362205.74</v>
      </c>
      <c r="H132" s="4">
        <f t="shared" si="23"/>
        <v>12507189.81</v>
      </c>
      <c r="I132" s="4">
        <f t="shared" si="23"/>
        <v>13257119.82</v>
      </c>
      <c r="J132" s="4">
        <f t="shared" si="23"/>
        <v>12079828.49</v>
      </c>
      <c r="K132" s="4">
        <f t="shared" si="23"/>
        <v>9290094.71</v>
      </c>
      <c r="L132" s="4">
        <f t="shared" si="23"/>
        <v>11681791.37</v>
      </c>
      <c r="M132" s="4">
        <f t="shared" si="23"/>
        <v>11631837.05</v>
      </c>
      <c r="N132" s="4">
        <f t="shared" si="23"/>
        <v>10331525.77</v>
      </c>
      <c r="O132" s="4">
        <f t="shared" si="23"/>
        <v>12108250.54</v>
      </c>
      <c r="P132" s="4">
        <f t="shared" si="23"/>
        <v>138414177.51</v>
      </c>
    </row>
    <row r="133" spans="1:16">
      <c r="A133" s="21"/>
      <c r="B133" t="s">
        <v>28</v>
      </c>
      <c r="C133"/>
      <c r="D133" s="4">
        <f>D98</f>
        <v>2587527.07</v>
      </c>
      <c r="E133" s="4">
        <f t="shared" ref="E133:P133" si="24">E98</f>
        <v>1503199.05</v>
      </c>
      <c r="F133" s="4">
        <f t="shared" si="24"/>
        <v>4719444.4</v>
      </c>
      <c r="G133" s="4">
        <f t="shared" si="24"/>
        <v>1864885.79</v>
      </c>
      <c r="H133" s="4">
        <f t="shared" si="24"/>
        <v>3764888.31</v>
      </c>
      <c r="I133" s="4">
        <f t="shared" si="24"/>
        <v>3299656.21</v>
      </c>
      <c r="J133" s="4">
        <f t="shared" si="24"/>
        <v>4084570.19</v>
      </c>
      <c r="K133" s="4">
        <f t="shared" si="24"/>
        <v>3580632.01</v>
      </c>
      <c r="L133" s="4">
        <f t="shared" si="24"/>
        <v>3190922.47</v>
      </c>
      <c r="M133" s="4">
        <f t="shared" si="24"/>
        <v>3494419.5</v>
      </c>
      <c r="N133" s="4">
        <f t="shared" si="24"/>
        <v>3277329.67</v>
      </c>
      <c r="O133" s="4">
        <f t="shared" si="24"/>
        <v>2786131.87</v>
      </c>
      <c r="P133" s="4">
        <f t="shared" si="24"/>
        <v>38153606.54</v>
      </c>
    </row>
    <row r="134" spans="1:16">
      <c r="A134" s="21"/>
      <c r="B134" t="s">
        <v>29</v>
      </c>
      <c r="C134"/>
      <c r="D134" s="4">
        <f>D112</f>
        <v>4532663.85</v>
      </c>
      <c r="E134" s="4">
        <f t="shared" ref="E134:P134" si="25">E112</f>
        <v>5459948.46</v>
      </c>
      <c r="F134" s="4">
        <f t="shared" si="25"/>
        <v>8270926.74</v>
      </c>
      <c r="G134" s="4">
        <f t="shared" si="25"/>
        <v>6268834.41</v>
      </c>
      <c r="H134" s="4">
        <f t="shared" si="25"/>
        <v>6142387.26</v>
      </c>
      <c r="I134" s="4">
        <f t="shared" si="25"/>
        <v>7041402.37</v>
      </c>
      <c r="J134" s="4">
        <f t="shared" si="25"/>
        <v>6908155.19</v>
      </c>
      <c r="K134" s="4">
        <f t="shared" si="25"/>
        <v>4948810.57</v>
      </c>
      <c r="L134" s="4">
        <f t="shared" si="25"/>
        <v>4596654.77</v>
      </c>
      <c r="M134" s="4">
        <f t="shared" si="25"/>
        <v>7608110.7</v>
      </c>
      <c r="N134" s="4">
        <f t="shared" si="25"/>
        <v>3971634.79</v>
      </c>
      <c r="O134" s="4">
        <f t="shared" si="25"/>
        <v>4470209.51</v>
      </c>
      <c r="P134" s="4">
        <f t="shared" si="25"/>
        <v>70219738.62</v>
      </c>
    </row>
    <row r="135" spans="1:16">
      <c r="A135" s="21" t="s">
        <v>30</v>
      </c>
      <c r="B135" t="s">
        <v>31</v>
      </c>
      <c r="C135"/>
      <c r="D135" s="4">
        <f>D20</f>
        <v>16081482.7</v>
      </c>
      <c r="E135" s="4">
        <f t="shared" ref="E135:P135" si="26">E20</f>
        <v>16833136.98</v>
      </c>
      <c r="F135" s="4">
        <f t="shared" si="26"/>
        <v>16984343.09</v>
      </c>
      <c r="G135" s="4">
        <f t="shared" si="26"/>
        <v>21274558.1</v>
      </c>
      <c r="H135" s="4">
        <f t="shared" si="26"/>
        <v>20027928.56</v>
      </c>
      <c r="I135" s="4">
        <f t="shared" si="26"/>
        <v>23615269.13</v>
      </c>
      <c r="J135" s="4">
        <f t="shared" si="26"/>
        <v>21957006.51</v>
      </c>
      <c r="K135" s="4">
        <f t="shared" si="26"/>
        <v>16750540.81</v>
      </c>
      <c r="L135" s="4">
        <f t="shared" si="26"/>
        <v>16566870.72</v>
      </c>
      <c r="M135" s="4">
        <f t="shared" si="26"/>
        <v>15576807.65</v>
      </c>
      <c r="N135" s="4">
        <f t="shared" si="26"/>
        <v>14820545.05</v>
      </c>
      <c r="O135" s="4">
        <f t="shared" si="26"/>
        <v>10763512.83</v>
      </c>
      <c r="P135" s="4">
        <f t="shared" si="26"/>
        <v>211252002.13</v>
      </c>
    </row>
    <row r="136" spans="1:16">
      <c r="A136" s="21"/>
      <c r="B136" t="s">
        <v>32</v>
      </c>
      <c r="C136"/>
      <c r="D136" s="4">
        <f>D25</f>
        <v>764434.28</v>
      </c>
      <c r="E136" s="4">
        <f t="shared" ref="E136:P136" si="27">E25</f>
        <v>990315.73</v>
      </c>
      <c r="F136" s="4">
        <f t="shared" si="27"/>
        <v>1271319.17</v>
      </c>
      <c r="G136" s="4">
        <f t="shared" si="27"/>
        <v>1628369.6</v>
      </c>
      <c r="H136" s="4">
        <f t="shared" si="27"/>
        <v>2147954.82</v>
      </c>
      <c r="I136" s="4">
        <f t="shared" si="27"/>
        <v>1691159.01</v>
      </c>
      <c r="J136" s="4">
        <f t="shared" si="27"/>
        <v>1958026.13</v>
      </c>
      <c r="K136" s="4">
        <f t="shared" si="27"/>
        <v>988046.74</v>
      </c>
      <c r="L136" s="4">
        <f t="shared" si="27"/>
        <v>878985.4</v>
      </c>
      <c r="M136" s="4">
        <f t="shared" si="27"/>
        <v>1074457.32</v>
      </c>
      <c r="N136" s="4">
        <f t="shared" si="27"/>
        <v>616427.4</v>
      </c>
      <c r="O136" s="4">
        <f t="shared" si="27"/>
        <v>1499182.17</v>
      </c>
      <c r="P136" s="4">
        <f t="shared" si="27"/>
        <v>15508677.77</v>
      </c>
    </row>
    <row r="137" spans="1:16">
      <c r="A137" s="21"/>
      <c r="B137" t="s">
        <v>33</v>
      </c>
      <c r="C137"/>
      <c r="D137" s="4">
        <f>D72</f>
        <v>-183154.89</v>
      </c>
      <c r="E137" s="4">
        <f t="shared" ref="E137:P137" si="28">E72</f>
        <v>99708.3900000002</v>
      </c>
      <c r="F137" s="4">
        <f t="shared" si="28"/>
        <v>509804.25</v>
      </c>
      <c r="G137" s="4">
        <f t="shared" si="28"/>
        <v>1229544.26</v>
      </c>
      <c r="H137" s="4">
        <f t="shared" si="28"/>
        <v>1212928.36</v>
      </c>
      <c r="I137" s="4">
        <f t="shared" si="28"/>
        <v>1072552.61</v>
      </c>
      <c r="J137" s="4">
        <f t="shared" si="28"/>
        <v>-766658.99</v>
      </c>
      <c r="K137" s="4">
        <f t="shared" si="28"/>
        <v>1715645.33</v>
      </c>
      <c r="L137" s="4">
        <f t="shared" si="28"/>
        <v>1114413.88</v>
      </c>
      <c r="M137" s="4">
        <f t="shared" si="28"/>
        <v>1034708.81</v>
      </c>
      <c r="N137" s="4">
        <f t="shared" si="28"/>
        <v>534045.62</v>
      </c>
      <c r="O137" s="4">
        <f t="shared" si="28"/>
        <v>2406046.58</v>
      </c>
      <c r="P137" s="4">
        <f t="shared" si="28"/>
        <v>9979584.21</v>
      </c>
    </row>
    <row r="138" spans="1:16">
      <c r="A138" s="21"/>
      <c r="B138" t="s">
        <v>34</v>
      </c>
      <c r="C138"/>
      <c r="D138" s="4">
        <f>D76</f>
        <v>-2239368.6</v>
      </c>
      <c r="E138" s="4">
        <f t="shared" ref="E138:P138" si="29">E76</f>
        <v>-2654213</v>
      </c>
      <c r="F138" s="4">
        <f t="shared" si="29"/>
        <v>-3081167</v>
      </c>
      <c r="G138" s="4">
        <f t="shared" si="29"/>
        <v>-2856538</v>
      </c>
      <c r="H138" s="4">
        <f t="shared" si="29"/>
        <v>-3630818</v>
      </c>
      <c r="I138" s="4">
        <f t="shared" si="29"/>
        <v>-2964930</v>
      </c>
      <c r="J138" s="4">
        <f t="shared" si="29"/>
        <v>-3556727</v>
      </c>
      <c r="K138" s="4">
        <f t="shared" si="29"/>
        <v>-2353264</v>
      </c>
      <c r="L138" s="4">
        <f t="shared" si="29"/>
        <v>-3010314</v>
      </c>
      <c r="M138" s="4">
        <f t="shared" si="29"/>
        <v>-2986020</v>
      </c>
      <c r="N138" s="4">
        <f t="shared" si="29"/>
        <v>-3854287</v>
      </c>
      <c r="O138" s="4">
        <f t="shared" si="29"/>
        <v>-1917297</v>
      </c>
      <c r="P138" s="4">
        <f t="shared" si="29"/>
        <v>-35104943.6</v>
      </c>
    </row>
    <row r="139" spans="1:16">
      <c r="A139" s="21"/>
      <c r="B139" t="s">
        <v>35</v>
      </c>
      <c r="C139"/>
      <c r="D139" s="4">
        <f>D82</f>
        <v>3737436.17</v>
      </c>
      <c r="E139" s="4">
        <f t="shared" ref="E139:P139" si="30">E82</f>
        <v>118145.44</v>
      </c>
      <c r="F139" s="4">
        <f t="shared" si="30"/>
        <v>2120643.99</v>
      </c>
      <c r="G139" s="4">
        <f t="shared" si="30"/>
        <v>1907664.85</v>
      </c>
      <c r="H139" s="4">
        <f t="shared" si="30"/>
        <v>2410026.1</v>
      </c>
      <c r="I139" s="4">
        <f t="shared" si="30"/>
        <v>1586420.44</v>
      </c>
      <c r="J139" s="4">
        <f t="shared" si="30"/>
        <v>2400646.02</v>
      </c>
      <c r="K139" s="4">
        <f t="shared" si="30"/>
        <v>1963356.12</v>
      </c>
      <c r="L139" s="4">
        <f t="shared" si="30"/>
        <v>2194933</v>
      </c>
      <c r="M139" s="4">
        <f t="shared" si="30"/>
        <v>2054925.81</v>
      </c>
      <c r="N139" s="4">
        <f t="shared" si="30"/>
        <v>2410508.63</v>
      </c>
      <c r="O139" s="4">
        <f t="shared" si="30"/>
        <v>1881167.34</v>
      </c>
      <c r="P139" s="4">
        <f t="shared" si="30"/>
        <v>24785873.91</v>
      </c>
    </row>
    <row r="140" spans="1:16">
      <c r="A140" s="21" t="s">
        <v>36</v>
      </c>
      <c r="B140"/>
      <c r="C140"/>
      <c r="D140" s="4">
        <f>D120</f>
        <v>6919721.86</v>
      </c>
      <c r="E140" s="4">
        <f t="shared" ref="E140:P140" si="31">E120</f>
        <v>6117604.66</v>
      </c>
      <c r="F140" s="4">
        <f t="shared" si="31"/>
        <v>7270541.39</v>
      </c>
      <c r="G140" s="4">
        <f t="shared" si="31"/>
        <v>7375439.76</v>
      </c>
      <c r="H140" s="4">
        <f t="shared" si="31"/>
        <v>6847868.7</v>
      </c>
      <c r="I140" s="4">
        <f t="shared" si="31"/>
        <v>7111856.94</v>
      </c>
      <c r="J140" s="4">
        <f t="shared" si="31"/>
        <v>7937552.29</v>
      </c>
      <c r="K140" s="4">
        <f t="shared" si="31"/>
        <v>13369768.63</v>
      </c>
      <c r="L140" s="4">
        <f t="shared" si="31"/>
        <v>6748319.7</v>
      </c>
      <c r="M140" s="4">
        <f t="shared" si="31"/>
        <v>7891069.6</v>
      </c>
      <c r="N140" s="4">
        <f t="shared" si="31"/>
        <v>8496153.42</v>
      </c>
      <c r="O140" s="4">
        <f t="shared" si="31"/>
        <v>4168444.77</v>
      </c>
      <c r="P140" s="4">
        <f t="shared" si="31"/>
        <v>90254341.72</v>
      </c>
    </row>
    <row r="143" spans="1:1">
      <c r="A143" s="2" t="s">
        <v>480</v>
      </c>
    </row>
    <row r="144" spans="1:16">
      <c r="A144" s="21" t="s">
        <v>22</v>
      </c>
      <c r="B144" t="s">
        <v>59</v>
      </c>
      <c r="C144"/>
      <c r="D144" s="4">
        <f>D128/38</f>
        <v>84746.472631579</v>
      </c>
      <c r="E144" s="4">
        <f t="shared" ref="E144:P149" si="32">E128/38</f>
        <v>78624.8342105263</v>
      </c>
      <c r="F144" s="4">
        <f t="shared" si="32"/>
        <v>84515.3497368421</v>
      </c>
      <c r="G144" s="4">
        <f t="shared" si="32"/>
        <v>83075.9428947368</v>
      </c>
      <c r="H144" s="4">
        <f t="shared" si="32"/>
        <v>85155.2184210526</v>
      </c>
      <c r="I144" s="4">
        <f t="shared" si="32"/>
        <v>82983.5468421053</v>
      </c>
      <c r="J144" s="4">
        <f t="shared" si="32"/>
        <v>85673.8386842103</v>
      </c>
      <c r="K144" s="4">
        <f t="shared" si="32"/>
        <v>75532.1542105263</v>
      </c>
      <c r="L144" s="4">
        <f t="shared" si="32"/>
        <v>-80371.6105263158</v>
      </c>
      <c r="M144" s="4">
        <f t="shared" si="32"/>
        <v>58571.7902631579</v>
      </c>
      <c r="N144" s="4">
        <f t="shared" si="32"/>
        <v>57666.6307894737</v>
      </c>
      <c r="O144" s="4">
        <f t="shared" si="32"/>
        <v>60295.4857894737</v>
      </c>
      <c r="P144" s="4">
        <f t="shared" si="32"/>
        <v>756469.653947368</v>
      </c>
    </row>
    <row r="145" spans="1:16">
      <c r="A145" s="21"/>
      <c r="B145" t="s">
        <v>24</v>
      </c>
      <c r="C145"/>
      <c r="D145" s="4">
        <f t="shared" ref="D145:P156" si="33">D129/38</f>
        <v>57467.4028947368</v>
      </c>
      <c r="E145" s="4">
        <f t="shared" si="33"/>
        <v>61158.0981578947</v>
      </c>
      <c r="F145" s="4">
        <f t="shared" si="33"/>
        <v>67696.8313157894</v>
      </c>
      <c r="G145" s="4">
        <f t="shared" si="33"/>
        <v>36284.7957894737</v>
      </c>
      <c r="H145" s="4">
        <f t="shared" si="33"/>
        <v>60570.6744736842</v>
      </c>
      <c r="I145" s="4">
        <f t="shared" si="33"/>
        <v>50112.7068421053</v>
      </c>
      <c r="J145" s="4">
        <f t="shared" si="33"/>
        <v>194021.685789474</v>
      </c>
      <c r="K145" s="4">
        <f t="shared" si="33"/>
        <v>-87464.3068421053</v>
      </c>
      <c r="L145" s="4">
        <f t="shared" si="33"/>
        <v>86562.2734210526</v>
      </c>
      <c r="M145" s="4">
        <f t="shared" si="33"/>
        <v>51711.6718421053</v>
      </c>
      <c r="N145" s="4">
        <f t="shared" si="33"/>
        <v>62473.0605263158</v>
      </c>
      <c r="O145" s="4">
        <f t="shared" si="33"/>
        <v>116014.071842105</v>
      </c>
      <c r="P145" s="4">
        <f t="shared" si="32"/>
        <v>756608.966052632</v>
      </c>
    </row>
    <row r="146" spans="1:16">
      <c r="A146" s="21"/>
      <c r="B146" t="s">
        <v>25</v>
      </c>
      <c r="C146"/>
      <c r="D146" s="4">
        <f t="shared" si="33"/>
        <v>26000</v>
      </c>
      <c r="E146" s="4">
        <f t="shared" si="33"/>
        <v>26000</v>
      </c>
      <c r="F146" s="4">
        <f t="shared" si="33"/>
        <v>12200.3142105263</v>
      </c>
      <c r="G146" s="4">
        <f t="shared" si="33"/>
        <v>26000</v>
      </c>
      <c r="H146" s="4">
        <f t="shared" si="33"/>
        <v>26000</v>
      </c>
      <c r="I146" s="4">
        <f t="shared" si="33"/>
        <v>26000</v>
      </c>
      <c r="J146" s="4">
        <f t="shared" si="33"/>
        <v>373561.359736842</v>
      </c>
      <c r="K146" s="4">
        <f t="shared" si="33"/>
        <v>373561.359736842</v>
      </c>
      <c r="L146" s="4">
        <f t="shared" si="33"/>
        <v>402669.241578947</v>
      </c>
      <c r="M146" s="4">
        <f t="shared" si="33"/>
        <v>494335.908157895</v>
      </c>
      <c r="N146" s="4">
        <f t="shared" si="33"/>
        <v>494469.338157895</v>
      </c>
      <c r="O146" s="4">
        <f t="shared" si="33"/>
        <v>506994.630789474</v>
      </c>
      <c r="P146" s="4">
        <f t="shared" si="32"/>
        <v>2787792.15236842</v>
      </c>
    </row>
    <row r="147" spans="1:16">
      <c r="A147" s="21"/>
      <c r="B147" t="s">
        <v>26</v>
      </c>
      <c r="C147"/>
      <c r="D147" s="4">
        <f t="shared" si="33"/>
        <v>6052.81578947368</v>
      </c>
      <c r="E147" s="4">
        <f t="shared" si="33"/>
        <v>1637.29815789474</v>
      </c>
      <c r="F147" s="4">
        <f t="shared" si="33"/>
        <v>2076.05684210526</v>
      </c>
      <c r="G147" s="4">
        <f t="shared" si="33"/>
        <v>2231.45447368421</v>
      </c>
      <c r="H147" s="4">
        <f t="shared" si="33"/>
        <v>1991.29263157895</v>
      </c>
      <c r="I147" s="4">
        <f t="shared" si="33"/>
        <v>3272.43921052632</v>
      </c>
      <c r="J147" s="4">
        <f t="shared" si="33"/>
        <v>1774.51421052632</v>
      </c>
      <c r="K147" s="4">
        <f t="shared" si="33"/>
        <v>2311.22763157895</v>
      </c>
      <c r="L147" s="4">
        <f t="shared" si="33"/>
        <v>1896.05789473684</v>
      </c>
      <c r="M147" s="4">
        <f t="shared" si="33"/>
        <v>2504.91526315789</v>
      </c>
      <c r="N147" s="4">
        <f t="shared" si="33"/>
        <v>3547.96684210526</v>
      </c>
      <c r="O147" s="4">
        <f t="shared" si="33"/>
        <v>3338.11105263158</v>
      </c>
      <c r="P147" s="4">
        <f t="shared" si="32"/>
        <v>32634.15</v>
      </c>
    </row>
    <row r="148" spans="1:16">
      <c r="A148" s="21"/>
      <c r="B148" t="s">
        <v>27</v>
      </c>
      <c r="C148"/>
      <c r="D148" s="4">
        <f t="shared" si="33"/>
        <v>216763.176578947</v>
      </c>
      <c r="E148" s="4">
        <f t="shared" si="33"/>
        <v>307559.393947368</v>
      </c>
      <c r="F148" s="4">
        <f t="shared" si="33"/>
        <v>348423.066578947</v>
      </c>
      <c r="G148" s="4">
        <f t="shared" si="33"/>
        <v>325321.203684211</v>
      </c>
      <c r="H148" s="4">
        <f t="shared" si="33"/>
        <v>329136.573947368</v>
      </c>
      <c r="I148" s="4">
        <f t="shared" si="33"/>
        <v>348871.574210526</v>
      </c>
      <c r="J148" s="4">
        <f t="shared" si="33"/>
        <v>317890.223421053</v>
      </c>
      <c r="K148" s="4">
        <f t="shared" si="33"/>
        <v>244476.176578947</v>
      </c>
      <c r="L148" s="4">
        <f t="shared" si="33"/>
        <v>307415.562368421</v>
      </c>
      <c r="M148" s="4">
        <f t="shared" si="33"/>
        <v>306100.975</v>
      </c>
      <c r="N148" s="4">
        <f t="shared" si="33"/>
        <v>271882.257105263</v>
      </c>
      <c r="O148" s="4">
        <f t="shared" si="33"/>
        <v>318638.172105263</v>
      </c>
      <c r="P148" s="4">
        <f t="shared" si="32"/>
        <v>3642478.35552632</v>
      </c>
    </row>
    <row r="149" spans="1:16">
      <c r="A149" s="21"/>
      <c r="B149" t="s">
        <v>28</v>
      </c>
      <c r="C149"/>
      <c r="D149" s="4">
        <f t="shared" si="33"/>
        <v>68092.8176315789</v>
      </c>
      <c r="E149" s="4">
        <f t="shared" si="33"/>
        <v>39557.8697368421</v>
      </c>
      <c r="F149" s="4">
        <f t="shared" si="33"/>
        <v>124195.905263158</v>
      </c>
      <c r="G149" s="4">
        <f t="shared" si="33"/>
        <v>49075.9418421053</v>
      </c>
      <c r="H149" s="4">
        <f t="shared" si="33"/>
        <v>99076.0081578948</v>
      </c>
      <c r="I149" s="4">
        <f t="shared" si="33"/>
        <v>86833.0581578947</v>
      </c>
      <c r="J149" s="4">
        <f t="shared" si="33"/>
        <v>107488.689210526</v>
      </c>
      <c r="K149" s="4">
        <f t="shared" si="33"/>
        <v>94227.1581578947</v>
      </c>
      <c r="L149" s="4">
        <f t="shared" si="33"/>
        <v>83971.6439473685</v>
      </c>
      <c r="M149" s="4">
        <f t="shared" si="33"/>
        <v>91958.4078947368</v>
      </c>
      <c r="N149" s="4">
        <f>N133/38</f>
        <v>86245.5176315789</v>
      </c>
      <c r="O149" s="4">
        <f>O133/38</f>
        <v>73319.2597368421</v>
      </c>
      <c r="P149" s="4">
        <f t="shared" si="32"/>
        <v>1004042.27736842</v>
      </c>
    </row>
    <row r="150" spans="1:16">
      <c r="A150" s="21"/>
      <c r="B150" t="s">
        <v>29</v>
      </c>
      <c r="C150"/>
      <c r="D150" s="4">
        <f t="shared" si="33"/>
        <v>119280.627631579</v>
      </c>
      <c r="E150" s="4">
        <f t="shared" si="33"/>
        <v>143682.854210526</v>
      </c>
      <c r="F150" s="4">
        <f t="shared" si="33"/>
        <v>217655.966842105</v>
      </c>
      <c r="G150" s="4">
        <f t="shared" si="33"/>
        <v>164969.326578947</v>
      </c>
      <c r="H150" s="4">
        <f t="shared" si="33"/>
        <v>161641.77</v>
      </c>
      <c r="I150" s="4">
        <f t="shared" si="33"/>
        <v>185300.062368421</v>
      </c>
      <c r="J150" s="4">
        <f t="shared" si="33"/>
        <v>181793.557631579</v>
      </c>
      <c r="K150" s="4">
        <f t="shared" si="33"/>
        <v>130231.857105263</v>
      </c>
      <c r="L150" s="4">
        <f t="shared" si="33"/>
        <v>120964.599210526</v>
      </c>
      <c r="M150" s="4">
        <f t="shared" si="33"/>
        <v>200213.439473684</v>
      </c>
      <c r="N150" s="4">
        <f t="shared" si="33"/>
        <v>104516.705</v>
      </c>
      <c r="O150" s="4">
        <f t="shared" si="33"/>
        <v>117637.092368421</v>
      </c>
      <c r="P150" s="4">
        <f>P134/38</f>
        <v>1847887.85842105</v>
      </c>
    </row>
    <row r="151" spans="1:16">
      <c r="A151" s="21" t="s">
        <v>30</v>
      </c>
      <c r="B151" t="s">
        <v>31</v>
      </c>
      <c r="C151"/>
      <c r="D151" s="4">
        <f t="shared" si="33"/>
        <v>423196.913157895</v>
      </c>
      <c r="E151" s="4">
        <f t="shared" si="33"/>
        <v>442977.288947368</v>
      </c>
      <c r="F151" s="4">
        <f t="shared" si="33"/>
        <v>446956.397105263</v>
      </c>
      <c r="G151" s="4">
        <f t="shared" si="33"/>
        <v>559856.792105263</v>
      </c>
      <c r="H151" s="4">
        <f t="shared" si="33"/>
        <v>527050.751578947</v>
      </c>
      <c r="I151" s="4">
        <f t="shared" si="33"/>
        <v>621454.450789474</v>
      </c>
      <c r="J151" s="4">
        <f t="shared" si="33"/>
        <v>577815.960789474</v>
      </c>
      <c r="K151" s="4">
        <f t="shared" si="33"/>
        <v>440803.705526316</v>
      </c>
      <c r="L151" s="4">
        <f t="shared" si="33"/>
        <v>435970.282105263</v>
      </c>
      <c r="M151" s="4">
        <f t="shared" si="33"/>
        <v>409915.990789474</v>
      </c>
      <c r="N151" s="4">
        <f t="shared" si="33"/>
        <v>390014.343421053</v>
      </c>
      <c r="O151" s="4">
        <f t="shared" si="33"/>
        <v>283250.337631579</v>
      </c>
      <c r="P151" s="4">
        <f t="shared" si="33"/>
        <v>5559263.21394737</v>
      </c>
    </row>
    <row r="152" spans="1:16">
      <c r="A152" s="21"/>
      <c r="B152" t="s">
        <v>32</v>
      </c>
      <c r="C152"/>
      <c r="D152" s="4">
        <f t="shared" si="33"/>
        <v>20116.6915789474</v>
      </c>
      <c r="E152" s="4">
        <f t="shared" si="33"/>
        <v>26060.9402631579</v>
      </c>
      <c r="F152" s="4">
        <f t="shared" si="33"/>
        <v>33455.7676315789</v>
      </c>
      <c r="G152" s="4">
        <f t="shared" si="33"/>
        <v>42851.8315789474</v>
      </c>
      <c r="H152" s="4">
        <f t="shared" si="33"/>
        <v>56525.1268421052</v>
      </c>
      <c r="I152" s="4">
        <f t="shared" si="33"/>
        <v>44504.1844736842</v>
      </c>
      <c r="J152" s="4">
        <f t="shared" si="33"/>
        <v>51527.0034210526</v>
      </c>
      <c r="K152" s="4">
        <f t="shared" si="33"/>
        <v>26001.23</v>
      </c>
      <c r="L152" s="4">
        <f t="shared" si="33"/>
        <v>23131.1947368421</v>
      </c>
      <c r="M152" s="4">
        <f t="shared" si="33"/>
        <v>28275.1926315789</v>
      </c>
      <c r="N152" s="4">
        <f t="shared" si="33"/>
        <v>16221.7736842105</v>
      </c>
      <c r="O152" s="4">
        <f t="shared" si="33"/>
        <v>39452.1623684211</v>
      </c>
      <c r="P152" s="4">
        <f t="shared" si="33"/>
        <v>408123.099210526</v>
      </c>
    </row>
    <row r="153" spans="1:16">
      <c r="A153" s="21"/>
      <c r="B153" t="s">
        <v>33</v>
      </c>
      <c r="C153"/>
      <c r="D153" s="4">
        <f t="shared" si="33"/>
        <v>-4819.86552631579</v>
      </c>
      <c r="E153" s="4">
        <f t="shared" si="33"/>
        <v>2623.90500000001</v>
      </c>
      <c r="F153" s="4">
        <f t="shared" si="33"/>
        <v>13415.9013157895</v>
      </c>
      <c r="G153" s="4">
        <f t="shared" si="33"/>
        <v>32356.4278947368</v>
      </c>
      <c r="H153" s="4">
        <f t="shared" si="33"/>
        <v>31919.1673684211</v>
      </c>
      <c r="I153" s="4">
        <f t="shared" si="33"/>
        <v>28225.0686842105</v>
      </c>
      <c r="J153" s="4">
        <f t="shared" si="33"/>
        <v>-20175.2365789474</v>
      </c>
      <c r="K153" s="4">
        <f t="shared" si="33"/>
        <v>45148.5613157895</v>
      </c>
      <c r="L153" s="4">
        <f t="shared" si="33"/>
        <v>29326.6810526316</v>
      </c>
      <c r="M153" s="4">
        <f t="shared" si="33"/>
        <v>27229.1792105263</v>
      </c>
      <c r="N153" s="4">
        <f t="shared" si="33"/>
        <v>14053.8321052631</v>
      </c>
      <c r="O153" s="4">
        <f t="shared" si="33"/>
        <v>63317.0152631578</v>
      </c>
      <c r="P153" s="4">
        <f t="shared" si="33"/>
        <v>262620.637105263</v>
      </c>
    </row>
    <row r="154" spans="1:16">
      <c r="A154" s="21"/>
      <c r="B154" t="s">
        <v>34</v>
      </c>
      <c r="C154"/>
      <c r="D154" s="4">
        <f t="shared" si="33"/>
        <v>-58930.752631579</v>
      </c>
      <c r="E154" s="4">
        <f t="shared" si="33"/>
        <v>-69847.7105263158</v>
      </c>
      <c r="F154" s="4">
        <f t="shared" si="33"/>
        <v>-81083.3421052632</v>
      </c>
      <c r="G154" s="4">
        <f t="shared" si="33"/>
        <v>-75172.0526315789</v>
      </c>
      <c r="H154" s="4">
        <f t="shared" si="33"/>
        <v>-95547.8421052632</v>
      </c>
      <c r="I154" s="4">
        <f t="shared" si="33"/>
        <v>-78024.4736842105</v>
      </c>
      <c r="J154" s="4">
        <f t="shared" si="33"/>
        <v>-93598.0789473684</v>
      </c>
      <c r="K154" s="4">
        <f t="shared" si="33"/>
        <v>-61928</v>
      </c>
      <c r="L154" s="4">
        <f t="shared" si="33"/>
        <v>-79218.7894736842</v>
      </c>
      <c r="M154" s="4">
        <f t="shared" si="33"/>
        <v>-78579.4736842105</v>
      </c>
      <c r="N154" s="4">
        <f t="shared" si="33"/>
        <v>-101428.605263158</v>
      </c>
      <c r="O154" s="4">
        <f t="shared" si="33"/>
        <v>-50455.1842105263</v>
      </c>
      <c r="P154" s="4">
        <f t="shared" si="33"/>
        <v>-923814.305263158</v>
      </c>
    </row>
    <row r="155" spans="1:16">
      <c r="A155" s="21"/>
      <c r="B155" t="s">
        <v>35</v>
      </c>
      <c r="C155"/>
      <c r="D155" s="4">
        <f t="shared" si="33"/>
        <v>98353.5834210526</v>
      </c>
      <c r="E155" s="4">
        <f t="shared" si="33"/>
        <v>3109.09052631579</v>
      </c>
      <c r="F155" s="4">
        <f t="shared" si="33"/>
        <v>55806.4207894737</v>
      </c>
      <c r="G155" s="4">
        <f t="shared" si="33"/>
        <v>50201.7065789474</v>
      </c>
      <c r="H155" s="4">
        <f t="shared" si="33"/>
        <v>63421.7394736842</v>
      </c>
      <c r="I155" s="4">
        <f t="shared" si="33"/>
        <v>41747.9063157895</v>
      </c>
      <c r="J155" s="4">
        <f t="shared" si="33"/>
        <v>63174.8952631579</v>
      </c>
      <c r="K155" s="4">
        <f t="shared" si="33"/>
        <v>51667.2663157895</v>
      </c>
      <c r="L155" s="4">
        <f t="shared" si="33"/>
        <v>57761.3947368421</v>
      </c>
      <c r="M155" s="4">
        <f t="shared" si="33"/>
        <v>54076.995</v>
      </c>
      <c r="N155" s="4">
        <f t="shared" si="33"/>
        <v>63434.4376315789</v>
      </c>
      <c r="O155" s="4">
        <f t="shared" si="33"/>
        <v>49504.4036842105</v>
      </c>
      <c r="P155" s="4">
        <f t="shared" si="33"/>
        <v>652259.839736842</v>
      </c>
    </row>
    <row r="156" spans="1:16">
      <c r="A156" s="21" t="s">
        <v>36</v>
      </c>
      <c r="B156"/>
      <c r="C156"/>
      <c r="D156" s="4">
        <f t="shared" si="33"/>
        <v>182097.943684211</v>
      </c>
      <c r="E156" s="4">
        <f t="shared" si="33"/>
        <v>160989.596315789</v>
      </c>
      <c r="F156" s="4">
        <f t="shared" si="33"/>
        <v>191330.036578947</v>
      </c>
      <c r="G156" s="4">
        <f t="shared" si="33"/>
        <v>194090.52</v>
      </c>
      <c r="H156" s="4">
        <f t="shared" si="33"/>
        <v>180207.071052632</v>
      </c>
      <c r="I156" s="4">
        <f t="shared" si="33"/>
        <v>187154.13</v>
      </c>
      <c r="J156" s="4">
        <f t="shared" si="33"/>
        <v>208882.955</v>
      </c>
      <c r="K156" s="4">
        <f t="shared" si="33"/>
        <v>351836.016578947</v>
      </c>
      <c r="L156" s="4">
        <f t="shared" si="33"/>
        <v>177587.360526316</v>
      </c>
      <c r="M156" s="4">
        <f t="shared" si="33"/>
        <v>207659.726315789</v>
      </c>
      <c r="N156" s="4">
        <f t="shared" si="33"/>
        <v>223582.984736842</v>
      </c>
      <c r="O156" s="4">
        <f t="shared" si="33"/>
        <v>109695.915</v>
      </c>
      <c r="P156" s="4">
        <f t="shared" si="33"/>
        <v>2375114.25578947</v>
      </c>
    </row>
    <row r="157" spans="1:16">
      <c r="A157" s="21"/>
      <c r="B157"/>
      <c r="C15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16"/>
    </row>
    <row r="158" spans="1:16">
      <c r="A158" s="25" t="s">
        <v>41</v>
      </c>
      <c r="D158" s="4">
        <f>SUMIFS(D4:D120,$C$4:$C$120,$A158)/38</f>
        <v>186800.885</v>
      </c>
      <c r="E158" s="4">
        <f t="shared" ref="E158:O158" si="34">SUMIFS(E4:E120,$C$4:$C$120,$A158)/38</f>
        <v>167957.557631579</v>
      </c>
      <c r="F158" s="4">
        <f t="shared" si="34"/>
        <v>203696.522894737</v>
      </c>
      <c r="G158" s="4">
        <f t="shared" si="34"/>
        <v>210125.968684211</v>
      </c>
      <c r="H158" s="4">
        <f t="shared" si="34"/>
        <v>211953.903684211</v>
      </c>
      <c r="I158" s="4">
        <f t="shared" si="34"/>
        <v>206776.466052632</v>
      </c>
      <c r="J158" s="4">
        <f t="shared" si="34"/>
        <v>676768.400526316</v>
      </c>
      <c r="K158" s="4">
        <f t="shared" si="34"/>
        <v>600208.390526316</v>
      </c>
      <c r="L158" s="4">
        <f t="shared" si="34"/>
        <v>590902.650263158</v>
      </c>
      <c r="M158" s="4">
        <f t="shared" si="34"/>
        <v>688578.727105263</v>
      </c>
      <c r="N158" s="4">
        <f t="shared" si="34"/>
        <v>657657.883684211</v>
      </c>
      <c r="O158" s="4">
        <f t="shared" si="34"/>
        <v>680306.379210526</v>
      </c>
      <c r="P158" s="32"/>
    </row>
  </sheetData>
  <autoFilter xmlns:etc="http://www.wps.cn/officeDocument/2017/etCustomData" ref="A3:Q126" etc:filterBottomFollowUsedRange="0">
    <extLst/>
  </autoFilter>
  <mergeCells count="4">
    <mergeCell ref="A128:A134"/>
    <mergeCell ref="A135:A139"/>
    <mergeCell ref="A144:A150"/>
    <mergeCell ref="A151:A155"/>
  </mergeCells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53"/>
  <sheetViews>
    <sheetView zoomScale="80" zoomScaleNormal="80" workbookViewId="0">
      <pane xSplit="1" ySplit="3" topLeftCell="B4" activePane="bottomRight" state="frozen"/>
      <selection/>
      <selection pane="topRight"/>
      <selection pane="bottomLeft"/>
      <selection pane="bottomRight" activeCell="B99" sqref="B99"/>
    </sheetView>
  </sheetViews>
  <sheetFormatPr defaultColWidth="9.08333333333333" defaultRowHeight="13.8"/>
  <cols>
    <col min="1" max="1" width="20.4166666666667" style="2" customWidth="1"/>
    <col min="2" max="2" width="48.75" style="2" customWidth="1"/>
    <col min="3" max="3" width="8.75" style="2" customWidth="1"/>
    <col min="4" max="4" width="14.0833333333333" style="3" customWidth="1"/>
    <col min="5" max="6" width="15.4166666666667" style="4" customWidth="1"/>
    <col min="7" max="7" width="14.0833333333333" style="4" customWidth="1"/>
    <col min="8" max="15" width="15.4166666666667" style="4" customWidth="1"/>
    <col min="16" max="16" width="13.75" style="2" customWidth="1"/>
    <col min="17" max="24" width="10.4166666666667" style="2" customWidth="1"/>
    <col min="25" max="16384" width="9.08333333333333" style="2"/>
  </cols>
  <sheetData>
    <row r="1" spans="2:16">
      <c r="B1" s="2" t="s">
        <v>413</v>
      </c>
      <c r="D1" s="3">
        <v>2170</v>
      </c>
      <c r="E1" s="4">
        <v>2956</v>
      </c>
      <c r="F1" s="4">
        <v>6275</v>
      </c>
      <c r="G1" s="4">
        <v>11914</v>
      </c>
      <c r="H1" s="4">
        <v>15745</v>
      </c>
      <c r="I1" s="4">
        <v>13277</v>
      </c>
      <c r="J1" s="4">
        <v>11571</v>
      </c>
      <c r="K1" s="4">
        <v>12465</v>
      </c>
      <c r="L1" s="4">
        <v>48191</v>
      </c>
      <c r="M1" s="4">
        <v>53888</v>
      </c>
      <c r="N1" s="4">
        <v>47489</v>
      </c>
      <c r="O1" s="4">
        <v>34580</v>
      </c>
      <c r="P1" s="16">
        <f>SUM(D1:O1)</f>
        <v>260521</v>
      </c>
    </row>
    <row r="2" spans="4:15">
      <c r="D2" s="3" t="s">
        <v>641</v>
      </c>
      <c r="E2" s="4" t="s">
        <v>641</v>
      </c>
      <c r="F2" s="4" t="s">
        <v>641</v>
      </c>
      <c r="G2" s="4" t="s">
        <v>641</v>
      </c>
      <c r="H2" s="4" t="s">
        <v>641</v>
      </c>
      <c r="I2" s="4" t="s">
        <v>641</v>
      </c>
      <c r="J2" s="4" t="s">
        <v>641</v>
      </c>
      <c r="K2" s="4" t="s">
        <v>641</v>
      </c>
      <c r="L2" s="4" t="s">
        <v>641</v>
      </c>
      <c r="M2" s="4" t="s">
        <v>641</v>
      </c>
      <c r="N2" s="4" t="s">
        <v>641</v>
      </c>
      <c r="O2" s="4" t="s">
        <v>641</v>
      </c>
    </row>
    <row r="3" spans="1:16">
      <c r="A3" s="5"/>
      <c r="B3" s="5" t="s">
        <v>415</v>
      </c>
      <c r="C3" s="6"/>
      <c r="D3" s="6" t="s">
        <v>642</v>
      </c>
      <c r="E3" s="5" t="s">
        <v>643</v>
      </c>
      <c r="F3" s="5" t="s">
        <v>644</v>
      </c>
      <c r="G3" s="5" t="s">
        <v>645</v>
      </c>
      <c r="H3" s="5" t="s">
        <v>197</v>
      </c>
      <c r="I3" s="5" t="s">
        <v>416</v>
      </c>
      <c r="J3" s="5" t="s">
        <v>199</v>
      </c>
      <c r="K3" s="5" t="s">
        <v>417</v>
      </c>
      <c r="L3" s="5" t="s">
        <v>418</v>
      </c>
      <c r="M3" s="5" t="s">
        <v>419</v>
      </c>
      <c r="N3" s="6" t="s">
        <v>420</v>
      </c>
      <c r="O3" s="17" t="s">
        <v>421</v>
      </c>
      <c r="P3" s="6" t="s">
        <v>15</v>
      </c>
    </row>
    <row r="4" spans="1:16">
      <c r="A4" s="2" t="s">
        <v>485</v>
      </c>
      <c r="B4" s="2" t="s">
        <v>233</v>
      </c>
      <c r="D4" s="3">
        <v>28219.18</v>
      </c>
      <c r="E4" s="7">
        <v>1522263.62</v>
      </c>
      <c r="F4" s="7">
        <v>1377272.2</v>
      </c>
      <c r="G4" s="7">
        <v>1100350.99</v>
      </c>
      <c r="H4" s="7">
        <v>1394457.04</v>
      </c>
      <c r="I4" s="7">
        <v>1350282.7</v>
      </c>
      <c r="J4" s="7">
        <v>1402324.33</v>
      </c>
      <c r="K4" s="7">
        <v>1402324.31</v>
      </c>
      <c r="L4" s="7">
        <v>1380033.19</v>
      </c>
      <c r="M4" s="7">
        <v>1456133.26</v>
      </c>
      <c r="N4" s="3">
        <v>1511464.48</v>
      </c>
      <c r="O4" s="3">
        <v>1565987.76</v>
      </c>
      <c r="P4" s="16">
        <f>SUM(D4:O4)</f>
        <v>15491113.06</v>
      </c>
    </row>
    <row r="5" spans="1:16">
      <c r="A5" s="2" t="s">
        <v>488</v>
      </c>
      <c r="B5" s="2" t="s">
        <v>237</v>
      </c>
      <c r="C5" s="2" t="s">
        <v>41</v>
      </c>
      <c r="D5" s="3">
        <v>9458.02</v>
      </c>
      <c r="E5" s="7">
        <v>8343.28</v>
      </c>
      <c r="F5" s="7">
        <v>126229.44</v>
      </c>
      <c r="G5" s="7">
        <v>474900.8</v>
      </c>
      <c r="H5" s="7">
        <v>2053560.13</v>
      </c>
      <c r="I5" s="12">
        <v>8184852.44</v>
      </c>
      <c r="J5" s="12">
        <v>2543327.6</v>
      </c>
      <c r="K5" s="7">
        <v>3299564.72</v>
      </c>
      <c r="L5" s="7">
        <v>3417969.47</v>
      </c>
      <c r="M5" s="7">
        <v>3725478.14</v>
      </c>
      <c r="N5" s="3">
        <v>4105951.53</v>
      </c>
      <c r="O5" s="3">
        <v>4105848.11</v>
      </c>
      <c r="P5" s="16">
        <f t="shared" ref="P5:P68" si="0">SUM(D5:O5)</f>
        <v>32055483.68</v>
      </c>
    </row>
    <row r="6" spans="1:16">
      <c r="A6" s="2" t="s">
        <v>490</v>
      </c>
      <c r="B6" s="2" t="s">
        <v>238</v>
      </c>
      <c r="D6" s="3">
        <v>6055.72</v>
      </c>
      <c r="E6" s="7">
        <v>8424431.07</v>
      </c>
      <c r="F6" s="7">
        <v>8260696.1</v>
      </c>
      <c r="G6" s="7">
        <v>7849156.82</v>
      </c>
      <c r="H6" s="7">
        <v>8094161.54</v>
      </c>
      <c r="I6" s="7">
        <v>5728297.19</v>
      </c>
      <c r="J6" s="7">
        <v>8349350.89</v>
      </c>
      <c r="K6" s="7">
        <v>7299853.17</v>
      </c>
      <c r="L6" s="7">
        <v>7447535.79</v>
      </c>
      <c r="M6" s="7">
        <v>8408512.66</v>
      </c>
      <c r="N6" s="3">
        <v>8151213.29</v>
      </c>
      <c r="O6" s="3">
        <v>8279610.7</v>
      </c>
      <c r="P6" s="16">
        <f t="shared" si="0"/>
        <v>86298874.94</v>
      </c>
    </row>
    <row r="7" spans="1:16">
      <c r="A7" s="2" t="s">
        <v>492</v>
      </c>
      <c r="B7" s="2" t="s">
        <v>239</v>
      </c>
      <c r="D7" s="3">
        <v>-4655.37</v>
      </c>
      <c r="E7" s="7">
        <v>430857.75</v>
      </c>
      <c r="F7" s="7">
        <v>402952.46</v>
      </c>
      <c r="G7" s="7">
        <v>337553.18</v>
      </c>
      <c r="H7" s="7">
        <v>432343.25</v>
      </c>
      <c r="I7" s="7">
        <v>421040.25</v>
      </c>
      <c r="J7" s="7">
        <v>434524.51</v>
      </c>
      <c r="K7" s="7">
        <v>444987.81</v>
      </c>
      <c r="L7" s="7">
        <v>436163.59</v>
      </c>
      <c r="M7" s="7">
        <v>744116.61</v>
      </c>
      <c r="N7" s="3">
        <v>977248.59</v>
      </c>
      <c r="O7" s="3">
        <v>993972.3</v>
      </c>
      <c r="P7" s="16">
        <f t="shared" si="0"/>
        <v>6051104.93</v>
      </c>
    </row>
    <row r="8" spans="1:16">
      <c r="A8" s="2" t="s">
        <v>498</v>
      </c>
      <c r="B8" s="2" t="s">
        <v>240</v>
      </c>
      <c r="D8" s="3">
        <v>0</v>
      </c>
      <c r="E8" s="7">
        <v>0</v>
      </c>
      <c r="F8" s="7">
        <v>0</v>
      </c>
      <c r="G8" s="7">
        <v>0</v>
      </c>
      <c r="H8" s="7">
        <v>0</v>
      </c>
      <c r="I8" s="7">
        <v>75311.94</v>
      </c>
      <c r="J8" s="7">
        <v>75311.95</v>
      </c>
      <c r="K8" s="7">
        <v>75311.94</v>
      </c>
      <c r="L8" s="7">
        <v>75311.94</v>
      </c>
      <c r="M8" s="7">
        <v>93306.87</v>
      </c>
      <c r="N8" s="3">
        <v>93306.85</v>
      </c>
      <c r="O8" s="3">
        <v>96944.7</v>
      </c>
      <c r="P8" s="16">
        <f t="shared" si="0"/>
        <v>584806.19</v>
      </c>
    </row>
    <row r="9" spans="1:16">
      <c r="A9" s="2" t="s">
        <v>494</v>
      </c>
      <c r="B9" s="2" t="s">
        <v>241</v>
      </c>
      <c r="D9" s="3">
        <v>0</v>
      </c>
      <c r="E9" s="7">
        <v>0</v>
      </c>
      <c r="F9" s="7">
        <v>0</v>
      </c>
      <c r="G9" s="7">
        <v>0</v>
      </c>
      <c r="H9" s="7">
        <v>125178.97</v>
      </c>
      <c r="I9" s="7">
        <v>999826.53</v>
      </c>
      <c r="J9" s="7">
        <v>335959.03</v>
      </c>
      <c r="K9" s="7">
        <v>335959.02</v>
      </c>
      <c r="L9" s="7">
        <v>352486.11</v>
      </c>
      <c r="M9" s="7">
        <v>356419.92</v>
      </c>
      <c r="N9" s="3">
        <v>575796.03</v>
      </c>
      <c r="O9" s="3">
        <v>576346.97</v>
      </c>
      <c r="P9" s="16">
        <f t="shared" si="0"/>
        <v>3657972.58</v>
      </c>
    </row>
    <row r="10" spans="1:16">
      <c r="A10" s="2" t="s">
        <v>487</v>
      </c>
      <c r="B10" s="2" t="s">
        <v>236</v>
      </c>
      <c r="D10" s="3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152060.2</v>
      </c>
      <c r="L10" s="7">
        <v>-152060.2</v>
      </c>
      <c r="M10" s="7">
        <v>0</v>
      </c>
      <c r="N10" s="3">
        <v>0</v>
      </c>
      <c r="O10" s="3">
        <v>0</v>
      </c>
      <c r="P10" s="16">
        <f t="shared" si="0"/>
        <v>0</v>
      </c>
    </row>
    <row r="11" spans="1:16">
      <c r="A11" s="8" t="s">
        <v>234</v>
      </c>
      <c r="B11" s="8" t="s">
        <v>234</v>
      </c>
      <c r="D11" s="9">
        <v>39077.55</v>
      </c>
      <c r="E11" s="10">
        <v>10385895.72</v>
      </c>
      <c r="F11" s="10">
        <v>10167150.2</v>
      </c>
      <c r="G11" s="10">
        <v>9761961.79</v>
      </c>
      <c r="H11" s="10">
        <v>12099700.93</v>
      </c>
      <c r="I11" s="10">
        <v>16759611.05</v>
      </c>
      <c r="J11" s="10">
        <v>13140798.31</v>
      </c>
      <c r="K11" s="10">
        <v>13010061.17</v>
      </c>
      <c r="L11" s="10">
        <v>12957439.89</v>
      </c>
      <c r="M11" s="10">
        <v>14783967.46</v>
      </c>
      <c r="N11" s="9">
        <f>SUM(N4:N10)</f>
        <v>15414980.77</v>
      </c>
      <c r="O11" s="9">
        <f>SUM(O4:O10)</f>
        <v>15618710.54</v>
      </c>
      <c r="P11" s="16">
        <f t="shared" si="0"/>
        <v>144139355.38</v>
      </c>
    </row>
    <row r="12" spans="1:16">
      <c r="A12" s="2" t="s">
        <v>500</v>
      </c>
      <c r="B12" s="2" t="s">
        <v>246</v>
      </c>
      <c r="D12" s="3">
        <v>0</v>
      </c>
      <c r="E12" s="7">
        <v>62194.93</v>
      </c>
      <c r="F12" s="7">
        <v>78483.24</v>
      </c>
      <c r="G12" s="7">
        <v>93786.3</v>
      </c>
      <c r="H12" s="7">
        <v>101240.03</v>
      </c>
      <c r="I12" s="7">
        <v>101408.74</v>
      </c>
      <c r="J12" s="7">
        <v>53560.11</v>
      </c>
      <c r="K12" s="7">
        <v>89618.51</v>
      </c>
      <c r="L12" s="7">
        <v>139382.97</v>
      </c>
      <c r="M12" s="7">
        <v>138808.4</v>
      </c>
      <c r="N12" s="3">
        <v>124210.27</v>
      </c>
      <c r="O12" s="3">
        <v>122794.88</v>
      </c>
      <c r="P12" s="16">
        <f t="shared" si="0"/>
        <v>1105488.38</v>
      </c>
    </row>
    <row r="13" spans="1:16">
      <c r="A13" s="2" t="s">
        <v>502</v>
      </c>
      <c r="B13" s="2" t="s">
        <v>250</v>
      </c>
      <c r="D13" s="3">
        <v>0</v>
      </c>
      <c r="E13" s="7">
        <v>0</v>
      </c>
      <c r="F13" s="7">
        <v>-29813.95</v>
      </c>
      <c r="G13" s="7">
        <v>-46341.72</v>
      </c>
      <c r="H13" s="7">
        <v>-40750.7</v>
      </c>
      <c r="I13" s="7">
        <v>-29763.7</v>
      </c>
      <c r="J13" s="7">
        <v>-18602.27</v>
      </c>
      <c r="K13" s="7">
        <v>-66708.32</v>
      </c>
      <c r="L13" s="7">
        <v>-98082.2</v>
      </c>
      <c r="M13" s="7">
        <v>-95141.92</v>
      </c>
      <c r="N13" s="3">
        <v>-97662.2</v>
      </c>
      <c r="O13" s="3">
        <v>-49753.91</v>
      </c>
      <c r="P13" s="16">
        <f t="shared" si="0"/>
        <v>-572620.89</v>
      </c>
    </row>
    <row r="14" spans="1:16">
      <c r="A14" s="2" t="s">
        <v>504</v>
      </c>
      <c r="B14" s="2" t="s">
        <v>251</v>
      </c>
      <c r="D14" s="3">
        <v>0</v>
      </c>
      <c r="E14" s="7">
        <v>482010.73</v>
      </c>
      <c r="F14" s="7">
        <v>-835754.86</v>
      </c>
      <c r="G14" s="7">
        <v>726843.87</v>
      </c>
      <c r="H14" s="7">
        <v>784610.21</v>
      </c>
      <c r="I14" s="7">
        <v>785917.8</v>
      </c>
      <c r="J14" s="7">
        <v>415090.73</v>
      </c>
      <c r="K14" s="7">
        <v>699244.82</v>
      </c>
      <c r="L14" s="7">
        <v>1149372.64</v>
      </c>
      <c r="M14" s="7">
        <v>1146622.71</v>
      </c>
      <c r="N14" s="3">
        <v>1026810.67</v>
      </c>
      <c r="O14" s="3">
        <v>1018417.42</v>
      </c>
      <c r="P14" s="16">
        <f t="shared" si="0"/>
        <v>7399186.74</v>
      </c>
    </row>
    <row r="15" spans="1:16">
      <c r="A15" s="2" t="s">
        <v>506</v>
      </c>
      <c r="B15" s="2" t="s">
        <v>252</v>
      </c>
      <c r="D15" s="3">
        <v>0</v>
      </c>
      <c r="E15" s="7">
        <v>146606.03</v>
      </c>
      <c r="F15" s="7">
        <v>533894.36</v>
      </c>
      <c r="G15" s="7">
        <v>590863.89</v>
      </c>
      <c r="H15" s="7">
        <v>236811.49</v>
      </c>
      <c r="I15" s="7">
        <v>90922.5</v>
      </c>
      <c r="J15" s="7">
        <v>25020.22</v>
      </c>
      <c r="K15" s="7">
        <v>40562.46</v>
      </c>
      <c r="L15" s="7">
        <v>352686.04</v>
      </c>
      <c r="M15" s="7">
        <v>357064.77</v>
      </c>
      <c r="N15" s="3">
        <v>157488.29</v>
      </c>
      <c r="O15" s="3">
        <v>14505.28</v>
      </c>
      <c r="P15" s="16">
        <f t="shared" si="0"/>
        <v>2546425.33</v>
      </c>
    </row>
    <row r="16" spans="1:16">
      <c r="A16" s="2" t="s">
        <v>508</v>
      </c>
      <c r="B16" s="2" t="s">
        <v>253</v>
      </c>
      <c r="D16" s="3">
        <v>120.77</v>
      </c>
      <c r="E16" s="7">
        <v>825656.98</v>
      </c>
      <c r="F16" s="7">
        <v>-371537.27</v>
      </c>
      <c r="G16" s="7">
        <v>67619.46</v>
      </c>
      <c r="H16" s="7">
        <v>-366045.6</v>
      </c>
      <c r="I16" s="7">
        <v>120753.48</v>
      </c>
      <c r="J16" s="7">
        <v>151830.78</v>
      </c>
      <c r="K16" s="7">
        <v>490247.62</v>
      </c>
      <c r="L16" s="7">
        <v>-45348.75</v>
      </c>
      <c r="M16" s="7">
        <v>174753.24</v>
      </c>
      <c r="N16" s="3">
        <v>313828.99</v>
      </c>
      <c r="O16" s="3">
        <v>240341.66</v>
      </c>
      <c r="P16" s="16">
        <f t="shared" si="0"/>
        <v>1602221.36</v>
      </c>
    </row>
    <row r="17" spans="1:16">
      <c r="A17" s="2" t="s">
        <v>510</v>
      </c>
      <c r="B17" s="2" t="s">
        <v>254</v>
      </c>
      <c r="D17" s="3">
        <v>-49784.5</v>
      </c>
      <c r="E17" s="7">
        <v>2656062.45</v>
      </c>
      <c r="F17" s="7">
        <v>30704.16</v>
      </c>
      <c r="G17" s="7">
        <v>564461.58</v>
      </c>
      <c r="H17" s="7">
        <v>3393730.8</v>
      </c>
      <c r="I17" s="7">
        <v>1123306.89</v>
      </c>
      <c r="J17" s="7">
        <v>960486.61</v>
      </c>
      <c r="K17" s="7">
        <v>2282540.39</v>
      </c>
      <c r="L17" s="7">
        <v>5281941.42</v>
      </c>
      <c r="M17" s="7">
        <v>6012733.09</v>
      </c>
      <c r="N17" s="3">
        <v>5396484.2</v>
      </c>
      <c r="O17" s="3">
        <v>5231550.62</v>
      </c>
      <c r="P17" s="16">
        <f t="shared" si="0"/>
        <v>32884217.71</v>
      </c>
    </row>
    <row r="18" spans="1:16">
      <c r="A18" s="2" t="s">
        <v>512</v>
      </c>
      <c r="B18" s="2" t="s">
        <v>256</v>
      </c>
      <c r="D18" s="3">
        <v>-24501.77</v>
      </c>
      <c r="E18" s="7">
        <v>-31637.73</v>
      </c>
      <c r="F18" s="7">
        <v>-368725.27</v>
      </c>
      <c r="G18" s="7">
        <v>4728.83</v>
      </c>
      <c r="H18" s="7">
        <v>0</v>
      </c>
      <c r="I18" s="7">
        <v>-4728.83</v>
      </c>
      <c r="J18" s="7">
        <v>0</v>
      </c>
      <c r="K18" s="7">
        <v>30975.64</v>
      </c>
      <c r="L18" s="7">
        <v>46677.16</v>
      </c>
      <c r="M18" s="7">
        <v>27467.95</v>
      </c>
      <c r="N18" s="3">
        <v>-50267.25</v>
      </c>
      <c r="O18" s="3">
        <v>-8227.92</v>
      </c>
      <c r="P18" s="16">
        <f t="shared" si="0"/>
        <v>-378239.19</v>
      </c>
    </row>
    <row r="19" spans="1:16">
      <c r="A19" s="8" t="s">
        <v>247</v>
      </c>
      <c r="B19" s="8" t="s">
        <v>247</v>
      </c>
      <c r="D19" s="9">
        <v>-74165.5</v>
      </c>
      <c r="E19" s="10">
        <v>4140893.39</v>
      </c>
      <c r="F19" s="10">
        <v>-962749.59</v>
      </c>
      <c r="G19" s="10">
        <v>2001962.21</v>
      </c>
      <c r="H19" s="10">
        <v>4109596.23</v>
      </c>
      <c r="I19" s="10">
        <v>2187816.88</v>
      </c>
      <c r="J19" s="10">
        <v>1587386.18</v>
      </c>
      <c r="K19" s="10">
        <v>3566481.12</v>
      </c>
      <c r="L19" s="10">
        <v>6826629.28</v>
      </c>
      <c r="M19" s="10">
        <v>7762308.24</v>
      </c>
      <c r="N19" s="9">
        <f>SUM(N12:N18)</f>
        <v>6870892.97</v>
      </c>
      <c r="O19" s="9">
        <f>SUM(O12:O18)</f>
        <v>6569628.03</v>
      </c>
      <c r="P19" s="16">
        <f t="shared" si="0"/>
        <v>44586679.44</v>
      </c>
    </row>
    <row r="20" spans="1:16">
      <c r="A20" s="2" t="s">
        <v>513</v>
      </c>
      <c r="B20" s="2" t="s">
        <v>259</v>
      </c>
      <c r="C20" s="2" t="s">
        <v>41</v>
      </c>
      <c r="D20" s="3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3"/>
      <c r="O20" s="3"/>
      <c r="P20" s="16">
        <f t="shared" si="0"/>
        <v>0</v>
      </c>
    </row>
    <row r="21" spans="1:16">
      <c r="A21" s="2" t="s">
        <v>514</v>
      </c>
      <c r="B21" s="2" t="s">
        <v>263</v>
      </c>
      <c r="C21" s="2" t="s">
        <v>41</v>
      </c>
      <c r="D21" s="3">
        <v>123.69</v>
      </c>
      <c r="E21" s="7">
        <v>898291.3</v>
      </c>
      <c r="F21" s="7">
        <v>-9772.67</v>
      </c>
      <c r="G21" s="7">
        <v>630075.23</v>
      </c>
      <c r="H21" s="7">
        <v>1313942.64</v>
      </c>
      <c r="I21" s="7">
        <v>121047.22</v>
      </c>
      <c r="J21" s="7">
        <v>374241.41</v>
      </c>
      <c r="K21" s="7">
        <v>189395.77</v>
      </c>
      <c r="L21" s="7">
        <v>411653.36</v>
      </c>
      <c r="M21" s="7">
        <v>374662.97</v>
      </c>
      <c r="N21" s="3">
        <v>231950.89</v>
      </c>
      <c r="O21" s="3">
        <v>299948.17</v>
      </c>
      <c r="P21" s="16">
        <f t="shared" si="0"/>
        <v>4835559.98</v>
      </c>
    </row>
    <row r="22" spans="1:16">
      <c r="A22" s="2" t="s">
        <v>516</v>
      </c>
      <c r="B22" s="2" t="s">
        <v>264</v>
      </c>
      <c r="C22" s="2" t="s">
        <v>41</v>
      </c>
      <c r="D22" s="3">
        <v>5534.08</v>
      </c>
      <c r="E22" s="7">
        <v>130833.71</v>
      </c>
      <c r="F22" s="7">
        <v>68837.7</v>
      </c>
      <c r="G22" s="7">
        <v>62308.6</v>
      </c>
      <c r="H22" s="7">
        <v>132828.72</v>
      </c>
      <c r="I22" s="7">
        <v>102338.04</v>
      </c>
      <c r="J22" s="7">
        <v>38538.27</v>
      </c>
      <c r="K22" s="7">
        <v>52821.44</v>
      </c>
      <c r="L22" s="7">
        <v>113828</v>
      </c>
      <c r="M22" s="7">
        <v>316792.33</v>
      </c>
      <c r="N22" s="3">
        <v>300428.28</v>
      </c>
      <c r="O22" s="3">
        <v>179687.67</v>
      </c>
      <c r="P22" s="16">
        <f t="shared" si="0"/>
        <v>1504776.84</v>
      </c>
    </row>
    <row r="23" spans="1:16">
      <c r="A23" s="2" t="s">
        <v>518</v>
      </c>
      <c r="B23" s="2" t="s">
        <v>265</v>
      </c>
      <c r="C23" s="2" t="s">
        <v>41</v>
      </c>
      <c r="D23" s="3">
        <v>-4516.67</v>
      </c>
      <c r="E23" s="7">
        <v>11748.36</v>
      </c>
      <c r="F23" s="7">
        <v>115475.35</v>
      </c>
      <c r="G23" s="7">
        <v>0</v>
      </c>
      <c r="H23" s="7">
        <v>0</v>
      </c>
      <c r="I23" s="7">
        <v>0</v>
      </c>
      <c r="J23" s="7">
        <v>24279.16</v>
      </c>
      <c r="K23" s="7">
        <v>0</v>
      </c>
      <c r="L23" s="7">
        <v>10724.11</v>
      </c>
      <c r="M23" s="7">
        <v>0</v>
      </c>
      <c r="N23" s="3"/>
      <c r="O23" s="3"/>
      <c r="P23" s="16">
        <f t="shared" si="0"/>
        <v>157710.31</v>
      </c>
    </row>
    <row r="24" spans="1:16">
      <c r="A24" s="8" t="s">
        <v>260</v>
      </c>
      <c r="B24" s="8" t="s">
        <v>260</v>
      </c>
      <c r="D24" s="9">
        <v>1141.1</v>
      </c>
      <c r="E24" s="10">
        <v>1040873.37</v>
      </c>
      <c r="F24" s="10">
        <v>174540.38</v>
      </c>
      <c r="G24" s="10">
        <v>692383.83</v>
      </c>
      <c r="H24" s="10">
        <v>1446771.36</v>
      </c>
      <c r="I24" s="10">
        <v>223385.26</v>
      </c>
      <c r="J24" s="10">
        <v>437058.84</v>
      </c>
      <c r="K24" s="10">
        <v>242217.21</v>
      </c>
      <c r="L24" s="10">
        <v>536205.47</v>
      </c>
      <c r="M24" s="10">
        <v>691455.3</v>
      </c>
      <c r="N24" s="9">
        <f>SUM(N20:N23)</f>
        <v>532379.17</v>
      </c>
      <c r="O24" s="9">
        <f>SUM(O20:O23)</f>
        <v>479635.84</v>
      </c>
      <c r="P24" s="16">
        <f t="shared" si="0"/>
        <v>6498047.13</v>
      </c>
    </row>
    <row r="25" spans="1:16">
      <c r="A25" s="2" t="s">
        <v>519</v>
      </c>
      <c r="B25" s="2" t="s">
        <v>266</v>
      </c>
      <c r="C25" s="2" t="s">
        <v>41</v>
      </c>
      <c r="D25" s="11">
        <v>0</v>
      </c>
      <c r="E25" s="12">
        <v>0</v>
      </c>
      <c r="F25" s="12">
        <v>-259555.55</v>
      </c>
      <c r="G25" s="12">
        <v>207.42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1">
        <v>0</v>
      </c>
      <c r="O25" s="11">
        <v>0</v>
      </c>
      <c r="P25" s="16">
        <f t="shared" si="0"/>
        <v>-259348.13</v>
      </c>
    </row>
    <row r="26" spans="1:16">
      <c r="A26" s="2" t="s">
        <v>521</v>
      </c>
      <c r="B26" s="2" t="s">
        <v>275</v>
      </c>
      <c r="C26" s="2" t="s">
        <v>41</v>
      </c>
      <c r="D26" s="11">
        <v>0</v>
      </c>
      <c r="E26" s="12">
        <v>0</v>
      </c>
      <c r="F26" s="12">
        <v>0</v>
      </c>
      <c r="G26" s="12">
        <v>0</v>
      </c>
      <c r="H26" s="12">
        <v>0.06</v>
      </c>
      <c r="I26" s="12">
        <v>-757.73</v>
      </c>
      <c r="J26" s="12">
        <v>240.09</v>
      </c>
      <c r="K26" s="12">
        <v>0</v>
      </c>
      <c r="L26" s="12">
        <v>-123.27</v>
      </c>
      <c r="M26" s="12">
        <v>0</v>
      </c>
      <c r="N26" s="11">
        <v>0</v>
      </c>
      <c r="O26" s="11">
        <v>0</v>
      </c>
      <c r="P26" s="16">
        <f t="shared" si="0"/>
        <v>-640.85</v>
      </c>
    </row>
    <row r="27" spans="1:16">
      <c r="A27" s="2" t="s">
        <v>618</v>
      </c>
      <c r="B27" s="2" t="s">
        <v>304</v>
      </c>
      <c r="D27" s="11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/>
      <c r="N27" s="11">
        <v>0</v>
      </c>
      <c r="O27" s="11"/>
      <c r="P27" s="16">
        <f t="shared" si="0"/>
        <v>0</v>
      </c>
    </row>
    <row r="28" spans="1:16">
      <c r="A28" s="2" t="s">
        <v>528</v>
      </c>
      <c r="B28" s="2" t="s">
        <v>277</v>
      </c>
      <c r="C28" s="2" t="s">
        <v>41</v>
      </c>
      <c r="D28" s="11">
        <v>0</v>
      </c>
      <c r="E28" s="12">
        <v>272.47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1">
        <v>1731.9</v>
      </c>
      <c r="O28" s="11">
        <v>0</v>
      </c>
      <c r="P28" s="16">
        <f t="shared" si="0"/>
        <v>2004.37</v>
      </c>
    </row>
    <row r="29" spans="1:16">
      <c r="A29" s="2" t="s">
        <v>527</v>
      </c>
      <c r="B29" s="2" t="s">
        <v>278</v>
      </c>
      <c r="C29" s="2" t="s">
        <v>41</v>
      </c>
      <c r="D29" s="3">
        <v>998.15</v>
      </c>
      <c r="E29" s="7">
        <v>10.36</v>
      </c>
      <c r="F29" s="7">
        <v>16.67</v>
      </c>
      <c r="G29" s="7">
        <v>1403.21</v>
      </c>
      <c r="H29" s="7">
        <v>0</v>
      </c>
      <c r="I29" s="7">
        <v>486.34</v>
      </c>
      <c r="J29" s="7">
        <v>168.2</v>
      </c>
      <c r="K29" s="7">
        <v>1307.92</v>
      </c>
      <c r="L29" s="7">
        <v>104.16</v>
      </c>
      <c r="M29" s="7">
        <v>508.51</v>
      </c>
      <c r="N29" s="3">
        <v>1.05</v>
      </c>
      <c r="O29" s="3">
        <v>0</v>
      </c>
      <c r="P29" s="16">
        <f t="shared" si="0"/>
        <v>5004.57</v>
      </c>
    </row>
    <row r="30" spans="1:16">
      <c r="A30" s="2" t="s">
        <v>529</v>
      </c>
      <c r="B30" s="2" t="s">
        <v>422</v>
      </c>
      <c r="D30" s="11">
        <v>0</v>
      </c>
      <c r="E30" s="7">
        <v>0</v>
      </c>
      <c r="F30" s="7">
        <v>0</v>
      </c>
      <c r="G30" s="7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1">
        <v>0</v>
      </c>
      <c r="O30" s="11">
        <v>0</v>
      </c>
      <c r="P30" s="16">
        <f t="shared" si="0"/>
        <v>0</v>
      </c>
    </row>
    <row r="31" spans="1:16">
      <c r="A31" s="2" t="s">
        <v>530</v>
      </c>
      <c r="B31" s="2" t="s">
        <v>281</v>
      </c>
      <c r="D31" s="11">
        <v>10373.62</v>
      </c>
      <c r="E31" s="7">
        <v>64304.38</v>
      </c>
      <c r="F31" s="7">
        <v>61679.77</v>
      </c>
      <c r="G31" s="7">
        <v>63659.53</v>
      </c>
      <c r="H31" s="12">
        <v>58078.1</v>
      </c>
      <c r="I31" s="12">
        <v>63579</v>
      </c>
      <c r="J31" s="12">
        <v>72174.52</v>
      </c>
      <c r="K31" s="12">
        <v>67978.12</v>
      </c>
      <c r="L31" s="12">
        <v>63335.5</v>
      </c>
      <c r="M31" s="12">
        <v>64886.52</v>
      </c>
      <c r="N31" s="11">
        <v>40973.83</v>
      </c>
      <c r="O31" s="11">
        <v>98880.65</v>
      </c>
      <c r="P31" s="16">
        <f t="shared" si="0"/>
        <v>729903.54</v>
      </c>
    </row>
    <row r="32" spans="1:16">
      <c r="A32" s="2" t="s">
        <v>553</v>
      </c>
      <c r="B32" s="2" t="s">
        <v>292</v>
      </c>
      <c r="D32" s="3">
        <v>575.32</v>
      </c>
      <c r="E32" s="12">
        <v>4863.65</v>
      </c>
      <c r="F32" s="12">
        <v>0</v>
      </c>
      <c r="G32" s="12">
        <v>14650.86</v>
      </c>
      <c r="H32" s="7">
        <v>18520.33</v>
      </c>
      <c r="I32" s="7">
        <v>11268.57</v>
      </c>
      <c r="J32" s="7">
        <v>19238.14</v>
      </c>
      <c r="K32" s="7">
        <v>6932.54</v>
      </c>
      <c r="L32" s="7">
        <v>1223.66</v>
      </c>
      <c r="M32" s="7">
        <v>3987.29</v>
      </c>
      <c r="N32" s="3">
        <v>5312.28</v>
      </c>
      <c r="O32" s="3">
        <v>4466.85</v>
      </c>
      <c r="P32" s="16">
        <f t="shared" si="0"/>
        <v>91039.49</v>
      </c>
    </row>
    <row r="33" spans="1:16">
      <c r="A33" s="2" t="s">
        <v>532</v>
      </c>
      <c r="B33" s="2" t="s">
        <v>282</v>
      </c>
      <c r="D33" s="3">
        <v>0</v>
      </c>
      <c r="E33" s="7">
        <v>0</v>
      </c>
      <c r="F33" s="7">
        <v>4126.42</v>
      </c>
      <c r="G33" s="7">
        <v>242.4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3">
        <v>0</v>
      </c>
      <c r="O33" s="3">
        <v>0</v>
      </c>
      <c r="P33" s="16">
        <f t="shared" si="0"/>
        <v>4368.82</v>
      </c>
    </row>
    <row r="34" spans="1:16">
      <c r="A34" s="2" t="s">
        <v>533</v>
      </c>
      <c r="B34" s="2" t="s">
        <v>283</v>
      </c>
      <c r="D34" s="3">
        <v>1562.81</v>
      </c>
      <c r="E34" s="7">
        <v>9752.46</v>
      </c>
      <c r="F34" s="7">
        <v>3766.61</v>
      </c>
      <c r="G34" s="7">
        <v>5232.94</v>
      </c>
      <c r="H34" s="7">
        <v>1208.53</v>
      </c>
      <c r="I34" s="7">
        <v>18870.39</v>
      </c>
      <c r="J34" s="7">
        <v>5468.14</v>
      </c>
      <c r="K34" s="7">
        <v>7969.51</v>
      </c>
      <c r="L34" s="7">
        <v>4970.8</v>
      </c>
      <c r="M34" s="7">
        <v>11662.9</v>
      </c>
      <c r="N34" s="3">
        <v>828.19</v>
      </c>
      <c r="O34" s="3">
        <v>3943.19</v>
      </c>
      <c r="P34" s="16">
        <f t="shared" si="0"/>
        <v>75236.47</v>
      </c>
    </row>
    <row r="35" spans="1:16">
      <c r="A35" s="2" t="s">
        <v>534</v>
      </c>
      <c r="B35" s="2" t="s">
        <v>284</v>
      </c>
      <c r="D35" s="3">
        <v>33.65</v>
      </c>
      <c r="E35" s="7">
        <v>9176.02</v>
      </c>
      <c r="F35" s="7">
        <v>16951.67</v>
      </c>
      <c r="G35" s="7">
        <v>54788.34</v>
      </c>
      <c r="H35" s="7">
        <v>6772</v>
      </c>
      <c r="I35" s="7">
        <v>9323.35</v>
      </c>
      <c r="J35" s="7">
        <v>0</v>
      </c>
      <c r="K35" s="7">
        <v>25223.16</v>
      </c>
      <c r="L35" s="7">
        <v>0</v>
      </c>
      <c r="M35" s="7">
        <v>8577.12</v>
      </c>
      <c r="N35" s="3">
        <v>7057.91</v>
      </c>
      <c r="O35" s="3">
        <v>2818</v>
      </c>
      <c r="P35" s="16">
        <f t="shared" si="0"/>
        <v>140721.22</v>
      </c>
    </row>
    <row r="36" spans="1:16">
      <c r="A36" s="2" t="s">
        <v>536</v>
      </c>
      <c r="B36" s="2" t="s">
        <v>285</v>
      </c>
      <c r="D36" s="3">
        <v>0</v>
      </c>
      <c r="E36" s="7">
        <v>44351.36</v>
      </c>
      <c r="F36" s="7">
        <v>24930.66</v>
      </c>
      <c r="G36" s="7">
        <v>10446.42</v>
      </c>
      <c r="H36" s="7">
        <v>11119.65</v>
      </c>
      <c r="I36" s="7">
        <v>4671.04</v>
      </c>
      <c r="J36" s="7">
        <v>43714.91</v>
      </c>
      <c r="K36" s="7">
        <v>-5668.09</v>
      </c>
      <c r="L36" s="7">
        <v>2708.63</v>
      </c>
      <c r="M36" s="7">
        <v>0</v>
      </c>
      <c r="N36" s="3">
        <v>3090.35</v>
      </c>
      <c r="O36" s="3">
        <v>2363.52</v>
      </c>
      <c r="P36" s="16">
        <f t="shared" si="0"/>
        <v>141728.45</v>
      </c>
    </row>
    <row r="37" spans="1:16">
      <c r="A37" s="2" t="s">
        <v>535</v>
      </c>
      <c r="B37" s="2" t="s">
        <v>286</v>
      </c>
      <c r="D37" s="3">
        <v>16121.11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3">
        <v>0</v>
      </c>
      <c r="O37" s="3">
        <v>0</v>
      </c>
      <c r="P37" s="16">
        <f t="shared" si="0"/>
        <v>16121.11</v>
      </c>
    </row>
    <row r="38" spans="1:16">
      <c r="A38" s="2" t="s">
        <v>537</v>
      </c>
      <c r="B38" s="2" t="s">
        <v>288</v>
      </c>
      <c r="D38" s="3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3">
        <v>0</v>
      </c>
      <c r="O38" s="3">
        <v>0</v>
      </c>
      <c r="P38" s="16">
        <f t="shared" si="0"/>
        <v>0</v>
      </c>
    </row>
    <row r="39" spans="1:16">
      <c r="A39" s="2" t="s">
        <v>539</v>
      </c>
      <c r="B39" s="2" t="s">
        <v>295</v>
      </c>
      <c r="D39" s="3">
        <v>17039.44</v>
      </c>
      <c r="E39" s="7">
        <v>5722.4</v>
      </c>
      <c r="F39" s="7">
        <v>7200</v>
      </c>
      <c r="G39" s="7">
        <v>4386.56</v>
      </c>
      <c r="H39" s="7">
        <v>0</v>
      </c>
      <c r="I39" s="7">
        <v>0</v>
      </c>
      <c r="J39" s="7">
        <v>27500</v>
      </c>
      <c r="K39" s="7">
        <v>10500</v>
      </c>
      <c r="L39" s="7">
        <v>0</v>
      </c>
      <c r="M39" s="7">
        <v>0</v>
      </c>
      <c r="N39" s="3">
        <v>-3136.56</v>
      </c>
      <c r="O39" s="3">
        <v>-55305.23</v>
      </c>
      <c r="P39" s="16">
        <f t="shared" si="0"/>
        <v>13906.61</v>
      </c>
    </row>
    <row r="40" spans="1:16">
      <c r="A40" s="2" t="s">
        <v>540</v>
      </c>
      <c r="B40" s="2" t="s">
        <v>297</v>
      </c>
      <c r="D40" s="3">
        <v>0</v>
      </c>
      <c r="E40" s="7">
        <v>0</v>
      </c>
      <c r="F40" s="7">
        <v>940108.86</v>
      </c>
      <c r="G40" s="7">
        <v>385228.23</v>
      </c>
      <c r="H40" s="7">
        <v>415003.8</v>
      </c>
      <c r="I40" s="7">
        <v>419750.76</v>
      </c>
      <c r="J40" s="7">
        <v>431164.72</v>
      </c>
      <c r="K40" s="7">
        <v>447895.45</v>
      </c>
      <c r="L40" s="7">
        <v>512213.36</v>
      </c>
      <c r="M40" s="7">
        <v>479147.47</v>
      </c>
      <c r="N40" s="3">
        <v>502132.27</v>
      </c>
      <c r="O40" s="3">
        <v>532822.85</v>
      </c>
      <c r="P40" s="16">
        <f t="shared" si="0"/>
        <v>5065467.77</v>
      </c>
    </row>
    <row r="41" spans="1:16">
      <c r="A41" s="2" t="s">
        <v>542</v>
      </c>
      <c r="B41" s="2" t="s">
        <v>298</v>
      </c>
      <c r="D41" s="3">
        <v>93000</v>
      </c>
      <c r="E41" s="7">
        <v>318220.62</v>
      </c>
      <c r="F41" s="7">
        <v>323320.58</v>
      </c>
      <c r="G41" s="7">
        <v>209993.52</v>
      </c>
      <c r="H41" s="7">
        <v>313792.59</v>
      </c>
      <c r="I41" s="7">
        <v>216343.7</v>
      </c>
      <c r="J41" s="7">
        <v>215310.18</v>
      </c>
      <c r="K41" s="7">
        <v>169532.48</v>
      </c>
      <c r="L41" s="7">
        <v>229238.39</v>
      </c>
      <c r="M41" s="7">
        <v>241330.46</v>
      </c>
      <c r="N41" s="3">
        <v>181889.26</v>
      </c>
      <c r="O41" s="3">
        <v>205907.63</v>
      </c>
      <c r="P41" s="16">
        <f t="shared" si="0"/>
        <v>2717879.41</v>
      </c>
    </row>
    <row r="42" spans="1:16">
      <c r="A42" s="2" t="s">
        <v>544</v>
      </c>
      <c r="B42" s="2" t="s">
        <v>299</v>
      </c>
      <c r="D42" s="3">
        <v>142904</v>
      </c>
      <c r="E42" s="7">
        <v>142904</v>
      </c>
      <c r="F42" s="7">
        <v>1384303.28</v>
      </c>
      <c r="G42" s="7">
        <v>-1187435.73</v>
      </c>
      <c r="H42" s="7">
        <v>291817.04</v>
      </c>
      <c r="I42" s="7">
        <v>571982.13</v>
      </c>
      <c r="J42" s="7">
        <v>336352.6</v>
      </c>
      <c r="K42" s="7">
        <v>96365.24</v>
      </c>
      <c r="L42" s="7">
        <v>175646.01</v>
      </c>
      <c r="M42" s="7">
        <v>347211.14</v>
      </c>
      <c r="N42" s="3">
        <v>124568.01</v>
      </c>
      <c r="O42" s="3">
        <v>391127.8</v>
      </c>
      <c r="P42" s="16">
        <f t="shared" si="0"/>
        <v>2817745.52</v>
      </c>
    </row>
    <row r="43" spans="1:16">
      <c r="A43" s="2" t="s">
        <v>546</v>
      </c>
      <c r="B43" s="2" t="s">
        <v>301</v>
      </c>
      <c r="D43" s="3">
        <v>199061.38</v>
      </c>
      <c r="E43" s="7">
        <v>258305.44</v>
      </c>
      <c r="F43" s="7">
        <v>279316.7</v>
      </c>
      <c r="G43" s="7">
        <v>262774.6</v>
      </c>
      <c r="H43" s="7">
        <v>270441.66</v>
      </c>
      <c r="I43" s="7">
        <v>258074.28</v>
      </c>
      <c r="J43" s="7">
        <v>201786.11</v>
      </c>
      <c r="K43" s="7">
        <v>199513.26</v>
      </c>
      <c r="L43" s="7">
        <v>383437.32</v>
      </c>
      <c r="M43" s="7">
        <v>268809.11</v>
      </c>
      <c r="N43" s="3">
        <v>267432.17</v>
      </c>
      <c r="O43" s="3">
        <v>332861.13</v>
      </c>
      <c r="P43" s="16">
        <f t="shared" si="0"/>
        <v>3181813.16</v>
      </c>
    </row>
    <row r="44" spans="1:16">
      <c r="A44" s="2" t="s">
        <v>548</v>
      </c>
      <c r="B44" s="2" t="s">
        <v>302</v>
      </c>
      <c r="D44" s="3">
        <v>225958.4</v>
      </c>
      <c r="E44" s="7">
        <v>338231.02</v>
      </c>
      <c r="F44" s="7">
        <v>243066.3</v>
      </c>
      <c r="G44" s="7">
        <v>260518.69</v>
      </c>
      <c r="H44" s="7">
        <v>261137.74</v>
      </c>
      <c r="I44" s="7">
        <v>261525.77</v>
      </c>
      <c r="J44" s="7">
        <v>215232.85</v>
      </c>
      <c r="K44" s="7">
        <v>182968.48</v>
      </c>
      <c r="L44" s="7">
        <v>210339.45</v>
      </c>
      <c r="M44" s="7">
        <v>233337.35</v>
      </c>
      <c r="N44" s="3">
        <v>287080.81</v>
      </c>
      <c r="O44" s="3">
        <v>192510.39</v>
      </c>
      <c r="P44" s="16">
        <f t="shared" si="0"/>
        <v>2911907.25</v>
      </c>
    </row>
    <row r="45" spans="1:16">
      <c r="A45" s="2" t="s">
        <v>616</v>
      </c>
      <c r="B45" s="2" t="s">
        <v>303</v>
      </c>
      <c r="D45" s="3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12"/>
      <c r="N45" s="11">
        <v>0</v>
      </c>
      <c r="O45" s="11"/>
      <c r="P45" s="16">
        <f t="shared" si="0"/>
        <v>0</v>
      </c>
    </row>
    <row r="46" spans="1:16">
      <c r="A46" s="2" t="s">
        <v>554</v>
      </c>
      <c r="B46" s="2" t="s">
        <v>423</v>
      </c>
      <c r="D46" s="3">
        <v>26169.36</v>
      </c>
      <c r="E46" s="12">
        <v>57394.16</v>
      </c>
      <c r="F46" s="12">
        <v>12325</v>
      </c>
      <c r="G46" s="12">
        <v>0</v>
      </c>
      <c r="H46" s="7">
        <v>3420</v>
      </c>
      <c r="I46" s="7">
        <v>1426</v>
      </c>
      <c r="J46" s="7">
        <v>0</v>
      </c>
      <c r="K46" s="7">
        <v>0</v>
      </c>
      <c r="L46" s="7">
        <v>0</v>
      </c>
      <c r="M46" s="7">
        <v>0</v>
      </c>
      <c r="N46" s="3">
        <v>0</v>
      </c>
      <c r="O46" s="3">
        <v>0</v>
      </c>
      <c r="P46" s="16">
        <f t="shared" si="0"/>
        <v>100734.52</v>
      </c>
    </row>
    <row r="47" spans="1:16">
      <c r="A47" s="2" t="s">
        <v>555</v>
      </c>
      <c r="B47" s="2" t="s">
        <v>309</v>
      </c>
      <c r="D47" s="11">
        <v>0</v>
      </c>
      <c r="E47" s="7">
        <v>39.58</v>
      </c>
      <c r="F47" s="7">
        <v>85.43</v>
      </c>
      <c r="G47" s="7">
        <v>0</v>
      </c>
      <c r="H47" s="12">
        <v>0</v>
      </c>
      <c r="I47" s="12">
        <v>55500</v>
      </c>
      <c r="J47" s="12">
        <v>0</v>
      </c>
      <c r="K47" s="12">
        <v>0</v>
      </c>
      <c r="L47" s="12">
        <v>0</v>
      </c>
      <c r="M47" s="7">
        <v>-8128.81</v>
      </c>
      <c r="N47" s="3">
        <v>-11.07</v>
      </c>
      <c r="O47" s="3">
        <v>0</v>
      </c>
      <c r="P47" s="16">
        <f t="shared" si="0"/>
        <v>47485.13</v>
      </c>
    </row>
    <row r="48" spans="1:16">
      <c r="A48" s="2" t="s">
        <v>647</v>
      </c>
      <c r="B48" s="2" t="s">
        <v>648</v>
      </c>
      <c r="D48" s="11">
        <v>0</v>
      </c>
      <c r="E48" s="7">
        <v>0</v>
      </c>
      <c r="F48" s="7">
        <v>0</v>
      </c>
      <c r="G48" s="7">
        <v>7911.35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/>
      <c r="N48" s="11">
        <v>0</v>
      </c>
      <c r="O48" s="11">
        <v>0</v>
      </c>
      <c r="P48" s="16">
        <f t="shared" si="0"/>
        <v>7911.35</v>
      </c>
    </row>
    <row r="49" spans="1:16">
      <c r="A49" s="2" t="s">
        <v>556</v>
      </c>
      <c r="B49" s="2" t="s">
        <v>310</v>
      </c>
      <c r="D49" s="11">
        <v>0</v>
      </c>
      <c r="E49" s="7">
        <v>0</v>
      </c>
      <c r="F49" s="7">
        <v>0</v>
      </c>
      <c r="G49" s="7">
        <v>10674.05</v>
      </c>
      <c r="H49" s="12">
        <v>0</v>
      </c>
      <c r="I49" s="12">
        <v>2989.85</v>
      </c>
      <c r="J49" s="12">
        <v>6339.31</v>
      </c>
      <c r="K49" s="12">
        <v>1307.6</v>
      </c>
      <c r="L49" s="12">
        <v>0</v>
      </c>
      <c r="M49" s="7">
        <v>1380.77</v>
      </c>
      <c r="N49" s="3">
        <v>-0.01</v>
      </c>
      <c r="O49" s="3">
        <v>2637.15</v>
      </c>
      <c r="P49" s="16">
        <f t="shared" si="0"/>
        <v>25328.72</v>
      </c>
    </row>
    <row r="50" spans="1:16">
      <c r="A50" s="2" t="s">
        <v>558</v>
      </c>
      <c r="B50" s="2" t="s">
        <v>313</v>
      </c>
      <c r="D50" s="3">
        <v>93398.65</v>
      </c>
      <c r="E50" s="7">
        <v>215750.77</v>
      </c>
      <c r="F50" s="7">
        <v>22746.22</v>
      </c>
      <c r="G50" s="7">
        <v>14460.7</v>
      </c>
      <c r="H50" s="7">
        <v>57016.04</v>
      </c>
      <c r="I50" s="7">
        <v>51487.39</v>
      </c>
      <c r="J50" s="7">
        <v>39706.95</v>
      </c>
      <c r="K50" s="7">
        <v>84975.02</v>
      </c>
      <c r="L50" s="7">
        <v>354093.91</v>
      </c>
      <c r="M50" s="7">
        <v>300518.46</v>
      </c>
      <c r="N50" s="3">
        <v>424719.42</v>
      </c>
      <c r="O50" s="3">
        <v>89688.63</v>
      </c>
      <c r="P50" s="16">
        <f t="shared" si="0"/>
        <v>1748562.16</v>
      </c>
    </row>
    <row r="51" spans="1:16">
      <c r="A51" s="2" t="s">
        <v>623</v>
      </c>
      <c r="B51" s="2" t="s">
        <v>271</v>
      </c>
      <c r="C51" s="2" t="s">
        <v>41</v>
      </c>
      <c r="D51" s="3">
        <v>0</v>
      </c>
      <c r="E51" s="7">
        <v>0</v>
      </c>
      <c r="F51" s="7">
        <v>-38700122.72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3">
        <v>0</v>
      </c>
      <c r="O51" s="3">
        <v>0</v>
      </c>
      <c r="P51" s="16">
        <f t="shared" si="0"/>
        <v>-38700122.72</v>
      </c>
    </row>
    <row r="52" spans="1:16">
      <c r="A52" s="2" t="s">
        <v>649</v>
      </c>
      <c r="B52" s="2" t="s">
        <v>272</v>
      </c>
      <c r="C52" s="2" t="s">
        <v>41</v>
      </c>
      <c r="D52" s="3">
        <v>0</v>
      </c>
      <c r="E52" s="7">
        <v>0</v>
      </c>
      <c r="F52" s="7">
        <v>38696736.25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3">
        <v>0</v>
      </c>
      <c r="O52" s="3">
        <v>0</v>
      </c>
      <c r="P52" s="16">
        <f t="shared" si="0"/>
        <v>38696736.25</v>
      </c>
    </row>
    <row r="53" spans="1:16">
      <c r="A53" s="2" t="s">
        <v>525</v>
      </c>
      <c r="B53" s="2" t="s">
        <v>274</v>
      </c>
      <c r="C53" s="2" t="s">
        <v>41</v>
      </c>
      <c r="D53" s="3">
        <v>0</v>
      </c>
      <c r="E53" s="7">
        <v>0</v>
      </c>
      <c r="F53" s="7">
        <v>0</v>
      </c>
      <c r="G53" s="7">
        <v>0</v>
      </c>
      <c r="H53" s="7">
        <v>-1675.77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3">
        <v>-900.5</v>
      </c>
      <c r="O53" s="3">
        <v>0</v>
      </c>
      <c r="P53" s="16">
        <f t="shared" si="0"/>
        <v>-2576.27</v>
      </c>
    </row>
    <row r="54" spans="1:16">
      <c r="A54" s="2" t="s">
        <v>523</v>
      </c>
      <c r="B54" s="2" t="s">
        <v>269</v>
      </c>
      <c r="C54" s="2" t="s">
        <v>41</v>
      </c>
      <c r="D54" s="3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2052.69</v>
      </c>
      <c r="K54" s="7">
        <v>0</v>
      </c>
      <c r="L54" s="7">
        <v>485.95</v>
      </c>
      <c r="M54" s="7">
        <v>0</v>
      </c>
      <c r="N54" s="3">
        <v>5299.69</v>
      </c>
      <c r="O54" s="3">
        <v>0</v>
      </c>
      <c r="P54" s="16">
        <f t="shared" si="0"/>
        <v>7838.33</v>
      </c>
    </row>
    <row r="55" spans="1:16">
      <c r="A55" s="2" t="s">
        <v>561</v>
      </c>
      <c r="B55" s="2" t="s">
        <v>380</v>
      </c>
      <c r="D55" s="3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295.3</v>
      </c>
      <c r="K55" s="7">
        <v>0</v>
      </c>
      <c r="L55" s="7">
        <v>0</v>
      </c>
      <c r="M55" s="7">
        <v>0</v>
      </c>
      <c r="N55" s="3">
        <v>0</v>
      </c>
      <c r="O55" s="3">
        <v>0</v>
      </c>
      <c r="P55" s="16">
        <f t="shared" si="0"/>
        <v>295.3</v>
      </c>
    </row>
    <row r="56" spans="1:16">
      <c r="A56" s="2" t="s">
        <v>560</v>
      </c>
      <c r="B56" s="2" t="s">
        <v>311</v>
      </c>
      <c r="D56" s="3">
        <v>0</v>
      </c>
      <c r="E56" s="7">
        <v>0</v>
      </c>
      <c r="F56" s="7">
        <v>0</v>
      </c>
      <c r="G56" s="7">
        <v>5292.42</v>
      </c>
      <c r="H56" s="7">
        <v>0</v>
      </c>
      <c r="I56" s="7">
        <v>6914.01</v>
      </c>
      <c r="J56" s="7">
        <v>0</v>
      </c>
      <c r="K56" s="7">
        <v>0</v>
      </c>
      <c r="L56" s="7">
        <v>0</v>
      </c>
      <c r="M56" s="7">
        <v>0</v>
      </c>
      <c r="N56" s="3">
        <v>337.19</v>
      </c>
      <c r="O56" s="3">
        <v>0</v>
      </c>
      <c r="P56" s="16">
        <f t="shared" si="0"/>
        <v>12543.62</v>
      </c>
    </row>
    <row r="57" spans="1:16">
      <c r="A57" s="2" t="s">
        <v>562</v>
      </c>
      <c r="B57" s="2" t="s">
        <v>371</v>
      </c>
      <c r="D57" s="3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73573.81</v>
      </c>
      <c r="L57" s="7">
        <v>0</v>
      </c>
      <c r="M57" s="7">
        <v>39420</v>
      </c>
      <c r="N57" s="3">
        <v>16094.87</v>
      </c>
      <c r="O57" s="3">
        <v>16309.29</v>
      </c>
      <c r="P57" s="16">
        <f t="shared" si="0"/>
        <v>145397.97</v>
      </c>
    </row>
    <row r="58" spans="1:16">
      <c r="A58" s="2" t="s">
        <v>551</v>
      </c>
      <c r="B58" s="2" t="s">
        <v>307</v>
      </c>
      <c r="C58" s="2" t="s">
        <v>41</v>
      </c>
      <c r="D58" s="3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400000</v>
      </c>
      <c r="M58" s="7">
        <v>0</v>
      </c>
      <c r="N58" s="3">
        <v>0</v>
      </c>
      <c r="O58" s="3">
        <v>0</v>
      </c>
      <c r="P58" s="16">
        <f t="shared" si="0"/>
        <v>400000</v>
      </c>
    </row>
    <row r="59" spans="1:16">
      <c r="A59" s="2" t="s">
        <v>567</v>
      </c>
      <c r="B59" s="2" t="s">
        <v>321</v>
      </c>
      <c r="C59" s="2" t="s">
        <v>41</v>
      </c>
      <c r="D59" s="13">
        <v>0</v>
      </c>
      <c r="E59" s="14">
        <v>0</v>
      </c>
      <c r="F59" s="14">
        <v>0</v>
      </c>
      <c r="G59" s="14">
        <v>0</v>
      </c>
      <c r="H59" s="14">
        <v>0</v>
      </c>
      <c r="I59" s="14">
        <v>0</v>
      </c>
      <c r="J59" s="14">
        <v>0</v>
      </c>
      <c r="K59" s="14"/>
      <c r="L59" s="14"/>
      <c r="M59" s="14"/>
      <c r="N59" s="13"/>
      <c r="O59" s="13"/>
      <c r="P59" s="16">
        <f t="shared" si="0"/>
        <v>0</v>
      </c>
    </row>
    <row r="60" spans="1:16">
      <c r="A60" s="2">
        <v>6666029900</v>
      </c>
      <c r="B60" s="15" t="s">
        <v>432</v>
      </c>
      <c r="C60" s="2" t="s">
        <v>41</v>
      </c>
      <c r="D60" s="13">
        <v>0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/>
      <c r="L60" s="14"/>
      <c r="M60" s="14"/>
      <c r="N60" s="13"/>
      <c r="O60" s="18">
        <v>333.33</v>
      </c>
      <c r="P60" s="16">
        <f t="shared" si="0"/>
        <v>333.33</v>
      </c>
    </row>
    <row r="61" spans="1:16">
      <c r="A61" s="2" t="s">
        <v>622</v>
      </c>
      <c r="D61" s="13"/>
      <c r="E61" s="14"/>
      <c r="F61" s="14"/>
      <c r="G61" s="14"/>
      <c r="H61" s="14"/>
      <c r="I61" s="14"/>
      <c r="J61" s="14"/>
      <c r="K61" s="14"/>
      <c r="L61" s="14"/>
      <c r="M61" s="14"/>
      <c r="N61" s="13">
        <v>0</v>
      </c>
      <c r="O61" s="13"/>
      <c r="P61" s="16">
        <f t="shared" si="0"/>
        <v>0</v>
      </c>
    </row>
    <row r="62" spans="1:16">
      <c r="A62" s="8" t="s">
        <v>267</v>
      </c>
      <c r="B62" s="8" t="s">
        <v>267</v>
      </c>
      <c r="D62" s="9">
        <v>827195.89</v>
      </c>
      <c r="E62" s="10">
        <v>1469298.69</v>
      </c>
      <c r="F62" s="10">
        <v>3061002.15000001</v>
      </c>
      <c r="G62" s="10">
        <v>124435.51</v>
      </c>
      <c r="H62" s="10">
        <v>1706651.77</v>
      </c>
      <c r="I62" s="10">
        <v>1953434.85</v>
      </c>
      <c r="J62" s="10">
        <v>1616744.71</v>
      </c>
      <c r="K62" s="10">
        <v>1370374.5</v>
      </c>
      <c r="L62" s="10">
        <v>2337673.87</v>
      </c>
      <c r="M62" s="10">
        <v>1992648.29</v>
      </c>
      <c r="N62" s="9">
        <f>SUM(N25:N61)</f>
        <v>1864501.06</v>
      </c>
      <c r="O62" s="9">
        <f>SUM(O25:O61)</f>
        <v>1821365.18</v>
      </c>
      <c r="P62" s="16">
        <f t="shared" si="0"/>
        <v>20145326.47</v>
      </c>
    </row>
    <row r="63" spans="1:16">
      <c r="A63" s="2" t="s">
        <v>564</v>
      </c>
      <c r="B63" s="2" t="s">
        <v>316</v>
      </c>
      <c r="C63" s="2" t="s">
        <v>41</v>
      </c>
      <c r="D63" s="3">
        <v>27086.49</v>
      </c>
      <c r="E63" s="7">
        <v>1413.51</v>
      </c>
      <c r="F63" s="7">
        <v>71490.45</v>
      </c>
      <c r="G63" s="7">
        <v>579510.79</v>
      </c>
      <c r="H63" s="7">
        <v>157515.17</v>
      </c>
      <c r="I63" s="7">
        <v>474577.28</v>
      </c>
      <c r="J63" s="7">
        <v>64111.17</v>
      </c>
      <c r="K63" s="7">
        <v>-5366.2</v>
      </c>
      <c r="L63" s="7">
        <v>-10914.44</v>
      </c>
      <c r="M63" s="7">
        <v>1690.48</v>
      </c>
      <c r="N63" s="3">
        <v>-843.4</v>
      </c>
      <c r="O63" s="3">
        <v>-470262.26</v>
      </c>
      <c r="P63" s="16">
        <f t="shared" si="0"/>
        <v>890009.04</v>
      </c>
    </row>
    <row r="64" spans="1:16">
      <c r="A64" s="2" t="s">
        <v>566</v>
      </c>
      <c r="B64" s="2" t="s">
        <v>320</v>
      </c>
      <c r="C64" s="2" t="s">
        <v>41</v>
      </c>
      <c r="D64" s="3">
        <v>-45865.66</v>
      </c>
      <c r="E64" s="7">
        <v>-826.02</v>
      </c>
      <c r="F64" s="7">
        <v>0</v>
      </c>
      <c r="G64" s="7">
        <v>-11095.85</v>
      </c>
      <c r="H64" s="7">
        <v>-1619.95</v>
      </c>
      <c r="I64" s="7">
        <v>-623467.57</v>
      </c>
      <c r="J64" s="7">
        <v>-149443.73</v>
      </c>
      <c r="K64" s="7">
        <v>-7662212.38</v>
      </c>
      <c r="L64" s="7">
        <v>404054.66</v>
      </c>
      <c r="M64" s="7">
        <v>51992.88</v>
      </c>
      <c r="N64" s="3">
        <v>906595.19</v>
      </c>
      <c r="O64" s="3">
        <v>-4166407.41</v>
      </c>
      <c r="P64" s="16">
        <f t="shared" si="0"/>
        <v>-11298295.84</v>
      </c>
    </row>
    <row r="65" spans="1:16">
      <c r="A65" s="2" t="s">
        <v>567</v>
      </c>
      <c r="B65" s="2" t="s">
        <v>321</v>
      </c>
      <c r="C65" s="2" t="s">
        <v>41</v>
      </c>
      <c r="D65" s="3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10415179.54</v>
      </c>
      <c r="L65" s="7">
        <v>118034.14</v>
      </c>
      <c r="M65" s="7">
        <v>-1069.5</v>
      </c>
      <c r="N65" s="3">
        <v>9065.59</v>
      </c>
      <c r="O65" s="3">
        <v>4583024.88</v>
      </c>
      <c r="P65" s="16">
        <f t="shared" si="0"/>
        <v>15124234.65</v>
      </c>
    </row>
    <row r="66" spans="1:16">
      <c r="A66" s="8" t="s">
        <v>317</v>
      </c>
      <c r="B66" s="8" t="s">
        <v>317</v>
      </c>
      <c r="D66" s="9">
        <v>-18779.17</v>
      </c>
      <c r="E66" s="10">
        <v>587.49</v>
      </c>
      <c r="F66" s="10">
        <v>71490.45</v>
      </c>
      <c r="G66" s="10">
        <v>568414.94</v>
      </c>
      <c r="H66" s="10">
        <v>155895.22</v>
      </c>
      <c r="I66" s="10">
        <v>-148890.29</v>
      </c>
      <c r="J66" s="10">
        <v>-85332.56</v>
      </c>
      <c r="K66" s="10">
        <v>2747600.96</v>
      </c>
      <c r="L66" s="10">
        <v>511174.36</v>
      </c>
      <c r="M66" s="10">
        <v>52613.86</v>
      </c>
      <c r="N66" s="9">
        <f>SUM(N63:N65)</f>
        <v>914817.38</v>
      </c>
      <c r="O66" s="9">
        <f>SUM(O63:O65)</f>
        <v>-53644.790000001</v>
      </c>
      <c r="P66" s="16">
        <f t="shared" si="0"/>
        <v>4715947.85</v>
      </c>
    </row>
    <row r="67" spans="1:16">
      <c r="A67" s="2" t="s">
        <v>622</v>
      </c>
      <c r="D67" s="3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/>
      <c r="N67" s="3"/>
      <c r="O67" s="3"/>
      <c r="P67" s="16">
        <f t="shared" si="0"/>
        <v>0</v>
      </c>
    </row>
    <row r="68" spans="1:16">
      <c r="A68" s="8" t="s">
        <v>323</v>
      </c>
      <c r="B68" s="8" t="s">
        <v>323</v>
      </c>
      <c r="D68" s="9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9"/>
      <c r="O68" s="9"/>
      <c r="P68" s="16">
        <f t="shared" si="0"/>
        <v>0</v>
      </c>
    </row>
    <row r="69" spans="1:16">
      <c r="A69" s="2" t="s">
        <v>570</v>
      </c>
      <c r="B69" s="2" t="s">
        <v>325</v>
      </c>
      <c r="C69" s="2" t="s">
        <v>41</v>
      </c>
      <c r="D69" s="3">
        <v>-198682</v>
      </c>
      <c r="E69" s="7">
        <v>-432229.85</v>
      </c>
      <c r="F69" s="7">
        <v>-463412.5</v>
      </c>
      <c r="G69" s="7">
        <v>-823575.5</v>
      </c>
      <c r="H69" s="7">
        <v>-1422298</v>
      </c>
      <c r="I69" s="7">
        <v>-847610</v>
      </c>
      <c r="J69" s="7">
        <v>-821163.5</v>
      </c>
      <c r="K69" s="7">
        <v>-573054.5</v>
      </c>
      <c r="L69" s="7">
        <v>-263726.5</v>
      </c>
      <c r="M69" s="7">
        <v>-794531</v>
      </c>
      <c r="N69" s="3">
        <v>-260614.5</v>
      </c>
      <c r="O69" s="3">
        <v>-690257</v>
      </c>
      <c r="P69" s="16">
        <f t="shared" ref="P69:P112" si="1">SUM(D69:O69)</f>
        <v>-7591154.85</v>
      </c>
    </row>
    <row r="70" spans="1:16">
      <c r="A70" s="8" t="s">
        <v>326</v>
      </c>
      <c r="B70" s="8" t="s">
        <v>326</v>
      </c>
      <c r="D70" s="9">
        <v>-198682</v>
      </c>
      <c r="E70" s="10">
        <v>-432229.85</v>
      </c>
      <c r="F70" s="10">
        <v>-463412.5</v>
      </c>
      <c r="G70" s="10">
        <v>-823575.5</v>
      </c>
      <c r="H70" s="10">
        <v>-1422298</v>
      </c>
      <c r="I70" s="10">
        <v>-847610</v>
      </c>
      <c r="J70" s="10">
        <v>-821163.5</v>
      </c>
      <c r="K70" s="10">
        <v>-573054.5</v>
      </c>
      <c r="L70" s="10">
        <v>-263726.5</v>
      </c>
      <c r="M70" s="10">
        <v>-794531</v>
      </c>
      <c r="N70" s="9">
        <f>N69</f>
        <v>-260614.5</v>
      </c>
      <c r="O70" s="9">
        <f>O69</f>
        <v>-690257</v>
      </c>
      <c r="P70" s="16">
        <f t="shared" si="1"/>
        <v>-7591154.85</v>
      </c>
    </row>
    <row r="71" spans="1:16">
      <c r="A71" s="19" t="s">
        <v>572</v>
      </c>
      <c r="B71" s="19" t="s">
        <v>328</v>
      </c>
      <c r="D71" s="18">
        <v>241200</v>
      </c>
      <c r="E71" s="20">
        <v>-102764.3</v>
      </c>
      <c r="F71" s="20">
        <v>538862</v>
      </c>
      <c r="G71" s="20">
        <v>144000</v>
      </c>
      <c r="H71" s="20">
        <v>158348</v>
      </c>
      <c r="I71" s="20">
        <v>88095.77</v>
      </c>
      <c r="J71" s="20">
        <v>144480</v>
      </c>
      <c r="K71" s="20">
        <v>163200</v>
      </c>
      <c r="L71" s="20">
        <v>151200</v>
      </c>
      <c r="M71" s="20">
        <v>149280</v>
      </c>
      <c r="N71" s="18">
        <v>6249.6</v>
      </c>
      <c r="O71" s="18">
        <v>158064</v>
      </c>
      <c r="P71" s="16">
        <f t="shared" si="1"/>
        <v>1840215.07</v>
      </c>
    </row>
    <row r="72" spans="1:16">
      <c r="A72" s="8" t="s">
        <v>329</v>
      </c>
      <c r="B72" s="8" t="s">
        <v>329</v>
      </c>
      <c r="D72" s="9">
        <v>241200</v>
      </c>
      <c r="E72" s="10">
        <v>-102764.3</v>
      </c>
      <c r="F72" s="10">
        <v>538862</v>
      </c>
      <c r="G72" s="10">
        <v>144000</v>
      </c>
      <c r="H72" s="10">
        <v>158348</v>
      </c>
      <c r="I72" s="10">
        <v>88095.77</v>
      </c>
      <c r="J72" s="10">
        <v>144480</v>
      </c>
      <c r="K72" s="10">
        <v>163200</v>
      </c>
      <c r="L72" s="10">
        <v>151200</v>
      </c>
      <c r="M72" s="10">
        <v>149280</v>
      </c>
      <c r="N72" s="9">
        <f>N71</f>
        <v>6249.6</v>
      </c>
      <c r="O72" s="9">
        <f>O71</f>
        <v>158064</v>
      </c>
      <c r="P72" s="16">
        <f t="shared" si="1"/>
        <v>1840215.07</v>
      </c>
    </row>
    <row r="73" spans="1:16">
      <c r="A73" s="2" t="s">
        <v>574</v>
      </c>
      <c r="B73" s="2" t="s">
        <v>331</v>
      </c>
      <c r="D73" s="3">
        <v>397869.75</v>
      </c>
      <c r="E73" s="7">
        <v>276625.49</v>
      </c>
      <c r="F73" s="7">
        <v>594326.12</v>
      </c>
      <c r="G73" s="7">
        <v>718645.86</v>
      </c>
      <c r="H73" s="7">
        <v>1048699.06</v>
      </c>
      <c r="I73" s="7">
        <v>891497.53</v>
      </c>
      <c r="J73" s="7">
        <v>-401292.11</v>
      </c>
      <c r="K73" s="7">
        <v>710646.91</v>
      </c>
      <c r="L73" s="7">
        <v>553529.56</v>
      </c>
      <c r="M73" s="7">
        <v>669148.14</v>
      </c>
      <c r="N73" s="3">
        <v>823493.6</v>
      </c>
      <c r="O73" s="3">
        <v>595432.15</v>
      </c>
      <c r="P73" s="16">
        <f t="shared" si="1"/>
        <v>6878622.06</v>
      </c>
    </row>
    <row r="74" spans="1:16">
      <c r="A74" s="2" t="s">
        <v>576</v>
      </c>
      <c r="B74" s="2" t="s">
        <v>334</v>
      </c>
      <c r="D74" s="3">
        <v>0</v>
      </c>
      <c r="E74" s="7">
        <v>6250.09</v>
      </c>
      <c r="F74" s="7">
        <v>9077.14</v>
      </c>
      <c r="G74" s="7">
        <v>10311.14</v>
      </c>
      <c r="H74" s="7">
        <v>17534.7</v>
      </c>
      <c r="I74" s="7">
        <v>19269.3</v>
      </c>
      <c r="J74" s="7">
        <v>17730.7</v>
      </c>
      <c r="K74" s="7">
        <v>13644.1</v>
      </c>
      <c r="L74" s="7">
        <v>13154.1</v>
      </c>
      <c r="M74" s="7">
        <v>13869.5</v>
      </c>
      <c r="N74" s="3">
        <v>13320.7</v>
      </c>
      <c r="O74" s="3">
        <v>38656.3</v>
      </c>
      <c r="P74" s="16">
        <f t="shared" si="1"/>
        <v>172817.77</v>
      </c>
    </row>
    <row r="75" spans="1:16">
      <c r="A75" s="19" t="s">
        <v>577</v>
      </c>
      <c r="B75" s="19" t="s">
        <v>335</v>
      </c>
      <c r="D75" s="18">
        <v>763542.93</v>
      </c>
      <c r="E75" s="20">
        <v>112417.91</v>
      </c>
      <c r="F75" s="20">
        <v>197702.55</v>
      </c>
      <c r="G75" s="20">
        <v>850200.24</v>
      </c>
      <c r="H75" s="20">
        <v>541908.38</v>
      </c>
      <c r="I75" s="20">
        <v>319050.26</v>
      </c>
      <c r="J75" s="20">
        <v>231010.12</v>
      </c>
      <c r="K75" s="20">
        <v>309006.68</v>
      </c>
      <c r="L75" s="20">
        <v>224070.4</v>
      </c>
      <c r="M75" s="20">
        <v>380295.02</v>
      </c>
      <c r="N75" s="18">
        <v>490173.02</v>
      </c>
      <c r="O75" s="18">
        <v>409846.11</v>
      </c>
      <c r="P75" s="16">
        <f t="shared" si="1"/>
        <v>4829223.62</v>
      </c>
    </row>
    <row r="76" spans="1:16">
      <c r="A76" s="8" t="s">
        <v>332</v>
      </c>
      <c r="B76" s="8" t="s">
        <v>332</v>
      </c>
      <c r="D76" s="9">
        <v>1161412.68</v>
      </c>
      <c r="E76" s="10">
        <v>395293.49</v>
      </c>
      <c r="F76" s="10">
        <v>801105.81</v>
      </c>
      <c r="G76" s="10">
        <v>1579157.24</v>
      </c>
      <c r="H76" s="10">
        <v>1608142.14</v>
      </c>
      <c r="I76" s="10">
        <v>1229817.09</v>
      </c>
      <c r="J76" s="10">
        <v>-152551.29</v>
      </c>
      <c r="K76" s="10">
        <v>1033297.69</v>
      </c>
      <c r="L76" s="10">
        <v>790754.06</v>
      </c>
      <c r="M76" s="10">
        <v>1063312.66</v>
      </c>
      <c r="N76" s="9">
        <f>SUM(N73:N75)</f>
        <v>1326987.32</v>
      </c>
      <c r="O76" s="9">
        <f>SUM(O73:O75)</f>
        <v>1043934.56</v>
      </c>
      <c r="P76" s="16">
        <f t="shared" si="1"/>
        <v>11880663.45</v>
      </c>
    </row>
    <row r="77" spans="1:16">
      <c r="A77" s="2" t="s">
        <v>579</v>
      </c>
      <c r="B77" s="2" t="s">
        <v>336</v>
      </c>
      <c r="D77" s="3">
        <v>2458.62</v>
      </c>
      <c r="E77" s="7">
        <v>65813.83</v>
      </c>
      <c r="F77" s="7">
        <v>54799.51</v>
      </c>
      <c r="G77" s="7">
        <v>58547.58</v>
      </c>
      <c r="H77" s="7">
        <v>55101.87</v>
      </c>
      <c r="I77" s="7">
        <v>64003.94</v>
      </c>
      <c r="J77" s="7">
        <v>51505.63</v>
      </c>
      <c r="K77" s="7">
        <v>81765.02</v>
      </c>
      <c r="L77" s="7">
        <v>99819.48</v>
      </c>
      <c r="M77" s="7">
        <v>103470.14</v>
      </c>
      <c r="N77" s="3">
        <v>94870.23</v>
      </c>
      <c r="O77" s="3">
        <v>94315.78</v>
      </c>
      <c r="P77" s="16">
        <f t="shared" si="1"/>
        <v>826471.63</v>
      </c>
    </row>
    <row r="78" spans="1:16">
      <c r="A78" s="2" t="s">
        <v>581</v>
      </c>
      <c r="B78" s="2" t="s">
        <v>339</v>
      </c>
      <c r="D78" s="3">
        <v>-3662.25</v>
      </c>
      <c r="E78" s="7">
        <v>-44720.74</v>
      </c>
      <c r="F78" s="7">
        <v>-36886.48</v>
      </c>
      <c r="G78" s="7">
        <v>-35920.17</v>
      </c>
      <c r="H78" s="7">
        <v>-36424.49</v>
      </c>
      <c r="I78" s="7">
        <v>-32801.99</v>
      </c>
      <c r="J78" s="7">
        <v>-30100.87</v>
      </c>
      <c r="K78" s="7">
        <v>-63818.94</v>
      </c>
      <c r="L78" s="7">
        <v>-70368.52</v>
      </c>
      <c r="M78" s="7">
        <v>-77655.27</v>
      </c>
      <c r="N78" s="3">
        <v>-78477.53</v>
      </c>
      <c r="O78" s="3">
        <v>-18284.38</v>
      </c>
      <c r="P78" s="16">
        <f t="shared" si="1"/>
        <v>-529121.63</v>
      </c>
    </row>
    <row r="79" spans="1:16">
      <c r="A79" s="2" t="s">
        <v>582</v>
      </c>
      <c r="B79" s="2" t="s">
        <v>340</v>
      </c>
      <c r="D79" s="3">
        <v>7606.46</v>
      </c>
      <c r="E79" s="7">
        <v>190805.84</v>
      </c>
      <c r="F79" s="7">
        <v>299749.15</v>
      </c>
      <c r="G79" s="7">
        <v>425839.09</v>
      </c>
      <c r="H79" s="7">
        <v>212847.65</v>
      </c>
      <c r="I79" s="7">
        <v>123141.7</v>
      </c>
      <c r="J79" s="7">
        <v>49301.13</v>
      </c>
      <c r="K79" s="7">
        <v>250444.87</v>
      </c>
      <c r="L79" s="7">
        <v>382098.85</v>
      </c>
      <c r="M79" s="7">
        <v>368973.93</v>
      </c>
      <c r="N79" s="3">
        <v>262436.14</v>
      </c>
      <c r="O79" s="3">
        <v>243285.23</v>
      </c>
      <c r="P79" s="16">
        <f t="shared" si="1"/>
        <v>2816530.04</v>
      </c>
    </row>
    <row r="80" spans="1:16">
      <c r="A80" s="2" t="s">
        <v>583</v>
      </c>
      <c r="B80" s="2" t="s">
        <v>341</v>
      </c>
      <c r="D80" s="3">
        <v>0</v>
      </c>
      <c r="E80" s="7">
        <v>3139.29</v>
      </c>
      <c r="F80" s="7">
        <v>0</v>
      </c>
      <c r="G80" s="7">
        <v>46123.49</v>
      </c>
      <c r="H80" s="7">
        <v>-919.14</v>
      </c>
      <c r="I80" s="7">
        <v>-54097.8</v>
      </c>
      <c r="J80" s="7">
        <v>328835.93</v>
      </c>
      <c r="K80" s="7">
        <v>314029.86</v>
      </c>
      <c r="L80" s="7">
        <v>-49180.57</v>
      </c>
      <c r="M80" s="7">
        <v>-40593.15</v>
      </c>
      <c r="N80" s="3">
        <v>0</v>
      </c>
      <c r="O80" s="3">
        <v>399864.5</v>
      </c>
      <c r="P80" s="16">
        <f t="shared" si="1"/>
        <v>947202.41</v>
      </c>
    </row>
    <row r="81" spans="1:16">
      <c r="A81" s="2" t="s">
        <v>584</v>
      </c>
      <c r="B81" s="2" t="s">
        <v>342</v>
      </c>
      <c r="D81" s="3">
        <v>16186.05</v>
      </c>
      <c r="E81" s="7">
        <v>575856.04</v>
      </c>
      <c r="F81" s="7">
        <v>467531.1</v>
      </c>
      <c r="G81" s="7">
        <v>494452.81</v>
      </c>
      <c r="H81" s="7">
        <v>466028.41</v>
      </c>
      <c r="I81" s="7">
        <v>545621.24</v>
      </c>
      <c r="J81" s="7">
        <v>437934.77</v>
      </c>
      <c r="K81" s="7">
        <v>670897.97</v>
      </c>
      <c r="L81" s="7">
        <v>814604.54</v>
      </c>
      <c r="M81" s="7">
        <v>845847.98</v>
      </c>
      <c r="N81" s="3">
        <v>775088.65</v>
      </c>
      <c r="O81" s="3">
        <v>777035.71</v>
      </c>
      <c r="P81" s="16">
        <f t="shared" si="1"/>
        <v>6887085.27</v>
      </c>
    </row>
    <row r="82" spans="1:16">
      <c r="A82" s="2" t="s">
        <v>585</v>
      </c>
      <c r="B82" s="2" t="s">
        <v>343</v>
      </c>
      <c r="D82" s="3">
        <v>5609.33</v>
      </c>
      <c r="E82" s="7">
        <v>5232.53</v>
      </c>
      <c r="F82" s="7">
        <v>-1721015.73</v>
      </c>
      <c r="G82" s="7">
        <v>55866.37</v>
      </c>
      <c r="H82" s="7">
        <v>1043984.09</v>
      </c>
      <c r="I82" s="7">
        <v>60867.35</v>
      </c>
      <c r="J82" s="7">
        <v>59497.47</v>
      </c>
      <c r="K82" s="7">
        <v>107593.91</v>
      </c>
      <c r="L82" s="7">
        <v>110730.39</v>
      </c>
      <c r="M82" s="7">
        <v>116007.24</v>
      </c>
      <c r="N82" s="3">
        <v>247682.36</v>
      </c>
      <c r="O82" s="3">
        <v>-1754039.36</v>
      </c>
      <c r="P82" s="16">
        <f t="shared" si="1"/>
        <v>-1661984.05</v>
      </c>
    </row>
    <row r="83" spans="1:16">
      <c r="A83" s="19" t="s">
        <v>586</v>
      </c>
      <c r="B83" s="19" t="s">
        <v>344</v>
      </c>
      <c r="D83" s="18">
        <v>253203.22</v>
      </c>
      <c r="E83" s="20">
        <v>3261837.44</v>
      </c>
      <c r="F83" s="20">
        <v>5058523.51</v>
      </c>
      <c r="G83" s="20">
        <v>2725097.25</v>
      </c>
      <c r="H83" s="20">
        <v>2818339.33</v>
      </c>
      <c r="I83" s="20">
        <v>3251585.39</v>
      </c>
      <c r="J83" s="20">
        <v>2817653.06</v>
      </c>
      <c r="K83" s="20">
        <v>4331066.82</v>
      </c>
      <c r="L83" s="20">
        <v>4899302</v>
      </c>
      <c r="M83" s="20">
        <v>5156337.57</v>
      </c>
      <c r="N83" s="3">
        <v>4573342.12</v>
      </c>
      <c r="O83" s="3">
        <v>6142685.74</v>
      </c>
      <c r="P83" s="16">
        <f t="shared" si="1"/>
        <v>45288973.45</v>
      </c>
    </row>
    <row r="84" spans="1:16">
      <c r="A84" s="8" t="s">
        <v>337</v>
      </c>
      <c r="B84" s="8" t="s">
        <v>337</v>
      </c>
      <c r="D84" s="9">
        <v>281401.43</v>
      </c>
      <c r="E84" s="10">
        <v>4057964.23</v>
      </c>
      <c r="F84" s="10">
        <v>4122701.06</v>
      </c>
      <c r="G84" s="10">
        <v>3770006.42</v>
      </c>
      <c r="H84" s="10">
        <v>4558957.72</v>
      </c>
      <c r="I84" s="10">
        <v>3958319.83</v>
      </c>
      <c r="J84" s="10">
        <v>3714627.12</v>
      </c>
      <c r="K84" s="10">
        <v>5691979.51</v>
      </c>
      <c r="L84" s="10">
        <v>6187006.17</v>
      </c>
      <c r="M84" s="10">
        <v>6472388.44</v>
      </c>
      <c r="N84" s="9">
        <f>SUM(N77:N83)</f>
        <v>5874941.97</v>
      </c>
      <c r="O84" s="9">
        <f>SUM(O77:O83)</f>
        <v>5884863.22</v>
      </c>
      <c r="P84" s="16">
        <f t="shared" si="1"/>
        <v>54575157.12</v>
      </c>
    </row>
    <row r="85" spans="1:16">
      <c r="A85" s="2" t="s">
        <v>588</v>
      </c>
      <c r="B85" s="2" t="s">
        <v>346</v>
      </c>
      <c r="D85" s="3">
        <v>186365.07</v>
      </c>
      <c r="E85" s="7">
        <v>197847.33</v>
      </c>
      <c r="F85" s="7">
        <v>165022.08</v>
      </c>
      <c r="G85" s="7">
        <v>415768.61</v>
      </c>
      <c r="H85" s="7">
        <v>428049.59</v>
      </c>
      <c r="I85" s="7">
        <v>471287.99</v>
      </c>
      <c r="J85" s="7">
        <v>466045.08</v>
      </c>
      <c r="K85" s="7">
        <v>473712.33</v>
      </c>
      <c r="L85" s="7">
        <v>524408.05</v>
      </c>
      <c r="M85" s="7">
        <v>495148.14</v>
      </c>
      <c r="N85" s="3">
        <v>533206.15</v>
      </c>
      <c r="O85" s="3">
        <v>533448.08</v>
      </c>
      <c r="P85" s="16">
        <f t="shared" si="1"/>
        <v>4890308.5</v>
      </c>
    </row>
    <row r="86" spans="1:16">
      <c r="A86" s="2" t="s">
        <v>589</v>
      </c>
      <c r="B86" s="2" t="s">
        <v>349</v>
      </c>
      <c r="D86" s="3">
        <v>1476071.6</v>
      </c>
      <c r="E86" s="7">
        <v>1529174.68</v>
      </c>
      <c r="F86" s="7">
        <v>751277.57</v>
      </c>
      <c r="G86" s="7">
        <v>4459588.81</v>
      </c>
      <c r="H86" s="7">
        <v>3366804.64</v>
      </c>
      <c r="I86" s="7">
        <v>3564308.8</v>
      </c>
      <c r="J86" s="7">
        <v>3944490.91</v>
      </c>
      <c r="K86" s="7">
        <v>3776065.32</v>
      </c>
      <c r="L86" s="7">
        <v>3924348.52</v>
      </c>
      <c r="M86" s="7">
        <v>-933513.59</v>
      </c>
      <c r="N86" s="3">
        <v>4048676.36</v>
      </c>
      <c r="O86" s="3">
        <v>3381321.09</v>
      </c>
      <c r="P86" s="16">
        <f t="shared" si="1"/>
        <v>33288614.71</v>
      </c>
    </row>
    <row r="87" spans="1:16">
      <c r="A87" s="2" t="s">
        <v>591</v>
      </c>
      <c r="B87" s="2" t="s">
        <v>350</v>
      </c>
      <c r="D87" s="3">
        <v>386545.09</v>
      </c>
      <c r="E87" s="7">
        <v>-37528.04</v>
      </c>
      <c r="F87" s="7">
        <v>362707.62</v>
      </c>
      <c r="G87" s="7">
        <v>-541286.22</v>
      </c>
      <c r="H87" s="7">
        <v>-166419.66</v>
      </c>
      <c r="I87" s="7">
        <v>277699.43</v>
      </c>
      <c r="J87" s="7">
        <v>795205.23</v>
      </c>
      <c r="K87" s="7">
        <v>613557.55</v>
      </c>
      <c r="L87" s="7">
        <v>-113938.11</v>
      </c>
      <c r="M87" s="7">
        <v>431487.28</v>
      </c>
      <c r="N87" s="3">
        <v>390688.09</v>
      </c>
      <c r="O87" s="3">
        <v>254158.48</v>
      </c>
      <c r="P87" s="16">
        <f t="shared" si="1"/>
        <v>2652876.74</v>
      </c>
    </row>
    <row r="88" spans="1:16">
      <c r="A88" s="2" t="s">
        <v>592</v>
      </c>
      <c r="B88" s="2" t="s">
        <v>351</v>
      </c>
      <c r="D88" s="3">
        <v>-16386.89</v>
      </c>
      <c r="E88" s="7">
        <v>-16458.92</v>
      </c>
      <c r="F88" s="7">
        <v>-29822.79</v>
      </c>
      <c r="G88" s="7">
        <v>-36648.5</v>
      </c>
      <c r="H88" s="7">
        <v>-44580.05</v>
      </c>
      <c r="I88" s="7">
        <v>-49057.55</v>
      </c>
      <c r="J88" s="7">
        <v>-48303.64</v>
      </c>
      <c r="K88" s="7">
        <v>-47713.68</v>
      </c>
      <c r="L88" s="7">
        <v>-52141.02</v>
      </c>
      <c r="M88" s="7">
        <v>-48756.67</v>
      </c>
      <c r="N88" s="3">
        <v>-51898.83</v>
      </c>
      <c r="O88" s="3">
        <v>-29606.15</v>
      </c>
      <c r="P88" s="16">
        <f t="shared" si="1"/>
        <v>-471374.69</v>
      </c>
    </row>
    <row r="89" spans="1:16">
      <c r="A89" s="2" t="s">
        <v>593</v>
      </c>
      <c r="B89" s="2" t="s">
        <v>352</v>
      </c>
      <c r="D89" s="3">
        <v>18336.63</v>
      </c>
      <c r="E89" s="7">
        <v>19965.21</v>
      </c>
      <c r="F89" s="7">
        <v>20661.68</v>
      </c>
      <c r="G89" s="7">
        <v>38786.14</v>
      </c>
      <c r="H89" s="7">
        <v>38636.34</v>
      </c>
      <c r="I89" s="7">
        <v>43805.32</v>
      </c>
      <c r="J89" s="7">
        <v>43276.21</v>
      </c>
      <c r="K89" s="7">
        <v>44328.39</v>
      </c>
      <c r="L89" s="7">
        <v>49226.99</v>
      </c>
      <c r="M89" s="7">
        <v>46860.51</v>
      </c>
      <c r="N89" s="3">
        <v>51291.04</v>
      </c>
      <c r="O89" s="3">
        <v>51793.9</v>
      </c>
      <c r="P89" s="16">
        <f t="shared" si="1"/>
        <v>466968.36</v>
      </c>
    </row>
    <row r="90" spans="1:16">
      <c r="A90" s="2" t="s">
        <v>594</v>
      </c>
      <c r="B90" s="2" t="s">
        <v>353</v>
      </c>
      <c r="D90" s="3">
        <v>6515.25</v>
      </c>
      <c r="E90" s="7">
        <v>6450.09</v>
      </c>
      <c r="F90" s="7">
        <v>19149.29</v>
      </c>
      <c r="G90" s="7">
        <v>29588.29</v>
      </c>
      <c r="H90" s="7">
        <v>32645.71</v>
      </c>
      <c r="I90" s="7">
        <v>35400.3</v>
      </c>
      <c r="J90" s="7">
        <v>19448.41</v>
      </c>
      <c r="K90" s="7">
        <v>40734.18</v>
      </c>
      <c r="L90" s="7">
        <v>133060.85</v>
      </c>
      <c r="M90" s="7">
        <v>41998.04</v>
      </c>
      <c r="N90" s="3">
        <v>47112.94</v>
      </c>
      <c r="O90" s="3">
        <v>48599.98</v>
      </c>
      <c r="P90" s="16">
        <f t="shared" si="1"/>
        <v>460703.33</v>
      </c>
    </row>
    <row r="91" spans="1:16">
      <c r="A91" s="8" t="s">
        <v>347</v>
      </c>
      <c r="B91" s="8" t="s">
        <v>347</v>
      </c>
      <c r="D91" s="9">
        <v>2057446.75</v>
      </c>
      <c r="E91" s="10">
        <v>1699450.35</v>
      </c>
      <c r="F91" s="10">
        <v>1288995.45</v>
      </c>
      <c r="G91" s="10">
        <v>4365797.13</v>
      </c>
      <c r="H91" s="10">
        <v>3655136.57</v>
      </c>
      <c r="I91" s="10">
        <v>4343444.29</v>
      </c>
      <c r="J91" s="10">
        <v>5220162.2</v>
      </c>
      <c r="K91" s="10">
        <v>4900684.09</v>
      </c>
      <c r="L91" s="10">
        <v>4464965.28</v>
      </c>
      <c r="M91" s="10">
        <v>33223.7100000004</v>
      </c>
      <c r="N91" s="9">
        <f>SUM(N85:N90)</f>
        <v>5019075.75</v>
      </c>
      <c r="O91" s="9">
        <f>SUM(O85:O90)</f>
        <v>4239715.38</v>
      </c>
      <c r="P91" s="16">
        <f t="shared" si="1"/>
        <v>41288096.95</v>
      </c>
    </row>
    <row r="92" spans="1:16">
      <c r="A92" s="2" t="s">
        <v>596</v>
      </c>
      <c r="B92" s="2" t="s">
        <v>354</v>
      </c>
      <c r="D92" s="3">
        <v>0</v>
      </c>
      <c r="E92" s="7">
        <v>0</v>
      </c>
      <c r="F92" s="7">
        <v>197722.75</v>
      </c>
      <c r="G92" s="7">
        <v>94446.33</v>
      </c>
      <c r="H92" s="7">
        <v>47300</v>
      </c>
      <c r="I92" s="7">
        <v>0</v>
      </c>
      <c r="J92" s="7">
        <v>76310.54</v>
      </c>
      <c r="K92" s="7">
        <v>2729.76</v>
      </c>
      <c r="L92" s="7">
        <v>814.88</v>
      </c>
      <c r="M92" s="7">
        <v>0</v>
      </c>
      <c r="N92" s="3">
        <v>4400</v>
      </c>
      <c r="O92" s="3">
        <v>2200</v>
      </c>
      <c r="P92" s="16">
        <f t="shared" si="1"/>
        <v>425924.26</v>
      </c>
    </row>
    <row r="93" spans="1:16">
      <c r="A93" s="2" t="s">
        <v>598</v>
      </c>
      <c r="B93" s="2" t="s">
        <v>357</v>
      </c>
      <c r="D93" s="3">
        <v>0</v>
      </c>
      <c r="E93" s="7">
        <v>0</v>
      </c>
      <c r="F93" s="7">
        <v>660068.08</v>
      </c>
      <c r="G93" s="7">
        <v>495937.64</v>
      </c>
      <c r="H93" s="7">
        <v>127439.1</v>
      </c>
      <c r="I93" s="7">
        <v>44836.85</v>
      </c>
      <c r="J93" s="7">
        <v>177321</v>
      </c>
      <c r="K93" s="7">
        <v>349957.4</v>
      </c>
      <c r="L93" s="7">
        <v>200952.41</v>
      </c>
      <c r="M93" s="7">
        <v>1807819.59</v>
      </c>
      <c r="N93" s="3">
        <v>14686.14</v>
      </c>
      <c r="O93" s="3">
        <v>74.58</v>
      </c>
      <c r="P93" s="16">
        <f t="shared" si="1"/>
        <v>3879092.79</v>
      </c>
    </row>
    <row r="94" spans="1:16">
      <c r="A94" s="2" t="s">
        <v>600</v>
      </c>
      <c r="B94" s="2" t="s">
        <v>358</v>
      </c>
      <c r="D94" s="3">
        <v>279509.44</v>
      </c>
      <c r="E94" s="7">
        <v>484244.28</v>
      </c>
      <c r="F94" s="7">
        <v>623669.49</v>
      </c>
      <c r="G94" s="7">
        <v>624295.06</v>
      </c>
      <c r="H94" s="7">
        <v>605731.73</v>
      </c>
      <c r="I94" s="7">
        <v>550421</v>
      </c>
      <c r="J94" s="7">
        <v>452115.8</v>
      </c>
      <c r="K94" s="7">
        <v>383001.13</v>
      </c>
      <c r="L94" s="7">
        <v>681787.32</v>
      </c>
      <c r="M94" s="7">
        <v>784101.32</v>
      </c>
      <c r="N94" s="3">
        <v>599903.6</v>
      </c>
      <c r="O94" s="3">
        <v>602000.93</v>
      </c>
      <c r="P94" s="16">
        <f t="shared" si="1"/>
        <v>6670781.1</v>
      </c>
    </row>
    <row r="95" spans="1:16">
      <c r="A95" s="2" t="s">
        <v>602</v>
      </c>
      <c r="B95" s="2" t="s">
        <v>359</v>
      </c>
      <c r="D95" s="3">
        <v>380139.45</v>
      </c>
      <c r="E95" s="7">
        <v>505082.22</v>
      </c>
      <c r="F95" s="7">
        <v>648316.35</v>
      </c>
      <c r="G95" s="7">
        <v>721995.79</v>
      </c>
      <c r="H95" s="7">
        <v>964021.21</v>
      </c>
      <c r="I95" s="7">
        <v>920238.39</v>
      </c>
      <c r="J95" s="7">
        <v>715225.64</v>
      </c>
      <c r="K95" s="7">
        <v>762732.61</v>
      </c>
      <c r="L95" s="7">
        <v>1121001.81</v>
      </c>
      <c r="M95" s="7">
        <v>1092256.3</v>
      </c>
      <c r="N95" s="3">
        <v>906149.27</v>
      </c>
      <c r="O95" s="3">
        <v>1116120.02</v>
      </c>
      <c r="P95" s="16">
        <f t="shared" si="1"/>
        <v>9853279.06</v>
      </c>
    </row>
    <row r="96" spans="1:16">
      <c r="A96" s="2" t="s">
        <v>604</v>
      </c>
      <c r="B96" s="2" t="s">
        <v>360</v>
      </c>
      <c r="D96" s="3">
        <v>27440.72</v>
      </c>
      <c r="E96" s="7">
        <v>2116.02</v>
      </c>
      <c r="F96" s="7">
        <v>68569.92</v>
      </c>
      <c r="G96" s="7">
        <v>19326.28</v>
      </c>
      <c r="H96" s="7">
        <v>21303.6</v>
      </c>
      <c r="I96" s="7">
        <v>65361.6</v>
      </c>
      <c r="J96" s="7">
        <v>5133.2</v>
      </c>
      <c r="K96" s="7">
        <v>4073.2</v>
      </c>
      <c r="L96" s="7">
        <v>24785.09</v>
      </c>
      <c r="M96" s="7">
        <v>18801.51</v>
      </c>
      <c r="N96" s="3">
        <v>20123.63</v>
      </c>
      <c r="O96" s="3">
        <v>44884.67</v>
      </c>
      <c r="P96" s="16">
        <f t="shared" si="1"/>
        <v>321919.44</v>
      </c>
    </row>
    <row r="97" spans="1:16">
      <c r="A97" s="2" t="s">
        <v>606</v>
      </c>
      <c r="B97" s="2" t="s">
        <v>427</v>
      </c>
      <c r="D97" s="3">
        <v>371.62</v>
      </c>
      <c r="E97" s="7">
        <v>80.91</v>
      </c>
      <c r="F97" s="7">
        <v>0</v>
      </c>
      <c r="G97" s="7">
        <v>0</v>
      </c>
      <c r="H97" s="7">
        <v>0</v>
      </c>
      <c r="I97" s="7">
        <v>0</v>
      </c>
      <c r="J97" s="7">
        <v>35.51</v>
      </c>
      <c r="K97" s="7">
        <v>0</v>
      </c>
      <c r="L97" s="7">
        <v>217633.98</v>
      </c>
      <c r="M97" s="7">
        <v>406.58</v>
      </c>
      <c r="N97" s="3">
        <v>-3444.73</v>
      </c>
      <c r="O97" s="3">
        <v>0</v>
      </c>
      <c r="P97" s="16">
        <f t="shared" si="1"/>
        <v>215083.87</v>
      </c>
    </row>
    <row r="98" spans="1:16">
      <c r="A98" s="2" t="s">
        <v>607</v>
      </c>
      <c r="B98" s="2" t="s">
        <v>428</v>
      </c>
      <c r="D98" s="3">
        <v>0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3">
        <v>0</v>
      </c>
      <c r="O98" s="3">
        <v>0</v>
      </c>
      <c r="P98" s="16">
        <f t="shared" si="1"/>
        <v>0</v>
      </c>
    </row>
    <row r="99" spans="1:16">
      <c r="A99" s="2" t="s">
        <v>608</v>
      </c>
      <c r="B99" s="2" t="s">
        <v>361</v>
      </c>
      <c r="D99" s="3">
        <v>28016.2</v>
      </c>
      <c r="E99" s="7">
        <v>2454.29</v>
      </c>
      <c r="F99" s="7">
        <v>197917.24</v>
      </c>
      <c r="G99" s="7">
        <v>70834.32</v>
      </c>
      <c r="H99" s="7">
        <v>132382.2</v>
      </c>
      <c r="I99" s="7">
        <v>357708.47</v>
      </c>
      <c r="J99" s="7">
        <v>177789.31</v>
      </c>
      <c r="K99" s="7">
        <v>531877.61</v>
      </c>
      <c r="L99" s="7">
        <v>85676</v>
      </c>
      <c r="M99" s="7">
        <v>431248.73</v>
      </c>
      <c r="N99" s="3">
        <v>275208.21</v>
      </c>
      <c r="O99" s="3">
        <v>135435.48</v>
      </c>
      <c r="P99" s="16">
        <f t="shared" si="1"/>
        <v>2426548.06</v>
      </c>
    </row>
    <row r="100" spans="1:16">
      <c r="A100" s="2" t="s">
        <v>609</v>
      </c>
      <c r="B100" s="2" t="s">
        <v>362</v>
      </c>
      <c r="D100" s="3">
        <v>58133.49</v>
      </c>
      <c r="E100" s="7">
        <v>-13736.77</v>
      </c>
      <c r="F100" s="7">
        <v>13813.77</v>
      </c>
      <c r="G100" s="7">
        <v>20845.43</v>
      </c>
      <c r="H100" s="7">
        <v>143.94</v>
      </c>
      <c r="I100" s="7">
        <v>92892.48</v>
      </c>
      <c r="J100" s="7">
        <v>-70681.8</v>
      </c>
      <c r="K100" s="7">
        <v>0</v>
      </c>
      <c r="L100" s="7">
        <v>74827.61</v>
      </c>
      <c r="M100" s="7">
        <v>-296.12</v>
      </c>
      <c r="N100" s="3">
        <v>-897.41</v>
      </c>
      <c r="O100" s="3">
        <v>-817.83</v>
      </c>
      <c r="P100" s="16">
        <f t="shared" si="1"/>
        <v>174226.79</v>
      </c>
    </row>
    <row r="101" spans="1:16">
      <c r="A101" s="2" t="s">
        <v>610</v>
      </c>
      <c r="B101" s="2" t="s">
        <v>388</v>
      </c>
      <c r="D101" s="3">
        <v>0</v>
      </c>
      <c r="E101" s="7">
        <v>399.19</v>
      </c>
      <c r="F101" s="7">
        <v>0</v>
      </c>
      <c r="G101" s="7">
        <v>0</v>
      </c>
      <c r="H101" s="7">
        <v>61.77</v>
      </c>
      <c r="I101" s="7">
        <v>221.27</v>
      </c>
      <c r="J101" s="7">
        <v>0</v>
      </c>
      <c r="K101" s="7">
        <v>292.03</v>
      </c>
      <c r="L101" s="7">
        <v>33350</v>
      </c>
      <c r="M101" s="7">
        <v>131.25</v>
      </c>
      <c r="N101" s="3">
        <v>33350</v>
      </c>
      <c r="O101" s="3">
        <v>-33339.65</v>
      </c>
      <c r="P101" s="16">
        <f t="shared" si="1"/>
        <v>34465.86</v>
      </c>
    </row>
    <row r="102" spans="1:16">
      <c r="A102" s="2" t="s">
        <v>611</v>
      </c>
      <c r="B102" s="2" t="s">
        <v>363</v>
      </c>
      <c r="D102" s="3">
        <v>109374.12</v>
      </c>
      <c r="E102" s="7">
        <v>65260.84</v>
      </c>
      <c r="F102" s="7">
        <v>96788.46</v>
      </c>
      <c r="G102" s="7">
        <v>471133.98</v>
      </c>
      <c r="H102" s="7">
        <v>147909.14</v>
      </c>
      <c r="I102" s="7">
        <v>411180.31</v>
      </c>
      <c r="J102" s="7">
        <v>249786.76</v>
      </c>
      <c r="K102" s="7">
        <v>197497.05</v>
      </c>
      <c r="L102" s="7">
        <v>135633.83</v>
      </c>
      <c r="M102" s="7">
        <v>263352.84</v>
      </c>
      <c r="N102" s="3">
        <v>240361.35</v>
      </c>
      <c r="O102" s="3">
        <v>206011.61</v>
      </c>
      <c r="P102" s="16">
        <f t="shared" si="1"/>
        <v>2594290.29</v>
      </c>
    </row>
    <row r="103" spans="1:16">
      <c r="A103" s="2" t="s">
        <v>612</v>
      </c>
      <c r="B103" s="2" t="s">
        <v>364</v>
      </c>
      <c r="D103" s="3">
        <v>0</v>
      </c>
      <c r="E103" s="7">
        <v>0</v>
      </c>
      <c r="F103" s="7">
        <v>0</v>
      </c>
      <c r="G103" s="7">
        <v>0</v>
      </c>
      <c r="H103" s="7">
        <v>0</v>
      </c>
      <c r="I103" s="7">
        <v>1695.48</v>
      </c>
      <c r="J103" s="7">
        <v>1694.61</v>
      </c>
      <c r="K103" s="7">
        <v>2099.86</v>
      </c>
      <c r="L103" s="7">
        <v>339.47</v>
      </c>
      <c r="M103" s="7">
        <v>857.18</v>
      </c>
      <c r="N103" s="3">
        <v>2512.13</v>
      </c>
      <c r="O103" s="3">
        <v>10418.31</v>
      </c>
      <c r="P103" s="16">
        <f t="shared" si="1"/>
        <v>19617.04</v>
      </c>
    </row>
    <row r="104" spans="1:16">
      <c r="A104" s="8" t="s">
        <v>355</v>
      </c>
      <c r="B104" s="8" t="s">
        <v>355</v>
      </c>
      <c r="D104" s="9">
        <v>882985.04</v>
      </c>
      <c r="E104" s="10">
        <v>1045900.98</v>
      </c>
      <c r="F104" s="10">
        <v>2506866.06</v>
      </c>
      <c r="G104" s="10">
        <v>2518814.83</v>
      </c>
      <c r="H104" s="10">
        <v>2046292.69</v>
      </c>
      <c r="I104" s="10">
        <v>2444555.85</v>
      </c>
      <c r="J104" s="10">
        <v>1784730.57</v>
      </c>
      <c r="K104" s="10">
        <v>2234260.65</v>
      </c>
      <c r="L104" s="10">
        <v>2576802.4</v>
      </c>
      <c r="M104" s="10">
        <v>4398679.18</v>
      </c>
      <c r="N104" s="9">
        <f>SUM(N92:N103)</f>
        <v>2092352.19</v>
      </c>
      <c r="O104" s="9">
        <f>SUM(O92:O103)</f>
        <v>2082988.12</v>
      </c>
      <c r="P104" s="16">
        <f t="shared" si="1"/>
        <v>26615228.56</v>
      </c>
    </row>
    <row r="105" spans="1:16">
      <c r="A105" s="2" t="s">
        <v>613</v>
      </c>
      <c r="B105" s="2" t="s">
        <v>430</v>
      </c>
      <c r="D105" s="3">
        <v>0</v>
      </c>
      <c r="F105" s="4">
        <v>0</v>
      </c>
      <c r="G105" s="4">
        <v>2317913.48</v>
      </c>
      <c r="H105" s="4">
        <v>597599.26</v>
      </c>
      <c r="I105" s="4">
        <v>-726123.16</v>
      </c>
      <c r="J105" s="4">
        <v>364898.26</v>
      </c>
      <c r="K105" s="4">
        <v>364898.27</v>
      </c>
      <c r="L105" s="4">
        <v>364898.27</v>
      </c>
      <c r="M105" s="4">
        <v>364898.26</v>
      </c>
      <c r="N105" s="4">
        <v>364898.27</v>
      </c>
      <c r="O105" s="4">
        <v>364898.26</v>
      </c>
      <c r="P105" s="16">
        <f t="shared" si="1"/>
        <v>4378779.17</v>
      </c>
    </row>
    <row r="106" spans="1:16">
      <c r="A106" s="2" t="s">
        <v>616</v>
      </c>
      <c r="B106" s="2" t="s">
        <v>650</v>
      </c>
      <c r="E106" s="4">
        <v>68806.31</v>
      </c>
      <c r="F106" s="4">
        <v>6049.27</v>
      </c>
      <c r="G106" s="4">
        <v>89668.63</v>
      </c>
      <c r="H106" s="4">
        <v>117275.95</v>
      </c>
      <c r="I106" s="4">
        <v>94805.56</v>
      </c>
      <c r="J106" s="4">
        <v>94805.56</v>
      </c>
      <c r="K106" s="4">
        <v>119045.3</v>
      </c>
      <c r="L106" s="4">
        <v>95926.99</v>
      </c>
      <c r="M106" s="4">
        <v>110101.47</v>
      </c>
      <c r="N106" s="4">
        <v>114140.05</v>
      </c>
      <c r="O106" s="4">
        <v>114649.67</v>
      </c>
      <c r="P106" s="16">
        <f t="shared" si="1"/>
        <v>1025274.76</v>
      </c>
    </row>
    <row r="107" spans="1:16">
      <c r="A107" s="2" t="s">
        <v>618</v>
      </c>
      <c r="B107" s="1" t="s">
        <v>646</v>
      </c>
      <c r="C107" s="2" t="s">
        <v>41</v>
      </c>
      <c r="E107" s="4">
        <v>5451822.6</v>
      </c>
      <c r="F107" s="4">
        <v>6519045.47</v>
      </c>
      <c r="G107" s="4">
        <v>5672822.99</v>
      </c>
      <c r="H107" s="4">
        <v>5664695.28</v>
      </c>
      <c r="I107" s="4">
        <v>5697200.62</v>
      </c>
      <c r="J107" s="4">
        <v>6668792.8</v>
      </c>
      <c r="K107" s="4">
        <v>7497467.83</v>
      </c>
      <c r="L107" s="4">
        <v>6297183.82</v>
      </c>
      <c r="M107" s="4">
        <v>6811532.68</v>
      </c>
      <c r="N107" s="4">
        <v>7196893.69</v>
      </c>
      <c r="O107" s="4">
        <v>4895441.64</v>
      </c>
      <c r="P107" s="16">
        <f t="shared" si="1"/>
        <v>68372899.42</v>
      </c>
    </row>
    <row r="108" spans="1:16">
      <c r="A108" s="2" t="s">
        <v>550</v>
      </c>
      <c r="B108" s="2" t="s">
        <v>432</v>
      </c>
      <c r="C108" s="2" t="s">
        <v>41</v>
      </c>
      <c r="D108" s="3">
        <v>6095906.28</v>
      </c>
      <c r="I108" s="4">
        <v>1.67</v>
      </c>
      <c r="K108" s="4">
        <v>1047095.7</v>
      </c>
      <c r="L108" s="4">
        <v>0.21</v>
      </c>
      <c r="M108" s="4">
        <v>-1038421.34</v>
      </c>
      <c r="O108" s="22"/>
      <c r="P108" s="16">
        <f t="shared" si="1"/>
        <v>6104582.52</v>
      </c>
    </row>
    <row r="109" spans="1:16">
      <c r="A109" s="2" t="s">
        <v>551</v>
      </c>
      <c r="B109" s="2" t="s">
        <v>307</v>
      </c>
      <c r="C109" s="2" t="s">
        <v>41</v>
      </c>
      <c r="K109" s="4">
        <v>400000</v>
      </c>
      <c r="L109" s="4">
        <v>-400000</v>
      </c>
      <c r="P109" s="16">
        <f t="shared" si="1"/>
        <v>0</v>
      </c>
    </row>
    <row r="110" spans="1:16">
      <c r="A110" s="2" t="s">
        <v>651</v>
      </c>
      <c r="B110" s="2" t="s">
        <v>652</v>
      </c>
      <c r="N110" s="4">
        <v>-1735.69</v>
      </c>
      <c r="P110" s="16">
        <f t="shared" si="1"/>
        <v>-1735.69</v>
      </c>
    </row>
    <row r="111" spans="1:16">
      <c r="A111" s="2" t="s">
        <v>653</v>
      </c>
      <c r="B111" s="2" t="s">
        <v>272</v>
      </c>
      <c r="C111" s="2" t="s">
        <v>41</v>
      </c>
      <c r="N111" s="4">
        <v>1622.75</v>
      </c>
      <c r="P111" s="16">
        <f t="shared" si="1"/>
        <v>1622.75</v>
      </c>
    </row>
    <row r="112" spans="1:24">
      <c r="A112" s="10" t="s">
        <v>267</v>
      </c>
      <c r="B112" s="10" t="s">
        <v>267</v>
      </c>
      <c r="D112" s="9">
        <v>6095906.28</v>
      </c>
      <c r="E112" s="10">
        <v>5520628.91</v>
      </c>
      <c r="F112" s="10">
        <v>6525094.74</v>
      </c>
      <c r="G112" s="10">
        <v>8080405.1</v>
      </c>
      <c r="H112" s="10">
        <v>6379570.49</v>
      </c>
      <c r="I112" s="10">
        <v>5065884.69</v>
      </c>
      <c r="J112" s="10">
        <v>7128496.62</v>
      </c>
      <c r="K112" s="10">
        <v>9428507.1</v>
      </c>
      <c r="L112" s="10">
        <v>6358009.29</v>
      </c>
      <c r="M112" s="10">
        <v>6248111.07</v>
      </c>
      <c r="N112" s="9">
        <f>SUM(N105:N111)</f>
        <v>7675819.07</v>
      </c>
      <c r="O112" s="9">
        <f>SUM(O105:O111)</f>
        <v>5374989.57</v>
      </c>
      <c r="P112" s="16">
        <f t="shared" si="1"/>
        <v>79881422.93</v>
      </c>
      <c r="Q112" s="16">
        <f t="shared" ref="Q112:X112" si="2">E112-SUM(E105:E111)</f>
        <v>0</v>
      </c>
      <c r="R112" s="16">
        <f t="shared" si="2"/>
        <v>0</v>
      </c>
      <c r="S112" s="16">
        <f t="shared" si="2"/>
        <v>0</v>
      </c>
      <c r="T112" s="16">
        <f t="shared" si="2"/>
        <v>0</v>
      </c>
      <c r="U112" s="16">
        <f t="shared" si="2"/>
        <v>0</v>
      </c>
      <c r="V112" s="16">
        <f t="shared" si="2"/>
        <v>0</v>
      </c>
      <c r="W112" s="16">
        <f t="shared" si="2"/>
        <v>0</v>
      </c>
      <c r="X112" s="16">
        <f t="shared" si="2"/>
        <v>0</v>
      </c>
    </row>
    <row r="113" spans="1:16">
      <c r="A113" s="10" t="s">
        <v>474</v>
      </c>
      <c r="B113" s="10" t="s">
        <v>474</v>
      </c>
      <c r="D113" s="3">
        <f t="shared" ref="D113:O113" si="3">D19+D24+D66+D70+D76</f>
        <v>870927.11</v>
      </c>
      <c r="E113" s="4">
        <f t="shared" si="3"/>
        <v>5145417.89</v>
      </c>
      <c r="F113" s="4">
        <f t="shared" si="3"/>
        <v>-379025.45</v>
      </c>
      <c r="G113" s="4">
        <f t="shared" si="3"/>
        <v>4018342.72</v>
      </c>
      <c r="H113" s="4">
        <f t="shared" si="3"/>
        <v>5898106.95</v>
      </c>
      <c r="I113" s="4">
        <f t="shared" si="3"/>
        <v>2644518.94</v>
      </c>
      <c r="J113" s="4">
        <f t="shared" si="3"/>
        <v>965397.67</v>
      </c>
      <c r="K113" s="4">
        <f t="shared" si="3"/>
        <v>7016542.48</v>
      </c>
      <c r="L113" s="4">
        <f t="shared" si="3"/>
        <v>8401036.67</v>
      </c>
      <c r="M113" s="4">
        <f t="shared" si="3"/>
        <v>8775159.06</v>
      </c>
      <c r="N113" s="4">
        <f t="shared" si="3"/>
        <v>9384462.34</v>
      </c>
      <c r="O113" s="4">
        <f t="shared" si="3"/>
        <v>7349296.64</v>
      </c>
      <c r="P113" s="16">
        <f t="shared" ref="P113:P115" si="4">SUM(D113:O113)</f>
        <v>60090183.02</v>
      </c>
    </row>
    <row r="114" spans="1:16">
      <c r="A114" s="10" t="s">
        <v>475</v>
      </c>
      <c r="B114" s="10" t="s">
        <v>475</v>
      </c>
      <c r="D114" s="3">
        <f t="shared" ref="D114:O114" si="5">D11+D62+D68+D72+D84+D91+D104+D112</f>
        <v>10425212.94</v>
      </c>
      <c r="E114" s="4">
        <f t="shared" si="5"/>
        <v>24076374.58</v>
      </c>
      <c r="F114" s="4">
        <f t="shared" si="5"/>
        <v>28210671.66</v>
      </c>
      <c r="G114" s="4">
        <f t="shared" si="5"/>
        <v>28765420.78</v>
      </c>
      <c r="H114" s="4">
        <f t="shared" si="5"/>
        <v>30604658.17</v>
      </c>
      <c r="I114" s="4">
        <f t="shared" si="5"/>
        <v>34613346.33</v>
      </c>
      <c r="J114" s="4">
        <f t="shared" si="5"/>
        <v>32750039.53</v>
      </c>
      <c r="K114" s="4">
        <f t="shared" si="5"/>
        <v>36799067.02</v>
      </c>
      <c r="L114" s="4">
        <f t="shared" si="5"/>
        <v>35033096.9</v>
      </c>
      <c r="M114" s="4">
        <f t="shared" si="5"/>
        <v>34078298.15</v>
      </c>
      <c r="N114" s="4">
        <f t="shared" si="5"/>
        <v>37947920.41</v>
      </c>
      <c r="O114" s="4">
        <f t="shared" si="5"/>
        <v>35180696.01</v>
      </c>
      <c r="P114" s="16">
        <f t="shared" si="4"/>
        <v>368484802.48</v>
      </c>
    </row>
    <row r="115" spans="1:16">
      <c r="A115" s="10" t="s">
        <v>476</v>
      </c>
      <c r="B115" s="10" t="s">
        <v>476</v>
      </c>
      <c r="D115" s="3">
        <f>D114+D113</f>
        <v>11296140.05</v>
      </c>
      <c r="E115" s="4">
        <f t="shared" ref="E115:O115" si="6">E114+E113</f>
        <v>29221792.47</v>
      </c>
      <c r="F115" s="4">
        <f t="shared" si="6"/>
        <v>27831646.21</v>
      </c>
      <c r="G115" s="4">
        <f t="shared" si="6"/>
        <v>32783763.5</v>
      </c>
      <c r="H115" s="4">
        <f t="shared" si="6"/>
        <v>36502765.12</v>
      </c>
      <c r="I115" s="4">
        <f t="shared" si="6"/>
        <v>37257865.27</v>
      </c>
      <c r="J115" s="4">
        <f t="shared" si="6"/>
        <v>33715437.2</v>
      </c>
      <c r="K115" s="4">
        <f t="shared" si="6"/>
        <v>43815609.5</v>
      </c>
      <c r="L115" s="4">
        <f t="shared" si="6"/>
        <v>43434133.57</v>
      </c>
      <c r="M115" s="4">
        <f t="shared" si="6"/>
        <v>42853457.21</v>
      </c>
      <c r="N115" s="4">
        <f t="shared" si="6"/>
        <v>47332382.75</v>
      </c>
      <c r="O115" s="4">
        <f t="shared" si="6"/>
        <v>42529992.65</v>
      </c>
      <c r="P115" s="16">
        <f t="shared" si="4"/>
        <v>428574985.5</v>
      </c>
    </row>
    <row r="116" spans="1:15">
      <c r="A116" s="2" t="s">
        <v>478</v>
      </c>
      <c r="B116" s="2" t="s">
        <v>479</v>
      </c>
      <c r="D116" s="3">
        <f t="shared" ref="D116:O116" si="7">D115/D1/38</f>
        <v>136.989328765462</v>
      </c>
      <c r="E116" s="4">
        <f t="shared" si="7"/>
        <v>260.147002261235</v>
      </c>
      <c r="F116" s="4">
        <f t="shared" si="7"/>
        <v>116.719002767876</v>
      </c>
      <c r="G116" s="4">
        <f t="shared" si="7"/>
        <v>72.4131793202159</v>
      </c>
      <c r="H116" s="4">
        <f t="shared" si="7"/>
        <v>61.009786097508</v>
      </c>
      <c r="I116" s="4">
        <f t="shared" si="7"/>
        <v>73.8472650963478</v>
      </c>
      <c r="J116" s="4">
        <f t="shared" si="7"/>
        <v>76.678623054915</v>
      </c>
      <c r="K116" s="4">
        <f t="shared" si="7"/>
        <v>92.5023951274094</v>
      </c>
      <c r="L116" s="4">
        <f t="shared" si="7"/>
        <v>23.7181945799008</v>
      </c>
      <c r="M116" s="4">
        <f t="shared" si="7"/>
        <v>20.9271555477638</v>
      </c>
      <c r="N116" s="4">
        <f t="shared" si="7"/>
        <v>26.2290008157014</v>
      </c>
      <c r="O116" s="4">
        <f t="shared" si="7"/>
        <v>32.365828018934</v>
      </c>
    </row>
    <row r="119" spans="1:16">
      <c r="A119" s="21" t="s">
        <v>22</v>
      </c>
      <c r="B119" t="s">
        <v>59</v>
      </c>
      <c r="C119"/>
      <c r="D119" s="3">
        <f>D11</f>
        <v>39077.55</v>
      </c>
      <c r="E119" s="4">
        <f t="shared" ref="E119:P119" si="8">E11</f>
        <v>10385895.72</v>
      </c>
      <c r="F119" s="4">
        <f t="shared" si="8"/>
        <v>10167150.2</v>
      </c>
      <c r="G119" s="4">
        <f t="shared" si="8"/>
        <v>9761961.79</v>
      </c>
      <c r="H119" s="4">
        <f t="shared" si="8"/>
        <v>12099700.93</v>
      </c>
      <c r="I119" s="4">
        <f t="shared" si="8"/>
        <v>16759611.05</v>
      </c>
      <c r="J119" s="4">
        <f t="shared" si="8"/>
        <v>13140798.31</v>
      </c>
      <c r="K119" s="4">
        <f t="shared" si="8"/>
        <v>13010061.17</v>
      </c>
      <c r="L119" s="4">
        <f t="shared" si="8"/>
        <v>12957439.89</v>
      </c>
      <c r="M119" s="4">
        <f t="shared" si="8"/>
        <v>14783967.46</v>
      </c>
      <c r="N119" s="4">
        <f t="shared" si="8"/>
        <v>15414980.77</v>
      </c>
      <c r="O119" s="4">
        <f t="shared" si="8"/>
        <v>15618710.54</v>
      </c>
      <c r="P119" s="4">
        <f t="shared" si="8"/>
        <v>144139355.38</v>
      </c>
    </row>
    <row r="120" spans="1:16">
      <c r="A120" s="21"/>
      <c r="B120" t="s">
        <v>24</v>
      </c>
      <c r="C120"/>
      <c r="D120" s="3">
        <f>D62</f>
        <v>827195.89</v>
      </c>
      <c r="E120" s="4">
        <f t="shared" ref="E120:P120" si="9">E62</f>
        <v>1469298.69</v>
      </c>
      <c r="F120" s="4">
        <f t="shared" si="9"/>
        <v>3061002.15000001</v>
      </c>
      <c r="G120" s="4">
        <f t="shared" si="9"/>
        <v>124435.51</v>
      </c>
      <c r="H120" s="4">
        <f t="shared" si="9"/>
        <v>1706651.77</v>
      </c>
      <c r="I120" s="4">
        <f t="shared" si="9"/>
        <v>1953434.85</v>
      </c>
      <c r="J120" s="4">
        <f t="shared" si="9"/>
        <v>1616744.71</v>
      </c>
      <c r="K120" s="4">
        <f t="shared" si="9"/>
        <v>1370374.5</v>
      </c>
      <c r="L120" s="4">
        <f t="shared" si="9"/>
        <v>2337673.87</v>
      </c>
      <c r="M120" s="4">
        <f t="shared" si="9"/>
        <v>1992648.29</v>
      </c>
      <c r="N120" s="4">
        <f t="shared" si="9"/>
        <v>1864501.06</v>
      </c>
      <c r="O120" s="4">
        <f t="shared" si="9"/>
        <v>1821365.18</v>
      </c>
      <c r="P120" s="4">
        <f t="shared" si="9"/>
        <v>20145326.47</v>
      </c>
    </row>
    <row r="121" spans="1:16">
      <c r="A121" s="21"/>
      <c r="B121" t="s">
        <v>25</v>
      </c>
      <c r="C121"/>
      <c r="D121" s="3">
        <f>D68</f>
        <v>0</v>
      </c>
      <c r="E121" s="4">
        <f t="shared" ref="E121:P121" si="10">E68</f>
        <v>0</v>
      </c>
      <c r="F121" s="4">
        <f t="shared" si="10"/>
        <v>0</v>
      </c>
      <c r="G121" s="4">
        <f t="shared" si="10"/>
        <v>0</v>
      </c>
      <c r="H121" s="4">
        <f t="shared" si="10"/>
        <v>0</v>
      </c>
      <c r="I121" s="4">
        <f t="shared" si="10"/>
        <v>0</v>
      </c>
      <c r="J121" s="4">
        <f t="shared" si="10"/>
        <v>0</v>
      </c>
      <c r="K121" s="4">
        <f t="shared" si="10"/>
        <v>0</v>
      </c>
      <c r="L121" s="4">
        <f t="shared" si="10"/>
        <v>0</v>
      </c>
      <c r="M121" s="4">
        <f t="shared" si="10"/>
        <v>0</v>
      </c>
      <c r="N121" s="4">
        <f t="shared" si="10"/>
        <v>0</v>
      </c>
      <c r="O121" s="4">
        <f t="shared" si="10"/>
        <v>0</v>
      </c>
      <c r="P121" s="4">
        <f t="shared" si="10"/>
        <v>0</v>
      </c>
    </row>
    <row r="122" spans="1:16">
      <c r="A122" s="21"/>
      <c r="B122" t="s">
        <v>26</v>
      </c>
      <c r="C122"/>
      <c r="D122" s="3">
        <f>D72</f>
        <v>241200</v>
      </c>
      <c r="E122" s="4">
        <f t="shared" ref="E122:P122" si="11">E72</f>
        <v>-102764.3</v>
      </c>
      <c r="F122" s="4">
        <f t="shared" si="11"/>
        <v>538862</v>
      </c>
      <c r="G122" s="4">
        <f t="shared" si="11"/>
        <v>144000</v>
      </c>
      <c r="H122" s="4">
        <f t="shared" si="11"/>
        <v>158348</v>
      </c>
      <c r="I122" s="4">
        <f t="shared" si="11"/>
        <v>88095.77</v>
      </c>
      <c r="J122" s="4">
        <f t="shared" si="11"/>
        <v>144480</v>
      </c>
      <c r="K122" s="4">
        <f t="shared" si="11"/>
        <v>163200</v>
      </c>
      <c r="L122" s="4">
        <f t="shared" si="11"/>
        <v>151200</v>
      </c>
      <c r="M122" s="4">
        <f t="shared" si="11"/>
        <v>149280</v>
      </c>
      <c r="N122" s="4">
        <f t="shared" si="11"/>
        <v>6249.6</v>
      </c>
      <c r="O122" s="4">
        <f t="shared" si="11"/>
        <v>158064</v>
      </c>
      <c r="P122" s="4">
        <f t="shared" si="11"/>
        <v>1840215.07</v>
      </c>
    </row>
    <row r="123" spans="1:16">
      <c r="A123" s="21"/>
      <c r="B123" t="s">
        <v>27</v>
      </c>
      <c r="C123"/>
      <c r="D123" s="3">
        <f>D84</f>
        <v>281401.43</v>
      </c>
      <c r="E123" s="4">
        <f t="shared" ref="E123:P123" si="12">E84</f>
        <v>4057964.23</v>
      </c>
      <c r="F123" s="4">
        <f t="shared" si="12"/>
        <v>4122701.06</v>
      </c>
      <c r="G123" s="4">
        <f t="shared" si="12"/>
        <v>3770006.42</v>
      </c>
      <c r="H123" s="4">
        <f t="shared" si="12"/>
        <v>4558957.72</v>
      </c>
      <c r="I123" s="4">
        <f t="shared" si="12"/>
        <v>3958319.83</v>
      </c>
      <c r="J123" s="4">
        <f t="shared" si="12"/>
        <v>3714627.12</v>
      </c>
      <c r="K123" s="4">
        <f t="shared" si="12"/>
        <v>5691979.51</v>
      </c>
      <c r="L123" s="4">
        <f t="shared" si="12"/>
        <v>6187006.17</v>
      </c>
      <c r="M123" s="4">
        <f t="shared" si="12"/>
        <v>6472388.44</v>
      </c>
      <c r="N123" s="4">
        <f t="shared" si="12"/>
        <v>5874941.97</v>
      </c>
      <c r="O123" s="4">
        <f t="shared" si="12"/>
        <v>5884863.22</v>
      </c>
      <c r="P123" s="4">
        <f t="shared" si="12"/>
        <v>54575157.12</v>
      </c>
    </row>
    <row r="124" spans="1:16">
      <c r="A124" s="21"/>
      <c r="B124" t="s">
        <v>28</v>
      </c>
      <c r="C124"/>
      <c r="D124" s="3">
        <f>D91</f>
        <v>2057446.75</v>
      </c>
      <c r="E124" s="4">
        <f t="shared" ref="E124:P124" si="13">E91</f>
        <v>1699450.35</v>
      </c>
      <c r="F124" s="4">
        <f t="shared" si="13"/>
        <v>1288995.45</v>
      </c>
      <c r="G124" s="4">
        <f t="shared" si="13"/>
        <v>4365797.13</v>
      </c>
      <c r="H124" s="4">
        <f t="shared" si="13"/>
        <v>3655136.57</v>
      </c>
      <c r="I124" s="4">
        <f t="shared" si="13"/>
        <v>4343444.29</v>
      </c>
      <c r="J124" s="4">
        <f t="shared" si="13"/>
        <v>5220162.2</v>
      </c>
      <c r="K124" s="4">
        <f t="shared" si="13"/>
        <v>4900684.09</v>
      </c>
      <c r="L124" s="4">
        <f t="shared" si="13"/>
        <v>4464965.28</v>
      </c>
      <c r="M124" s="4">
        <f t="shared" si="13"/>
        <v>33223.7100000004</v>
      </c>
      <c r="N124" s="4">
        <f t="shared" si="13"/>
        <v>5019075.75</v>
      </c>
      <c r="O124" s="4">
        <f t="shared" si="13"/>
        <v>4239715.38</v>
      </c>
      <c r="P124" s="4">
        <f t="shared" si="13"/>
        <v>41288096.95</v>
      </c>
    </row>
    <row r="125" spans="1:16">
      <c r="A125" s="21"/>
      <c r="B125" t="s">
        <v>29</v>
      </c>
      <c r="C125"/>
      <c r="D125" s="3">
        <f>D104</f>
        <v>882985.04</v>
      </c>
      <c r="E125" s="4">
        <f t="shared" ref="E125:P125" si="14">E104</f>
        <v>1045900.98</v>
      </c>
      <c r="F125" s="4">
        <f t="shared" si="14"/>
        <v>2506866.06</v>
      </c>
      <c r="G125" s="4">
        <f t="shared" si="14"/>
        <v>2518814.83</v>
      </c>
      <c r="H125" s="4">
        <f t="shared" si="14"/>
        <v>2046292.69</v>
      </c>
      <c r="I125" s="4">
        <f t="shared" si="14"/>
        <v>2444555.85</v>
      </c>
      <c r="J125" s="4">
        <f t="shared" si="14"/>
        <v>1784730.57</v>
      </c>
      <c r="K125" s="4">
        <f t="shared" si="14"/>
        <v>2234260.65</v>
      </c>
      <c r="L125" s="4">
        <f t="shared" si="14"/>
        <v>2576802.4</v>
      </c>
      <c r="M125" s="4">
        <f t="shared" si="14"/>
        <v>4398679.18</v>
      </c>
      <c r="N125" s="4">
        <f t="shared" si="14"/>
        <v>2092352.19</v>
      </c>
      <c r="O125" s="4">
        <f t="shared" si="14"/>
        <v>2082988.12</v>
      </c>
      <c r="P125" s="4">
        <f t="shared" si="14"/>
        <v>26615228.56</v>
      </c>
    </row>
    <row r="126" spans="1:16">
      <c r="A126" s="21" t="s">
        <v>30</v>
      </c>
      <c r="B126" t="s">
        <v>31</v>
      </c>
      <c r="C126"/>
      <c r="D126" s="3">
        <f>D19</f>
        <v>-74165.5</v>
      </c>
      <c r="E126" s="4">
        <f t="shared" ref="E126:P126" si="15">E19</f>
        <v>4140893.39</v>
      </c>
      <c r="F126" s="4">
        <f t="shared" si="15"/>
        <v>-962749.59</v>
      </c>
      <c r="G126" s="4">
        <f t="shared" si="15"/>
        <v>2001962.21</v>
      </c>
      <c r="H126" s="4">
        <f t="shared" si="15"/>
        <v>4109596.23</v>
      </c>
      <c r="I126" s="4">
        <f t="shared" si="15"/>
        <v>2187816.88</v>
      </c>
      <c r="J126" s="4">
        <f t="shared" si="15"/>
        <v>1587386.18</v>
      </c>
      <c r="K126" s="4">
        <f t="shared" si="15"/>
        <v>3566481.12</v>
      </c>
      <c r="L126" s="4">
        <f t="shared" si="15"/>
        <v>6826629.28</v>
      </c>
      <c r="M126" s="4">
        <f t="shared" si="15"/>
        <v>7762308.24</v>
      </c>
      <c r="N126" s="4">
        <f t="shared" si="15"/>
        <v>6870892.97</v>
      </c>
      <c r="O126" s="4">
        <f t="shared" si="15"/>
        <v>6569628.03</v>
      </c>
      <c r="P126" s="4">
        <f t="shared" si="15"/>
        <v>44586679.44</v>
      </c>
    </row>
    <row r="127" spans="1:16">
      <c r="A127" s="21"/>
      <c r="B127" t="s">
        <v>32</v>
      </c>
      <c r="C127"/>
      <c r="D127" s="3">
        <f>D24</f>
        <v>1141.1</v>
      </c>
      <c r="E127" s="4">
        <f t="shared" ref="E127:P127" si="16">E24</f>
        <v>1040873.37</v>
      </c>
      <c r="F127" s="4">
        <f t="shared" si="16"/>
        <v>174540.38</v>
      </c>
      <c r="G127" s="4">
        <f t="shared" si="16"/>
        <v>692383.83</v>
      </c>
      <c r="H127" s="4">
        <f t="shared" si="16"/>
        <v>1446771.36</v>
      </c>
      <c r="I127" s="4">
        <f t="shared" si="16"/>
        <v>223385.26</v>
      </c>
      <c r="J127" s="4">
        <f t="shared" si="16"/>
        <v>437058.84</v>
      </c>
      <c r="K127" s="4">
        <f t="shared" si="16"/>
        <v>242217.21</v>
      </c>
      <c r="L127" s="4">
        <f t="shared" si="16"/>
        <v>536205.47</v>
      </c>
      <c r="M127" s="4">
        <f t="shared" si="16"/>
        <v>691455.3</v>
      </c>
      <c r="N127" s="4">
        <f t="shared" si="16"/>
        <v>532379.17</v>
      </c>
      <c r="O127" s="4">
        <f t="shared" si="16"/>
        <v>479635.84</v>
      </c>
      <c r="P127" s="4">
        <f t="shared" si="16"/>
        <v>6498047.13</v>
      </c>
    </row>
    <row r="128" spans="1:16">
      <c r="A128" s="21"/>
      <c r="B128" t="s">
        <v>33</v>
      </c>
      <c r="C128"/>
      <c r="D128" s="3">
        <f>D66</f>
        <v>-18779.17</v>
      </c>
      <c r="E128" s="4">
        <f t="shared" ref="E128:P128" si="17">E66</f>
        <v>587.49</v>
      </c>
      <c r="F128" s="4">
        <f t="shared" si="17"/>
        <v>71490.45</v>
      </c>
      <c r="G128" s="4">
        <f t="shared" si="17"/>
        <v>568414.94</v>
      </c>
      <c r="H128" s="4">
        <f t="shared" si="17"/>
        <v>155895.22</v>
      </c>
      <c r="I128" s="4">
        <f t="shared" si="17"/>
        <v>-148890.29</v>
      </c>
      <c r="J128" s="4">
        <f t="shared" si="17"/>
        <v>-85332.56</v>
      </c>
      <c r="K128" s="4">
        <f t="shared" si="17"/>
        <v>2747600.96</v>
      </c>
      <c r="L128" s="4">
        <f t="shared" si="17"/>
        <v>511174.36</v>
      </c>
      <c r="M128" s="4">
        <f t="shared" si="17"/>
        <v>52613.86</v>
      </c>
      <c r="N128" s="4">
        <f t="shared" si="17"/>
        <v>914817.38</v>
      </c>
      <c r="O128" s="4">
        <f t="shared" si="17"/>
        <v>-53644.790000001</v>
      </c>
      <c r="P128" s="4">
        <f t="shared" si="17"/>
        <v>4715947.85</v>
      </c>
    </row>
    <row r="129" spans="1:16">
      <c r="A129" s="21"/>
      <c r="B129" t="s">
        <v>34</v>
      </c>
      <c r="C129"/>
      <c r="D129" s="3">
        <f>D70</f>
        <v>-198682</v>
      </c>
      <c r="E129" s="4">
        <f t="shared" ref="E129:P129" si="18">E70</f>
        <v>-432229.85</v>
      </c>
      <c r="F129" s="4">
        <f t="shared" si="18"/>
        <v>-463412.5</v>
      </c>
      <c r="G129" s="4">
        <f t="shared" si="18"/>
        <v>-823575.5</v>
      </c>
      <c r="H129" s="4">
        <f t="shared" si="18"/>
        <v>-1422298</v>
      </c>
      <c r="I129" s="4">
        <f t="shared" si="18"/>
        <v>-847610</v>
      </c>
      <c r="J129" s="4">
        <f t="shared" si="18"/>
        <v>-821163.5</v>
      </c>
      <c r="K129" s="4">
        <f t="shared" si="18"/>
        <v>-573054.5</v>
      </c>
      <c r="L129" s="4">
        <f t="shared" si="18"/>
        <v>-263726.5</v>
      </c>
      <c r="M129" s="4">
        <f t="shared" si="18"/>
        <v>-794531</v>
      </c>
      <c r="N129" s="4">
        <f t="shared" si="18"/>
        <v>-260614.5</v>
      </c>
      <c r="O129" s="4">
        <f t="shared" si="18"/>
        <v>-690257</v>
      </c>
      <c r="P129" s="4">
        <f t="shared" si="18"/>
        <v>-7591154.85</v>
      </c>
    </row>
    <row r="130" spans="1:16">
      <c r="A130" s="21"/>
      <c r="B130" t="s">
        <v>35</v>
      </c>
      <c r="C130"/>
      <c r="D130" s="3">
        <f>D76</f>
        <v>1161412.68</v>
      </c>
      <c r="E130" s="4">
        <f t="shared" ref="E130:P130" si="19">E76</f>
        <v>395293.49</v>
      </c>
      <c r="F130" s="4">
        <f t="shared" si="19"/>
        <v>801105.81</v>
      </c>
      <c r="G130" s="4">
        <f t="shared" si="19"/>
        <v>1579157.24</v>
      </c>
      <c r="H130" s="4">
        <f t="shared" si="19"/>
        <v>1608142.14</v>
      </c>
      <c r="I130" s="4">
        <f t="shared" si="19"/>
        <v>1229817.09</v>
      </c>
      <c r="J130" s="4">
        <f t="shared" si="19"/>
        <v>-152551.29</v>
      </c>
      <c r="K130" s="4">
        <f t="shared" si="19"/>
        <v>1033297.69</v>
      </c>
      <c r="L130" s="4">
        <f t="shared" si="19"/>
        <v>790754.06</v>
      </c>
      <c r="M130" s="4">
        <f t="shared" si="19"/>
        <v>1063312.66</v>
      </c>
      <c r="N130" s="4">
        <f t="shared" si="19"/>
        <v>1326987.32</v>
      </c>
      <c r="O130" s="4">
        <f t="shared" si="19"/>
        <v>1043934.56</v>
      </c>
      <c r="P130" s="4">
        <f t="shared" si="19"/>
        <v>11880663.45</v>
      </c>
    </row>
    <row r="131" spans="1:16">
      <c r="A131" s="21" t="s">
        <v>36</v>
      </c>
      <c r="B131"/>
      <c r="C131"/>
      <c r="D131" s="3">
        <f>D112</f>
        <v>6095906.28</v>
      </c>
      <c r="E131" s="4">
        <f t="shared" ref="E131:P131" si="20">E112</f>
        <v>5520628.91</v>
      </c>
      <c r="F131" s="4">
        <f t="shared" si="20"/>
        <v>6525094.74</v>
      </c>
      <c r="G131" s="4">
        <f t="shared" si="20"/>
        <v>8080405.1</v>
      </c>
      <c r="H131" s="4">
        <f t="shared" si="20"/>
        <v>6379570.49</v>
      </c>
      <c r="I131" s="4">
        <f t="shared" si="20"/>
        <v>5065884.69</v>
      </c>
      <c r="J131" s="4">
        <f t="shared" si="20"/>
        <v>7128496.62</v>
      </c>
      <c r="K131" s="4">
        <f t="shared" si="20"/>
        <v>9428507.1</v>
      </c>
      <c r="L131" s="4">
        <f t="shared" si="20"/>
        <v>6358009.29</v>
      </c>
      <c r="M131" s="4">
        <f t="shared" si="20"/>
        <v>6248111.07</v>
      </c>
      <c r="N131" s="4">
        <f t="shared" si="20"/>
        <v>7675819.07</v>
      </c>
      <c r="O131" s="4">
        <f t="shared" si="20"/>
        <v>5374989.57</v>
      </c>
      <c r="P131" s="4">
        <f t="shared" si="20"/>
        <v>79881422.93</v>
      </c>
    </row>
    <row r="135" spans="1:1">
      <c r="A135" s="2" t="s">
        <v>480</v>
      </c>
    </row>
    <row r="136" s="1" customFormat="1" spans="1:16">
      <c r="A136" s="21" t="s">
        <v>22</v>
      </c>
      <c r="B136" t="s">
        <v>59</v>
      </c>
      <c r="C136" s="23"/>
      <c r="D136" s="11">
        <f>D119/38</f>
        <v>1028.35657894737</v>
      </c>
      <c r="E136" s="24">
        <f t="shared" ref="E136:P148" si="21">E119/38</f>
        <v>273313.045263158</v>
      </c>
      <c r="F136" s="24">
        <f t="shared" si="21"/>
        <v>267556.584210526</v>
      </c>
      <c r="G136" s="24">
        <f t="shared" si="21"/>
        <v>256893.731315789</v>
      </c>
      <c r="H136" s="24">
        <f t="shared" si="21"/>
        <v>318413.182368421</v>
      </c>
      <c r="I136" s="24">
        <f t="shared" si="21"/>
        <v>441042.396052631</v>
      </c>
      <c r="J136" s="24">
        <f t="shared" si="21"/>
        <v>345810.481842105</v>
      </c>
      <c r="K136" s="24">
        <f t="shared" si="21"/>
        <v>342370.030789474</v>
      </c>
      <c r="L136" s="24">
        <f t="shared" si="21"/>
        <v>340985.260263158</v>
      </c>
      <c r="M136" s="24">
        <f t="shared" si="21"/>
        <v>389051.775263158</v>
      </c>
      <c r="N136" s="24">
        <f t="shared" si="21"/>
        <v>405657.388684211</v>
      </c>
      <c r="O136" s="24">
        <f t="shared" si="21"/>
        <v>411018.698421053</v>
      </c>
      <c r="P136" s="24">
        <f t="shared" si="21"/>
        <v>3793140.93105263</v>
      </c>
    </row>
    <row r="137" spans="1:16">
      <c r="A137" s="21"/>
      <c r="B137" t="s">
        <v>24</v>
      </c>
      <c r="C137"/>
      <c r="D137" s="3">
        <f t="shared" ref="D137:O148" si="22">D120/38</f>
        <v>21768.3128947368</v>
      </c>
      <c r="E137" s="4">
        <f t="shared" si="22"/>
        <v>38665.755</v>
      </c>
      <c r="F137" s="4">
        <f t="shared" si="22"/>
        <v>80552.6881578949</v>
      </c>
      <c r="G137" s="4">
        <f t="shared" si="22"/>
        <v>3274.61868421052</v>
      </c>
      <c r="H137" s="4">
        <f t="shared" si="22"/>
        <v>44911.8886842105</v>
      </c>
      <c r="I137" s="4">
        <f t="shared" si="22"/>
        <v>51406.1802631579</v>
      </c>
      <c r="J137" s="4">
        <f t="shared" si="22"/>
        <v>42545.9134210526</v>
      </c>
      <c r="K137" s="4">
        <f t="shared" si="22"/>
        <v>36062.4868421053</v>
      </c>
      <c r="L137" s="4">
        <f t="shared" si="22"/>
        <v>61517.7334210526</v>
      </c>
      <c r="M137" s="4">
        <f t="shared" si="22"/>
        <v>52438.1128947368</v>
      </c>
      <c r="N137" s="4">
        <f t="shared" si="22"/>
        <v>49065.817368421</v>
      </c>
      <c r="O137" s="4">
        <f t="shared" si="22"/>
        <v>47930.662631579</v>
      </c>
      <c r="P137" s="4">
        <f t="shared" si="21"/>
        <v>530140.170263158</v>
      </c>
    </row>
    <row r="138" spans="1:16">
      <c r="A138" s="21"/>
      <c r="B138" t="s">
        <v>25</v>
      </c>
      <c r="C138"/>
      <c r="D138" s="3">
        <f t="shared" si="22"/>
        <v>0</v>
      </c>
      <c r="E138" s="4">
        <f t="shared" si="22"/>
        <v>0</v>
      </c>
      <c r="F138" s="4">
        <f t="shared" si="22"/>
        <v>0</v>
      </c>
      <c r="G138" s="4">
        <f t="shared" si="22"/>
        <v>0</v>
      </c>
      <c r="H138" s="4">
        <f t="shared" si="22"/>
        <v>0</v>
      </c>
      <c r="I138" s="4">
        <f t="shared" si="22"/>
        <v>0</v>
      </c>
      <c r="J138" s="4">
        <f t="shared" si="22"/>
        <v>0</v>
      </c>
      <c r="K138" s="4">
        <f t="shared" si="22"/>
        <v>0</v>
      </c>
      <c r="L138" s="4">
        <f t="shared" si="22"/>
        <v>0</v>
      </c>
      <c r="M138" s="4">
        <f t="shared" si="22"/>
        <v>0</v>
      </c>
      <c r="N138" s="4">
        <f t="shared" si="22"/>
        <v>0</v>
      </c>
      <c r="O138" s="4">
        <f t="shared" si="22"/>
        <v>0</v>
      </c>
      <c r="P138" s="4">
        <f t="shared" si="21"/>
        <v>0</v>
      </c>
    </row>
    <row r="139" spans="1:16">
      <c r="A139" s="21"/>
      <c r="B139" t="s">
        <v>26</v>
      </c>
      <c r="C139"/>
      <c r="D139" s="3">
        <f t="shared" si="22"/>
        <v>6347.36842105263</v>
      </c>
      <c r="E139" s="4">
        <f t="shared" si="22"/>
        <v>-2704.32368421053</v>
      </c>
      <c r="F139" s="4">
        <f t="shared" si="22"/>
        <v>14180.5789473684</v>
      </c>
      <c r="G139" s="4">
        <f t="shared" si="22"/>
        <v>3789.47368421053</v>
      </c>
      <c r="H139" s="4">
        <f t="shared" si="22"/>
        <v>4167.05263157895</v>
      </c>
      <c r="I139" s="4">
        <f t="shared" si="22"/>
        <v>2318.3097368421</v>
      </c>
      <c r="J139" s="4">
        <f t="shared" si="22"/>
        <v>3802.10526315789</v>
      </c>
      <c r="K139" s="4">
        <f t="shared" si="22"/>
        <v>4294.73684210526</v>
      </c>
      <c r="L139" s="4">
        <f t="shared" si="22"/>
        <v>3978.94736842105</v>
      </c>
      <c r="M139" s="4">
        <f t="shared" si="22"/>
        <v>3928.42105263158</v>
      </c>
      <c r="N139" s="4">
        <f t="shared" si="22"/>
        <v>164.463157894737</v>
      </c>
      <c r="O139" s="4">
        <f t="shared" si="22"/>
        <v>4159.57894736842</v>
      </c>
      <c r="P139" s="4">
        <f t="shared" si="21"/>
        <v>48426.7123684211</v>
      </c>
    </row>
    <row r="140" spans="1:16">
      <c r="A140" s="21"/>
      <c r="B140" t="s">
        <v>27</v>
      </c>
      <c r="C140"/>
      <c r="D140" s="3">
        <f t="shared" si="22"/>
        <v>7405.30078947368</v>
      </c>
      <c r="E140" s="4">
        <f t="shared" si="22"/>
        <v>106788.532368421</v>
      </c>
      <c r="F140" s="4">
        <f t="shared" si="22"/>
        <v>108492.133157895</v>
      </c>
      <c r="G140" s="4">
        <f t="shared" si="22"/>
        <v>99210.6952631579</v>
      </c>
      <c r="H140" s="4">
        <f t="shared" si="22"/>
        <v>119972.571578947</v>
      </c>
      <c r="I140" s="4">
        <f t="shared" si="22"/>
        <v>104166.311315789</v>
      </c>
      <c r="J140" s="4">
        <f t="shared" si="22"/>
        <v>97753.3452631579</v>
      </c>
      <c r="K140" s="4">
        <f t="shared" si="22"/>
        <v>149788.934473684</v>
      </c>
      <c r="L140" s="4">
        <f t="shared" si="22"/>
        <v>162815.951842105</v>
      </c>
      <c r="M140" s="4">
        <f t="shared" si="22"/>
        <v>170326.011578947</v>
      </c>
      <c r="N140" s="4">
        <f t="shared" si="22"/>
        <v>154603.736052632</v>
      </c>
      <c r="O140" s="4">
        <f t="shared" si="22"/>
        <v>154864.821578947</v>
      </c>
      <c r="P140" s="4">
        <f t="shared" si="21"/>
        <v>1436188.34526316</v>
      </c>
    </row>
    <row r="141" spans="1:16">
      <c r="A141" s="21"/>
      <c r="B141" t="s">
        <v>28</v>
      </c>
      <c r="C141"/>
      <c r="D141" s="3">
        <f t="shared" si="22"/>
        <v>54143.3355263158</v>
      </c>
      <c r="E141" s="4">
        <f t="shared" si="22"/>
        <v>44722.377631579</v>
      </c>
      <c r="F141" s="4">
        <f t="shared" si="22"/>
        <v>33920.9328947368</v>
      </c>
      <c r="G141" s="4">
        <f t="shared" si="22"/>
        <v>114889.398157895</v>
      </c>
      <c r="H141" s="4">
        <f t="shared" si="22"/>
        <v>96187.8044736842</v>
      </c>
      <c r="I141" s="4">
        <f t="shared" si="22"/>
        <v>114301.165526316</v>
      </c>
      <c r="J141" s="4">
        <f t="shared" si="22"/>
        <v>137372.689473684</v>
      </c>
      <c r="K141" s="4">
        <f t="shared" si="22"/>
        <v>128965.370789474</v>
      </c>
      <c r="L141" s="4">
        <f t="shared" si="22"/>
        <v>117499.086315789</v>
      </c>
      <c r="M141" s="4">
        <f t="shared" si="22"/>
        <v>874.308157894748</v>
      </c>
      <c r="N141" s="4">
        <f t="shared" si="22"/>
        <v>132080.940789474</v>
      </c>
      <c r="O141" s="4">
        <f t="shared" si="22"/>
        <v>111571.457368421</v>
      </c>
      <c r="P141" s="4">
        <f t="shared" si="21"/>
        <v>1086528.86710526</v>
      </c>
    </row>
    <row r="142" spans="1:16">
      <c r="A142" s="21"/>
      <c r="B142" t="s">
        <v>29</v>
      </c>
      <c r="C142"/>
      <c r="D142" s="3">
        <f t="shared" si="22"/>
        <v>23236.4484210526</v>
      </c>
      <c r="E142" s="4">
        <f t="shared" si="22"/>
        <v>27523.71</v>
      </c>
      <c r="F142" s="4">
        <f t="shared" si="22"/>
        <v>65970.1594736842</v>
      </c>
      <c r="G142" s="4">
        <f t="shared" si="22"/>
        <v>66284.6007894737</v>
      </c>
      <c r="H142" s="4">
        <f t="shared" si="22"/>
        <v>53849.8076315789</v>
      </c>
      <c r="I142" s="4">
        <f t="shared" si="22"/>
        <v>64330.4171052632</v>
      </c>
      <c r="J142" s="4">
        <f t="shared" si="22"/>
        <v>46966.5939473684</v>
      </c>
      <c r="K142" s="4">
        <f t="shared" si="22"/>
        <v>58796.3328947368</v>
      </c>
      <c r="L142" s="4">
        <f t="shared" si="22"/>
        <v>67810.5894736842</v>
      </c>
      <c r="M142" s="4">
        <f t="shared" si="22"/>
        <v>115754.715263158</v>
      </c>
      <c r="N142" s="4">
        <f t="shared" si="22"/>
        <v>55061.8997368421</v>
      </c>
      <c r="O142" s="4">
        <f t="shared" si="22"/>
        <v>54815.4768421053</v>
      </c>
      <c r="P142" s="4">
        <f t="shared" si="21"/>
        <v>700400.751578947</v>
      </c>
    </row>
    <row r="143" spans="1:16">
      <c r="A143" s="21" t="s">
        <v>30</v>
      </c>
      <c r="B143" t="s">
        <v>31</v>
      </c>
      <c r="C143"/>
      <c r="D143" s="3">
        <f t="shared" si="22"/>
        <v>-1951.72368421053</v>
      </c>
      <c r="E143" s="4">
        <f t="shared" si="22"/>
        <v>108970.878684211</v>
      </c>
      <c r="F143" s="4">
        <f t="shared" si="22"/>
        <v>-25335.5155263158</v>
      </c>
      <c r="G143" s="4">
        <f t="shared" si="22"/>
        <v>52683.2160526316</v>
      </c>
      <c r="H143" s="4">
        <f t="shared" si="22"/>
        <v>108147.269210526</v>
      </c>
      <c r="I143" s="4">
        <f t="shared" si="22"/>
        <v>57574.1284210526</v>
      </c>
      <c r="J143" s="4">
        <f t="shared" si="22"/>
        <v>41773.3205263158</v>
      </c>
      <c r="K143" s="4">
        <f t="shared" si="22"/>
        <v>93854.7663157895</v>
      </c>
      <c r="L143" s="4">
        <f t="shared" si="22"/>
        <v>179648.138947368</v>
      </c>
      <c r="M143" s="4">
        <f t="shared" si="22"/>
        <v>204271.269473684</v>
      </c>
      <c r="N143" s="4">
        <f t="shared" si="22"/>
        <v>180812.972894737</v>
      </c>
      <c r="O143" s="4">
        <f t="shared" si="22"/>
        <v>172884.948157895</v>
      </c>
      <c r="P143" s="4">
        <f t="shared" si="21"/>
        <v>1173333.66947368</v>
      </c>
    </row>
    <row r="144" spans="1:16">
      <c r="A144" s="21"/>
      <c r="B144" t="s">
        <v>32</v>
      </c>
      <c r="C144"/>
      <c r="D144" s="3">
        <f t="shared" si="22"/>
        <v>30.028947368421</v>
      </c>
      <c r="E144" s="4">
        <f t="shared" si="22"/>
        <v>27391.4044736842</v>
      </c>
      <c r="F144" s="4">
        <f t="shared" si="22"/>
        <v>4593.16789473684</v>
      </c>
      <c r="G144" s="4">
        <f t="shared" si="22"/>
        <v>18220.6271052632</v>
      </c>
      <c r="H144" s="4">
        <f t="shared" si="22"/>
        <v>38072.9305263158</v>
      </c>
      <c r="I144" s="4">
        <f t="shared" si="22"/>
        <v>5878.55947368421</v>
      </c>
      <c r="J144" s="4">
        <f t="shared" si="22"/>
        <v>11501.5484210526</v>
      </c>
      <c r="K144" s="4">
        <f t="shared" si="22"/>
        <v>6374.13710526316</v>
      </c>
      <c r="L144" s="4">
        <f t="shared" si="22"/>
        <v>14110.6702631579</v>
      </c>
      <c r="M144" s="4">
        <f t="shared" si="22"/>
        <v>18196.1921052632</v>
      </c>
      <c r="N144" s="4">
        <f t="shared" si="22"/>
        <v>14009.9781578947</v>
      </c>
      <c r="O144" s="4">
        <f t="shared" si="22"/>
        <v>12621.9957894737</v>
      </c>
      <c r="P144" s="4">
        <f t="shared" si="21"/>
        <v>171001.240263158</v>
      </c>
    </row>
    <row r="145" spans="1:16">
      <c r="A145" s="21"/>
      <c r="B145" t="s">
        <v>33</v>
      </c>
      <c r="C145"/>
      <c r="D145" s="3">
        <f t="shared" si="22"/>
        <v>-494.188684210526</v>
      </c>
      <c r="E145" s="4">
        <f t="shared" si="22"/>
        <v>15.4602631578947</v>
      </c>
      <c r="F145" s="4">
        <f t="shared" si="22"/>
        <v>1881.32763157895</v>
      </c>
      <c r="G145" s="4">
        <f t="shared" si="22"/>
        <v>14958.2878947368</v>
      </c>
      <c r="H145" s="4">
        <f t="shared" si="22"/>
        <v>4102.50578947368</v>
      </c>
      <c r="I145" s="4">
        <f t="shared" si="22"/>
        <v>-3918.16552631579</v>
      </c>
      <c r="J145" s="4">
        <f t="shared" si="22"/>
        <v>-2245.59368421053</v>
      </c>
      <c r="K145" s="4">
        <f t="shared" si="22"/>
        <v>72305.2884210527</v>
      </c>
      <c r="L145" s="4">
        <f t="shared" si="22"/>
        <v>13451.9568421053</v>
      </c>
      <c r="M145" s="4">
        <f t="shared" si="22"/>
        <v>1384.5752631579</v>
      </c>
      <c r="N145" s="4">
        <f t="shared" si="22"/>
        <v>24074.1415789474</v>
      </c>
      <c r="O145" s="4">
        <f t="shared" si="22"/>
        <v>-1411.70500000003</v>
      </c>
      <c r="P145" s="4">
        <f t="shared" si="21"/>
        <v>124103.890789474</v>
      </c>
    </row>
    <row r="146" spans="1:16">
      <c r="A146" s="21"/>
      <c r="B146" t="s">
        <v>34</v>
      </c>
      <c r="C146"/>
      <c r="D146" s="3">
        <f t="shared" si="22"/>
        <v>-5228.47368421053</v>
      </c>
      <c r="E146" s="4">
        <f t="shared" si="22"/>
        <v>-11374.4697368421</v>
      </c>
      <c r="F146" s="4">
        <f t="shared" si="22"/>
        <v>-12195.0657894737</v>
      </c>
      <c r="G146" s="4">
        <f t="shared" si="22"/>
        <v>-21673.0394736842</v>
      </c>
      <c r="H146" s="4">
        <f t="shared" si="22"/>
        <v>-37428.8947368421</v>
      </c>
      <c r="I146" s="4">
        <f t="shared" si="22"/>
        <v>-22305.5263157895</v>
      </c>
      <c r="J146" s="4">
        <f t="shared" si="22"/>
        <v>-21609.5657894737</v>
      </c>
      <c r="K146" s="4">
        <f t="shared" si="22"/>
        <v>-15080.3815789474</v>
      </c>
      <c r="L146" s="4">
        <f t="shared" si="22"/>
        <v>-6940.17105263158</v>
      </c>
      <c r="M146" s="4">
        <f t="shared" si="22"/>
        <v>-20908.7105263158</v>
      </c>
      <c r="N146" s="4">
        <f t="shared" si="22"/>
        <v>-6858.27631578947</v>
      </c>
      <c r="O146" s="4">
        <f t="shared" si="22"/>
        <v>-18164.6578947368</v>
      </c>
      <c r="P146" s="4">
        <f t="shared" si="21"/>
        <v>-199767.232894737</v>
      </c>
    </row>
    <row r="147" spans="1:16">
      <c r="A147" s="21"/>
      <c r="B147" t="s">
        <v>35</v>
      </c>
      <c r="C147"/>
      <c r="D147" s="3">
        <f t="shared" si="22"/>
        <v>30563.4915789474</v>
      </c>
      <c r="E147" s="4">
        <f t="shared" si="22"/>
        <v>10402.4602631579</v>
      </c>
      <c r="F147" s="4">
        <f t="shared" si="22"/>
        <v>21081.7318421053</v>
      </c>
      <c r="G147" s="4">
        <f t="shared" si="22"/>
        <v>41556.7694736842</v>
      </c>
      <c r="H147" s="4">
        <f t="shared" si="22"/>
        <v>42319.53</v>
      </c>
      <c r="I147" s="4">
        <f t="shared" si="22"/>
        <v>32363.607631579</v>
      </c>
      <c r="J147" s="4">
        <f t="shared" si="22"/>
        <v>-4014.50763157895</v>
      </c>
      <c r="K147" s="4">
        <f t="shared" si="22"/>
        <v>27192.0444736842</v>
      </c>
      <c r="L147" s="4">
        <f t="shared" si="22"/>
        <v>20809.3173684211</v>
      </c>
      <c r="M147" s="4">
        <f t="shared" si="22"/>
        <v>27981.9121052632</v>
      </c>
      <c r="N147" s="4">
        <f t="shared" si="22"/>
        <v>34920.7189473684</v>
      </c>
      <c r="O147" s="4">
        <f t="shared" si="22"/>
        <v>27471.9621052632</v>
      </c>
      <c r="P147" s="4">
        <f t="shared" si="21"/>
        <v>312649.038157895</v>
      </c>
    </row>
    <row r="148" spans="1:16">
      <c r="A148" s="21" t="s">
        <v>36</v>
      </c>
      <c r="B148"/>
      <c r="C148"/>
      <c r="D148" s="3">
        <f>D131/38</f>
        <v>160418.586315789</v>
      </c>
      <c r="E148" s="4">
        <f t="shared" si="22"/>
        <v>145279.708157895</v>
      </c>
      <c r="F148" s="4">
        <f t="shared" si="22"/>
        <v>171713.019473684</v>
      </c>
      <c r="G148" s="4">
        <f t="shared" si="22"/>
        <v>212642.239473684</v>
      </c>
      <c r="H148" s="4">
        <f t="shared" si="22"/>
        <v>167883.433947368</v>
      </c>
      <c r="I148" s="4">
        <f t="shared" si="22"/>
        <v>133312.755</v>
      </c>
      <c r="J148" s="4">
        <f t="shared" si="22"/>
        <v>187592.016315789</v>
      </c>
      <c r="K148" s="4">
        <f t="shared" si="22"/>
        <v>248118.607894737</v>
      </c>
      <c r="L148" s="4">
        <f t="shared" si="22"/>
        <v>167316.033947368</v>
      </c>
      <c r="M148" s="4">
        <f t="shared" si="22"/>
        <v>164423.975526316</v>
      </c>
      <c r="N148" s="4">
        <f t="shared" si="22"/>
        <v>201995.238684211</v>
      </c>
      <c r="O148" s="4">
        <f t="shared" si="22"/>
        <v>141447.093947368</v>
      </c>
      <c r="P148" s="4">
        <f t="shared" si="21"/>
        <v>2102142.70868421</v>
      </c>
    </row>
    <row r="150" spans="1:15">
      <c r="A150" s="25" t="s">
        <v>41</v>
      </c>
      <c r="D150" s="3">
        <f>SUMIFS(D4:D112,$C$4:$C$112,$A150)/38</f>
        <v>155001.115263158</v>
      </c>
      <c r="E150" s="3">
        <f t="shared" ref="E150:O150" si="23">SUMIFS(E4:E112,$C$4:$C$112,$A150)/38</f>
        <v>159728.413684211</v>
      </c>
      <c r="F150" s="3">
        <f t="shared" si="23"/>
        <v>162235.997105263</v>
      </c>
      <c r="G150" s="3">
        <f t="shared" si="23"/>
        <v>173330.465526316</v>
      </c>
      <c r="H150" s="3">
        <f t="shared" si="23"/>
        <v>207814.428421053</v>
      </c>
      <c r="I150" s="3">
        <f t="shared" si="23"/>
        <v>344964.955526316</v>
      </c>
      <c r="J150" s="3">
        <f t="shared" si="23"/>
        <v>230135.372631579</v>
      </c>
      <c r="K150" s="3">
        <f t="shared" si="23"/>
        <v>385847.364210526</v>
      </c>
      <c r="L150" s="3">
        <f t="shared" si="23"/>
        <v>276296.675526316</v>
      </c>
      <c r="M150" s="3">
        <f t="shared" si="23"/>
        <v>248648.319736842</v>
      </c>
      <c r="N150" s="3">
        <f t="shared" si="23"/>
        <v>328873.214736842</v>
      </c>
      <c r="O150" s="3">
        <f t="shared" si="23"/>
        <v>229930.450789474</v>
      </c>
    </row>
    <row r="153" spans="1:15">
      <c r="A153" s="21"/>
      <c r="B153"/>
      <c r="C153"/>
      <c r="D153" s="26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</row>
  </sheetData>
  <autoFilter xmlns:etc="http://www.wps.cn/officeDocument/2017/etCustomData" ref="A3:X116" etc:filterBottomFollowUsedRange="0">
    <extLst/>
  </autoFilter>
  <mergeCells count="4">
    <mergeCell ref="A119:A125"/>
    <mergeCell ref="A126:A130"/>
    <mergeCell ref="A136:A142"/>
    <mergeCell ref="A143:A147"/>
  </mergeCells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大厨电</vt:lpstr>
      <vt:lpstr>厨电</vt:lpstr>
      <vt:lpstr>洗碗机</vt:lpstr>
      <vt:lpstr>Sheet4</vt:lpstr>
      <vt:lpstr>趋势图</vt:lpstr>
      <vt:lpstr>Sheet2</vt:lpstr>
      <vt:lpstr>Sheet1</vt:lpstr>
      <vt:lpstr>人数</vt:lpstr>
      <vt:lpstr>CK P&amp;L by account 2026</vt:lpstr>
      <vt:lpstr>DW P&amp;L by account 2026</vt:lpstr>
      <vt:lpstr>25年CK1</vt:lpstr>
      <vt:lpstr>25年CK2</vt:lpstr>
      <vt:lpstr>24年CK1</vt:lpstr>
      <vt:lpstr>24年CK2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 Jiaojiao 姜娇娇 (690)</dc:creator>
  <cp:lastModifiedBy>李想</cp:lastModifiedBy>
  <dcterms:created xsi:type="dcterms:W3CDTF">2025-03-31T07:26:00Z</dcterms:created>
  <dcterms:modified xsi:type="dcterms:W3CDTF">2026-05-23T08:41:25Z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ICV">
    <vt:lpwstr>7EB18B4291514E0CBDC705D4968FB09B_13</vt:lpwstr>
  </property>
  <property fmtid="{D5CDD505-2E9C-101B-9397-08002B2CF9AE}" pid="5" name="KSOProductBuildVer">
    <vt:lpwstr>2052-12.1.0.20784</vt:lpwstr>
  </property>
</Properties>
</file>