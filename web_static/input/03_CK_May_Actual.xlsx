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rak.asefler\Desktop\"/>
    </mc:Choice>
  </mc:AlternateContent>
  <xr:revisionPtr revIDLastSave="0" documentId="13_ncr:1_{BE0B564F-66FF-4A19-A3E8-95813D29B904}" xr6:coauthVersionLast="47" xr6:coauthVersionMax="47" xr10:uidLastSave="{00000000-0000-0000-0000-000000000000}"/>
  <bookViews>
    <workbookView xWindow="-108" yWindow="-108" windowWidth="23256" windowHeight="12456" xr2:uid="{556974A5-38FF-4A19-B27E-7EC94B488767}"/>
  </bookViews>
  <sheets>
    <sheet name="Renta CK TOTAL_2026" sheetId="1" r:id="rId1"/>
  </sheets>
  <definedNames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 localSheetId="0" hidden="1">'Renta CK TOTAL_2026'!$A$6:$AQ$290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_xlnm.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_xlnm.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3" i="1" l="1"/>
  <c r="Q25" i="1"/>
  <c r="Q16" i="1"/>
  <c r="Q245" i="1"/>
  <c r="R221" i="1"/>
  <c r="R220" i="1"/>
  <c r="R219" i="1"/>
  <c r="R218" i="1"/>
  <c r="R217" i="1"/>
  <c r="R216" i="1"/>
  <c r="R215" i="1"/>
  <c r="R214" i="1"/>
  <c r="R212" i="1"/>
  <c r="R211" i="1"/>
  <c r="R210" i="1"/>
  <c r="R209" i="1"/>
  <c r="R208" i="1"/>
  <c r="R207" i="1"/>
  <c r="R205" i="1"/>
  <c r="R204" i="1"/>
  <c r="R202" i="1"/>
  <c r="R201" i="1"/>
  <c r="R199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8" i="1"/>
  <c r="R147" i="1"/>
  <c r="R145" i="1"/>
  <c r="R144" i="1"/>
  <c r="R143" i="1"/>
  <c r="R142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0" i="1"/>
  <c r="R119" i="1"/>
  <c r="R118" i="1"/>
  <c r="R117" i="1"/>
  <c r="R116" i="1"/>
  <c r="R115" i="1"/>
  <c r="R114" i="1"/>
  <c r="R112" i="1"/>
  <c r="R111" i="1"/>
  <c r="R110" i="1"/>
  <c r="R109" i="1"/>
  <c r="R108" i="1"/>
  <c r="R107" i="1"/>
  <c r="R106" i="1"/>
  <c r="R104" i="1"/>
  <c r="R103" i="1"/>
  <c r="R102" i="1"/>
  <c r="R100" i="1"/>
  <c r="R98" i="1"/>
  <c r="R96" i="1"/>
  <c r="R94" i="1"/>
  <c r="R93" i="1"/>
  <c r="R92" i="1"/>
  <c r="R91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29" i="1"/>
  <c r="R28" i="1"/>
  <c r="R27" i="1"/>
  <c r="R26" i="1"/>
  <c r="R24" i="1"/>
  <c r="R23" i="1"/>
  <c r="R22" i="1"/>
  <c r="R21" i="1"/>
  <c r="R20" i="1"/>
  <c r="R19" i="1"/>
  <c r="R18" i="1"/>
  <c r="R17" i="1"/>
  <c r="R15" i="1"/>
  <c r="R14" i="1"/>
  <c r="R13" i="1"/>
  <c r="R12" i="1"/>
  <c r="R11" i="1"/>
  <c r="R10" i="1"/>
  <c r="R9" i="1"/>
  <c r="R8" i="1"/>
  <c r="AM89" i="1"/>
  <c r="AJ89" i="1"/>
  <c r="AG89" i="1"/>
  <c r="AD89" i="1"/>
  <c r="AO89" i="1"/>
  <c r="O89" i="1"/>
  <c r="L89" i="1"/>
  <c r="I89" i="1"/>
  <c r="F89" i="1"/>
  <c r="AM88" i="1"/>
  <c r="AJ88" i="1"/>
  <c r="AG88" i="1"/>
  <c r="AD88" i="1"/>
  <c r="AO88" i="1"/>
  <c r="O88" i="1"/>
  <c r="L88" i="1"/>
  <c r="I88" i="1"/>
  <c r="F88" i="1"/>
  <c r="AM87" i="1"/>
  <c r="AJ87" i="1"/>
  <c r="AG87" i="1"/>
  <c r="AD87" i="1"/>
  <c r="AO87" i="1"/>
  <c r="O87" i="1"/>
  <c r="L87" i="1"/>
  <c r="I87" i="1"/>
  <c r="F87" i="1"/>
  <c r="AM86" i="1"/>
  <c r="AJ86" i="1"/>
  <c r="AG86" i="1"/>
  <c r="AD86" i="1"/>
  <c r="AO86" i="1"/>
  <c r="O86" i="1"/>
  <c r="L86" i="1"/>
  <c r="I86" i="1"/>
  <c r="F86" i="1"/>
  <c r="Q200" i="1"/>
  <c r="R200" i="1" s="1"/>
  <c r="Q146" i="1"/>
  <c r="R146" i="1" s="1"/>
  <c r="Q105" i="1"/>
  <c r="R105" i="1" s="1"/>
  <c r="Q99" i="1"/>
  <c r="R99" i="1" s="1"/>
  <c r="Q97" i="1"/>
  <c r="R97" i="1" s="1"/>
  <c r="O221" i="1"/>
  <c r="O220" i="1"/>
  <c r="O219" i="1"/>
  <c r="O218" i="1"/>
  <c r="O217" i="1"/>
  <c r="O216" i="1"/>
  <c r="O215" i="1"/>
  <c r="O214" i="1"/>
  <c r="O212" i="1"/>
  <c r="O211" i="1"/>
  <c r="O210" i="1"/>
  <c r="O209" i="1"/>
  <c r="O208" i="1"/>
  <c r="O207" i="1"/>
  <c r="O205" i="1"/>
  <c r="O204" i="1"/>
  <c r="O202" i="1"/>
  <c r="O201" i="1"/>
  <c r="O199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8" i="1"/>
  <c r="O147" i="1"/>
  <c r="O145" i="1"/>
  <c r="O144" i="1"/>
  <c r="O143" i="1"/>
  <c r="O142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0" i="1"/>
  <c r="O119" i="1"/>
  <c r="O118" i="1"/>
  <c r="O117" i="1"/>
  <c r="O116" i="1"/>
  <c r="O115" i="1"/>
  <c r="O114" i="1"/>
  <c r="O112" i="1"/>
  <c r="O111" i="1"/>
  <c r="O110" i="1"/>
  <c r="O109" i="1"/>
  <c r="O108" i="1"/>
  <c r="O107" i="1"/>
  <c r="O106" i="1"/>
  <c r="O104" i="1"/>
  <c r="O103" i="1"/>
  <c r="O102" i="1"/>
  <c r="O100" i="1"/>
  <c r="O98" i="1"/>
  <c r="O96" i="1"/>
  <c r="O94" i="1"/>
  <c r="O93" i="1"/>
  <c r="O92" i="1"/>
  <c r="O91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29" i="1"/>
  <c r="O28" i="1"/>
  <c r="O27" i="1"/>
  <c r="O26" i="1"/>
  <c r="O24" i="1"/>
  <c r="O23" i="1"/>
  <c r="O22" i="1"/>
  <c r="O21" i="1"/>
  <c r="O20" i="1"/>
  <c r="O19" i="1"/>
  <c r="O18" i="1"/>
  <c r="O17" i="1"/>
  <c r="O15" i="1"/>
  <c r="O14" i="1"/>
  <c r="O13" i="1"/>
  <c r="O12" i="1"/>
  <c r="O11" i="1"/>
  <c r="O10" i="1"/>
  <c r="O9" i="1"/>
  <c r="O8" i="1"/>
  <c r="AM196" i="1"/>
  <c r="AJ196" i="1"/>
  <c r="AG196" i="1"/>
  <c r="AD196" i="1"/>
  <c r="L196" i="1"/>
  <c r="I196" i="1"/>
  <c r="F196" i="1"/>
  <c r="Q137" i="1" l="1"/>
  <c r="R137" i="1" s="1"/>
  <c r="Q121" i="1"/>
  <c r="R121" i="1" s="1"/>
  <c r="Q113" i="1"/>
  <c r="R113" i="1" s="1"/>
  <c r="Q95" i="1"/>
  <c r="R95" i="1" s="1"/>
  <c r="Q149" i="1"/>
  <c r="R149" i="1" s="1"/>
  <c r="R16" i="1"/>
  <c r="R25" i="1"/>
  <c r="Q30" i="1"/>
  <c r="R30" i="1" s="1"/>
  <c r="Q198" i="1"/>
  <c r="R198" i="1" s="1"/>
  <c r="Q90" i="1"/>
  <c r="R90" i="1" s="1"/>
  <c r="N149" i="1"/>
  <c r="O149" i="1" s="1"/>
  <c r="N203" i="1" l="1"/>
  <c r="O203" i="1" s="1"/>
  <c r="AO196" i="1" l="1"/>
  <c r="N198" i="1" l="1"/>
  <c r="O198" i="1" s="1"/>
  <c r="K263" i="1" l="1"/>
  <c r="K262" i="1"/>
  <c r="K260" i="1"/>
  <c r="K170" i="1" l="1"/>
  <c r="L170" i="1" s="1"/>
  <c r="K151" i="1"/>
  <c r="L221" i="1"/>
  <c r="L220" i="1"/>
  <c r="L219" i="1"/>
  <c r="L218" i="1"/>
  <c r="L217" i="1"/>
  <c r="L216" i="1"/>
  <c r="L215" i="1"/>
  <c r="L214" i="1"/>
  <c r="L212" i="1"/>
  <c r="L211" i="1"/>
  <c r="L210" i="1"/>
  <c r="L209" i="1"/>
  <c r="L208" i="1"/>
  <c r="L207" i="1"/>
  <c r="L205" i="1"/>
  <c r="L204" i="1"/>
  <c r="L202" i="1"/>
  <c r="L201" i="1"/>
  <c r="L199" i="1"/>
  <c r="L197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8" i="1"/>
  <c r="L147" i="1"/>
  <c r="L145" i="1"/>
  <c r="L144" i="1"/>
  <c r="L143" i="1"/>
  <c r="L142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0" i="1"/>
  <c r="L119" i="1"/>
  <c r="L118" i="1"/>
  <c r="L117" i="1"/>
  <c r="L116" i="1"/>
  <c r="L115" i="1"/>
  <c r="L114" i="1"/>
  <c r="L112" i="1"/>
  <c r="L111" i="1"/>
  <c r="L110" i="1"/>
  <c r="L109" i="1"/>
  <c r="L108" i="1"/>
  <c r="L107" i="1"/>
  <c r="L106" i="1"/>
  <c r="L104" i="1"/>
  <c r="L103" i="1"/>
  <c r="L102" i="1"/>
  <c r="L100" i="1"/>
  <c r="L98" i="1"/>
  <c r="L96" i="1"/>
  <c r="L94" i="1"/>
  <c r="L93" i="1"/>
  <c r="L92" i="1"/>
  <c r="L91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29" i="1"/>
  <c r="L28" i="1"/>
  <c r="L27" i="1"/>
  <c r="L26" i="1"/>
  <c r="L24" i="1"/>
  <c r="L23" i="1"/>
  <c r="L22" i="1"/>
  <c r="L21" i="1"/>
  <c r="L20" i="1"/>
  <c r="L19" i="1"/>
  <c r="L18" i="1"/>
  <c r="L17" i="1"/>
  <c r="L15" i="1"/>
  <c r="L14" i="1"/>
  <c r="L13" i="1"/>
  <c r="L12" i="1"/>
  <c r="L11" i="1"/>
  <c r="L10" i="1"/>
  <c r="L9" i="1"/>
  <c r="L8" i="1"/>
  <c r="K203" i="1"/>
  <c r="L203" i="1" s="1"/>
  <c r="E15" i="1"/>
  <c r="E13" i="1"/>
  <c r="E12" i="1"/>
  <c r="E11" i="1"/>
  <c r="E10" i="1"/>
  <c r="E9" i="1"/>
  <c r="K198" i="1" l="1"/>
  <c r="L198" i="1" s="1"/>
  <c r="AM195" i="1"/>
  <c r="AJ195" i="1"/>
  <c r="AG195" i="1"/>
  <c r="AD195" i="1"/>
  <c r="AO195" i="1"/>
  <c r="F195" i="1"/>
  <c r="AM211" i="1"/>
  <c r="AJ211" i="1"/>
  <c r="AG211" i="1"/>
  <c r="AD211" i="1"/>
  <c r="AA211" i="1"/>
  <c r="X211" i="1"/>
  <c r="U211" i="1"/>
  <c r="F211" i="1"/>
  <c r="AM197" i="1"/>
  <c r="AJ197" i="1"/>
  <c r="AG197" i="1"/>
  <c r="AD197" i="1"/>
  <c r="F197" i="1"/>
  <c r="AM194" i="1"/>
  <c r="AJ194" i="1"/>
  <c r="AG194" i="1"/>
  <c r="AD194" i="1"/>
  <c r="F194" i="1"/>
  <c r="AM193" i="1"/>
  <c r="AJ193" i="1"/>
  <c r="AG193" i="1"/>
  <c r="AD193" i="1"/>
  <c r="F193" i="1"/>
  <c r="AM135" i="1"/>
  <c r="AJ135" i="1"/>
  <c r="AG135" i="1"/>
  <c r="AD135" i="1"/>
  <c r="AA135" i="1"/>
  <c r="X135" i="1"/>
  <c r="U135" i="1"/>
  <c r="AO135" i="1"/>
  <c r="F135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2" i="1"/>
  <c r="I41" i="1"/>
  <c r="I40" i="1"/>
  <c r="I39" i="1"/>
  <c r="I38" i="1"/>
  <c r="I37" i="1"/>
  <c r="I36" i="1"/>
  <c r="I35" i="1"/>
  <c r="I34" i="1"/>
  <c r="I33" i="1"/>
  <c r="I32" i="1"/>
  <c r="I31" i="1"/>
  <c r="I43" i="1"/>
  <c r="I195" i="1" l="1"/>
  <c r="I135" i="1"/>
  <c r="AO211" i="1" l="1"/>
  <c r="I221" i="1"/>
  <c r="I186" i="1"/>
  <c r="I178" i="1"/>
  <c r="I170" i="1"/>
  <c r="I162" i="1"/>
  <c r="I154" i="1"/>
  <c r="I177" i="1"/>
  <c r="I161" i="1"/>
  <c r="I191" i="1"/>
  <c r="I159" i="1"/>
  <c r="I182" i="1"/>
  <c r="I166" i="1"/>
  <c r="I220" i="1"/>
  <c r="I185" i="1"/>
  <c r="I169" i="1"/>
  <c r="I153" i="1"/>
  <c r="I175" i="1"/>
  <c r="I190" i="1"/>
  <c r="I158" i="1"/>
  <c r="I219" i="1"/>
  <c r="I192" i="1"/>
  <c r="I184" i="1"/>
  <c r="I176" i="1"/>
  <c r="I168" i="1"/>
  <c r="I160" i="1"/>
  <c r="I152" i="1"/>
  <c r="I218" i="1"/>
  <c r="I183" i="1"/>
  <c r="I167" i="1"/>
  <c r="I217" i="1"/>
  <c r="I174" i="1"/>
  <c r="I148" i="1"/>
  <c r="I216" i="1"/>
  <c r="I187" i="1"/>
  <c r="I164" i="1"/>
  <c r="I180" i="1"/>
  <c r="I179" i="1"/>
  <c r="I173" i="1"/>
  <c r="I202" i="1"/>
  <c r="I147" i="1"/>
  <c r="I189" i="1"/>
  <c r="I165" i="1"/>
  <c r="I215" i="1"/>
  <c r="I181" i="1"/>
  <c r="I163" i="1"/>
  <c r="I214" i="1"/>
  <c r="I157" i="1"/>
  <c r="I156" i="1"/>
  <c r="I155" i="1"/>
  <c r="I172" i="1"/>
  <c r="I171" i="1"/>
  <c r="I188" i="1"/>
  <c r="I211" i="1" l="1"/>
  <c r="AO193" i="1"/>
  <c r="I193" i="1"/>
  <c r="AO197" i="1"/>
  <c r="I197" i="1"/>
  <c r="I194" i="1"/>
  <c r="AO194" i="1"/>
  <c r="I151" i="1"/>
  <c r="H198" i="1"/>
  <c r="H203" i="1"/>
  <c r="F221" i="1" l="1"/>
  <c r="F220" i="1"/>
  <c r="F219" i="1"/>
  <c r="F218" i="1"/>
  <c r="F217" i="1"/>
  <c r="F216" i="1"/>
  <c r="F215" i="1"/>
  <c r="F214" i="1"/>
  <c r="F212" i="1"/>
  <c r="F210" i="1"/>
  <c r="F209" i="1"/>
  <c r="F208" i="1"/>
  <c r="F207" i="1"/>
  <c r="F205" i="1"/>
  <c r="F204" i="1"/>
  <c r="F202" i="1"/>
  <c r="F201" i="1"/>
  <c r="F199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8" i="1"/>
  <c r="F147" i="1"/>
  <c r="F145" i="1"/>
  <c r="F144" i="1"/>
  <c r="F143" i="1"/>
  <c r="F142" i="1"/>
  <c r="F136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0" i="1"/>
  <c r="F119" i="1"/>
  <c r="F118" i="1"/>
  <c r="F117" i="1"/>
  <c r="F116" i="1"/>
  <c r="F115" i="1"/>
  <c r="F114" i="1"/>
  <c r="F112" i="1"/>
  <c r="F111" i="1"/>
  <c r="F110" i="1"/>
  <c r="F109" i="1"/>
  <c r="F108" i="1"/>
  <c r="F107" i="1"/>
  <c r="F106" i="1"/>
  <c r="F104" i="1"/>
  <c r="F103" i="1"/>
  <c r="F102" i="1"/>
  <c r="F100" i="1"/>
  <c r="F98" i="1"/>
  <c r="F96" i="1"/>
  <c r="F94" i="1"/>
  <c r="F93" i="1"/>
  <c r="F92" i="1"/>
  <c r="F91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29" i="1"/>
  <c r="F28" i="1"/>
  <c r="F27" i="1"/>
  <c r="F26" i="1"/>
  <c r="F24" i="1"/>
  <c r="F23" i="1"/>
  <c r="F22" i="1"/>
  <c r="F21" i="1"/>
  <c r="F20" i="1"/>
  <c r="F19" i="1"/>
  <c r="F18" i="1"/>
  <c r="F17" i="1"/>
  <c r="F15" i="1"/>
  <c r="E14" i="1"/>
  <c r="F14" i="1" s="1"/>
  <c r="F13" i="1"/>
  <c r="F12" i="1"/>
  <c r="F11" i="1"/>
  <c r="F10" i="1"/>
  <c r="F9" i="1"/>
  <c r="E8" i="1"/>
  <c r="F8" i="1" s="1"/>
  <c r="E7" i="1"/>
  <c r="AO192" i="1"/>
  <c r="AL198" i="1"/>
  <c r="AI198" i="1"/>
  <c r="AF198" i="1"/>
  <c r="AC198" i="1"/>
  <c r="Z198" i="1"/>
  <c r="W198" i="1"/>
  <c r="T198" i="1"/>
  <c r="AM192" i="1"/>
  <c r="AJ192" i="1"/>
  <c r="AG192" i="1"/>
  <c r="AD192" i="1"/>
  <c r="AM85" i="1"/>
  <c r="AJ85" i="1"/>
  <c r="AG85" i="1"/>
  <c r="AD85" i="1"/>
  <c r="AO85" i="1"/>
  <c r="E198" i="1" l="1"/>
  <c r="F198" i="1" s="1"/>
  <c r="AF213" i="1" l="1"/>
  <c r="AC206" i="1"/>
  <c r="T206" i="1"/>
  <c r="X106" i="1"/>
  <c r="AO188" i="1"/>
  <c r="AO35" i="1"/>
  <c r="AO34" i="1" l="1"/>
  <c r="AM268" i="1" l="1"/>
  <c r="AM267" i="1"/>
  <c r="AM266" i="1"/>
  <c r="AM265" i="1"/>
  <c r="AM264" i="1"/>
  <c r="AM263" i="1"/>
  <c r="AM262" i="1"/>
  <c r="AM261" i="1"/>
  <c r="AM260" i="1"/>
  <c r="AJ268" i="1"/>
  <c r="AJ267" i="1"/>
  <c r="AJ266" i="1"/>
  <c r="AJ265" i="1"/>
  <c r="AJ264" i="1"/>
  <c r="AJ263" i="1"/>
  <c r="AJ262" i="1"/>
  <c r="AJ261" i="1"/>
  <c r="AJ260" i="1"/>
  <c r="AG268" i="1"/>
  <c r="AG267" i="1"/>
  <c r="AG266" i="1"/>
  <c r="AG265" i="1"/>
  <c r="AG264" i="1"/>
  <c r="AG263" i="1"/>
  <c r="AG262" i="1"/>
  <c r="AG261" i="1"/>
  <c r="AG260" i="1"/>
  <c r="AD268" i="1"/>
  <c r="AD267" i="1"/>
  <c r="AD266" i="1"/>
  <c r="AD265" i="1"/>
  <c r="AD264" i="1"/>
  <c r="AD263" i="1"/>
  <c r="AD262" i="1"/>
  <c r="AD261" i="1"/>
  <c r="AD260" i="1"/>
  <c r="AA268" i="1"/>
  <c r="AA267" i="1"/>
  <c r="AA266" i="1"/>
  <c r="AA265" i="1"/>
  <c r="AA264" i="1"/>
  <c r="AA263" i="1"/>
  <c r="AA262" i="1"/>
  <c r="AA261" i="1"/>
  <c r="AA260" i="1"/>
  <c r="X268" i="1"/>
  <c r="X267" i="1"/>
  <c r="X266" i="1"/>
  <c r="X265" i="1"/>
  <c r="X264" i="1"/>
  <c r="X263" i="1"/>
  <c r="X262" i="1"/>
  <c r="X261" i="1"/>
  <c r="X260" i="1"/>
  <c r="U268" i="1"/>
  <c r="U267" i="1"/>
  <c r="U266" i="1"/>
  <c r="U265" i="1"/>
  <c r="U264" i="1"/>
  <c r="U263" i="1"/>
  <c r="U262" i="1"/>
  <c r="U261" i="1"/>
  <c r="U260" i="1"/>
  <c r="R268" i="1"/>
  <c r="R267" i="1"/>
  <c r="R266" i="1"/>
  <c r="R265" i="1"/>
  <c r="R264" i="1"/>
  <c r="R263" i="1"/>
  <c r="R262" i="1"/>
  <c r="R261" i="1"/>
  <c r="R260" i="1"/>
  <c r="O268" i="1"/>
  <c r="O267" i="1"/>
  <c r="O266" i="1"/>
  <c r="O265" i="1"/>
  <c r="O264" i="1"/>
  <c r="O263" i="1"/>
  <c r="O262" i="1"/>
  <c r="O261" i="1"/>
  <c r="O260" i="1"/>
  <c r="L268" i="1"/>
  <c r="L267" i="1"/>
  <c r="L266" i="1"/>
  <c r="L265" i="1"/>
  <c r="L264" i="1"/>
  <c r="L263" i="1"/>
  <c r="L262" i="1"/>
  <c r="L261" i="1"/>
  <c r="L260" i="1"/>
  <c r="I268" i="1"/>
  <c r="I267" i="1"/>
  <c r="I266" i="1"/>
  <c r="I265" i="1"/>
  <c r="I264" i="1"/>
  <c r="I263" i="1"/>
  <c r="I262" i="1"/>
  <c r="I261" i="1"/>
  <c r="I260" i="1"/>
  <c r="F268" i="1"/>
  <c r="F267" i="1"/>
  <c r="F266" i="1"/>
  <c r="F265" i="1"/>
  <c r="F264" i="1"/>
  <c r="F263" i="1"/>
  <c r="F262" i="1"/>
  <c r="F261" i="1"/>
  <c r="F260" i="1"/>
  <c r="AO136" i="1" l="1"/>
  <c r="AO134" i="1"/>
  <c r="AO133" i="1"/>
  <c r="AO132" i="1"/>
  <c r="AO129" i="1"/>
  <c r="AO128" i="1"/>
  <c r="AO127" i="1"/>
  <c r="AO126" i="1"/>
  <c r="AO125" i="1"/>
  <c r="AO124" i="1"/>
  <c r="AO123" i="1"/>
  <c r="AO122" i="1"/>
  <c r="AO120" i="1"/>
  <c r="AO119" i="1"/>
  <c r="AO118" i="1"/>
  <c r="AO117" i="1"/>
  <c r="AO116" i="1"/>
  <c r="AO115" i="1"/>
  <c r="AO114" i="1"/>
  <c r="AO112" i="1"/>
  <c r="AO111" i="1"/>
  <c r="AO110" i="1"/>
  <c r="AO109" i="1"/>
  <c r="AO108" i="1"/>
  <c r="AO107" i="1"/>
  <c r="AO106" i="1"/>
  <c r="AO104" i="1"/>
  <c r="AO102" i="1"/>
  <c r="AO100" i="1"/>
  <c r="AO98" i="1"/>
  <c r="AO99" i="1" s="1"/>
  <c r="AO96" i="1"/>
  <c r="AO97" i="1" s="1"/>
  <c r="AO93" i="1"/>
  <c r="AO92" i="1"/>
  <c r="AO91" i="1"/>
  <c r="AO84" i="1"/>
  <c r="AO83" i="1"/>
  <c r="AO82" i="1"/>
  <c r="AO80" i="1"/>
  <c r="AO79" i="1"/>
  <c r="AO78" i="1"/>
  <c r="AO77" i="1"/>
  <c r="AO76" i="1"/>
  <c r="AO75" i="1"/>
  <c r="AO74" i="1"/>
  <c r="AO73" i="1"/>
  <c r="AO71" i="1"/>
  <c r="AO70" i="1"/>
  <c r="AO69" i="1"/>
  <c r="AO68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6" i="1"/>
  <c r="AO45" i="1"/>
  <c r="AO44" i="1"/>
  <c r="AO43" i="1"/>
  <c r="AO42" i="1"/>
  <c r="AO41" i="1"/>
  <c r="AO40" i="1"/>
  <c r="AO38" i="1"/>
  <c r="AO37" i="1"/>
  <c r="AO36" i="1"/>
  <c r="AO33" i="1"/>
  <c r="AO31" i="1"/>
  <c r="AO29" i="1"/>
  <c r="AO28" i="1"/>
  <c r="AO27" i="1"/>
  <c r="AO26" i="1"/>
  <c r="AO24" i="1"/>
  <c r="AO23" i="1"/>
  <c r="AO21" i="1"/>
  <c r="AO20" i="1"/>
  <c r="AO19" i="1"/>
  <c r="AO18" i="1"/>
  <c r="AO17" i="1"/>
  <c r="AO15" i="1"/>
  <c r="AO14" i="1"/>
  <c r="AO13" i="1"/>
  <c r="AO12" i="1"/>
  <c r="AO11" i="1"/>
  <c r="AO9" i="1"/>
  <c r="AO8" i="1"/>
  <c r="AO7" i="1"/>
  <c r="AJ84" i="1"/>
  <c r="AG84" i="1"/>
  <c r="AD84" i="1"/>
  <c r="AM83" i="1"/>
  <c r="AJ83" i="1"/>
  <c r="AG83" i="1"/>
  <c r="AD83" i="1"/>
  <c r="AJ82" i="1"/>
  <c r="AG82" i="1"/>
  <c r="AD82" i="1"/>
  <c r="AO81" i="1"/>
  <c r="AJ81" i="1"/>
  <c r="AG81" i="1"/>
  <c r="AD81" i="1"/>
  <c r="AO67" i="1"/>
  <c r="AO66" i="1"/>
  <c r="AO47" i="1"/>
  <c r="AO39" i="1"/>
  <c r="AO32" i="1"/>
  <c r="AM80" i="1"/>
  <c r="AJ80" i="1"/>
  <c r="AG80" i="1"/>
  <c r="AD80" i="1"/>
  <c r="AO191" i="1"/>
  <c r="AJ191" i="1"/>
  <c r="AG191" i="1"/>
  <c r="AD191" i="1"/>
  <c r="AO190" i="1"/>
  <c r="AJ190" i="1"/>
  <c r="AG190" i="1"/>
  <c r="AD190" i="1"/>
  <c r="AM189" i="1"/>
  <c r="AG189" i="1"/>
  <c r="AD189" i="1"/>
  <c r="AM188" i="1"/>
  <c r="AO103" i="1"/>
  <c r="AO94" i="1"/>
  <c r="AO72" i="1"/>
  <c r="AO22" i="1"/>
  <c r="AO10" i="1"/>
  <c r="AG188" i="1"/>
  <c r="AD188" i="1"/>
  <c r="AO268" i="1"/>
  <c r="AO267" i="1"/>
  <c r="AO266" i="1"/>
  <c r="AO265" i="1"/>
  <c r="AO264" i="1"/>
  <c r="AO263" i="1"/>
  <c r="AO262" i="1"/>
  <c r="AO261" i="1"/>
  <c r="AO260" i="1"/>
  <c r="AO1" i="1"/>
  <c r="AO131" i="1"/>
  <c r="AO130" i="1"/>
  <c r="AO65" i="1"/>
  <c r="AP196" i="1" l="1"/>
  <c r="AP88" i="1"/>
  <c r="AP89" i="1"/>
  <c r="AP87" i="1"/>
  <c r="AP86" i="1"/>
  <c r="AP211" i="1"/>
  <c r="AP195" i="1"/>
  <c r="AP135" i="1"/>
  <c r="AP193" i="1"/>
  <c r="AP194" i="1"/>
  <c r="AP197" i="1"/>
  <c r="AP192" i="1"/>
  <c r="AP85" i="1"/>
  <c r="AP266" i="1"/>
  <c r="AP267" i="1"/>
  <c r="AP268" i="1"/>
  <c r="AP261" i="1"/>
  <c r="AP260" i="1"/>
  <c r="AP262" i="1"/>
  <c r="AP263" i="1"/>
  <c r="AP264" i="1"/>
  <c r="AP265" i="1"/>
  <c r="AO90" i="1"/>
  <c r="AO25" i="1"/>
  <c r="AO30" i="1"/>
  <c r="AO113" i="1"/>
  <c r="AO16" i="1"/>
  <c r="AO105" i="1"/>
  <c r="AO137" i="1"/>
  <c r="AO95" i="1"/>
  <c r="AP82" i="1"/>
  <c r="AP84" i="1"/>
  <c r="AM82" i="1"/>
  <c r="AP83" i="1"/>
  <c r="AP81" i="1"/>
  <c r="AM84" i="1"/>
  <c r="AL90" i="1"/>
  <c r="AM81" i="1"/>
  <c r="AP80" i="1"/>
  <c r="AP191" i="1"/>
  <c r="AP190" i="1"/>
  <c r="AM191" i="1"/>
  <c r="AO189" i="1"/>
  <c r="AP189" i="1" s="1"/>
  <c r="AM190" i="1"/>
  <c r="AJ189" i="1"/>
  <c r="AL275" i="1"/>
  <c r="AL274" i="1"/>
  <c r="AL269" i="1"/>
  <c r="AM269" i="1" s="1"/>
  <c r="AL222" i="1"/>
  <c r="AM222" i="1" s="1"/>
  <c r="AM221" i="1"/>
  <c r="AM220" i="1"/>
  <c r="AM219" i="1"/>
  <c r="AM217" i="1"/>
  <c r="AM216" i="1"/>
  <c r="AM215" i="1"/>
  <c r="AM214" i="1"/>
  <c r="AL213" i="1"/>
  <c r="AM213" i="1" s="1"/>
  <c r="AM212" i="1"/>
  <c r="AM210" i="1"/>
  <c r="AM209" i="1"/>
  <c r="AM208" i="1"/>
  <c r="AM207" i="1"/>
  <c r="AL206" i="1"/>
  <c r="AM206" i="1" s="1"/>
  <c r="AM205" i="1"/>
  <c r="AM204" i="1"/>
  <c r="AL203" i="1"/>
  <c r="AM203" i="1" s="1"/>
  <c r="AM202" i="1"/>
  <c r="AM201" i="1"/>
  <c r="AL200" i="1"/>
  <c r="AM200" i="1" s="1"/>
  <c r="AM199" i="1"/>
  <c r="AM21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L146" i="1"/>
  <c r="AM145" i="1"/>
  <c r="AM144" i="1"/>
  <c r="AM143" i="1"/>
  <c r="AM142" i="1"/>
  <c r="AL137" i="1"/>
  <c r="AM137" i="1" s="1"/>
  <c r="AM136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L121" i="1"/>
  <c r="AL237" i="1" s="1"/>
  <c r="AM120" i="1"/>
  <c r="AM119" i="1"/>
  <c r="AM118" i="1"/>
  <c r="AM117" i="1"/>
  <c r="AM116" i="1"/>
  <c r="AM115" i="1"/>
  <c r="AM114" i="1"/>
  <c r="AL113" i="1"/>
  <c r="AL236" i="1" s="1"/>
  <c r="AM112" i="1"/>
  <c r="AM111" i="1"/>
  <c r="AM110" i="1"/>
  <c r="AM109" i="1"/>
  <c r="AM108" i="1"/>
  <c r="AM107" i="1"/>
  <c r="AM106" i="1"/>
  <c r="AL105" i="1"/>
  <c r="AM105" i="1" s="1"/>
  <c r="AM104" i="1"/>
  <c r="AM103" i="1"/>
  <c r="AM102" i="1"/>
  <c r="AL101" i="1"/>
  <c r="AM101" i="1" s="1"/>
  <c r="AM100" i="1"/>
  <c r="AL99" i="1"/>
  <c r="AM99" i="1" s="1"/>
  <c r="AM98" i="1"/>
  <c r="AL97" i="1"/>
  <c r="AM97" i="1" s="1"/>
  <c r="AM96" i="1"/>
  <c r="AL95" i="1"/>
  <c r="AM95" i="1" s="1"/>
  <c r="AM94" i="1"/>
  <c r="AM93" i="1"/>
  <c r="AM92" i="1"/>
  <c r="AM91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L30" i="1"/>
  <c r="AM29" i="1"/>
  <c r="AM28" i="1"/>
  <c r="AM27" i="1"/>
  <c r="AM26" i="1"/>
  <c r="AL25" i="1"/>
  <c r="AL234" i="1" s="1"/>
  <c r="AM24" i="1"/>
  <c r="AM23" i="1"/>
  <c r="AM22" i="1"/>
  <c r="AM21" i="1"/>
  <c r="AM20" i="1"/>
  <c r="AM19" i="1"/>
  <c r="AM18" i="1"/>
  <c r="AM17" i="1"/>
  <c r="AL16" i="1"/>
  <c r="AM15" i="1"/>
  <c r="AM14" i="1"/>
  <c r="AM13" i="1"/>
  <c r="AM12" i="1"/>
  <c r="AM11" i="1"/>
  <c r="AM10" i="1"/>
  <c r="AM9" i="1"/>
  <c r="AM8" i="1"/>
  <c r="AM7" i="1"/>
  <c r="AM90" i="1" l="1"/>
  <c r="AM238" i="1" s="1"/>
  <c r="AL235" i="1"/>
  <c r="AM274" i="1"/>
  <c r="AM121" i="1"/>
  <c r="AM237" i="1" s="1"/>
  <c r="AL246" i="1"/>
  <c r="AL245" i="1"/>
  <c r="AM30" i="1"/>
  <c r="AM235" i="1" s="1"/>
  <c r="AM25" i="1"/>
  <c r="AL238" i="1"/>
  <c r="AL239" i="1"/>
  <c r="AM16" i="1"/>
  <c r="AL138" i="1"/>
  <c r="AM138" i="1" s="1"/>
  <c r="AL276" i="1"/>
  <c r="AM113" i="1"/>
  <c r="AM236" i="1" s="1"/>
  <c r="AM275" i="1"/>
  <c r="AM146" i="1"/>
  <c r="I15" i="1"/>
  <c r="AJ14" i="1"/>
  <c r="AG14" i="1"/>
  <c r="AD14" i="1"/>
  <c r="AA14" i="1"/>
  <c r="X14" i="1"/>
  <c r="U14" i="1"/>
  <c r="I14" i="1"/>
  <c r="AI269" i="1"/>
  <c r="AF269" i="1"/>
  <c r="AC269" i="1"/>
  <c r="Z269" i="1"/>
  <c r="W269" i="1"/>
  <c r="T269" i="1"/>
  <c r="Q269" i="1"/>
  <c r="N269" i="1"/>
  <c r="K269" i="1"/>
  <c r="H269" i="1"/>
  <c r="E269" i="1"/>
  <c r="T222" i="1"/>
  <c r="W222" i="1"/>
  <c r="H222" i="1"/>
  <c r="Z213" i="1"/>
  <c r="N213" i="1"/>
  <c r="O213" i="1" s="1"/>
  <c r="Q206" i="1"/>
  <c r="R206" i="1" s="1"/>
  <c r="W206" i="1"/>
  <c r="AF206" i="1"/>
  <c r="Z206" i="1"/>
  <c r="E203" i="1"/>
  <c r="F203" i="1" s="1"/>
  <c r="AF203" i="1"/>
  <c r="Z203" i="1"/>
  <c r="R203" i="1"/>
  <c r="AF200" i="1"/>
  <c r="AC200" i="1"/>
  <c r="W200" i="1"/>
  <c r="N200" i="1"/>
  <c r="O200" i="1" s="1"/>
  <c r="K200" i="1"/>
  <c r="L200" i="1" s="1"/>
  <c r="Z200" i="1"/>
  <c r="E200" i="1"/>
  <c r="F200" i="1" s="1"/>
  <c r="H149" i="1"/>
  <c r="AC149" i="1"/>
  <c r="Z149" i="1"/>
  <c r="W149" i="1"/>
  <c r="K149" i="1"/>
  <c r="L149" i="1" s="1"/>
  <c r="E149" i="1"/>
  <c r="F149" i="1" s="1"/>
  <c r="AF146" i="1"/>
  <c r="T146" i="1"/>
  <c r="N146" i="1"/>
  <c r="O146" i="1" s="1"/>
  <c r="AI137" i="1"/>
  <c r="AC137" i="1"/>
  <c r="W137" i="1"/>
  <c r="K137" i="1"/>
  <c r="L137" i="1" s="1"/>
  <c r="H137" i="1"/>
  <c r="AI121" i="1"/>
  <c r="AF121" i="1"/>
  <c r="AC121" i="1"/>
  <c r="W121" i="1"/>
  <c r="K121" i="1"/>
  <c r="L121" i="1" s="1"/>
  <c r="H121" i="1"/>
  <c r="E121" i="1"/>
  <c r="F121" i="1" s="1"/>
  <c r="AI113" i="1"/>
  <c r="AC113" i="1"/>
  <c r="W113" i="1"/>
  <c r="T113" i="1"/>
  <c r="K113" i="1"/>
  <c r="L113" i="1" s="1"/>
  <c r="H113" i="1"/>
  <c r="AC105" i="1"/>
  <c r="Z105" i="1"/>
  <c r="W105" i="1"/>
  <c r="T105" i="1"/>
  <c r="N105" i="1"/>
  <c r="O105" i="1" s="1"/>
  <c r="Z101" i="1"/>
  <c r="Q101" i="1"/>
  <c r="R101" i="1" s="1"/>
  <c r="AI101" i="1"/>
  <c r="AF101" i="1"/>
  <c r="W101" i="1"/>
  <c r="T101" i="1"/>
  <c r="N101" i="1"/>
  <c r="O101" i="1" s="1"/>
  <c r="H101" i="1"/>
  <c r="E101" i="1"/>
  <c r="F101" i="1" s="1"/>
  <c r="Z99" i="1"/>
  <c r="W99" i="1"/>
  <c r="T99" i="1"/>
  <c r="Z97" i="1"/>
  <c r="W97" i="1"/>
  <c r="T97" i="1"/>
  <c r="Z95" i="1"/>
  <c r="AI95" i="1"/>
  <c r="AF95" i="1"/>
  <c r="K95" i="1"/>
  <c r="L95" i="1" s="1"/>
  <c r="H95" i="1"/>
  <c r="E95" i="1"/>
  <c r="F95" i="1" s="1"/>
  <c r="AD61" i="1"/>
  <c r="AD59" i="1"/>
  <c r="AG58" i="1"/>
  <c r="U57" i="1"/>
  <c r="AD55" i="1"/>
  <c r="AD52" i="1"/>
  <c r="AA50" i="1"/>
  <c r="AD49" i="1"/>
  <c r="AD48" i="1"/>
  <c r="AD47" i="1"/>
  <c r="U47" i="1"/>
  <c r="AD46" i="1"/>
  <c r="AA46" i="1"/>
  <c r="U46" i="1"/>
  <c r="AJ45" i="1"/>
  <c r="AD45" i="1"/>
  <c r="U45" i="1"/>
  <c r="AG44" i="1"/>
  <c r="AD44" i="1"/>
  <c r="X44" i="1"/>
  <c r="U44" i="1"/>
  <c r="AD43" i="1"/>
  <c r="AA43" i="1"/>
  <c r="X43" i="1"/>
  <c r="AJ42" i="1"/>
  <c r="AA42" i="1"/>
  <c r="X42" i="1"/>
  <c r="U42" i="1"/>
  <c r="AD41" i="1"/>
  <c r="AA41" i="1"/>
  <c r="AJ40" i="1"/>
  <c r="AD40" i="1"/>
  <c r="U40" i="1"/>
  <c r="AD39" i="1"/>
  <c r="AA39" i="1"/>
  <c r="X39" i="1"/>
  <c r="AJ38" i="1"/>
  <c r="AD38" i="1"/>
  <c r="AG37" i="1"/>
  <c r="AD37" i="1"/>
  <c r="AA37" i="1"/>
  <c r="X37" i="1"/>
  <c r="AJ36" i="1"/>
  <c r="AD36" i="1"/>
  <c r="AA36" i="1"/>
  <c r="AJ35" i="1"/>
  <c r="AD35" i="1"/>
  <c r="AA35" i="1"/>
  <c r="X35" i="1"/>
  <c r="AJ34" i="1"/>
  <c r="AD34" i="1"/>
  <c r="AD33" i="1"/>
  <c r="AA33" i="1"/>
  <c r="X33" i="1"/>
  <c r="AJ32" i="1"/>
  <c r="AD32" i="1"/>
  <c r="U32" i="1"/>
  <c r="AC90" i="1"/>
  <c r="K30" i="1"/>
  <c r="L30" i="1" s="1"/>
  <c r="AG29" i="1"/>
  <c r="AD29" i="1"/>
  <c r="AA29" i="1"/>
  <c r="X29" i="1"/>
  <c r="AJ28" i="1"/>
  <c r="AD28" i="1"/>
  <c r="AA28" i="1"/>
  <c r="X28" i="1"/>
  <c r="AJ27" i="1"/>
  <c r="AD27" i="1"/>
  <c r="AA27" i="1"/>
  <c r="X27" i="1"/>
  <c r="I27" i="1"/>
  <c r="AD26" i="1"/>
  <c r="AC30" i="1"/>
  <c r="Z30" i="1"/>
  <c r="Q275" i="1"/>
  <c r="N30" i="1"/>
  <c r="O30" i="1" s="1"/>
  <c r="K275" i="1"/>
  <c r="AJ24" i="1"/>
  <c r="AD24" i="1"/>
  <c r="U24" i="1"/>
  <c r="AD23" i="1"/>
  <c r="AA23" i="1"/>
  <c r="X23" i="1"/>
  <c r="AJ22" i="1"/>
  <c r="AD22" i="1"/>
  <c r="AG21" i="1"/>
  <c r="AD21" i="1"/>
  <c r="AA21" i="1"/>
  <c r="X21" i="1"/>
  <c r="I21" i="1"/>
  <c r="AJ20" i="1"/>
  <c r="AD20" i="1"/>
  <c r="AA20" i="1"/>
  <c r="AJ19" i="1"/>
  <c r="AD19" i="1"/>
  <c r="AA19" i="1"/>
  <c r="X19" i="1"/>
  <c r="I19" i="1"/>
  <c r="AJ18" i="1"/>
  <c r="AD18" i="1"/>
  <c r="AJ17" i="1"/>
  <c r="AG17" i="1"/>
  <c r="AD17" i="1"/>
  <c r="Z25" i="1"/>
  <c r="X17" i="1"/>
  <c r="N25" i="1"/>
  <c r="O25" i="1" s="1"/>
  <c r="K25" i="1"/>
  <c r="L25" i="1" s="1"/>
  <c r="I17" i="1"/>
  <c r="AG15" i="1"/>
  <c r="AD15" i="1"/>
  <c r="AA15" i="1"/>
  <c r="X15" i="1"/>
  <c r="AJ13" i="1"/>
  <c r="AG13" i="1"/>
  <c r="AD13" i="1"/>
  <c r="AA13" i="1"/>
  <c r="I13" i="1"/>
  <c r="AJ12" i="1"/>
  <c r="AG12" i="1"/>
  <c r="AD12" i="1"/>
  <c r="AA12" i="1"/>
  <c r="X12" i="1"/>
  <c r="I12" i="1"/>
  <c r="AJ11" i="1"/>
  <c r="AD11" i="1"/>
  <c r="AA11" i="1"/>
  <c r="X11" i="1"/>
  <c r="U11" i="1"/>
  <c r="I11" i="1"/>
  <c r="AJ10" i="1"/>
  <c r="AG10" i="1"/>
  <c r="AD10" i="1"/>
  <c r="AA10" i="1"/>
  <c r="X10" i="1"/>
  <c r="I10" i="1"/>
  <c r="AJ9" i="1"/>
  <c r="AG9" i="1"/>
  <c r="AD9" i="1"/>
  <c r="AG8" i="1"/>
  <c r="AD8" i="1"/>
  <c r="AA8" i="1"/>
  <c r="X8" i="1"/>
  <c r="U8" i="1"/>
  <c r="I8" i="1"/>
  <c r="AA7" i="1"/>
  <c r="F7" i="1"/>
  <c r="AJ57" i="1"/>
  <c r="AG43" i="1"/>
  <c r="AD58" i="1"/>
  <c r="X38" i="1"/>
  <c r="AM245" i="1" l="1"/>
  <c r="AM276" i="1"/>
  <c r="AM246" i="1"/>
  <c r="AM234" i="1"/>
  <c r="AM239" i="1"/>
  <c r="AL139" i="1"/>
  <c r="Q234" i="1"/>
  <c r="AD30" i="1"/>
  <c r="Z245" i="1"/>
  <c r="Z234" i="1"/>
  <c r="AA25" i="1"/>
  <c r="K234" i="1"/>
  <c r="N234" i="1"/>
  <c r="Z235" i="1"/>
  <c r="AA30" i="1"/>
  <c r="AJ44" i="1"/>
  <c r="W274" i="1"/>
  <c r="X274" i="1" s="1"/>
  <c r="AJ7" i="1"/>
  <c r="U12" i="1"/>
  <c r="H16" i="1"/>
  <c r="W16" i="1"/>
  <c r="AA17" i="1"/>
  <c r="AG18" i="1"/>
  <c r="U21" i="1"/>
  <c r="I24" i="1"/>
  <c r="E275" i="1"/>
  <c r="AF275" i="1"/>
  <c r="AG26" i="1"/>
  <c r="U29" i="1"/>
  <c r="AD31" i="1"/>
  <c r="AG34" i="1"/>
  <c r="U37" i="1"/>
  <c r="AG45" i="1"/>
  <c r="AG48" i="1"/>
  <c r="U53" i="1"/>
  <c r="AG54" i="1"/>
  <c r="X59" i="1"/>
  <c r="AJ60" i="1"/>
  <c r="AA65" i="1"/>
  <c r="AG69" i="1"/>
  <c r="T274" i="1"/>
  <c r="U274" i="1" s="1"/>
  <c r="U7" i="1"/>
  <c r="AA220" i="1"/>
  <c r="AA219" i="1"/>
  <c r="AA214" i="1"/>
  <c r="AA215" i="1"/>
  <c r="AA177" i="1"/>
  <c r="AA176" i="1"/>
  <c r="AA175" i="1"/>
  <c r="AA169" i="1"/>
  <c r="AA168" i="1"/>
  <c r="AA207" i="1"/>
  <c r="AA208" i="1"/>
  <c r="AA216" i="1"/>
  <c r="AA210" i="1"/>
  <c r="AA212" i="1"/>
  <c r="AA205" i="1"/>
  <c r="AA174" i="1"/>
  <c r="AA157" i="1"/>
  <c r="AA155" i="1"/>
  <c r="AA217" i="1"/>
  <c r="AA201" i="1"/>
  <c r="AA202" i="1"/>
  <c r="AA166" i="1"/>
  <c r="AA148" i="1"/>
  <c r="AA163" i="1"/>
  <c r="AA167" i="1"/>
  <c r="AA152" i="1"/>
  <c r="AA143" i="1"/>
  <c r="AA156" i="1"/>
  <c r="AA145" i="1"/>
  <c r="AA74" i="1"/>
  <c r="AA70" i="1"/>
  <c r="AA49" i="1"/>
  <c r="AA75" i="1"/>
  <c r="AA71" i="1"/>
  <c r="AA67" i="1"/>
  <c r="AA63" i="1"/>
  <c r="AA51" i="1"/>
  <c r="AA72" i="1"/>
  <c r="AA73" i="1"/>
  <c r="AA69" i="1"/>
  <c r="K274" i="1"/>
  <c r="L274" i="1" s="1"/>
  <c r="X7" i="1"/>
  <c r="K16" i="1"/>
  <c r="L16" i="1" s="1"/>
  <c r="AJ21" i="1"/>
  <c r="AA22" i="1"/>
  <c r="AG23" i="1"/>
  <c r="X24" i="1"/>
  <c r="AC25" i="1"/>
  <c r="T275" i="1"/>
  <c r="U26" i="1"/>
  <c r="I29" i="1"/>
  <c r="AJ29" i="1"/>
  <c r="E90" i="1"/>
  <c r="F90" i="1" s="1"/>
  <c r="AF90" i="1"/>
  <c r="AG31" i="1"/>
  <c r="X32" i="1"/>
  <c r="U34" i="1"/>
  <c r="AJ37" i="1"/>
  <c r="AA38" i="1"/>
  <c r="AG39" i="1"/>
  <c r="X40" i="1"/>
  <c r="AA47" i="1"/>
  <c r="X49" i="1"/>
  <c r="X51" i="1"/>
  <c r="X55" i="1"/>
  <c r="AJ56" i="1"/>
  <c r="X13" i="1"/>
  <c r="X22" i="1"/>
  <c r="AD90" i="1"/>
  <c r="H274" i="1"/>
  <c r="I7" i="1"/>
  <c r="U9" i="1"/>
  <c r="U18" i="1"/>
  <c r="I150" i="1"/>
  <c r="I136" i="1"/>
  <c r="I128" i="1"/>
  <c r="I120" i="1"/>
  <c r="I134" i="1"/>
  <c r="I131" i="1"/>
  <c r="I123" i="1"/>
  <c r="I115" i="1"/>
  <c r="I107" i="1"/>
  <c r="I124" i="1"/>
  <c r="I116" i="1"/>
  <c r="I108" i="1"/>
  <c r="I111" i="1"/>
  <c r="I103" i="1"/>
  <c r="I92" i="1"/>
  <c r="I91" i="1"/>
  <c r="AG219" i="1"/>
  <c r="AG212" i="1"/>
  <c r="AG217" i="1"/>
  <c r="AG215" i="1"/>
  <c r="AG216" i="1"/>
  <c r="AG220" i="1"/>
  <c r="AG167" i="1"/>
  <c r="AG166" i="1"/>
  <c r="AG151" i="1"/>
  <c r="AG160" i="1"/>
  <c r="AG161" i="1"/>
  <c r="AG179" i="1"/>
  <c r="AG103" i="1"/>
  <c r="AG130" i="1"/>
  <c r="AG122" i="1"/>
  <c r="AG114" i="1"/>
  <c r="AG171" i="1"/>
  <c r="AG125" i="1"/>
  <c r="AG126" i="1"/>
  <c r="AG118" i="1"/>
  <c r="AG110" i="1"/>
  <c r="AG134" i="1"/>
  <c r="AG94" i="1"/>
  <c r="AG67" i="1"/>
  <c r="AG63" i="1"/>
  <c r="AG66" i="1"/>
  <c r="AG62" i="1"/>
  <c r="AG50" i="1"/>
  <c r="AG65" i="1"/>
  <c r="AG93" i="1"/>
  <c r="AG64" i="1"/>
  <c r="L7" i="1"/>
  <c r="Z274" i="1"/>
  <c r="AA274" i="1" s="1"/>
  <c r="I9" i="1"/>
  <c r="AG11" i="1"/>
  <c r="U15" i="1"/>
  <c r="Z16" i="1"/>
  <c r="I18" i="1"/>
  <c r="AG20" i="1"/>
  <c r="U23" i="1"/>
  <c r="H275" i="1"/>
  <c r="I26" i="1"/>
  <c r="W275" i="1"/>
  <c r="AJ26" i="1"/>
  <c r="AG28" i="1"/>
  <c r="T90" i="1"/>
  <c r="U31" i="1"/>
  <c r="AI90" i="1"/>
  <c r="AG36" i="1"/>
  <c r="U39" i="1"/>
  <c r="U43" i="1"/>
  <c r="AA44" i="1"/>
  <c r="AJ52" i="1"/>
  <c r="X220" i="1"/>
  <c r="X216" i="1"/>
  <c r="X219" i="1"/>
  <c r="X167" i="1"/>
  <c r="X166" i="1"/>
  <c r="X154" i="1"/>
  <c r="X153" i="1"/>
  <c r="X177" i="1"/>
  <c r="X176" i="1"/>
  <c r="X175" i="1"/>
  <c r="X169" i="1"/>
  <c r="X168" i="1"/>
  <c r="X202" i="1"/>
  <c r="X173" i="1"/>
  <c r="X172" i="1"/>
  <c r="X158" i="1"/>
  <c r="X148" i="1"/>
  <c r="X143" i="1"/>
  <c r="X163" i="1"/>
  <c r="X145" i="1"/>
  <c r="X104" i="1"/>
  <c r="X131" i="1"/>
  <c r="X123" i="1"/>
  <c r="X115" i="1"/>
  <c r="X126" i="1"/>
  <c r="X102" i="1"/>
  <c r="X136" i="1"/>
  <c r="X127" i="1"/>
  <c r="X119" i="1"/>
  <c r="X111" i="1"/>
  <c r="X98" i="1"/>
  <c r="X67" i="1"/>
  <c r="X66" i="1"/>
  <c r="X65" i="1"/>
  <c r="X64" i="1"/>
  <c r="X63" i="1"/>
  <c r="X96" i="1"/>
  <c r="X100" i="1"/>
  <c r="X57" i="1"/>
  <c r="X53" i="1"/>
  <c r="X94" i="1"/>
  <c r="X61" i="1"/>
  <c r="X47" i="1"/>
  <c r="N274" i="1"/>
  <c r="O274" i="1" s="1"/>
  <c r="AJ15" i="1"/>
  <c r="N16" i="1"/>
  <c r="O16" i="1" s="1"/>
  <c r="X18" i="1"/>
  <c r="U20" i="1"/>
  <c r="I23" i="1"/>
  <c r="AJ23" i="1"/>
  <c r="AA24" i="1"/>
  <c r="E25" i="1"/>
  <c r="F25" i="1" s="1"/>
  <c r="AF25" i="1"/>
  <c r="L275" i="1"/>
  <c r="X26" i="1"/>
  <c r="U28" i="1"/>
  <c r="H90" i="1"/>
  <c r="W90" i="1"/>
  <c r="AJ31" i="1"/>
  <c r="AA32" i="1"/>
  <c r="AG33" i="1"/>
  <c r="X34" i="1"/>
  <c r="U36" i="1"/>
  <c r="AJ39" i="1"/>
  <c r="AA40" i="1"/>
  <c r="AG41" i="1"/>
  <c r="AJ43" i="1"/>
  <c r="X45" i="1"/>
  <c r="AG46" i="1"/>
  <c r="AG47" i="1"/>
  <c r="AC274" i="1"/>
  <c r="AD274" i="1" s="1"/>
  <c r="AC16" i="1"/>
  <c r="U17" i="1"/>
  <c r="I20" i="1"/>
  <c r="AG22" i="1"/>
  <c r="T25" i="1"/>
  <c r="AI25" i="1"/>
  <c r="Z275" i="1"/>
  <c r="I28" i="1"/>
  <c r="E30" i="1"/>
  <c r="F30" i="1" s="1"/>
  <c r="AF30" i="1"/>
  <c r="K90" i="1"/>
  <c r="L90" i="1" s="1"/>
  <c r="X31" i="1"/>
  <c r="U33" i="1"/>
  <c r="AG38" i="1"/>
  <c r="U41" i="1"/>
  <c r="AJ46" i="1"/>
  <c r="AJ47" i="1"/>
  <c r="AG49" i="1"/>
  <c r="U50" i="1"/>
  <c r="AG51" i="1"/>
  <c r="X58" i="1"/>
  <c r="AJ59" i="1"/>
  <c r="X60" i="1"/>
  <c r="AA64" i="1"/>
  <c r="AA66" i="1"/>
  <c r="X71" i="1"/>
  <c r="T16" i="1"/>
  <c r="AI16" i="1"/>
  <c r="Q274" i="1"/>
  <c r="R274" i="1" s="1"/>
  <c r="AD7" i="1"/>
  <c r="AJ8" i="1"/>
  <c r="AA9" i="1"/>
  <c r="U13" i="1"/>
  <c r="AA18" i="1"/>
  <c r="AG19" i="1"/>
  <c r="X20" i="1"/>
  <c r="U22" i="1"/>
  <c r="H25" i="1"/>
  <c r="W25" i="1"/>
  <c r="N275" i="1"/>
  <c r="AA26" i="1"/>
  <c r="AG27" i="1"/>
  <c r="T30" i="1"/>
  <c r="AI30" i="1"/>
  <c r="Z90" i="1"/>
  <c r="AJ33" i="1"/>
  <c r="AA34" i="1"/>
  <c r="AG35" i="1"/>
  <c r="X36" i="1"/>
  <c r="U38" i="1"/>
  <c r="AJ41" i="1"/>
  <c r="AG42" i="1"/>
  <c r="AA45" i="1"/>
  <c r="X48" i="1"/>
  <c r="X50" i="1"/>
  <c r="X54" i="1"/>
  <c r="AJ55" i="1"/>
  <c r="X56" i="1"/>
  <c r="AA62" i="1"/>
  <c r="R275" i="1"/>
  <c r="AJ136" i="1"/>
  <c r="AJ132" i="1"/>
  <c r="AJ128" i="1"/>
  <c r="AJ131" i="1"/>
  <c r="AJ123" i="1"/>
  <c r="AJ107" i="1"/>
  <c r="AJ134" i="1"/>
  <c r="AJ124" i="1"/>
  <c r="AJ116" i="1"/>
  <c r="AJ108" i="1"/>
  <c r="AJ111" i="1"/>
  <c r="AJ103" i="1"/>
  <c r="AJ67" i="1"/>
  <c r="AJ66" i="1"/>
  <c r="AJ65" i="1"/>
  <c r="AJ64" i="1"/>
  <c r="AJ63" i="1"/>
  <c r="AJ92" i="1"/>
  <c r="AJ48" i="1"/>
  <c r="AJ58" i="1"/>
  <c r="AJ54" i="1"/>
  <c r="AJ91" i="1"/>
  <c r="AJ61" i="1"/>
  <c r="X9" i="1"/>
  <c r="AP38" i="1"/>
  <c r="O7" i="1"/>
  <c r="U215" i="1"/>
  <c r="U220" i="1"/>
  <c r="U217" i="1"/>
  <c r="U167" i="1"/>
  <c r="U166" i="1"/>
  <c r="U178" i="1"/>
  <c r="U176" i="1"/>
  <c r="U170" i="1"/>
  <c r="U168" i="1"/>
  <c r="U156" i="1"/>
  <c r="U154" i="1"/>
  <c r="U177" i="1"/>
  <c r="U153" i="1"/>
  <c r="U151" i="1"/>
  <c r="U136" i="1"/>
  <c r="U169" i="1"/>
  <c r="U132" i="1"/>
  <c r="U106" i="1"/>
  <c r="U125" i="1"/>
  <c r="U117" i="1"/>
  <c r="U109" i="1"/>
  <c r="U128" i="1"/>
  <c r="U120" i="1"/>
  <c r="U112" i="1"/>
  <c r="U104" i="1"/>
  <c r="U110" i="1"/>
  <c r="U102" i="1"/>
  <c r="U133" i="1"/>
  <c r="U129" i="1"/>
  <c r="U116" i="1"/>
  <c r="U108" i="1"/>
  <c r="U100" i="1"/>
  <c r="U127" i="1"/>
  <c r="U94" i="1"/>
  <c r="U98" i="1"/>
  <c r="U96" i="1"/>
  <c r="U92" i="1"/>
  <c r="U66" i="1"/>
  <c r="U65" i="1"/>
  <c r="U48" i="1"/>
  <c r="U64" i="1"/>
  <c r="U67" i="1"/>
  <c r="U63" i="1"/>
  <c r="U51" i="1"/>
  <c r="U49" i="1"/>
  <c r="E274" i="1"/>
  <c r="R7" i="1"/>
  <c r="AF274" i="1"/>
  <c r="AG274" i="1" s="1"/>
  <c r="AG7" i="1"/>
  <c r="U10" i="1"/>
  <c r="E16" i="1"/>
  <c r="F16" i="1" s="1"/>
  <c r="AF16" i="1"/>
  <c r="U19" i="1"/>
  <c r="I22" i="1"/>
  <c r="AG24" i="1"/>
  <c r="AC275" i="1"/>
  <c r="U27" i="1"/>
  <c r="H30" i="1"/>
  <c r="W30" i="1"/>
  <c r="N90" i="1"/>
  <c r="O90" i="1" s="1"/>
  <c r="AA31" i="1"/>
  <c r="AG32" i="1"/>
  <c r="U35" i="1"/>
  <c r="AG40" i="1"/>
  <c r="X41" i="1"/>
  <c r="X46" i="1"/>
  <c r="AA48" i="1"/>
  <c r="AJ49" i="1"/>
  <c r="X52" i="1"/>
  <c r="AJ53" i="1"/>
  <c r="AJ51" i="1"/>
  <c r="AG53" i="1"/>
  <c r="U56" i="1"/>
  <c r="AG57" i="1"/>
  <c r="U60" i="1"/>
  <c r="X62" i="1"/>
  <c r="AG70" i="1"/>
  <c r="X72" i="1"/>
  <c r="AG74" i="1"/>
  <c r="I95" i="1"/>
  <c r="K236" i="1"/>
  <c r="L236" i="1"/>
  <c r="AI236" i="1"/>
  <c r="AJ113" i="1"/>
  <c r="AJ236" i="1" s="1"/>
  <c r="I109" i="1"/>
  <c r="AG109" i="1"/>
  <c r="X110" i="1"/>
  <c r="U114" i="1"/>
  <c r="AJ115" i="1"/>
  <c r="U123" i="1"/>
  <c r="I127" i="1"/>
  <c r="AG127" i="1"/>
  <c r="X128" i="1"/>
  <c r="AD130" i="1"/>
  <c r="U131" i="1"/>
  <c r="AD54" i="1"/>
  <c r="AA55" i="1"/>
  <c r="AA59" i="1"/>
  <c r="U61" i="1"/>
  <c r="AD69" i="1"/>
  <c r="AJ70" i="1"/>
  <c r="U71" i="1"/>
  <c r="AD73" i="1"/>
  <c r="AJ74" i="1"/>
  <c r="U75" i="1"/>
  <c r="AD76" i="1"/>
  <c r="AD78" i="1"/>
  <c r="AG95" i="1"/>
  <c r="AA95" i="1"/>
  <c r="AG73" i="1"/>
  <c r="X75" i="1"/>
  <c r="AG76" i="1"/>
  <c r="AG78" i="1"/>
  <c r="AJ95" i="1"/>
  <c r="X92" i="1"/>
  <c r="AC97" i="1"/>
  <c r="AD97" i="1" s="1"/>
  <c r="AD96" i="1"/>
  <c r="AO101" i="1"/>
  <c r="AJ101" i="1"/>
  <c r="AD220" i="1"/>
  <c r="AD219" i="1"/>
  <c r="AD199" i="1"/>
  <c r="AD186" i="1"/>
  <c r="AD179" i="1"/>
  <c r="AD178" i="1"/>
  <c r="AD171" i="1"/>
  <c r="AD170" i="1"/>
  <c r="AD159" i="1"/>
  <c r="AD153" i="1"/>
  <c r="AD160" i="1"/>
  <c r="AD177" i="1"/>
  <c r="AD169" i="1"/>
  <c r="AD163" i="1"/>
  <c r="AD200" i="1"/>
  <c r="AD176" i="1"/>
  <c r="AD185" i="1"/>
  <c r="AD147" i="1"/>
  <c r="AD144" i="1"/>
  <c r="AD134" i="1"/>
  <c r="AD164" i="1"/>
  <c r="AD145" i="1"/>
  <c r="AD161" i="1"/>
  <c r="AD175" i="1"/>
  <c r="AD166" i="1"/>
  <c r="AD162" i="1"/>
  <c r="AD157" i="1"/>
  <c r="AD150" i="1"/>
  <c r="AD155" i="1"/>
  <c r="AD165" i="1"/>
  <c r="AD133" i="1"/>
  <c r="AD124" i="1"/>
  <c r="AD116" i="1"/>
  <c r="AD108" i="1"/>
  <c r="AD127" i="1"/>
  <c r="AD119" i="1"/>
  <c r="AD111" i="1"/>
  <c r="AD103" i="1"/>
  <c r="AD158" i="1"/>
  <c r="AD109" i="1"/>
  <c r="AD128" i="1"/>
  <c r="AD120" i="1"/>
  <c r="AD112" i="1"/>
  <c r="AD104" i="1"/>
  <c r="AD168" i="1"/>
  <c r="AD131" i="1"/>
  <c r="AD115" i="1"/>
  <c r="AD107" i="1"/>
  <c r="AD143" i="1"/>
  <c r="AD126" i="1"/>
  <c r="AD93" i="1"/>
  <c r="AD91" i="1"/>
  <c r="AD67" i="1"/>
  <c r="AD66" i="1"/>
  <c r="AD65" i="1"/>
  <c r="AD64" i="1"/>
  <c r="AD63" i="1"/>
  <c r="AD62" i="1"/>
  <c r="AD42" i="1"/>
  <c r="AD50" i="1"/>
  <c r="AA52" i="1"/>
  <c r="AA56" i="1"/>
  <c r="AA60" i="1"/>
  <c r="AJ69" i="1"/>
  <c r="U70" i="1"/>
  <c r="AD72" i="1"/>
  <c r="AJ73" i="1"/>
  <c r="U74" i="1"/>
  <c r="AJ76" i="1"/>
  <c r="AJ78" i="1"/>
  <c r="AJ93" i="1"/>
  <c r="K99" i="1"/>
  <c r="L99" i="1" s="1"/>
  <c r="U54" i="1"/>
  <c r="AG55" i="1"/>
  <c r="U58" i="1"/>
  <c r="AG59" i="1"/>
  <c r="AA61" i="1"/>
  <c r="AG68" i="1"/>
  <c r="X70" i="1"/>
  <c r="AG72" i="1"/>
  <c r="X74" i="1"/>
  <c r="AD92" i="1"/>
  <c r="AD51" i="1"/>
  <c r="AA53" i="1"/>
  <c r="AD56" i="1"/>
  <c r="AA57" i="1"/>
  <c r="AD60" i="1"/>
  <c r="AJ68" i="1"/>
  <c r="U69" i="1"/>
  <c r="AD71" i="1"/>
  <c r="AJ72" i="1"/>
  <c r="U73" i="1"/>
  <c r="AD75" i="1"/>
  <c r="AD77" i="1"/>
  <c r="AD79" i="1"/>
  <c r="U91" i="1"/>
  <c r="AG92" i="1"/>
  <c r="U93" i="1"/>
  <c r="AD94" i="1"/>
  <c r="N97" i="1"/>
  <c r="O97" i="1" s="1"/>
  <c r="U99" i="1"/>
  <c r="AJ50" i="1"/>
  <c r="AG52" i="1"/>
  <c r="U55" i="1"/>
  <c r="AG56" i="1"/>
  <c r="U59" i="1"/>
  <c r="AG60" i="1"/>
  <c r="AJ62" i="1"/>
  <c r="X69" i="1"/>
  <c r="AG71" i="1"/>
  <c r="X73" i="1"/>
  <c r="AG75" i="1"/>
  <c r="AG77" i="1"/>
  <c r="AG79" i="1"/>
  <c r="W95" i="1"/>
  <c r="X95" i="1" s="1"/>
  <c r="X91" i="1"/>
  <c r="X93" i="1"/>
  <c r="U97" i="1"/>
  <c r="AD53" i="1"/>
  <c r="AA54" i="1"/>
  <c r="AD57" i="1"/>
  <c r="AA58" i="1"/>
  <c r="AG61" i="1"/>
  <c r="AD70" i="1"/>
  <c r="AJ71" i="1"/>
  <c r="U72" i="1"/>
  <c r="AD74" i="1"/>
  <c r="AJ75" i="1"/>
  <c r="AJ77" i="1"/>
  <c r="AJ79" i="1"/>
  <c r="AA94" i="1"/>
  <c r="AG96" i="1"/>
  <c r="AF97" i="1"/>
  <c r="AG97" i="1" s="1"/>
  <c r="X97" i="1"/>
  <c r="N99" i="1"/>
  <c r="O99" i="1" s="1"/>
  <c r="AD98" i="1"/>
  <c r="AC99" i="1"/>
  <c r="AD99" i="1" s="1"/>
  <c r="X99" i="1"/>
  <c r="AJ109" i="1"/>
  <c r="AG112" i="1"/>
  <c r="W237" i="1"/>
  <c r="X121" i="1"/>
  <c r="X237" i="1" s="1"/>
  <c r="AJ118" i="1"/>
  <c r="I137" i="1"/>
  <c r="AD125" i="1"/>
  <c r="U126" i="1"/>
  <c r="AJ127" i="1"/>
  <c r="AA91" i="1"/>
  <c r="I93" i="1"/>
  <c r="AJ96" i="1"/>
  <c r="AI97" i="1"/>
  <c r="AJ97" i="1" s="1"/>
  <c r="AA97" i="1"/>
  <c r="AG98" i="1"/>
  <c r="AA99" i="1"/>
  <c r="U101" i="1"/>
  <c r="U105" i="1"/>
  <c r="Q236" i="1"/>
  <c r="R236" i="1"/>
  <c r="AP107" i="1"/>
  <c r="AG107" i="1"/>
  <c r="X108" i="1"/>
  <c r="AD110" i="1"/>
  <c r="U111" i="1"/>
  <c r="AJ112" i="1"/>
  <c r="AG116" i="1"/>
  <c r="X117" i="1"/>
  <c r="AJ137" i="1"/>
  <c r="I125" i="1"/>
  <c r="AJ130" i="1"/>
  <c r="AG133" i="1"/>
  <c r="X134" i="1"/>
  <c r="AD149" i="1"/>
  <c r="N95" i="1"/>
  <c r="O95" i="1" s="1"/>
  <c r="AC95" i="1"/>
  <c r="AD95" i="1" s="1"/>
  <c r="AI99" i="1"/>
  <c r="AJ99" i="1" s="1"/>
  <c r="AJ98" i="1"/>
  <c r="X101" i="1"/>
  <c r="X105" i="1"/>
  <c r="T236" i="1"/>
  <c r="U113" i="1"/>
  <c r="U236" i="1" s="1"/>
  <c r="E237" i="1"/>
  <c r="F237" i="1"/>
  <c r="AC237" i="1"/>
  <c r="AD121" i="1"/>
  <c r="AD237" i="1" s="1"/>
  <c r="U115" i="1"/>
  <c r="I119" i="1"/>
  <c r="AG119" i="1"/>
  <c r="X120" i="1"/>
  <c r="AD123" i="1"/>
  <c r="U124" i="1"/>
  <c r="AJ125" i="1"/>
  <c r="AG128" i="1"/>
  <c r="X129" i="1"/>
  <c r="AA93" i="1"/>
  <c r="AA105" i="1"/>
  <c r="AG104" i="1"/>
  <c r="W236" i="1"/>
  <c r="X113" i="1"/>
  <c r="X236" i="1" s="1"/>
  <c r="AJ110" i="1"/>
  <c r="H237" i="1"/>
  <c r="I121" i="1"/>
  <c r="I237" i="1" s="1"/>
  <c r="AF237" i="1"/>
  <c r="AG121" i="1"/>
  <c r="AG237" i="1" s="1"/>
  <c r="AD117" i="1"/>
  <c r="U118" i="1"/>
  <c r="AJ119" i="1"/>
  <c r="AG123" i="1"/>
  <c r="X124" i="1"/>
  <c r="AG131" i="1"/>
  <c r="X132" i="1"/>
  <c r="T95" i="1"/>
  <c r="U95" i="1" s="1"/>
  <c r="E97" i="1"/>
  <c r="F97" i="1" s="1"/>
  <c r="AD105" i="1"/>
  <c r="U103" i="1"/>
  <c r="AJ104" i="1"/>
  <c r="AG108" i="1"/>
  <c r="X109" i="1"/>
  <c r="K237" i="1"/>
  <c r="L237" i="1"/>
  <c r="AI237" i="1"/>
  <c r="AJ121" i="1"/>
  <c r="AJ237" i="1" s="1"/>
  <c r="I117" i="1"/>
  <c r="AG117" i="1"/>
  <c r="X118" i="1"/>
  <c r="U122" i="1"/>
  <c r="AD129" i="1"/>
  <c r="U130" i="1"/>
  <c r="AG91" i="1"/>
  <c r="AJ94" i="1"/>
  <c r="I96" i="1"/>
  <c r="H97" i="1"/>
  <c r="I97" i="1" s="1"/>
  <c r="E99" i="1"/>
  <c r="F99" i="1" s="1"/>
  <c r="I101" i="1"/>
  <c r="AD100" i="1"/>
  <c r="AG102" i="1"/>
  <c r="X103" i="1"/>
  <c r="AC236" i="1"/>
  <c r="AD113" i="1"/>
  <c r="AD236" i="1" s="1"/>
  <c r="U107" i="1"/>
  <c r="AG111" i="1"/>
  <c r="X112" i="1"/>
  <c r="AJ117" i="1"/>
  <c r="AG120" i="1"/>
  <c r="X137" i="1"/>
  <c r="AJ126" i="1"/>
  <c r="AG129" i="1"/>
  <c r="X130" i="1"/>
  <c r="AD132" i="1"/>
  <c r="AA92" i="1"/>
  <c r="I94" i="1"/>
  <c r="K97" i="1"/>
  <c r="L97" i="1" s="1"/>
  <c r="H99" i="1"/>
  <c r="I99" i="1" s="1"/>
  <c r="I98" i="1"/>
  <c r="K101" i="1"/>
  <c r="L101" i="1" s="1"/>
  <c r="AG101" i="1"/>
  <c r="AJ102" i="1"/>
  <c r="H236" i="1"/>
  <c r="I113" i="1"/>
  <c r="I236" i="1" s="1"/>
  <c r="AG106" i="1"/>
  <c r="X107" i="1"/>
  <c r="Q237" i="1"/>
  <c r="R237" i="1"/>
  <c r="AG115" i="1"/>
  <c r="X116" i="1"/>
  <c r="AD118" i="1"/>
  <c r="U119" i="1"/>
  <c r="AJ120" i="1"/>
  <c r="AG124" i="1"/>
  <c r="X125" i="1"/>
  <c r="AJ129" i="1"/>
  <c r="I132" i="1"/>
  <c r="AA96" i="1"/>
  <c r="AG100" i="1"/>
  <c r="AD102" i="1"/>
  <c r="AA104" i="1"/>
  <c r="E105" i="1"/>
  <c r="F105" i="1" s="1"/>
  <c r="AF105" i="1"/>
  <c r="AG105" i="1" s="1"/>
  <c r="I106" i="1"/>
  <c r="AJ106" i="1"/>
  <c r="AA112" i="1"/>
  <c r="E113" i="1"/>
  <c r="F113" i="1" s="1"/>
  <c r="AF113" i="1"/>
  <c r="I114" i="1"/>
  <c r="AJ114" i="1"/>
  <c r="AA120" i="1"/>
  <c r="I122" i="1"/>
  <c r="AJ122" i="1"/>
  <c r="AA128" i="1"/>
  <c r="I130" i="1"/>
  <c r="K146" i="1"/>
  <c r="L146" i="1" s="1"/>
  <c r="AD142" i="1"/>
  <c r="AG148" i="1"/>
  <c r="AG155" i="1"/>
  <c r="AG157" i="1"/>
  <c r="AA101" i="1"/>
  <c r="AA109" i="1"/>
  <c r="X114" i="1"/>
  <c r="AA117" i="1"/>
  <c r="T121" i="1"/>
  <c r="X122" i="1"/>
  <c r="AA125" i="1"/>
  <c r="AJ133" i="1"/>
  <c r="AC146" i="1"/>
  <c r="AA151" i="1"/>
  <c r="AG153" i="1"/>
  <c r="AG159" i="1"/>
  <c r="AG175" i="1"/>
  <c r="AA98" i="1"/>
  <c r="AF99" i="1"/>
  <c r="AG99" i="1" s="1"/>
  <c r="I100" i="1"/>
  <c r="AJ100" i="1"/>
  <c r="AC101" i="1"/>
  <c r="AD101" i="1" s="1"/>
  <c r="H105" i="1"/>
  <c r="I105" i="1" s="1"/>
  <c r="AI105" i="1"/>
  <c r="AJ105" i="1" s="1"/>
  <c r="AA106" i="1"/>
  <c r="AA114" i="1"/>
  <c r="AP119" i="1"/>
  <c r="Z137" i="1"/>
  <c r="AA122" i="1"/>
  <c r="AA130" i="1"/>
  <c r="AA132" i="1"/>
  <c r="U134" i="1"/>
  <c r="X144" i="1"/>
  <c r="AG146" i="1"/>
  <c r="I149" i="1"/>
  <c r="AD151" i="1"/>
  <c r="AA154" i="1"/>
  <c r="AA103" i="1"/>
  <c r="AA111" i="1"/>
  <c r="AA119" i="1"/>
  <c r="N137" i="1"/>
  <c r="O137" i="1" s="1"/>
  <c r="AA127" i="1"/>
  <c r="I129" i="1"/>
  <c r="I133" i="1"/>
  <c r="X133" i="1"/>
  <c r="U143" i="1"/>
  <c r="AA144" i="1"/>
  <c r="AD154" i="1"/>
  <c r="U155" i="1"/>
  <c r="AG162" i="1"/>
  <c r="X174" i="1"/>
  <c r="AA100" i="1"/>
  <c r="I102" i="1"/>
  <c r="K105" i="1"/>
  <c r="L105" i="1" s="1"/>
  <c r="AD106" i="1"/>
  <c r="AA108" i="1"/>
  <c r="I110" i="1"/>
  <c r="AD114" i="1"/>
  <c r="AA116" i="1"/>
  <c r="I118" i="1"/>
  <c r="AD122" i="1"/>
  <c r="AA124" i="1"/>
  <c r="I126" i="1"/>
  <c r="AA133" i="1"/>
  <c r="I144" i="1"/>
  <c r="AG147" i="1"/>
  <c r="U157" i="1"/>
  <c r="AA165" i="1"/>
  <c r="Z113" i="1"/>
  <c r="Z121" i="1"/>
  <c r="E137" i="1"/>
  <c r="F137" i="1" s="1"/>
  <c r="AF137" i="1"/>
  <c r="AA129" i="1"/>
  <c r="AG132" i="1"/>
  <c r="AA134" i="1"/>
  <c r="T137" i="1"/>
  <c r="U146" i="1"/>
  <c r="AG144" i="1"/>
  <c r="AF149" i="1"/>
  <c r="AG149" i="1" s="1"/>
  <c r="AD152" i="1"/>
  <c r="AG156" i="1"/>
  <c r="U159" i="1"/>
  <c r="AA102" i="1"/>
  <c r="I104" i="1"/>
  <c r="AA110" i="1"/>
  <c r="I112" i="1"/>
  <c r="N113" i="1"/>
  <c r="O113" i="1" s="1"/>
  <c r="AA118" i="1"/>
  <c r="N121" i="1"/>
  <c r="O121" i="1" s="1"/>
  <c r="AA126" i="1"/>
  <c r="AD136" i="1"/>
  <c r="W146" i="1"/>
  <c r="X142" i="1"/>
  <c r="E146" i="1"/>
  <c r="F146" i="1" s="1"/>
  <c r="AA149" i="1"/>
  <c r="X170" i="1"/>
  <c r="AA107" i="1"/>
  <c r="AA115" i="1"/>
  <c r="AA123" i="1"/>
  <c r="AG136" i="1"/>
  <c r="AD137" i="1"/>
  <c r="I142" i="1"/>
  <c r="H146" i="1"/>
  <c r="Z146" i="1"/>
  <c r="AA142" i="1"/>
  <c r="AD148" i="1"/>
  <c r="AG150" i="1"/>
  <c r="AA136" i="1"/>
  <c r="U144" i="1"/>
  <c r="AA153" i="1"/>
  <c r="AD156" i="1"/>
  <c r="AG158" i="1"/>
  <c r="AG169" i="1"/>
  <c r="AD181" i="1"/>
  <c r="AG143" i="1"/>
  <c r="AG154" i="1"/>
  <c r="AG168" i="1"/>
  <c r="AA172" i="1"/>
  <c r="AG177" i="1"/>
  <c r="U148" i="1"/>
  <c r="AG152" i="1"/>
  <c r="U158" i="1"/>
  <c r="AD174" i="1"/>
  <c r="X178" i="1"/>
  <c r="AA180" i="1"/>
  <c r="AA203" i="1"/>
  <c r="AG213" i="1"/>
  <c r="AA131" i="1"/>
  <c r="I143" i="1"/>
  <c r="AG145" i="1"/>
  <c r="X149" i="1"/>
  <c r="T149" i="1"/>
  <c r="U149" i="1" s="1"/>
  <c r="U150" i="1"/>
  <c r="X159" i="1"/>
  <c r="U162" i="1"/>
  <c r="AG170" i="1"/>
  <c r="U171" i="1"/>
  <c r="U173" i="1"/>
  <c r="U175" i="1"/>
  <c r="AG176" i="1"/>
  <c r="AG206" i="1"/>
  <c r="X206" i="1"/>
  <c r="AG142" i="1"/>
  <c r="U145" i="1"/>
  <c r="X150" i="1"/>
  <c r="U152" i="1"/>
  <c r="X156" i="1"/>
  <c r="AA158" i="1"/>
  <c r="U165" i="1"/>
  <c r="AD167" i="1"/>
  <c r="U142" i="1"/>
  <c r="I145" i="1"/>
  <c r="X151" i="1"/>
  <c r="U161" i="1"/>
  <c r="AA162" i="1"/>
  <c r="X165" i="1"/>
  <c r="AA173" i="1"/>
  <c r="AG178" i="1"/>
  <c r="AA183" i="1"/>
  <c r="AG165" i="1"/>
  <c r="AA170" i="1"/>
  <c r="U172" i="1"/>
  <c r="AA178" i="1"/>
  <c r="AD183" i="1"/>
  <c r="AA200" i="1"/>
  <c r="K206" i="1"/>
  <c r="L206" i="1" s="1"/>
  <c r="U208" i="1"/>
  <c r="AA213" i="1"/>
  <c r="AD218" i="1"/>
  <c r="AG205" i="1"/>
  <c r="X155" i="1"/>
  <c r="X157" i="1"/>
  <c r="AG164" i="1"/>
  <c r="AD173" i="1"/>
  <c r="AG174" i="1"/>
  <c r="AD180" i="1"/>
  <c r="U206" i="1"/>
  <c r="Q213" i="1"/>
  <c r="R213" i="1" s="1"/>
  <c r="AA159" i="1"/>
  <c r="X161" i="1"/>
  <c r="AG163" i="1"/>
  <c r="AD172" i="1"/>
  <c r="AG173" i="1"/>
  <c r="U181" i="1"/>
  <c r="AD182" i="1"/>
  <c r="AD184" i="1"/>
  <c r="I203" i="1"/>
  <c r="T213" i="1"/>
  <c r="U213" i="1" s="1"/>
  <c r="AA150" i="1"/>
  <c r="X152" i="1"/>
  <c r="AA161" i="1"/>
  <c r="U163" i="1"/>
  <c r="X171" i="1"/>
  <c r="AG172" i="1"/>
  <c r="X181" i="1"/>
  <c r="AD201" i="1"/>
  <c r="AA206" i="1"/>
  <c r="X209" i="1"/>
  <c r="AD212" i="1"/>
  <c r="X162" i="1"/>
  <c r="AA171" i="1"/>
  <c r="U174" i="1"/>
  <c r="AA181" i="1"/>
  <c r="X183" i="1"/>
  <c r="AD187" i="1"/>
  <c r="AG203" i="1"/>
  <c r="AD204" i="1"/>
  <c r="AD206" i="1"/>
  <c r="AA209" i="1"/>
  <c r="X180" i="1"/>
  <c r="X201" i="1"/>
  <c r="W203" i="1"/>
  <c r="X203" i="1" s="1"/>
  <c r="I205" i="1"/>
  <c r="AG207" i="1"/>
  <c r="U210" i="1"/>
  <c r="AD215" i="1"/>
  <c r="U183" i="1"/>
  <c r="AG186" i="1"/>
  <c r="AG199" i="1"/>
  <c r="I201" i="1"/>
  <c r="I204" i="1"/>
  <c r="AA204" i="1"/>
  <c r="AD205" i="1"/>
  <c r="N206" i="1"/>
  <c r="O206" i="1" s="1"/>
  <c r="U209" i="1"/>
  <c r="X210" i="1"/>
  <c r="I212" i="1"/>
  <c r="K222" i="1"/>
  <c r="L222" i="1" s="1"/>
  <c r="AF222" i="1"/>
  <c r="AG222" i="1" s="1"/>
  <c r="AG214" i="1"/>
  <c r="U216" i="1"/>
  <c r="AG185" i="1"/>
  <c r="U199" i="1"/>
  <c r="AG200" i="1"/>
  <c r="AD202" i="1"/>
  <c r="AC203" i="1"/>
  <c r="AD203" i="1" s="1"/>
  <c r="AG204" i="1"/>
  <c r="U207" i="1"/>
  <c r="X208" i="1"/>
  <c r="I210" i="1"/>
  <c r="Q222" i="1"/>
  <c r="R222" i="1" s="1"/>
  <c r="U222" i="1"/>
  <c r="X199" i="1"/>
  <c r="AG202" i="1"/>
  <c r="W213" i="1"/>
  <c r="X213" i="1" s="1"/>
  <c r="X207" i="1"/>
  <c r="I209" i="1"/>
  <c r="AD210" i="1"/>
  <c r="U214" i="1"/>
  <c r="O269" i="1"/>
  <c r="AG180" i="1"/>
  <c r="AG182" i="1"/>
  <c r="AG184" i="1"/>
  <c r="AG218" i="1"/>
  <c r="I199" i="1"/>
  <c r="T200" i="1"/>
  <c r="U200" i="1" s="1"/>
  <c r="AG201" i="1"/>
  <c r="U205" i="1"/>
  <c r="I208" i="1"/>
  <c r="AD209" i="1"/>
  <c r="AG210" i="1"/>
  <c r="X222" i="1"/>
  <c r="X215" i="1"/>
  <c r="U221" i="1"/>
  <c r="AA199" i="1"/>
  <c r="X200" i="1"/>
  <c r="U204" i="1"/>
  <c r="X205" i="1"/>
  <c r="E206" i="1"/>
  <c r="F206" i="1" s="1"/>
  <c r="I207" i="1"/>
  <c r="H213" i="1"/>
  <c r="I213" i="1" s="1"/>
  <c r="AD208" i="1"/>
  <c r="AG209" i="1"/>
  <c r="U212" i="1"/>
  <c r="E213" i="1"/>
  <c r="F213" i="1" s="1"/>
  <c r="X214" i="1"/>
  <c r="U180" i="1"/>
  <c r="AG181" i="1"/>
  <c r="AG183" i="1"/>
  <c r="AG187" i="1"/>
  <c r="H200" i="1"/>
  <c r="I200" i="1" s="1"/>
  <c r="U201" i="1"/>
  <c r="T203" i="1"/>
  <c r="U203" i="1" s="1"/>
  <c r="X204" i="1"/>
  <c r="H206" i="1"/>
  <c r="I206" i="1" s="1"/>
  <c r="K213" i="1"/>
  <c r="L213" i="1" s="1"/>
  <c r="AD207" i="1"/>
  <c r="AC213" i="1"/>
  <c r="AD213" i="1" s="1"/>
  <c r="AG208" i="1"/>
  <c r="X212" i="1"/>
  <c r="I222" i="1"/>
  <c r="E222" i="1"/>
  <c r="F222" i="1" s="1"/>
  <c r="AD216" i="1"/>
  <c r="X217" i="1"/>
  <c r="I269" i="1"/>
  <c r="AG269" i="1"/>
  <c r="U219" i="1"/>
  <c r="L269" i="1"/>
  <c r="AJ269" i="1"/>
  <c r="AD217" i="1"/>
  <c r="X221" i="1"/>
  <c r="R269" i="1"/>
  <c r="Z222" i="1"/>
  <c r="AA222" i="1" s="1"/>
  <c r="AA221" i="1"/>
  <c r="U269" i="1"/>
  <c r="N222" i="1"/>
  <c r="O222" i="1" s="1"/>
  <c r="AD221" i="1"/>
  <c r="X269" i="1"/>
  <c r="AC222" i="1"/>
  <c r="AD222" i="1" s="1"/>
  <c r="AD214" i="1"/>
  <c r="AG221" i="1"/>
  <c r="AA269" i="1"/>
  <c r="AO269" i="1"/>
  <c r="F269" i="1"/>
  <c r="AD269" i="1"/>
  <c r="E223" i="1" l="1"/>
  <c r="F223" i="1" s="1"/>
  <c r="AM249" i="1"/>
  <c r="AM278" i="1" s="1"/>
  <c r="AM279" i="1" s="1"/>
  <c r="I274" i="1"/>
  <c r="AM241" i="1"/>
  <c r="AM242" i="1" s="1"/>
  <c r="H138" i="1"/>
  <c r="I138" i="1" s="1"/>
  <c r="W138" i="1"/>
  <c r="W139" i="1" s="1"/>
  <c r="AP63" i="1"/>
  <c r="AP101" i="1"/>
  <c r="AP12" i="1"/>
  <c r="AP48" i="1"/>
  <c r="AP104" i="1"/>
  <c r="AP116" i="1"/>
  <c r="AP130" i="1"/>
  <c r="AP61" i="1"/>
  <c r="AP33" i="1"/>
  <c r="AP57" i="1"/>
  <c r="K276" i="1"/>
  <c r="AP79" i="1"/>
  <c r="AP108" i="1"/>
  <c r="AP105" i="1"/>
  <c r="AP126" i="1"/>
  <c r="AP103" i="1"/>
  <c r="AP21" i="1"/>
  <c r="AP27" i="1"/>
  <c r="AP9" i="1"/>
  <c r="AP134" i="1"/>
  <c r="AP127" i="1"/>
  <c r="AP117" i="1"/>
  <c r="AP111" i="1"/>
  <c r="AP102" i="1"/>
  <c r="AP131" i="1"/>
  <c r="AP123" i="1"/>
  <c r="AP58" i="1"/>
  <c r="R276" i="1"/>
  <c r="AP20" i="1"/>
  <c r="AP18" i="1"/>
  <c r="AP50" i="1"/>
  <c r="AP115" i="1"/>
  <c r="AP100" i="1"/>
  <c r="AP93" i="1"/>
  <c r="AP99" i="1"/>
  <c r="AP10" i="1"/>
  <c r="AP44" i="1"/>
  <c r="AP77" i="1"/>
  <c r="AP92" i="1"/>
  <c r="AP68" i="1"/>
  <c r="AP41" i="1"/>
  <c r="AP73" i="1"/>
  <c r="AP11" i="1"/>
  <c r="AP78" i="1"/>
  <c r="AP43" i="1"/>
  <c r="AP65" i="1"/>
  <c r="AP129" i="1"/>
  <c r="AP94" i="1"/>
  <c r="AP118" i="1"/>
  <c r="AP8" i="1"/>
  <c r="N245" i="1"/>
  <c r="K138" i="1"/>
  <c r="L138" i="1" s="1"/>
  <c r="AP109" i="1"/>
  <c r="AP124" i="1"/>
  <c r="AP98" i="1"/>
  <c r="AP69" i="1"/>
  <c r="AP60" i="1"/>
  <c r="Q276" i="1"/>
  <c r="AP15" i="1"/>
  <c r="L235" i="1"/>
  <c r="AP136" i="1"/>
  <c r="AP112" i="1"/>
  <c r="AP75" i="1"/>
  <c r="AP56" i="1"/>
  <c r="O235" i="1"/>
  <c r="AP59" i="1"/>
  <c r="AP70" i="1"/>
  <c r="AP28" i="1"/>
  <c r="AP132" i="1"/>
  <c r="AP51" i="1"/>
  <c r="L276" i="1"/>
  <c r="AP269" i="1"/>
  <c r="AP133" i="1"/>
  <c r="AP125" i="1"/>
  <c r="AP120" i="1"/>
  <c r="AP128" i="1"/>
  <c r="AP110" i="1"/>
  <c r="AP67" i="1"/>
  <c r="AP76" i="1"/>
  <c r="AP62" i="1"/>
  <c r="AP46" i="1"/>
  <c r="AP36" i="1"/>
  <c r="AP45" i="1"/>
  <c r="AP52" i="1"/>
  <c r="AP40" i="1"/>
  <c r="AP24" i="1"/>
  <c r="AP47" i="1"/>
  <c r="N235" i="1"/>
  <c r="AP14" i="1"/>
  <c r="I146" i="1"/>
  <c r="AF138" i="1"/>
  <c r="AG137" i="1"/>
  <c r="T237" i="1"/>
  <c r="U121" i="1"/>
  <c r="U237" i="1" s="1"/>
  <c r="AP91" i="1"/>
  <c r="AP95" i="1"/>
  <c r="E238" i="1"/>
  <c r="AC245" i="1"/>
  <c r="AC234" i="1"/>
  <c r="AD25" i="1"/>
  <c r="E138" i="1"/>
  <c r="F138" i="1" s="1"/>
  <c r="AC138" i="1"/>
  <c r="AD275" i="1"/>
  <c r="AD276" i="1" s="1"/>
  <c r="AC276" i="1"/>
  <c r="Q246" i="1"/>
  <c r="Q239" i="1"/>
  <c r="AP53" i="1"/>
  <c r="AP66" i="1"/>
  <c r="AP72" i="1"/>
  <c r="AP37" i="1"/>
  <c r="AF238" i="1"/>
  <c r="AG90" i="1"/>
  <c r="AP54" i="1"/>
  <c r="Q238" i="1"/>
  <c r="R238" i="1"/>
  <c r="O245" i="1"/>
  <c r="O234" i="1"/>
  <c r="K245" i="1"/>
  <c r="AP7" i="1"/>
  <c r="AP106" i="1"/>
  <c r="AP96" i="1"/>
  <c r="AP97" i="1"/>
  <c r="AA275" i="1"/>
  <c r="AA276" i="1" s="1"/>
  <c r="Z276" i="1"/>
  <c r="AC246" i="1"/>
  <c r="AC239" i="1"/>
  <c r="AD16" i="1"/>
  <c r="N246" i="1"/>
  <c r="N239" i="1"/>
  <c r="Z246" i="1"/>
  <c r="Z239" i="1"/>
  <c r="AA16" i="1"/>
  <c r="U275" i="1"/>
  <c r="U276" i="1" s="1"/>
  <c r="T276" i="1"/>
  <c r="AP19" i="1"/>
  <c r="AP13" i="1"/>
  <c r="T246" i="1"/>
  <c r="T239" i="1"/>
  <c r="U16" i="1"/>
  <c r="AF236" i="1"/>
  <c r="AG113" i="1"/>
  <c r="AG236" i="1" s="1"/>
  <c r="N238" i="1"/>
  <c r="Z238" i="1"/>
  <c r="AA90" i="1"/>
  <c r="T245" i="1"/>
  <c r="T234" i="1"/>
  <c r="U25" i="1"/>
  <c r="I275" i="1"/>
  <c r="H276" i="1"/>
  <c r="AD238" i="1"/>
  <c r="AP35" i="1"/>
  <c r="AG275" i="1"/>
  <c r="AG276" i="1" s="1"/>
  <c r="AF276" i="1"/>
  <c r="W246" i="1"/>
  <c r="W239" i="1"/>
  <c r="X16" i="1"/>
  <c r="AP22" i="1"/>
  <c r="AP42" i="1"/>
  <c r="AA245" i="1"/>
  <c r="AA234" i="1"/>
  <c r="AC235" i="1"/>
  <c r="AA137" i="1"/>
  <c r="Z138" i="1"/>
  <c r="AD146" i="1"/>
  <c r="AI246" i="1"/>
  <c r="AI239" i="1"/>
  <c r="AJ16" i="1"/>
  <c r="AP26" i="1"/>
  <c r="AI245" i="1"/>
  <c r="AI234" i="1"/>
  <c r="AJ25" i="1"/>
  <c r="AD235" i="1"/>
  <c r="AP114" i="1"/>
  <c r="AO121" i="1"/>
  <c r="AO138" i="1" s="1"/>
  <c r="E236" i="1"/>
  <c r="F236" i="1"/>
  <c r="W235" i="1"/>
  <c r="X30" i="1"/>
  <c r="X235" i="1" s="1"/>
  <c r="AP17" i="1"/>
  <c r="F274" i="1"/>
  <c r="O275" i="1"/>
  <c r="O276" i="1" s="1"/>
  <c r="N276" i="1"/>
  <c r="K238" i="1"/>
  <c r="L238" i="1"/>
  <c r="AP23" i="1"/>
  <c r="K235" i="1"/>
  <c r="AP49" i="1"/>
  <c r="H238" i="1"/>
  <c r="I90" i="1"/>
  <c r="I238" i="1" s="1"/>
  <c r="T238" i="1"/>
  <c r="U90" i="1"/>
  <c r="AC238" i="1"/>
  <c r="AP32" i="1"/>
  <c r="AP64" i="1"/>
  <c r="H246" i="1"/>
  <c r="H239" i="1"/>
  <c r="I16" i="1"/>
  <c r="AP34" i="1"/>
  <c r="R234" i="1"/>
  <c r="X275" i="1"/>
  <c r="X276" i="1" s="1"/>
  <c r="W276" i="1"/>
  <c r="AI238" i="1"/>
  <c r="AJ90" i="1"/>
  <c r="AJ238" i="1" s="1"/>
  <c r="N237" i="1"/>
  <c r="O237" i="1"/>
  <c r="Z237" i="1"/>
  <c r="AA121" i="1"/>
  <c r="AA237" i="1" s="1"/>
  <c r="X146" i="1"/>
  <c r="N236" i="1"/>
  <c r="O236" i="1"/>
  <c r="Z236" i="1"/>
  <c r="AA113" i="1"/>
  <c r="AA236" i="1" s="1"/>
  <c r="AI138" i="1"/>
  <c r="H235" i="1"/>
  <c r="I30" i="1"/>
  <c r="I235" i="1" s="1"/>
  <c r="AF246" i="1"/>
  <c r="AF239" i="1"/>
  <c r="AG16" i="1"/>
  <c r="AI235" i="1"/>
  <c r="AJ30" i="1"/>
  <c r="AJ235" i="1" s="1"/>
  <c r="W245" i="1"/>
  <c r="W234" i="1"/>
  <c r="X25" i="1"/>
  <c r="AF235" i="1"/>
  <c r="AG30" i="1"/>
  <c r="AG235" i="1" s="1"/>
  <c r="Q235" i="1"/>
  <c r="R235" i="1"/>
  <c r="AF245" i="1"/>
  <c r="AF234" i="1"/>
  <c r="AG25" i="1"/>
  <c r="F275" i="1"/>
  <c r="E276" i="1"/>
  <c r="AA235" i="1"/>
  <c r="L245" i="1"/>
  <c r="L234" i="1"/>
  <c r="AP31" i="1"/>
  <c r="W238" i="1"/>
  <c r="X90" i="1"/>
  <c r="X238" i="1" s="1"/>
  <c r="K246" i="1"/>
  <c r="K239" i="1"/>
  <c r="T138" i="1"/>
  <c r="U137" i="1"/>
  <c r="N138" i="1"/>
  <c r="O138" i="1" s="1"/>
  <c r="AA146" i="1"/>
  <c r="AP122" i="1"/>
  <c r="Q138" i="1"/>
  <c r="R138" i="1" s="1"/>
  <c r="E246" i="1"/>
  <c r="E239" i="1"/>
  <c r="AP74" i="1"/>
  <c r="T235" i="1"/>
  <c r="U30" i="1"/>
  <c r="U235" i="1" s="1"/>
  <c r="H245" i="1"/>
  <c r="H234" i="1"/>
  <c r="I25" i="1"/>
  <c r="AP55" i="1"/>
  <c r="AP39" i="1"/>
  <c r="E235" i="1"/>
  <c r="F235" i="1"/>
  <c r="E245" i="1"/>
  <c r="E234" i="1"/>
  <c r="AP29" i="1"/>
  <c r="AP71" i="1"/>
  <c r="AG238" i="1" l="1"/>
  <c r="X138" i="1"/>
  <c r="F238" i="1"/>
  <c r="I276" i="1"/>
  <c r="F276" i="1"/>
  <c r="AJ246" i="1"/>
  <c r="AJ239" i="1"/>
  <c r="F245" i="1"/>
  <c r="F234" i="1"/>
  <c r="U138" i="1"/>
  <c r="T139" i="1"/>
  <c r="I246" i="1"/>
  <c r="I239" i="1"/>
  <c r="Z139" i="1"/>
  <c r="AA138" i="1"/>
  <c r="L246" i="1"/>
  <c r="L239" i="1"/>
  <c r="X245" i="1"/>
  <c r="X234" i="1"/>
  <c r="R246" i="1"/>
  <c r="R239" i="1"/>
  <c r="AO246" i="1"/>
  <c r="AO239" i="1"/>
  <c r="AP16" i="1"/>
  <c r="AJ138" i="1"/>
  <c r="AI139" i="1"/>
  <c r="R245" i="1"/>
  <c r="AO245" i="1"/>
  <c r="AO234" i="1"/>
  <c r="AP25" i="1"/>
  <c r="AD239" i="1"/>
  <c r="AD246" i="1"/>
  <c r="U239" i="1"/>
  <c r="U246" i="1"/>
  <c r="O246" i="1"/>
  <c r="O239" i="1"/>
  <c r="AG234" i="1"/>
  <c r="AG245" i="1"/>
  <c r="AO237" i="1"/>
  <c r="AP121" i="1"/>
  <c r="AP237" i="1" s="1"/>
  <c r="AA238" i="1"/>
  <c r="AO236" i="1"/>
  <c r="AP113" i="1"/>
  <c r="AP236" i="1" s="1"/>
  <c r="N139" i="1"/>
  <c r="O238" i="1"/>
  <c r="AG138" i="1"/>
  <c r="AF139" i="1"/>
  <c r="U234" i="1"/>
  <c r="U245" i="1"/>
  <c r="F246" i="1"/>
  <c r="F239" i="1"/>
  <c r="U238" i="1"/>
  <c r="AJ245" i="1"/>
  <c r="AJ234" i="1"/>
  <c r="AA246" i="1"/>
  <c r="AA239" i="1"/>
  <c r="AO235" i="1"/>
  <c r="AP30" i="1"/>
  <c r="AP235" i="1" s="1"/>
  <c r="AP137" i="1"/>
  <c r="AD234" i="1"/>
  <c r="AD245" i="1"/>
  <c r="I234" i="1"/>
  <c r="I245" i="1"/>
  <c r="AO238" i="1"/>
  <c r="AP90" i="1"/>
  <c r="AG239" i="1"/>
  <c r="AG246" i="1"/>
  <c r="X246" i="1"/>
  <c r="X239" i="1"/>
  <c r="AD138" i="1"/>
  <c r="AC139" i="1"/>
  <c r="AP238" i="1" l="1"/>
  <c r="AA249" i="1"/>
  <c r="AA278" i="1" s="1"/>
  <c r="AA279" i="1" s="1"/>
  <c r="AA241" i="1"/>
  <c r="AA242" i="1" s="1"/>
  <c r="X241" i="1"/>
  <c r="X242" i="1" s="1"/>
  <c r="X249" i="1"/>
  <c r="X278" i="1" s="1"/>
  <c r="X279" i="1" s="1"/>
  <c r="AD249" i="1"/>
  <c r="AD278" i="1" s="1"/>
  <c r="AD279" i="1" s="1"/>
  <c r="AD241" i="1"/>
  <c r="AD242" i="1" s="1"/>
  <c r="U249" i="1"/>
  <c r="U278" i="1" s="1"/>
  <c r="U279" i="1" s="1"/>
  <c r="AP245" i="1"/>
  <c r="AP234" i="1"/>
  <c r="U241" i="1"/>
  <c r="U242" i="1" s="1"/>
  <c r="AG249" i="1"/>
  <c r="AG278" i="1" s="1"/>
  <c r="AG279" i="1" s="1"/>
  <c r="AP246" i="1"/>
  <c r="AP239" i="1"/>
  <c r="AG241" i="1"/>
  <c r="AG242" i="1" s="1"/>
  <c r="AP138" i="1"/>
  <c r="AP188" i="1" l="1"/>
  <c r="AJ188" i="1"/>
  <c r="AO168" i="1"/>
  <c r="AP168" i="1" s="1"/>
  <c r="AJ168" i="1"/>
  <c r="AO165" i="1"/>
  <c r="AP165" i="1" s="1"/>
  <c r="AJ165" i="1"/>
  <c r="AO175" i="1"/>
  <c r="AP175" i="1" s="1"/>
  <c r="AJ175" i="1"/>
  <c r="AO176" i="1"/>
  <c r="AP176" i="1" s="1"/>
  <c r="AI274" i="1"/>
  <c r="AJ176" i="1"/>
  <c r="AO177" i="1"/>
  <c r="AP177" i="1" s="1"/>
  <c r="AJ177" i="1"/>
  <c r="AO162" i="1"/>
  <c r="AP162" i="1" s="1"/>
  <c r="AJ162" i="1"/>
  <c r="AO154" i="1"/>
  <c r="AP154" i="1" s="1"/>
  <c r="AJ154" i="1"/>
  <c r="AO163" i="1"/>
  <c r="AP163" i="1" s="1"/>
  <c r="AJ163" i="1"/>
  <c r="AO172" i="1"/>
  <c r="AP172" i="1" s="1"/>
  <c r="AJ172" i="1"/>
  <c r="AO182" i="1"/>
  <c r="AP182" i="1" s="1"/>
  <c r="AJ182" i="1"/>
  <c r="AO155" i="1"/>
  <c r="AP155" i="1" s="1"/>
  <c r="AJ155" i="1"/>
  <c r="AO210" i="1"/>
  <c r="AP210" i="1" s="1"/>
  <c r="AJ210" i="1"/>
  <c r="AO183" i="1"/>
  <c r="AP183" i="1" s="1"/>
  <c r="AJ183" i="1"/>
  <c r="AO184" i="1"/>
  <c r="AP184" i="1" s="1"/>
  <c r="AJ184" i="1"/>
  <c r="AO185" i="1"/>
  <c r="AP185" i="1" s="1"/>
  <c r="AJ185" i="1"/>
  <c r="AO219" i="1"/>
  <c r="AP219" i="1" s="1"/>
  <c r="AJ219" i="1"/>
  <c r="AO170" i="1"/>
  <c r="AP170" i="1" s="1"/>
  <c r="AJ170" i="1"/>
  <c r="AO171" i="1"/>
  <c r="AP171" i="1" s="1"/>
  <c r="AJ171" i="1"/>
  <c r="AO180" i="1"/>
  <c r="AP180" i="1" s="1"/>
  <c r="AJ180" i="1"/>
  <c r="AO169" i="1"/>
  <c r="AP169" i="1" s="1"/>
  <c r="AJ169" i="1"/>
  <c r="AO164" i="1"/>
  <c r="AP164" i="1" s="1"/>
  <c r="AJ164" i="1"/>
  <c r="AO150" i="1"/>
  <c r="AJ150" i="1"/>
  <c r="AO202" i="1"/>
  <c r="AP202" i="1" s="1"/>
  <c r="AJ202" i="1"/>
  <c r="AO204" i="1"/>
  <c r="AI206" i="1"/>
  <c r="AJ206" i="1" s="1"/>
  <c r="AJ204" i="1"/>
  <c r="AO205" i="1"/>
  <c r="AP205" i="1" s="1"/>
  <c r="AJ205" i="1"/>
  <c r="AI149" i="1"/>
  <c r="AJ149" i="1" s="1"/>
  <c r="AO148" i="1"/>
  <c r="AJ148" i="1"/>
  <c r="AO178" i="1"/>
  <c r="AP178" i="1" s="1"/>
  <c r="AJ178" i="1"/>
  <c r="AO179" i="1"/>
  <c r="AP179" i="1" s="1"/>
  <c r="AJ179" i="1"/>
  <c r="AO218" i="1"/>
  <c r="AP218" i="1" s="1"/>
  <c r="AJ218" i="1"/>
  <c r="AO174" i="1"/>
  <c r="AP174" i="1" s="1"/>
  <c r="AJ174" i="1"/>
  <c r="AO214" i="1"/>
  <c r="AI222" i="1"/>
  <c r="AJ222" i="1" s="1"/>
  <c r="AJ214" i="1"/>
  <c r="AO215" i="1"/>
  <c r="AP215" i="1" s="1"/>
  <c r="AJ215" i="1"/>
  <c r="AO216" i="1"/>
  <c r="AP216" i="1" s="1"/>
  <c r="AJ216" i="1"/>
  <c r="AO173" i="1"/>
  <c r="AP173" i="1" s="1"/>
  <c r="AJ173" i="1"/>
  <c r="AO186" i="1"/>
  <c r="AP186" i="1" s="1"/>
  <c r="AJ186" i="1"/>
  <c r="AO187" i="1"/>
  <c r="AP187" i="1" s="1"/>
  <c r="AJ187" i="1"/>
  <c r="AO209" i="1"/>
  <c r="AP209" i="1" s="1"/>
  <c r="AJ209" i="1"/>
  <c r="AO167" i="1"/>
  <c r="AP167" i="1" s="1"/>
  <c r="AJ167" i="1"/>
  <c r="AO144" i="1"/>
  <c r="AP144" i="1" s="1"/>
  <c r="AJ144" i="1"/>
  <c r="AO212" i="1"/>
  <c r="AP212" i="1" s="1"/>
  <c r="AJ212" i="1"/>
  <c r="AO142" i="1"/>
  <c r="AI275" i="1"/>
  <c r="AJ142" i="1"/>
  <c r="AI146" i="1"/>
  <c r="AO143" i="1"/>
  <c r="AP143" i="1" s="1"/>
  <c r="AJ143" i="1"/>
  <c r="AO157" i="1"/>
  <c r="AP157" i="1" s="1"/>
  <c r="AJ157" i="1"/>
  <c r="AO199" i="1"/>
  <c r="AJ199" i="1"/>
  <c r="AI200" i="1"/>
  <c r="AJ200" i="1" s="1"/>
  <c r="AO207" i="1"/>
  <c r="AJ207" i="1"/>
  <c r="AI213" i="1"/>
  <c r="AJ213" i="1" s="1"/>
  <c r="AO208" i="1"/>
  <c r="AP208" i="1" s="1"/>
  <c r="AJ208" i="1"/>
  <c r="AO220" i="1"/>
  <c r="AP220" i="1" s="1"/>
  <c r="AJ220" i="1"/>
  <c r="AO151" i="1"/>
  <c r="AP151" i="1" s="1"/>
  <c r="AJ151" i="1"/>
  <c r="AO152" i="1"/>
  <c r="AP152" i="1" s="1"/>
  <c r="AJ152" i="1"/>
  <c r="AO153" i="1"/>
  <c r="AP153" i="1" s="1"/>
  <c r="AJ153" i="1"/>
  <c r="AO181" i="1"/>
  <c r="AP181" i="1" s="1"/>
  <c r="AJ181" i="1"/>
  <c r="AO166" i="1"/>
  <c r="AP166" i="1" s="1"/>
  <c r="AJ166" i="1"/>
  <c r="AO217" i="1"/>
  <c r="AP217" i="1" s="1"/>
  <c r="AJ217" i="1"/>
  <c r="AO147" i="1"/>
  <c r="AP147" i="1" s="1"/>
  <c r="AJ147" i="1"/>
  <c r="AO221" i="1"/>
  <c r="AP221" i="1" s="1"/>
  <c r="AJ221" i="1"/>
  <c r="AO159" i="1"/>
  <c r="AP159" i="1" s="1"/>
  <c r="AJ159" i="1"/>
  <c r="AO160" i="1"/>
  <c r="AP160" i="1" s="1"/>
  <c r="AJ160" i="1"/>
  <c r="AO161" i="1"/>
  <c r="AP161" i="1" s="1"/>
  <c r="AJ161" i="1"/>
  <c r="AO158" i="1"/>
  <c r="AP158" i="1" s="1"/>
  <c r="AJ158" i="1"/>
  <c r="AO201" i="1"/>
  <c r="AI203" i="1"/>
  <c r="AJ203" i="1" s="1"/>
  <c r="AJ201" i="1"/>
  <c r="AO145" i="1"/>
  <c r="AP145" i="1" s="1"/>
  <c r="AJ145" i="1"/>
  <c r="AO156" i="1"/>
  <c r="AP156" i="1" s="1"/>
  <c r="AJ156" i="1"/>
  <c r="AO198" i="1" l="1"/>
  <c r="AO200" i="1"/>
  <c r="AP200" i="1" s="1"/>
  <c r="AP199" i="1"/>
  <c r="AO146" i="1"/>
  <c r="AP142" i="1"/>
  <c r="AP150" i="1"/>
  <c r="AO203" i="1"/>
  <c r="AP203" i="1" s="1"/>
  <c r="AP201" i="1"/>
  <c r="AO213" i="1"/>
  <c r="AP213" i="1" s="1"/>
  <c r="AP207" i="1"/>
  <c r="AJ146" i="1"/>
  <c r="AO222" i="1"/>
  <c r="AP222" i="1" s="1"/>
  <c r="AP214" i="1"/>
  <c r="AP204" i="1"/>
  <c r="AO206" i="1"/>
  <c r="AP206" i="1" s="1"/>
  <c r="AJ274" i="1"/>
  <c r="AO274" i="1"/>
  <c r="AJ275" i="1"/>
  <c r="AI276" i="1"/>
  <c r="AO275" i="1"/>
  <c r="AO149" i="1"/>
  <c r="AP149" i="1" s="1"/>
  <c r="AP148" i="1"/>
  <c r="AP274" i="1" l="1"/>
  <c r="AJ276" i="1"/>
  <c r="AO276" i="1"/>
  <c r="AP275" i="1"/>
  <c r="AP146" i="1"/>
  <c r="AP276" i="1" l="1"/>
  <c r="AJ241" i="1"/>
  <c r="AJ242" i="1" s="1"/>
  <c r="AJ249" i="1"/>
  <c r="AJ278" i="1" s="1"/>
  <c r="AJ279" i="1" s="1"/>
  <c r="E240" i="1" l="1"/>
  <c r="E247" i="1" s="1"/>
  <c r="E249" i="1" s="1"/>
  <c r="E227" i="1"/>
  <c r="F227" i="1" s="1"/>
  <c r="F240" i="1"/>
  <c r="E241" i="1" l="1"/>
  <c r="E242" i="1" s="1"/>
  <c r="F241" i="1"/>
  <c r="F242" i="1" s="1"/>
  <c r="F247" i="1"/>
  <c r="F249" i="1" s="1"/>
  <c r="F278" i="1" s="1"/>
  <c r="F279" i="1" s="1"/>
  <c r="E251" i="1"/>
  <c r="E278" i="1"/>
  <c r="I198" i="1"/>
  <c r="H223" i="1"/>
  <c r="H240" i="1" s="1"/>
  <c r="E279" i="1" l="1"/>
  <c r="H227" i="1"/>
  <c r="I227" i="1" s="1"/>
  <c r="I223" i="1"/>
  <c r="I240" i="1" s="1"/>
  <c r="H241" i="1"/>
  <c r="H242" i="1" s="1"/>
  <c r="H247" i="1"/>
  <c r="H249" i="1" s="1"/>
  <c r="K223" i="1"/>
  <c r="L223" i="1" s="1"/>
  <c r="L240" i="1" l="1"/>
  <c r="I247" i="1"/>
  <c r="I249" i="1" s="1"/>
  <c r="I278" i="1" s="1"/>
  <c r="I279" i="1" s="1"/>
  <c r="I241" i="1"/>
  <c r="I242" i="1" s="1"/>
  <c r="H278" i="1"/>
  <c r="H251" i="1"/>
  <c r="K240" i="1"/>
  <c r="K247" i="1" s="1"/>
  <c r="K249" i="1" s="1"/>
  <c r="K227" i="1"/>
  <c r="L227" i="1" s="1"/>
  <c r="N223" i="1"/>
  <c r="O223" i="1" s="1"/>
  <c r="N227" i="1" l="1"/>
  <c r="K251" i="1"/>
  <c r="L247" i="1"/>
  <c r="L249" i="1" s="1"/>
  <c r="L278" i="1" s="1"/>
  <c r="L279" i="1" s="1"/>
  <c r="L241" i="1"/>
  <c r="L242" i="1" s="1"/>
  <c r="H279" i="1"/>
  <c r="K241" i="1"/>
  <c r="K242" i="1" s="1"/>
  <c r="N240" i="1"/>
  <c r="O240" i="1"/>
  <c r="K278" i="1"/>
  <c r="Q223" i="1"/>
  <c r="R223" i="1" l="1"/>
  <c r="R240" i="1" s="1"/>
  <c r="Q225" i="1"/>
  <c r="O227" i="1"/>
  <c r="O247" i="1"/>
  <c r="O249" i="1" s="1"/>
  <c r="O278" i="1" s="1"/>
  <c r="O279" i="1" s="1"/>
  <c r="O241" i="1"/>
  <c r="O242" i="1" s="1"/>
  <c r="K279" i="1"/>
  <c r="Q227" i="1"/>
  <c r="R227" i="1" s="1"/>
  <c r="N247" i="1"/>
  <c r="N249" i="1" s="1"/>
  <c r="N241" i="1"/>
  <c r="N242" i="1" s="1"/>
  <c r="Q240" i="1"/>
  <c r="R247" i="1" l="1"/>
  <c r="R249" i="1" s="1"/>
  <c r="R278" i="1" s="1"/>
  <c r="R279" i="1" s="1"/>
  <c r="R241" i="1"/>
  <c r="R242" i="1" s="1"/>
  <c r="N251" i="1"/>
  <c r="N278" i="1"/>
  <c r="Q247" i="1"/>
  <c r="Q249" i="1" s="1"/>
  <c r="Q278" i="1" s="1"/>
  <c r="Q241" i="1"/>
  <c r="Q242" i="1" s="1"/>
  <c r="N279" i="1" l="1"/>
  <c r="Q279" i="1"/>
  <c r="U198" i="1"/>
  <c r="T223" i="1"/>
  <c r="T227" i="1" s="1"/>
  <c r="U227" i="1" l="1"/>
  <c r="U223" i="1"/>
  <c r="U240" i="1" s="1"/>
  <c r="U247" i="1" s="1"/>
  <c r="T240" i="1"/>
  <c r="T247" i="1" l="1"/>
  <c r="T249" i="1" s="1"/>
  <c r="T241" i="1"/>
  <c r="T242" i="1" s="1"/>
  <c r="T278" i="1" l="1"/>
  <c r="T279" i="1" s="1"/>
  <c r="T251" i="1"/>
  <c r="X198" i="1"/>
  <c r="W223" i="1"/>
  <c r="W227" i="1" s="1"/>
  <c r="X223" i="1" l="1"/>
  <c r="X240" i="1" s="1"/>
  <c r="X247" i="1" s="1"/>
  <c r="X227" i="1"/>
  <c r="W240" i="1"/>
  <c r="W247" i="1" l="1"/>
  <c r="W249" i="1" s="1"/>
  <c r="W241" i="1"/>
  <c r="W242" i="1" s="1"/>
  <c r="W278" i="1" l="1"/>
  <c r="W279" i="1" s="1"/>
  <c r="W251" i="1"/>
  <c r="Z223" i="1"/>
  <c r="AA223" i="1" s="1"/>
  <c r="AA240" i="1" s="1"/>
  <c r="AA247" i="1" s="1"/>
  <c r="AA198" i="1"/>
  <c r="Z240" i="1" l="1"/>
  <c r="Z247" i="1" s="1"/>
  <c r="Z249" i="1" s="1"/>
  <c r="Z251" i="1" s="1"/>
  <c r="Z227" i="1"/>
  <c r="Z241" i="1" l="1"/>
  <c r="Z242" i="1" s="1"/>
  <c r="Z278" i="1"/>
  <c r="Z279" i="1" s="1"/>
  <c r="AA227" i="1"/>
  <c r="AD198" i="1"/>
  <c r="AC223" i="1"/>
  <c r="AC227" i="1" s="1"/>
  <c r="AC240" i="1" l="1"/>
  <c r="AD223" i="1"/>
  <c r="AD240" i="1" s="1"/>
  <c r="AD247" i="1" s="1"/>
  <c r="AD227" i="1"/>
  <c r="AG198" i="1"/>
  <c r="AF223" i="1"/>
  <c r="AG223" i="1" s="1"/>
  <c r="AG240" i="1" s="1"/>
  <c r="AG247" i="1" s="1"/>
  <c r="AC241" i="1" l="1"/>
  <c r="AC242" i="1" s="1"/>
  <c r="AC247" i="1"/>
  <c r="AC249" i="1" s="1"/>
  <c r="AF227" i="1"/>
  <c r="AF240" i="1"/>
  <c r="AC278" i="1" l="1"/>
  <c r="AC279" i="1" s="1"/>
  <c r="AC251" i="1"/>
  <c r="AG227" i="1"/>
  <c r="AF241" i="1"/>
  <c r="AF242" i="1" s="1"/>
  <c r="AF247" i="1"/>
  <c r="AF249" i="1" s="1"/>
  <c r="AF251" i="1" l="1"/>
  <c r="AF278" i="1"/>
  <c r="AF279" i="1" s="1"/>
  <c r="AJ198" i="1"/>
  <c r="AI223" i="1"/>
  <c r="AJ223" i="1" s="1"/>
  <c r="AJ240" i="1" s="1"/>
  <c r="AJ247" i="1" s="1"/>
  <c r="AI240" i="1" l="1"/>
  <c r="AI241" i="1" s="1"/>
  <c r="AI227" i="1"/>
  <c r="AI247" i="1" l="1"/>
  <c r="AI249" i="1" s="1"/>
  <c r="AI278" i="1" s="1"/>
  <c r="AI279" i="1" s="1"/>
  <c r="AI242" i="1"/>
  <c r="AJ227" i="1"/>
  <c r="AM198" i="1"/>
  <c r="AL223" i="1"/>
  <c r="AL227" i="1" s="1"/>
  <c r="AI251" i="1" l="1"/>
  <c r="AM227" i="1"/>
  <c r="AO227" i="1"/>
  <c r="AP227" i="1" s="1"/>
  <c r="AL240" i="1"/>
  <c r="AM223" i="1"/>
  <c r="AM240" i="1" s="1"/>
  <c r="AM247" i="1" s="1"/>
  <c r="AL241" i="1" l="1"/>
  <c r="AL242" i="1" s="1"/>
  <c r="AL247" i="1"/>
  <c r="AL249" i="1" s="1"/>
  <c r="AL278" i="1" l="1"/>
  <c r="AL279" i="1" s="1"/>
  <c r="AL251" i="1"/>
  <c r="AO223" i="1"/>
  <c r="AO240" i="1" s="1"/>
  <c r="AP198" i="1"/>
  <c r="AO241" i="1" l="1"/>
  <c r="AO242" i="1" s="1"/>
  <c r="AO247" i="1"/>
  <c r="AO249" i="1" s="1"/>
  <c r="AP223" i="1"/>
  <c r="AP240" i="1" s="1"/>
  <c r="AO251" i="1" l="1"/>
  <c r="AO278" i="1"/>
  <c r="AO279" i="1" s="1"/>
  <c r="AP247" i="1"/>
  <c r="AP249" i="1" s="1"/>
  <c r="AP278" i="1" s="1"/>
  <c r="AP279" i="1" s="1"/>
  <c r="AP241" i="1"/>
  <c r="AP242" i="1" s="1"/>
</calcChain>
</file>

<file path=xl/sharedStrings.xml><?xml version="1.0" encoding="utf-8"?>
<sst xmlns="http://schemas.openxmlformats.org/spreadsheetml/2006/main" count="670" uniqueCount="224">
  <si>
    <t xml:space="preserve">Renta CK Cost Evolution </t>
  </si>
  <si>
    <t xml:space="preserve">Volume </t>
  </si>
  <si>
    <t xml:space="preserve">FX Rates </t>
  </si>
  <si>
    <t>HQD PERIMETER</t>
  </si>
  <si>
    <t xml:space="preserve">Jan K€ </t>
  </si>
  <si>
    <t>Jan CPU € / pcs</t>
  </si>
  <si>
    <t xml:space="preserve">Feb K€ </t>
  </si>
  <si>
    <t>Feb CPU € / pcs</t>
  </si>
  <si>
    <t xml:space="preserve">Mar K€ </t>
  </si>
  <si>
    <t>Mar CPU € / pcs</t>
  </si>
  <si>
    <t xml:space="preserve">Apr K€ </t>
  </si>
  <si>
    <t>Apr CPU € / pcs</t>
  </si>
  <si>
    <t xml:space="preserve">May K€ </t>
  </si>
  <si>
    <t>May CPU € / pcs</t>
  </si>
  <si>
    <t xml:space="preserve">June K€ </t>
  </si>
  <si>
    <t>June CPU € / pcs</t>
  </si>
  <si>
    <t xml:space="preserve">July K€ </t>
  </si>
  <si>
    <t>July CPU € / pcs</t>
  </si>
  <si>
    <t xml:space="preserve">Aug K€ </t>
  </si>
  <si>
    <t>Aug CPU € / pcs</t>
  </si>
  <si>
    <t xml:space="preserve">Sep K€ </t>
  </si>
  <si>
    <t>Sep CPU € / pcs</t>
  </si>
  <si>
    <t xml:space="preserve">Oct K€ </t>
  </si>
  <si>
    <t>Oct CPU € / pcs</t>
  </si>
  <si>
    <t xml:space="preserve">Nov K€ </t>
  </si>
  <si>
    <t xml:space="preserve"> YTD K€ </t>
  </si>
  <si>
    <t>YES</t>
  </si>
  <si>
    <t xml:space="preserve">    6666110101  Depreciation of buildings</t>
  </si>
  <si>
    <t>*   CS_Depreciation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</si>
  <si>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</si>
  <si>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</si>
  <si>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</si>
  <si>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</si>
  <si>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</si>
  <si>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</si>
  <si>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</si>
  <si>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FIX </t>
  </si>
  <si>
    <t xml:space="preserve">    5001010205  Unemployment Insurance -blue collar-Dire</t>
  </si>
  <si>
    <t>*   CS_Direct Labour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</si>
  <si>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</si>
  <si>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</si>
  <si>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</si>
  <si>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</si>
  <si>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</si>
  <si>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</si>
  <si>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</si>
  <si>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VAR </t>
  </si>
  <si>
    <t>NO</t>
  </si>
  <si>
    <t xml:space="preserve">    8701530201  Scrap-Raw Material - Managerial</t>
  </si>
  <si>
    <t>*   CS_SCRAP_VARIABLE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</si>
  <si>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</si>
  <si>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</si>
  <si>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</si>
  <si>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5102010151  Other Rev.-Interco-Epidemic problem comp</t>
  </si>
  <si>
    <t>*   CS_Fix Cost</t>
  </si>
  <si>
    <t xml:space="preserve">    5001010200  Cost of Manufacture - Raw Material</t>
  </si>
  <si>
    <t xml:space="preserve">    5001010201  Cost of Manufacture - Raw Material-Freig</t>
  </si>
  <si>
    <t xml:space="preserve">    5207000011  Gain of tangible asset disposal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</si>
  <si>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</si>
  <si>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</si>
  <si>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</si>
  <si>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</si>
  <si>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</si>
  <si>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</si>
  <si>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</si>
  <si>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5102040893  Other revenue-Charge out-Test Expense</t>
  </si>
  <si>
    <t xml:space="preserve">   5801000041 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</si>
  <si>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</si>
  <si>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</si>
  <si>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</si>
  <si>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</si>
  <si>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</si>
  <si>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</si>
  <si>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</si>
  <si>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</si>
  <si>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>6666020403</t>
  </si>
  <si>
    <t xml:space="preserve">    6666020403  Company car expense</t>
  </si>
  <si>
    <t xml:space="preserve">    6666020405  Company car expense - maintenance fees</t>
  </si>
  <si>
    <t xml:space="preserve">    6666020495  Non-deductible expense-travel.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</si>
  <si>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</si>
  <si>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</si>
  <si>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</si>
  <si>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</si>
  <si>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</si>
  <si>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</si>
  <si>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</si>
  <si>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6666021104  Consulting expense-Technical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</si>
  <si>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</si>
  <si>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</si>
  <si>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</si>
  <si>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6666029700  Service fee recharge</t>
  </si>
  <si>
    <t xml:space="preserve">    6666029900  Sundry Expenses</t>
  </si>
  <si>
    <t xml:space="preserve">    6666029996  Non-deductible expense-travel.</t>
  </si>
  <si>
    <t xml:space="preserve">    6666029997  restructure cost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</si>
  <si>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</si>
  <si>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</si>
  <si>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</si>
  <si>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</si>
  <si>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</si>
  <si>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</si>
  <si>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5401050201  COGS-Special a</t>
  </si>
  <si>
    <t xml:space="preserve">    5401020212  Local Transpor</t>
  </si>
  <si>
    <t>6666050320</t>
  </si>
  <si>
    <t xml:space="preserve">    6666050320  Reworking costs</t>
  </si>
  <si>
    <t>6666093800</t>
  </si>
  <si>
    <t xml:space="preserve">    6666093800  Other Taxes-CIT Deductible</t>
  </si>
  <si>
    <t>5601080000</t>
  </si>
  <si>
    <t xml:space="preserve">    5601080000  Non-operating expense-VAT non-deductible</t>
  </si>
  <si>
    <t xml:space="preserve">    6666110203  Low value consumables</t>
  </si>
  <si>
    <t>*   CS_Variable Cost</t>
  </si>
  <si>
    <t xml:space="preserve">    5102040000  Other Revenue - Other</t>
  </si>
  <si>
    <t xml:space="preserve">    6666050307  Inventory count different-raw material</t>
  </si>
  <si>
    <t xml:space="preserve">    6666050312  Inventory count different- Semifinished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</si>
  <si>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</si>
  <si>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</si>
  <si>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</si>
  <si>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</si>
  <si>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</si>
  <si>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</si>
  <si>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6666021600  Energy and power cost</t>
  </si>
  <si>
    <t>*   CS_Variable Utilities</t>
  </si>
  <si>
    <t xml:space="preserve">    6666021603  Water</t>
  </si>
  <si>
    <t xml:space="preserve">    6666021604  Oil &amp; Gas</t>
  </si>
  <si>
    <t xml:space="preserve">    5001010206  Unemployment Insurance -blue collar-Indi</t>
  </si>
  <si>
    <t>*   CS_Indirect Labour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</si>
  <si>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</si>
  <si>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</si>
  <si>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</si>
  <si>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</si>
  <si>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</si>
  <si>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</si>
  <si>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FIX</t>
  </si>
  <si>
    <t xml:space="preserve">    6666010196  Payroll Taxes-White Collar Employee</t>
  </si>
  <si>
    <t>*   CS_Fixed Labour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</si>
  <si>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</si>
  <si>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</si>
  <si>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</si>
  <si>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</si>
  <si>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</si>
  <si>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 xml:space="preserve">    6666020903  Other materials</t>
  </si>
  <si>
    <t>*   CS_Semifix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</si>
  <si>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</si>
  <si>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</si>
  <si>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</si>
  <si>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</si>
  <si>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</si>
  <si>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</si>
  <si>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</si>
  <si>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</si>
  <si>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</si>
  <si>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</si>
  <si>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</si>
  <si>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6666030300  Design and development fees</t>
  </si>
  <si>
    <t xml:space="preserve">    6666091600  Garbage disposal charge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</si>
  <si>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</si>
  <si>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</si>
  <si>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</si>
  <si>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</si>
  <si>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</si>
  <si>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6666020301  Staff communication expense</t>
  </si>
  <si>
    <t xml:space="preserve">    6666020801  Housing rental cost</t>
  </si>
  <si>
    <t xml:space="preserve">    6666021102  Consulting expense-tax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</si>
  <si>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</si>
  <si>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</si>
  <si>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</si>
  <si>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6666090100  Stamp Duty</t>
  </si>
  <si>
    <t xml:space="preserve">    5401050201  COGS-Freight out-Special and sporadic fr</t>
  </si>
  <si>
    <t xml:space="preserve">    5102040894 Other revenue-Internal Charge out -Fixed</t>
  </si>
  <si>
    <t>CS_Fix Cos</t>
  </si>
  <si>
    <t>CS_Variabl</t>
  </si>
  <si>
    <t xml:space="preserve">    6666010102  Salary-Blue collar i</t>
  </si>
  <si>
    <t>CS_Indirec</t>
  </si>
  <si>
    <t xml:space="preserve">    6666010227  Staff Leaving Indemn</t>
  </si>
  <si>
    <t>CS_Fixed L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</si>
  <si>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</si>
  <si>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</si>
  <si>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</si>
  <si>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</si>
  <si>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</si>
  <si>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CPU € / pcs</t>
  </si>
  <si>
    <t>Direct Labour</t>
  </si>
  <si>
    <t>Direct Expences</t>
  </si>
  <si>
    <t>Indirect Labour</t>
  </si>
  <si>
    <t>Fixed Labour</t>
  </si>
  <si>
    <t>Fixed Expences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</si>
  <si>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</si>
  <si>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</si>
  <si>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</si>
  <si>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</si>
  <si>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</si>
  <si>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FUNCTIONAL CURRENCY IMPACT</t>
  </si>
  <si>
    <t>MFG PERIMETER (INCLUDING FC)</t>
  </si>
  <si>
    <t>OUT OF MFG PERIMETER</t>
  </si>
  <si>
    <t>REPORT DECLARED</t>
  </si>
  <si>
    <t>DIFF</t>
  </si>
  <si>
    <t xml:space="preserve">    6666110206 Amortization of Patents</t>
  </si>
  <si>
    <t>6666110206</t>
  </si>
  <si>
    <t xml:space="preserve">    6666110206Intangible asset- Patent</t>
  </si>
  <si>
    <t xml:space="preserve">Dec K€ </t>
  </si>
  <si>
    <t xml:space="preserve">    5801000041  Previous year Sundry cost</t>
  </si>
  <si>
    <t xml:space="preserve">    6666040215  Product sample fee</t>
  </si>
  <si>
    <t>6666021200</t>
  </si>
  <si>
    <t xml:space="preserve">    6666021200  Audit fee</t>
  </si>
  <si>
    <t>6666050202</t>
  </si>
  <si>
    <t xml:space="preserve">    6666050202  Custom clearance charge</t>
  </si>
  <si>
    <t>5401050201</t>
  </si>
  <si>
    <t xml:space="preserve">    6666021504  Repair &amp; Maintain - Elect. Installation</t>
  </si>
  <si>
    <t>6666010315</t>
  </si>
  <si>
    <t xml:space="preserve">    6666010315  Other labor supplies</t>
  </si>
  <si>
    <t xml:space="preserve">    6666010315 Other labor supplies</t>
  </si>
  <si>
    <t xml:space="preserve">    6666021200 Audit fee</t>
  </si>
  <si>
    <t xml:space="preserve">    6666021602 Electricity</t>
  </si>
  <si>
    <t xml:space="preserve">    6666029996 Non-deductible expense-travel.</t>
  </si>
  <si>
    <t xml:space="preserve"> YTD FEB  CPU € / pcs</t>
  </si>
  <si>
    <t>FX Rates_HQE</t>
  </si>
  <si>
    <t>FX Rates BDG</t>
  </si>
  <si>
    <t>Depreciation wo FC</t>
  </si>
  <si>
    <t>*   CS_Depreciation wo FC</t>
  </si>
  <si>
    <t>ACTUAL</t>
  </si>
  <si>
    <t xml:space="preserve">    6666020406  Company car expense - fuel costs</t>
  </si>
  <si>
    <t>6666020406</t>
  </si>
  <si>
    <t xml:space="preserve">    5601020000  Loss on disposal fixed asset</t>
  </si>
  <si>
    <t>5601020000</t>
  </si>
  <si>
    <t>6666021300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</si>
</sst>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"/>
    <numFmt numFmtId="165" formatCode="_-* #,##0_-;\-* #,##0_-;_-* &quot;-&quot;??_-;_-@_-"/>
    <numFmt numFmtId="166" formatCode="_-[$€-2]\ * #,##0.00_-;\-[$€-2]\ * #,##0.00_-;_-[$€-2]\ * &quot;-&quot;??_-;_-@_-"/>
    <numFmt numFmtId="167" formatCode="_-[$₺-41F]* #,##0.00_-;\-[$₺-41F]* #,##0.00_-;_-[$₺-41F]* &quot;-&quot;??_-;_-@_-"/>
    <numFmt numFmtId="168" formatCode="_(* #,##0.00_);_(* \(#,##0.00\);_(* &quot;-&quot;??_);_(@_)"/>
    <numFmt numFmtId="169" formatCode="0.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3" fillId="0" borderId="0" applyFont="0" applyFill="0" applyBorder="0" applyAlignment="0" applyProtection="0"/>
    <xf numFmtId="0" fontId="3" fillId="0" borderId="0"/>
    <xf numFmtId="0" fontId="8" fillId="0" borderId="0"/>
    <xf numFmtId="0" fontId="11" fillId="0" borderId="0"/>
  </cellStyleXfs>
  <cellXfs count="15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2" applyFont="1"/>
    <xf numFmtId="3" fontId="4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1" fillId="0" borderId="0" xfId="1" applyFont="1" applyFill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0" fontId="1" fillId="2" borderId="0" xfId="0" applyFont="1" applyFill="1">
      <alignment vertical="center"/>
    </xf>
    <xf numFmtId="4" fontId="1" fillId="0" borderId="0" xfId="0" applyNumberFormat="1" applyFont="1" applyAlignment="1">
      <alignment horizontal="center" vertical="center"/>
    </xf>
    <xf numFmtId="43" fontId="1" fillId="0" borderId="0" xfId="1" applyFont="1" applyFill="1" applyAlignment="1">
      <alignment vertical="center"/>
    </xf>
    <xf numFmtId="43" fontId="1" fillId="2" borderId="0" xfId="1" applyFont="1" applyFill="1" applyAlignment="1">
      <alignment vertical="center"/>
    </xf>
    <xf numFmtId="4" fontId="1" fillId="2" borderId="0" xfId="0" applyNumberFormat="1" applyFont="1" applyFill="1">
      <alignment vertical="center"/>
    </xf>
    <xf numFmtId="0" fontId="0" fillId="2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Fill="1" applyAlignment="1">
      <alignment vertical="center"/>
    </xf>
    <xf numFmtId="43" fontId="0" fillId="2" borderId="0" xfId="1" applyFont="1" applyFill="1" applyAlignment="1">
      <alignment vertical="center"/>
    </xf>
    <xf numFmtId="0" fontId="0" fillId="2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>
      <alignment vertical="center"/>
    </xf>
    <xf numFmtId="0" fontId="6" fillId="2" borderId="7" xfId="0" applyFont="1" applyFill="1" applyBorder="1">
      <alignment vertical="center"/>
    </xf>
    <xf numFmtId="3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0" fontId="6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43" fontId="3" fillId="0" borderId="0" xfId="1" applyFont="1" applyFill="1" applyAlignment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2" borderId="0" xfId="0" applyFont="1" applyFill="1">
      <alignment vertical="center"/>
    </xf>
    <xf numFmtId="0" fontId="7" fillId="2" borderId="0" xfId="0" applyFont="1" applyFill="1">
      <alignment vertical="center"/>
    </xf>
    <xf numFmtId="49" fontId="8" fillId="0" borderId="3" xfId="3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4" fontId="0" fillId="2" borderId="0" xfId="0" applyNumberFormat="1" applyFill="1">
      <alignment vertical="center"/>
    </xf>
    <xf numFmtId="0" fontId="7" fillId="2" borderId="0" xfId="0" applyFont="1" applyFill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3" fontId="5" fillId="4" borderId="9" xfId="0" applyNumberFormat="1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164" fontId="0" fillId="0" borderId="0" xfId="0" applyNumberFormat="1" applyAlignment="1">
      <alignment horizontal="center" vertical="center"/>
    </xf>
    <xf numFmtId="3" fontId="0" fillId="2" borderId="0" xfId="0" applyNumberFormat="1" applyFill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3" fontId="0" fillId="2" borderId="10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3" fontId="0" fillId="2" borderId="4" xfId="0" applyNumberForma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>
      <alignment vertical="center"/>
    </xf>
    <xf numFmtId="3" fontId="6" fillId="2" borderId="4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5" fillId="4" borderId="9" xfId="0" applyFont="1" applyFill="1" applyBorder="1">
      <alignment vertical="center"/>
    </xf>
    <xf numFmtId="0" fontId="5" fillId="4" borderId="13" xfId="0" applyFont="1" applyFill="1" applyBorder="1">
      <alignment vertical="center"/>
    </xf>
    <xf numFmtId="3" fontId="5" fillId="4" borderId="13" xfId="0" applyNumberFormat="1" applyFont="1" applyFill="1" applyBorder="1" applyAlignment="1">
      <alignment horizontal="center" vertical="center"/>
    </xf>
    <xf numFmtId="164" fontId="5" fillId="4" borderId="14" xfId="0" applyNumberFormat="1" applyFont="1" applyFill="1" applyBorder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2" borderId="0" xfId="0" applyNumberFormat="1" applyFont="1" applyFill="1">
      <alignment vertical="center"/>
    </xf>
    <xf numFmtId="0" fontId="5" fillId="4" borderId="0" xfId="0" applyFont="1" applyFill="1">
      <alignment vertical="center"/>
    </xf>
    <xf numFmtId="43" fontId="5" fillId="0" borderId="0" xfId="1" applyFont="1" applyFill="1" applyAlignment="1">
      <alignment vertical="center"/>
    </xf>
    <xf numFmtId="43" fontId="5" fillId="2" borderId="0" xfId="1" applyFont="1" applyFill="1" applyAlignment="1">
      <alignment vertical="center"/>
    </xf>
    <xf numFmtId="4" fontId="5" fillId="4" borderId="9" xfId="0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" fontId="0" fillId="0" borderId="0" xfId="0" applyNumberFormat="1">
      <alignment vertical="center"/>
    </xf>
    <xf numFmtId="0" fontId="3" fillId="2" borderId="0" xfId="2" applyFill="1" applyAlignment="1">
      <alignment horizontal="center"/>
    </xf>
    <xf numFmtId="0" fontId="9" fillId="2" borderId="0" xfId="2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0" fontId="5" fillId="4" borderId="10" xfId="2" applyFont="1" applyFill="1" applyBorder="1"/>
    <xf numFmtId="0" fontId="10" fillId="5" borderId="11" xfId="2" applyFont="1" applyFill="1" applyBorder="1" applyAlignment="1">
      <alignment horizontal="center"/>
    </xf>
    <xf numFmtId="0" fontId="10" fillId="5" borderId="12" xfId="2" applyFont="1" applyFill="1" applyBorder="1" applyAlignment="1">
      <alignment horizontal="center"/>
    </xf>
    <xf numFmtId="43" fontId="3" fillId="0" borderId="0" xfId="1" applyFont="1" applyFill="1"/>
    <xf numFmtId="43" fontId="3" fillId="0" borderId="0" xfId="1" applyFont="1"/>
    <xf numFmtId="0" fontId="3" fillId="0" borderId="0" xfId="2"/>
    <xf numFmtId="0" fontId="3" fillId="2" borderId="0" xfId="2" applyFill="1"/>
    <xf numFmtId="4" fontId="9" fillId="2" borderId="0" xfId="2" applyNumberFormat="1" applyFont="1" applyFill="1" applyAlignment="1">
      <alignment horizontal="center"/>
    </xf>
    <xf numFmtId="0" fontId="12" fillId="6" borderId="4" xfId="4" applyFont="1" applyFill="1" applyBorder="1"/>
    <xf numFmtId="3" fontId="3" fillId="7" borderId="0" xfId="2" applyNumberFormat="1" applyFill="1" applyAlignment="1">
      <alignment horizontal="center"/>
    </xf>
    <xf numFmtId="4" fontId="3" fillId="7" borderId="2" xfId="2" applyNumberFormat="1" applyFill="1" applyBorder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applyFont="1" applyAlignment="1">
      <alignment horizontal="center"/>
    </xf>
    <xf numFmtId="0" fontId="3" fillId="0" borderId="0" xfId="2" applyAlignment="1">
      <alignment horizontal="center"/>
    </xf>
    <xf numFmtId="0" fontId="12" fillId="8" borderId="4" xfId="4" applyFont="1" applyFill="1" applyBorder="1"/>
    <xf numFmtId="3" fontId="3" fillId="9" borderId="0" xfId="2" applyNumberFormat="1" applyFill="1" applyAlignment="1">
      <alignment horizontal="center"/>
    </xf>
    <xf numFmtId="4" fontId="3" fillId="9" borderId="2" xfId="2" applyNumberFormat="1" applyFill="1" applyBorder="1" applyAlignment="1">
      <alignment horizontal="center"/>
    </xf>
    <xf numFmtId="0" fontId="12" fillId="10" borderId="4" xfId="4" applyFont="1" applyFill="1" applyBorder="1"/>
    <xf numFmtId="3" fontId="3" fillId="11" borderId="0" xfId="2" applyNumberFormat="1" applyFill="1" applyAlignment="1">
      <alignment horizontal="center"/>
    </xf>
    <xf numFmtId="4" fontId="3" fillId="11" borderId="2" xfId="2" applyNumberFormat="1" applyFill="1" applyBorder="1" applyAlignment="1">
      <alignment horizontal="center"/>
    </xf>
    <xf numFmtId="0" fontId="13" fillId="4" borderId="9" xfId="4" applyFont="1" applyFill="1" applyBorder="1" applyAlignment="1">
      <alignment horizontal="left"/>
    </xf>
    <xf numFmtId="4" fontId="14" fillId="4" borderId="13" xfId="2" applyNumberFormat="1" applyFont="1" applyFill="1" applyBorder="1" applyAlignment="1">
      <alignment horizontal="center"/>
    </xf>
    <xf numFmtId="4" fontId="14" fillId="4" borderId="14" xfId="2" applyNumberFormat="1" applyFont="1" applyFill="1" applyBorder="1" applyAlignment="1">
      <alignment horizontal="center"/>
    </xf>
    <xf numFmtId="3" fontId="14" fillId="4" borderId="13" xfId="2" applyNumberFormat="1" applyFont="1" applyFill="1" applyBorder="1" applyAlignment="1">
      <alignment horizontal="center"/>
    </xf>
    <xf numFmtId="0" fontId="15" fillId="0" borderId="10" xfId="4" applyFont="1" applyBorder="1"/>
    <xf numFmtId="0" fontId="15" fillId="0" borderId="11" xfId="4" applyFont="1" applyBorder="1"/>
    <xf numFmtId="0" fontId="0" fillId="0" borderId="12" xfId="0" applyBorder="1" applyAlignment="1">
      <alignment horizontal="center" vertical="center"/>
    </xf>
    <xf numFmtId="0" fontId="16" fillId="6" borderId="4" xfId="4" applyFont="1" applyFill="1" applyBorder="1"/>
    <xf numFmtId="3" fontId="16" fillId="6" borderId="0" xfId="4" applyNumberFormat="1" applyFont="1" applyFill="1" applyAlignment="1">
      <alignment horizontal="center"/>
    </xf>
    <xf numFmtId="3" fontId="16" fillId="6" borderId="2" xfId="4" applyNumberFormat="1" applyFont="1" applyFill="1" applyBorder="1" applyAlignment="1">
      <alignment horizontal="center"/>
    </xf>
    <xf numFmtId="0" fontId="16" fillId="8" borderId="4" xfId="4" applyFont="1" applyFill="1" applyBorder="1"/>
    <xf numFmtId="3" fontId="16" fillId="8" borderId="0" xfId="4" applyNumberFormat="1" applyFont="1" applyFill="1" applyAlignment="1">
      <alignment horizontal="center"/>
    </xf>
    <xf numFmtId="3" fontId="16" fillId="8" borderId="2" xfId="4" applyNumberFormat="1" applyFont="1" applyFill="1" applyBorder="1" applyAlignment="1">
      <alignment horizontal="center"/>
    </xf>
    <xf numFmtId="0" fontId="15" fillId="10" borderId="4" xfId="4" applyFont="1" applyFill="1" applyBorder="1"/>
    <xf numFmtId="3" fontId="15" fillId="10" borderId="0" xfId="4" applyNumberFormat="1" applyFont="1" applyFill="1" applyAlignment="1">
      <alignment horizontal="center"/>
    </xf>
    <xf numFmtId="3" fontId="15" fillId="10" borderId="2" xfId="4" applyNumberFormat="1" applyFont="1" applyFill="1" applyBorder="1" applyAlignment="1">
      <alignment horizontal="center"/>
    </xf>
    <xf numFmtId="0" fontId="15" fillId="0" borderId="4" xfId="4" applyFont="1" applyBorder="1"/>
    <xf numFmtId="0" fontId="15" fillId="0" borderId="0" xfId="4" applyFont="1" applyAlignment="1">
      <alignment horizontal="center"/>
    </xf>
    <xf numFmtId="0" fontId="15" fillId="0" borderId="2" xfId="4" applyFont="1" applyBorder="1" applyAlignment="1">
      <alignment horizontal="center"/>
    </xf>
    <xf numFmtId="0" fontId="12" fillId="12" borderId="9" xfId="4" applyFont="1" applyFill="1" applyBorder="1"/>
    <xf numFmtId="1" fontId="12" fillId="12" borderId="13" xfId="4" applyNumberFormat="1" applyFont="1" applyFill="1" applyBorder="1" applyAlignment="1">
      <alignment horizontal="center"/>
    </xf>
    <xf numFmtId="2" fontId="12" fillId="12" borderId="14" xfId="4" applyNumberFormat="1" applyFont="1" applyFill="1" applyBorder="1" applyAlignment="1">
      <alignment horizontal="center"/>
    </xf>
    <xf numFmtId="4" fontId="12" fillId="12" borderId="14" xfId="4" applyNumberFormat="1" applyFont="1" applyFill="1" applyBorder="1" applyAlignment="1">
      <alignment horizontal="center"/>
    </xf>
    <xf numFmtId="4" fontId="0" fillId="2" borderId="0" xfId="0" applyNumberForma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Fill="1" applyAlignment="1">
      <alignment vertical="center"/>
    </xf>
    <xf numFmtId="165" fontId="0" fillId="2" borderId="0" xfId="1" applyNumberFormat="1" applyFont="1" applyFill="1" applyAlignment="1">
      <alignment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4" fontId="0" fillId="0" borderId="8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3" fillId="0" borderId="0" xfId="0" applyNumberFormat="1" applyFont="1">
      <alignment vertical="center"/>
    </xf>
    <xf numFmtId="4" fontId="0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3" fontId="1" fillId="2" borderId="0" xfId="0" applyNumberFormat="1" applyFont="1" applyFill="1">
      <alignment vertical="center"/>
    </xf>
    <xf numFmtId="4" fontId="6" fillId="0" borderId="1" xfId="0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69" fontId="0" fillId="0" borderId="1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5" fillId="4" borderId="0" xfId="1" applyNumberFormat="1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1" applyFont="1" applyAlignment="1">
      <alignment vertical="center"/>
    </xf>
    <xf numFmtId="0" fontId="17" fillId="13" borderId="0" xfId="0" applyFont="1" applyFill="1" applyAlignment="1">
      <alignment horizontal="center" vertical="center"/>
    </xf>
    <xf numFmtId="0" fontId="0" fillId="0" borderId="4" xfId="0" applyNumberFormat="1" applyBorder="1">
      <alignment vertical="center"/>
    </xf>
    <xf numFmtId="4" fontId="1" fillId="0" borderId="0" xfId="0" applyNumberFormat="1" applyFont="1" applyFill="1" applyAlignment="1">
      <alignment horizontal="center" vertical="center"/>
    </xf>
  </cellXfs>
  <cellStyles count="5">
    <cellStyle name="Comma" xfId="1" builtinId="3"/>
    <cellStyle name="Normal" xfId="0" builtinId="0"/>
    <cellStyle name="Normal 12" xfId="2" xr:uid="{F7AFF009-F0ED-4FCE-B9EE-91A560891379}"/>
    <cellStyle name="Normal 2" xfId="3" xr:uid="{A7E1F33E-CE75-47F2-897E-C4570DFAE060}"/>
    <cellStyle name="常规 7" xfId="4" xr:uid="{5121A153-7E4A-4433-A1A3-4E0F5F5E18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2B09-C04C-4C3D-8721-A2E8C95DF8C9}">
  <sheetPr>
    <tabColor rgb="FF002060"/>
    <pageSetUpPr autoPageBreaks="0"/>
  </sheetPr>
  <dimension ref="A1:AS297"/>
  <sheetViews>
    <sheetView showGridLines="0" tabSelected="1" zoomScale="70" zoomScaleNormal="70" workbookViewId="0">
      <pane xSplit="4" ySplit="6" topLeftCell="I7" activePane="bottomRight" state="frozen"/>
      <selection pane="topRight" activeCell="D1" sqref="D1"/>
      <selection pane="bottomLeft" activeCell="A4" sqref="A4"/>
      <selection pane="bottomRight" activeCell="Q7" sqref="Q7"/>
    </sheetView>
  </sheetViews>
  <sheetFormatPr defaultColWidth="8.77734375" defaultRowHeight="14.4" outlineLevelRow="3"/>
  <cols>
    <col min="1" max="1" width="12.21875" style="14" customWidth="1"/>
    <col min="2" max="2" width="13.88671875" customWidth="1"/>
    <col min="3" max="3" width="51.88671875" bestFit="1" customWidth="1"/>
    <col min="4" max="4" width="21.77734375" customWidth="1"/>
    <col min="5" max="5" width="18.44140625" style="16" customWidth="1"/>
    <col min="6" max="6" width="13.88671875" style="16" customWidth="1"/>
    <col min="7" max="7" width="5.21875" style="17" customWidth="1"/>
    <col min="8" max="8" width="14.6640625" style="16" customWidth="1"/>
    <col min="9" max="9" width="14.5546875" style="16" customWidth="1"/>
    <col min="10" max="10" width="5.21875" style="17" customWidth="1"/>
    <col min="11" max="11" width="15.6640625" style="16" customWidth="1"/>
    <col min="12" max="12" width="14.88671875" style="16" customWidth="1"/>
    <col min="13" max="13" width="5.21875" style="18" customWidth="1"/>
    <col min="14" max="14" width="15.6640625" style="16" customWidth="1"/>
    <col min="15" max="15" width="14.5546875" style="16" customWidth="1"/>
    <col min="16" max="16" width="5.44140625" style="19" customWidth="1"/>
    <col min="17" max="17" width="15.6640625" style="16" customWidth="1"/>
    <col min="18" max="18" width="15" style="16" customWidth="1"/>
    <col min="19" max="19" width="5.77734375" style="19" hidden="1" customWidth="1"/>
    <col min="20" max="20" width="15.6640625" style="16" hidden="1" customWidth="1"/>
    <col min="21" max="21" width="15.33203125" style="16" hidden="1" customWidth="1"/>
    <col min="22" max="22" width="5.77734375" style="19" hidden="1" customWidth="1"/>
    <col min="23" max="23" width="14.6640625" style="16" hidden="1" customWidth="1"/>
    <col min="24" max="24" width="14.5546875" style="16" hidden="1" customWidth="1"/>
    <col min="25" max="25" width="5.77734375" style="19" hidden="1" customWidth="1"/>
    <col min="26" max="26" width="16.33203125" style="16" hidden="1" customWidth="1"/>
    <col min="27" max="27" width="17.88671875" style="16" hidden="1" customWidth="1"/>
    <col min="28" max="28" width="5.77734375" style="19" hidden="1" customWidth="1"/>
    <col min="29" max="29" width="16.33203125" style="16" hidden="1" customWidth="1"/>
    <col min="30" max="30" width="17.88671875" style="16" hidden="1" customWidth="1"/>
    <col min="31" max="31" width="5.77734375" style="19" hidden="1" customWidth="1"/>
    <col min="32" max="32" width="16.33203125" style="16" hidden="1" customWidth="1"/>
    <col min="33" max="33" width="17.88671875" style="16" hidden="1" customWidth="1"/>
    <col min="34" max="34" width="5.77734375" style="19" hidden="1" customWidth="1"/>
    <col min="35" max="35" width="16.33203125" style="16" hidden="1" customWidth="1"/>
    <col min="36" max="36" width="17.88671875" style="16" hidden="1" customWidth="1"/>
    <col min="37" max="37" width="5.77734375" style="19" hidden="1" customWidth="1"/>
    <col min="38" max="38" width="16.33203125" style="16" hidden="1" customWidth="1"/>
    <col min="39" max="39" width="17.88671875" style="16" hidden="1" customWidth="1"/>
    <col min="40" max="40" width="5.77734375" style="19" customWidth="1"/>
    <col min="41" max="41" width="16.33203125" style="16" customWidth="1"/>
    <col min="42" max="42" width="17.88671875" style="16" customWidth="1"/>
    <col min="43" max="43" width="10.44140625" bestFit="1" customWidth="1"/>
    <col min="44" max="44" width="10.44140625" style="19" bestFit="1" customWidth="1"/>
    <col min="45" max="16384" width="8.77734375" style="19"/>
  </cols>
  <sheetData>
    <row r="1" spans="1:43" s="9" customFormat="1" ht="15">
      <c r="A1" s="1"/>
      <c r="B1" s="2" t="s">
        <v>0</v>
      </c>
      <c r="C1" s="3"/>
      <c r="D1" s="4" t="s">
        <v>1</v>
      </c>
      <c r="E1" s="5">
        <v>97611</v>
      </c>
      <c r="F1" s="6"/>
      <c r="G1" s="7"/>
      <c r="H1" s="5">
        <v>106294</v>
      </c>
      <c r="I1" s="6"/>
      <c r="J1" s="7"/>
      <c r="K1" s="5">
        <v>107376</v>
      </c>
      <c r="L1" s="6"/>
      <c r="M1" s="8"/>
      <c r="N1" s="5">
        <v>110370</v>
      </c>
      <c r="O1" s="6"/>
      <c r="P1" s="1"/>
      <c r="Q1" s="5">
        <v>67531</v>
      </c>
      <c r="R1" s="6"/>
      <c r="S1" s="1"/>
      <c r="T1" s="5"/>
      <c r="U1" s="6"/>
      <c r="V1" s="1"/>
      <c r="W1" s="5"/>
      <c r="X1" s="6"/>
      <c r="Y1" s="1"/>
      <c r="Z1" s="5"/>
      <c r="AA1" s="6"/>
      <c r="AB1" s="1"/>
      <c r="AC1" s="5"/>
      <c r="AD1" s="6"/>
      <c r="AE1" s="1"/>
      <c r="AF1" s="5"/>
      <c r="AG1" s="6"/>
      <c r="AH1" s="1"/>
      <c r="AI1" s="5"/>
      <c r="AJ1" s="6"/>
      <c r="AK1" s="1"/>
      <c r="AL1" s="5"/>
      <c r="AM1" s="6"/>
      <c r="AN1" s="1"/>
      <c r="AO1" s="5">
        <f>+E1+H1+K1+N1+Q1+T1+W1+Z1+AC1+AF1+AI1+AL1</f>
        <v>489182</v>
      </c>
      <c r="AP1" s="6"/>
    </row>
    <row r="2" spans="1:43" s="9" customFormat="1">
      <c r="A2" s="1"/>
      <c r="B2" s="3"/>
      <c r="C2" s="3"/>
      <c r="D2" s="4" t="s">
        <v>214</v>
      </c>
      <c r="E2" s="10">
        <v>50.75</v>
      </c>
      <c r="F2" s="10"/>
      <c r="G2" s="11"/>
      <c r="H2" s="10">
        <v>51.63</v>
      </c>
      <c r="I2" s="10"/>
      <c r="J2" s="11"/>
      <c r="K2" s="10">
        <v>51.093809090909083</v>
      </c>
      <c r="L2" s="10"/>
      <c r="M2" s="12"/>
      <c r="N2" s="10">
        <v>52.448894999999993</v>
      </c>
      <c r="O2" s="10"/>
      <c r="P2" s="13"/>
      <c r="Q2" s="10">
        <v>53.158395000000006</v>
      </c>
      <c r="R2" s="10"/>
      <c r="S2" s="13"/>
      <c r="T2" s="10"/>
      <c r="U2" s="10"/>
      <c r="V2" s="13"/>
      <c r="W2" s="10"/>
      <c r="X2" s="10"/>
      <c r="Y2" s="13"/>
      <c r="Z2" s="10"/>
      <c r="AA2" s="10"/>
      <c r="AB2" s="13"/>
      <c r="AC2" s="10"/>
      <c r="AD2" s="10"/>
      <c r="AE2" s="13"/>
      <c r="AF2" s="10"/>
      <c r="AG2" s="10"/>
      <c r="AH2" s="13"/>
      <c r="AI2" s="10"/>
      <c r="AJ2" s="10"/>
      <c r="AK2" s="13"/>
      <c r="AL2" s="10"/>
      <c r="AM2" s="10"/>
      <c r="AN2" s="13"/>
      <c r="AO2" s="10"/>
      <c r="AP2" s="10"/>
    </row>
    <row r="3" spans="1:43" s="9" customFormat="1">
      <c r="A3" s="1"/>
      <c r="B3" s="3"/>
      <c r="C3" s="3"/>
      <c r="D3" s="4" t="s">
        <v>2</v>
      </c>
      <c r="E3" s="10">
        <v>51.88</v>
      </c>
      <c r="F3" s="10"/>
      <c r="G3" s="11"/>
      <c r="H3" s="10">
        <v>53.12</v>
      </c>
      <c r="I3" s="10"/>
      <c r="J3" s="11"/>
      <c r="K3" s="10">
        <v>51.120568172084525</v>
      </c>
      <c r="L3" s="10"/>
      <c r="M3" s="12"/>
      <c r="N3" s="10">
        <v>53.912643642534221</v>
      </c>
      <c r="O3" s="10"/>
      <c r="P3" s="13"/>
      <c r="Q3" s="158">
        <v>53.520197471693365</v>
      </c>
      <c r="R3" s="10"/>
      <c r="S3" s="13"/>
      <c r="T3" s="10"/>
      <c r="U3" s="10"/>
      <c r="V3" s="13"/>
      <c r="W3" s="10"/>
      <c r="X3" s="10"/>
      <c r="Y3" s="13"/>
      <c r="Z3" s="10"/>
      <c r="AA3" s="10"/>
      <c r="AB3" s="13"/>
      <c r="AC3" s="10"/>
      <c r="AD3" s="10"/>
      <c r="AE3" s="13"/>
      <c r="AF3" s="10"/>
      <c r="AG3" s="10"/>
      <c r="AH3" s="13"/>
      <c r="AI3" s="10"/>
      <c r="AJ3" s="10"/>
      <c r="AK3" s="13"/>
      <c r="AL3" s="10"/>
      <c r="AM3" s="10"/>
      <c r="AN3" s="13"/>
      <c r="AO3" s="10"/>
      <c r="AP3" s="10"/>
    </row>
    <row r="4" spans="1:43" s="9" customFormat="1">
      <c r="A4" s="1"/>
      <c r="B4" s="3"/>
      <c r="C4" s="3"/>
      <c r="D4" s="4" t="s">
        <v>215</v>
      </c>
      <c r="E4" s="10">
        <v>52.49</v>
      </c>
      <c r="F4" s="10"/>
      <c r="G4" s="11"/>
      <c r="H4" s="10">
        <v>53.49</v>
      </c>
      <c r="I4" s="10"/>
      <c r="J4" s="11"/>
      <c r="K4" s="10">
        <v>54.502208637089979</v>
      </c>
      <c r="L4" s="10"/>
      <c r="M4" s="12"/>
      <c r="N4" s="10">
        <v>55.319741766646324</v>
      </c>
      <c r="O4" s="10"/>
      <c r="P4" s="13"/>
      <c r="Q4" s="10">
        <v>56.149537893146011</v>
      </c>
      <c r="R4" s="10"/>
      <c r="S4" s="13"/>
      <c r="T4" s="10"/>
      <c r="U4" s="10"/>
      <c r="V4" s="13"/>
      <c r="W4" s="10"/>
      <c r="X4" s="10"/>
      <c r="Y4" s="13"/>
      <c r="Z4" s="10"/>
      <c r="AA4" s="10"/>
      <c r="AB4" s="13"/>
      <c r="AC4" s="10"/>
      <c r="AD4" s="10"/>
      <c r="AE4" s="13"/>
      <c r="AF4" s="10"/>
      <c r="AG4" s="10"/>
      <c r="AH4" s="13"/>
      <c r="AI4" s="10"/>
      <c r="AJ4" s="10"/>
      <c r="AK4" s="13"/>
      <c r="AL4" s="10"/>
      <c r="AM4" s="10"/>
      <c r="AN4" s="13"/>
      <c r="AO4" s="10"/>
      <c r="AP4" s="10"/>
    </row>
    <row r="5" spans="1:43">
      <c r="B5" s="15"/>
      <c r="E5" s="16" t="s">
        <v>218</v>
      </c>
      <c r="H5" s="16" t="s">
        <v>218</v>
      </c>
      <c r="K5" s="16" t="s">
        <v>218</v>
      </c>
      <c r="N5" s="16" t="s">
        <v>218</v>
      </c>
      <c r="AQ5" s="19"/>
    </row>
    <row r="6" spans="1:43" ht="28.8">
      <c r="A6" s="20" t="s">
        <v>3</v>
      </c>
      <c r="E6" s="21" t="s">
        <v>4</v>
      </c>
      <c r="F6" s="21" t="s">
        <v>5</v>
      </c>
      <c r="H6" s="21" t="s">
        <v>6</v>
      </c>
      <c r="I6" s="21" t="s">
        <v>7</v>
      </c>
      <c r="K6" s="21" t="s">
        <v>8</v>
      </c>
      <c r="L6" s="21" t="s">
        <v>9</v>
      </c>
      <c r="N6" s="21" t="s">
        <v>10</v>
      </c>
      <c r="O6" s="21" t="s">
        <v>11</v>
      </c>
      <c r="Q6" s="21" t="s">
        <v>12</v>
      </c>
      <c r="R6" s="21" t="s">
        <v>13</v>
      </c>
      <c r="T6" s="21" t="s">
        <v>14</v>
      </c>
      <c r="U6" s="21" t="s">
        <v>15</v>
      </c>
      <c r="W6" s="21" t="s">
        <v>16</v>
      </c>
      <c r="X6" s="21" t="s">
        <v>17</v>
      </c>
      <c r="Z6" s="21" t="s">
        <v>18</v>
      </c>
      <c r="AA6" s="21" t="s">
        <v>19</v>
      </c>
      <c r="AC6" s="21" t="s">
        <v>20</v>
      </c>
      <c r="AD6" s="21" t="s">
        <v>21</v>
      </c>
      <c r="AF6" s="21" t="s">
        <v>22</v>
      </c>
      <c r="AG6" s="21" t="s">
        <v>23</v>
      </c>
      <c r="AI6" s="21" t="s">
        <v>24</v>
      </c>
      <c r="AJ6" s="21" t="s">
        <v>23</v>
      </c>
      <c r="AL6" s="21" t="s">
        <v>198</v>
      </c>
      <c r="AM6" s="21" t="s">
        <v>23</v>
      </c>
      <c r="AO6" s="21" t="s">
        <v>25</v>
      </c>
      <c r="AP6" s="21" t="s">
        <v>213</v>
      </c>
      <c r="AQ6" s="19"/>
    </row>
    <row r="7" spans="1:43" outlineLevel="1">
      <c r="A7" s="14" t="s">
        <v>26</v>
      </c>
      <c r="B7" s="22">
        <v>6666110101</v>
      </c>
      <c r="C7" s="22" t="s">
        <v>27</v>
      </c>
      <c r="D7" s="22" t="s">
        <v>28</v>
      </c>
      <c r="E7" s="23">
        <f>75.41415-E260</f>
        <v>34.917772710923863</v>
      </c>
      <c r="F7" s="24">
        <f>E7/$E$1*1000</f>
        <v>0.35772374743547208</v>
      </c>
      <c r="H7" s="23">
        <v>31.068455069752304</v>
      </c>
      <c r="I7" s="25">
        <f>H7/$H$1*1000</f>
        <v>0.29228794729478902</v>
      </c>
      <c r="K7" s="23">
        <v>34.758613739339339</v>
      </c>
      <c r="L7" s="25">
        <f>K7/$K$1*1000</f>
        <v>0.32370933671713736</v>
      </c>
      <c r="N7" s="26">
        <v>33.100327521602566</v>
      </c>
      <c r="O7" s="25">
        <f>N7/$N$1*1000</f>
        <v>0.29990330272358945</v>
      </c>
      <c r="Q7" s="26">
        <v>33.710270835902115</v>
      </c>
      <c r="R7" s="25">
        <f>Q7/$Q$1*1000</f>
        <v>0.49918216575946034</v>
      </c>
      <c r="T7" s="26"/>
      <c r="U7" s="25" t="e">
        <f>T7/$T$1*1000</f>
        <v>#DIV/0!</v>
      </c>
      <c r="W7" s="26"/>
      <c r="X7" s="25" t="e">
        <f>W7/$W$1*1000</f>
        <v>#DIV/0!</v>
      </c>
      <c r="Z7" s="26"/>
      <c r="AA7" s="25" t="e">
        <f>Z7/$Z$1*1000</f>
        <v>#DIV/0!</v>
      </c>
      <c r="AC7" s="26"/>
      <c r="AD7" s="25" t="e">
        <f>AC7/$AC$1*1000</f>
        <v>#DIV/0!</v>
      </c>
      <c r="AF7" s="26"/>
      <c r="AG7" s="25" t="e">
        <f>AF7/$AF$1*1000</f>
        <v>#DIV/0!</v>
      </c>
      <c r="AI7" s="26"/>
      <c r="AJ7" s="25" t="e">
        <f>AI7/$AI$1*1000</f>
        <v>#DIV/0!</v>
      </c>
      <c r="AL7" s="26"/>
      <c r="AM7" s="25" t="e">
        <f>AL7/$AI$1*1000</f>
        <v>#DIV/0!</v>
      </c>
      <c r="AO7" s="26">
        <f>H7+E7+K7+N7+Q7+T7+W7+Z7+AC7+AF7+AI7+AL7</f>
        <v>167.5554398775202</v>
      </c>
      <c r="AP7" s="25">
        <f>AO7/$AO$1*1000</f>
        <v>0.34252167879750317</v>
      </c>
    </row>
    <row r="8" spans="1:43" outlineLevel="1">
      <c r="A8" s="14" t="s">
        <v>26</v>
      </c>
      <c r="B8" s="22">
        <v>6666110106</v>
      </c>
      <c r="C8" s="22" t="s">
        <v>29</v>
      </c>
      <c r="D8" s="22" t="s">
        <v>28</v>
      </c>
      <c r="E8" s="23">
        <f>-E261</f>
        <v>0</v>
      </c>
      <c r="F8" s="24">
        <f t="shared" ref="F8:F71" si="0">E8/$E$1*1000</f>
        <v>0</v>
      </c>
      <c r="H8" s="23">
        <v>0</v>
      </c>
      <c r="I8" s="25">
        <f t="shared" ref="I8:I90" si="1">H8/$H$1*1000</f>
        <v>0</v>
      </c>
      <c r="K8" s="23">
        <v>0</v>
      </c>
      <c r="L8" s="25">
        <f t="shared" ref="L8:L71" si="2">K8/$K$1*1000</f>
        <v>0</v>
      </c>
      <c r="N8" s="26">
        <v>0</v>
      </c>
      <c r="O8" s="25">
        <f t="shared" ref="O8:O71" si="3">N8/$N$1*1000</f>
        <v>0</v>
      </c>
      <c r="Q8" s="26">
        <v>0</v>
      </c>
      <c r="R8" s="25">
        <f t="shared" ref="R8:R71" si="4">Q8/$Q$1*1000</f>
        <v>0</v>
      </c>
      <c r="T8" s="26"/>
      <c r="U8" s="25" t="e">
        <f t="shared" ref="U8:U90" si="5">T8/$T$1*1000</f>
        <v>#DIV/0!</v>
      </c>
      <c r="W8" s="26"/>
      <c r="X8" s="25" t="e">
        <f t="shared" ref="X8:X74" si="6">W8/$W$1*1000</f>
        <v>#DIV/0!</v>
      </c>
      <c r="Z8" s="26"/>
      <c r="AA8" s="25" t="e">
        <f t="shared" ref="AA8:AA15" si="7">Z8/$Z$1*1000</f>
        <v>#DIV/0!</v>
      </c>
      <c r="AC8" s="26"/>
      <c r="AD8" s="25" t="e">
        <f t="shared" ref="AD8:AD73" si="8">AC8/$AC$1*1000</f>
        <v>#DIV/0!</v>
      </c>
      <c r="AF8" s="26"/>
      <c r="AG8" s="25" t="e">
        <f t="shared" ref="AG8:AG73" si="9">AF8/$AF$1*1000</f>
        <v>#DIV/0!</v>
      </c>
      <c r="AI8" s="26"/>
      <c r="AJ8" s="25" t="e">
        <f t="shared" ref="AJ8:AJ72" si="10">AI8/$AI$1*1000</f>
        <v>#DIV/0!</v>
      </c>
      <c r="AL8" s="26"/>
      <c r="AM8" s="25" t="e">
        <f t="shared" ref="AM8:AM72" si="11">AL8/$AI$1*1000</f>
        <v>#DIV/0!</v>
      </c>
      <c r="AO8" s="26">
        <f>H8+E8+K8+N8+Q8+T8+W8+Z8+AC8+AF8+AI8+AL8</f>
        <v>0</v>
      </c>
      <c r="AP8" s="25">
        <f>AO8/$AO$1*1000</f>
        <v>0</v>
      </c>
    </row>
    <row r="9" spans="1:43" outlineLevel="1">
      <c r="A9" s="14" t="s">
        <v>26</v>
      </c>
      <c r="B9" s="22">
        <v>6666110107</v>
      </c>
      <c r="C9" s="22" t="s">
        <v>30</v>
      </c>
      <c r="D9" s="22" t="s">
        <v>28</v>
      </c>
      <c r="E9" s="23">
        <f>204.24196-E262</f>
        <v>103.02368215694685</v>
      </c>
      <c r="F9" s="24">
        <f t="shared" si="0"/>
        <v>1.0554515593216629</v>
      </c>
      <c r="H9" s="23">
        <v>83.959110602389387</v>
      </c>
      <c r="I9" s="25">
        <f t="shared" si="1"/>
        <v>0.78987629219325073</v>
      </c>
      <c r="K9" s="23">
        <v>92.671098402065695</v>
      </c>
      <c r="L9" s="25">
        <f t="shared" si="2"/>
        <v>0.86305225005649022</v>
      </c>
      <c r="N9" s="26">
        <v>89.607806988843706</v>
      </c>
      <c r="O9" s="25">
        <f t="shared" si="3"/>
        <v>0.81188553944770947</v>
      </c>
      <c r="Q9" s="26">
        <v>-93.899102746225466</v>
      </c>
      <c r="R9" s="25">
        <f t="shared" si="4"/>
        <v>-1.3904592371833004</v>
      </c>
      <c r="T9" s="26"/>
      <c r="U9" s="25" t="e">
        <f t="shared" si="5"/>
        <v>#DIV/0!</v>
      </c>
      <c r="W9" s="26"/>
      <c r="X9" s="25" t="e">
        <f t="shared" si="6"/>
        <v>#DIV/0!</v>
      </c>
      <c r="Z9" s="26"/>
      <c r="AA9" s="25" t="e">
        <f t="shared" si="7"/>
        <v>#DIV/0!</v>
      </c>
      <c r="AC9" s="26"/>
      <c r="AD9" s="25" t="e">
        <f t="shared" si="8"/>
        <v>#DIV/0!</v>
      </c>
      <c r="AF9" s="26"/>
      <c r="AG9" s="25" t="e">
        <f t="shared" si="9"/>
        <v>#DIV/0!</v>
      </c>
      <c r="AI9" s="26"/>
      <c r="AJ9" s="25" t="e">
        <f t="shared" si="10"/>
        <v>#DIV/0!</v>
      </c>
      <c r="AL9" s="26"/>
      <c r="AM9" s="25" t="e">
        <f t="shared" si="11"/>
        <v>#DIV/0!</v>
      </c>
      <c r="AO9" s="26">
        <f>H9+E9+K9+N9+Q9+T9+W9+Z9+AC9+AF9+AI9+AL9</f>
        <v>275.36259540402017</v>
      </c>
      <c r="AP9" s="25">
        <f t="shared" ref="AP9:AP90" si="12">AO9/$AO$1*1000</f>
        <v>0.56290418577139012</v>
      </c>
    </row>
    <row r="10" spans="1:43" outlineLevel="1">
      <c r="A10" s="14" t="s">
        <v>26</v>
      </c>
      <c r="B10" s="22">
        <v>6666110110</v>
      </c>
      <c r="C10" s="22" t="s">
        <v>31</v>
      </c>
      <c r="D10" s="22" t="s">
        <v>28</v>
      </c>
      <c r="E10" s="23">
        <f>447.68976-E263</f>
        <v>222.70720852917862</v>
      </c>
      <c r="F10" s="24">
        <f t="shared" si="0"/>
        <v>2.2815790077878377</v>
      </c>
      <c r="H10" s="23">
        <v>196.07200448663346</v>
      </c>
      <c r="I10" s="25">
        <f t="shared" si="1"/>
        <v>1.8446196820764433</v>
      </c>
      <c r="K10" s="23">
        <v>226.65072904224854</v>
      </c>
      <c r="L10" s="25">
        <f t="shared" si="2"/>
        <v>2.1108136738400436</v>
      </c>
      <c r="N10" s="26">
        <v>66.666003665199455</v>
      </c>
      <c r="O10" s="25">
        <f t="shared" si="3"/>
        <v>0.60402286549967799</v>
      </c>
      <c r="Q10" s="26">
        <v>114.92347895384037</v>
      </c>
      <c r="R10" s="25">
        <f t="shared" si="4"/>
        <v>1.7017884964511167</v>
      </c>
      <c r="T10" s="26"/>
      <c r="U10" s="25" t="e">
        <f t="shared" si="5"/>
        <v>#DIV/0!</v>
      </c>
      <c r="W10" s="26"/>
      <c r="X10" s="25" t="e">
        <f t="shared" si="6"/>
        <v>#DIV/0!</v>
      </c>
      <c r="Z10" s="26"/>
      <c r="AA10" s="25" t="e">
        <f t="shared" si="7"/>
        <v>#DIV/0!</v>
      </c>
      <c r="AC10" s="26"/>
      <c r="AD10" s="25" t="e">
        <f t="shared" si="8"/>
        <v>#DIV/0!</v>
      </c>
      <c r="AF10" s="26"/>
      <c r="AG10" s="25" t="e">
        <f t="shared" si="9"/>
        <v>#DIV/0!</v>
      </c>
      <c r="AI10" s="26"/>
      <c r="AJ10" s="25" t="e">
        <f t="shared" si="10"/>
        <v>#DIV/0!</v>
      </c>
      <c r="AL10" s="26"/>
      <c r="AM10" s="25" t="e">
        <f t="shared" si="11"/>
        <v>#DIV/0!</v>
      </c>
      <c r="AO10" s="26">
        <f t="shared" ref="AO10" si="13">H10+E10+K10+N10+Q10+T10+W10+Z10+AC10+AF10+AI10+AL10</f>
        <v>827.01942467710035</v>
      </c>
      <c r="AP10" s="25">
        <f>AO10/$AO$1*1000</f>
        <v>1.6906170396234945</v>
      </c>
    </row>
    <row r="11" spans="1:43" outlineLevel="1">
      <c r="A11" s="14" t="s">
        <v>26</v>
      </c>
      <c r="B11" s="22">
        <v>6666110112</v>
      </c>
      <c r="C11" s="22" t="s">
        <v>32</v>
      </c>
      <c r="D11" s="22" t="s">
        <v>28</v>
      </c>
      <c r="E11" s="23">
        <f>58.82951-E264</f>
        <v>37.35701223502241</v>
      </c>
      <c r="F11" s="24">
        <f t="shared" si="0"/>
        <v>0.38271313924683087</v>
      </c>
      <c r="H11" s="23">
        <v>34.772084455238613</v>
      </c>
      <c r="I11" s="25">
        <f t="shared" si="1"/>
        <v>0.32713120642029292</v>
      </c>
      <c r="K11" s="23">
        <v>37.831823940954223</v>
      </c>
      <c r="L11" s="25">
        <f t="shared" si="2"/>
        <v>0.35233035260164491</v>
      </c>
      <c r="N11" s="26">
        <v>26.472675349924451</v>
      </c>
      <c r="O11" s="25">
        <f t="shared" si="3"/>
        <v>0.23985390368691176</v>
      </c>
      <c r="Q11" s="26">
        <v>28.649764456847024</v>
      </c>
      <c r="R11" s="25">
        <f t="shared" si="4"/>
        <v>0.42424611595929312</v>
      </c>
      <c r="T11" s="26"/>
      <c r="U11" s="25" t="e">
        <f t="shared" si="5"/>
        <v>#DIV/0!</v>
      </c>
      <c r="W11" s="26"/>
      <c r="X11" s="25" t="e">
        <f t="shared" si="6"/>
        <v>#DIV/0!</v>
      </c>
      <c r="Z11" s="26"/>
      <c r="AA11" s="25" t="e">
        <f t="shared" si="7"/>
        <v>#DIV/0!</v>
      </c>
      <c r="AC11" s="26"/>
      <c r="AD11" s="25" t="e">
        <f t="shared" si="8"/>
        <v>#DIV/0!</v>
      </c>
      <c r="AF11" s="26"/>
      <c r="AG11" s="25" t="e">
        <f t="shared" si="9"/>
        <v>#DIV/0!</v>
      </c>
      <c r="AI11" s="26"/>
      <c r="AJ11" s="25" t="e">
        <f t="shared" si="10"/>
        <v>#DIV/0!</v>
      </c>
      <c r="AL11" s="26"/>
      <c r="AM11" s="25" t="e">
        <f t="shared" si="11"/>
        <v>#DIV/0!</v>
      </c>
      <c r="AO11" s="26">
        <f>H11+E11+K11+N11+Q11+T11+W11+Z11+AC11+AF11+AI11+AL11</f>
        <v>165.0833604379867</v>
      </c>
      <c r="AP11" s="25">
        <f t="shared" si="12"/>
        <v>0.33746818247193622</v>
      </c>
    </row>
    <row r="12" spans="1:43" outlineLevel="1">
      <c r="A12" s="14" t="s">
        <v>26</v>
      </c>
      <c r="B12" s="22">
        <v>6666110204</v>
      </c>
      <c r="C12" s="22" t="s">
        <v>33</v>
      </c>
      <c r="D12" s="22" t="s">
        <v>28</v>
      </c>
      <c r="E12" s="23">
        <f>2.81415-E265</f>
        <v>1.9103981019118823</v>
      </c>
      <c r="F12" s="24">
        <f t="shared" si="0"/>
        <v>1.9571545234777662E-2</v>
      </c>
      <c r="H12" s="23">
        <v>1.8775833919202367</v>
      </c>
      <c r="I12" s="25">
        <f t="shared" si="1"/>
        <v>1.7664058102246943E-2</v>
      </c>
      <c r="K12" s="23">
        <v>1.8973862337707164</v>
      </c>
      <c r="L12" s="25">
        <f t="shared" si="2"/>
        <v>1.7670487201709099E-2</v>
      </c>
      <c r="N12" s="26">
        <v>1.83344504186233</v>
      </c>
      <c r="O12" s="25">
        <f t="shared" si="3"/>
        <v>1.6611806123605421E-2</v>
      </c>
      <c r="Q12" s="26">
        <v>1.8144342940349656</v>
      </c>
      <c r="R12" s="25">
        <f t="shared" si="4"/>
        <v>2.6868168604566284E-2</v>
      </c>
      <c r="T12" s="26"/>
      <c r="U12" s="25" t="e">
        <f t="shared" si="5"/>
        <v>#DIV/0!</v>
      </c>
      <c r="W12" s="26"/>
      <c r="X12" s="25" t="e">
        <f t="shared" si="6"/>
        <v>#DIV/0!</v>
      </c>
      <c r="Z12" s="26"/>
      <c r="AA12" s="25" t="e">
        <f t="shared" si="7"/>
        <v>#DIV/0!</v>
      </c>
      <c r="AC12" s="26"/>
      <c r="AD12" s="25" t="e">
        <f t="shared" si="8"/>
        <v>#DIV/0!</v>
      </c>
      <c r="AF12" s="26"/>
      <c r="AG12" s="25" t="e">
        <f t="shared" si="9"/>
        <v>#DIV/0!</v>
      </c>
      <c r="AI12" s="26"/>
      <c r="AJ12" s="25" t="e">
        <f t="shared" si="10"/>
        <v>#DIV/0!</v>
      </c>
      <c r="AL12" s="26"/>
      <c r="AM12" s="25" t="e">
        <f t="shared" si="11"/>
        <v>#DIV/0!</v>
      </c>
      <c r="AO12" s="26">
        <f>H12+E12+K12+N12+Q12+T12+W12+Z12+AC12+AF12+AI12+AL12</f>
        <v>9.3332470635001314</v>
      </c>
      <c r="AP12" s="25">
        <f t="shared" si="12"/>
        <v>1.9079293726057239E-2</v>
      </c>
    </row>
    <row r="13" spans="1:43" outlineLevel="1">
      <c r="A13" s="14" t="s">
        <v>26</v>
      </c>
      <c r="B13" s="22">
        <v>6666110207</v>
      </c>
      <c r="C13" s="22" t="s">
        <v>34</v>
      </c>
      <c r="D13" s="22" t="s">
        <v>28</v>
      </c>
      <c r="E13" s="23">
        <f>26.11824-E266</f>
        <v>14.999795845173395</v>
      </c>
      <c r="F13" s="24">
        <f t="shared" si="0"/>
        <v>0.1536691135750417</v>
      </c>
      <c r="H13" s="23">
        <v>15.409929560143082</v>
      </c>
      <c r="I13" s="25">
        <f t="shared" si="1"/>
        <v>0.14497459461628201</v>
      </c>
      <c r="K13" s="23">
        <v>15.643052929913763</v>
      </c>
      <c r="L13" s="25">
        <f t="shared" si="2"/>
        <v>0.1456848171836701</v>
      </c>
      <c r="N13" s="26">
        <v>16.014730396004211</v>
      </c>
      <c r="O13" s="25">
        <f t="shared" si="3"/>
        <v>0.14510039318659249</v>
      </c>
      <c r="Q13" s="26">
        <v>16.052404748669744</v>
      </c>
      <c r="R13" s="25">
        <f t="shared" si="4"/>
        <v>0.23770423581273406</v>
      </c>
      <c r="T13" s="26"/>
      <c r="U13" s="25" t="e">
        <f t="shared" si="5"/>
        <v>#DIV/0!</v>
      </c>
      <c r="W13" s="26"/>
      <c r="X13" s="25" t="e">
        <f t="shared" si="6"/>
        <v>#DIV/0!</v>
      </c>
      <c r="Z13" s="26"/>
      <c r="AA13" s="25" t="e">
        <f t="shared" si="7"/>
        <v>#DIV/0!</v>
      </c>
      <c r="AC13" s="26"/>
      <c r="AD13" s="25" t="e">
        <f t="shared" si="8"/>
        <v>#DIV/0!</v>
      </c>
      <c r="AF13" s="26"/>
      <c r="AG13" s="25" t="e">
        <f t="shared" si="9"/>
        <v>#DIV/0!</v>
      </c>
      <c r="AI13" s="26"/>
      <c r="AJ13" s="25" t="e">
        <f t="shared" si="10"/>
        <v>#DIV/0!</v>
      </c>
      <c r="AL13" s="26"/>
      <c r="AM13" s="25" t="e">
        <f t="shared" si="11"/>
        <v>#DIV/0!</v>
      </c>
      <c r="AO13" s="26">
        <f>H13+E13+K13+N13+Q13+T13+W13+Z13+AC13+AF13+AI13+AL13</f>
        <v>78.119913479904199</v>
      </c>
      <c r="AP13" s="25">
        <f t="shared" si="12"/>
        <v>0.15969498771398827</v>
      </c>
    </row>
    <row r="14" spans="1:43" outlineLevel="1">
      <c r="A14" s="14" t="s">
        <v>26</v>
      </c>
      <c r="B14" s="22">
        <v>6666110506</v>
      </c>
      <c r="C14" s="22" t="s">
        <v>35</v>
      </c>
      <c r="D14" s="22" t="s">
        <v>28</v>
      </c>
      <c r="E14" s="23">
        <f>3.08533-E267</f>
        <v>0.48587433218118559</v>
      </c>
      <c r="F14" s="24">
        <f t="shared" si="0"/>
        <v>4.9776596098921799E-3</v>
      </c>
      <c r="H14" s="23">
        <v>-0.50146593147366048</v>
      </c>
      <c r="I14" s="25">
        <f t="shared" ref="I14" si="14">H14/$H$1*1000</f>
        <v>-4.7177256615957668E-3</v>
      </c>
      <c r="K14" s="23">
        <v>0</v>
      </c>
      <c r="L14" s="25">
        <f t="shared" si="2"/>
        <v>0</v>
      </c>
      <c r="N14" s="26">
        <v>0</v>
      </c>
      <c r="O14" s="25">
        <f t="shared" si="3"/>
        <v>0</v>
      </c>
      <c r="Q14" s="26">
        <v>0</v>
      </c>
      <c r="R14" s="25">
        <f t="shared" si="4"/>
        <v>0</v>
      </c>
      <c r="T14" s="26"/>
      <c r="U14" s="25" t="e">
        <f t="shared" ref="U14" si="15">T14/$T$1*1000</f>
        <v>#DIV/0!</v>
      </c>
      <c r="W14" s="26"/>
      <c r="X14" s="25" t="e">
        <f t="shared" ref="X14" si="16">W14/$W$1*1000</f>
        <v>#DIV/0!</v>
      </c>
      <c r="Z14" s="26"/>
      <c r="AA14" s="25" t="e">
        <f t="shared" ref="AA14" si="17">Z14/$Z$1*1000</f>
        <v>#DIV/0!</v>
      </c>
      <c r="AC14" s="26"/>
      <c r="AD14" s="25" t="e">
        <f t="shared" ref="AD14" si="18">AC14/$AC$1*1000</f>
        <v>#DIV/0!</v>
      </c>
      <c r="AF14" s="26"/>
      <c r="AG14" s="25" t="e">
        <f t="shared" ref="AG14" si="19">AF14/$AF$1*1000</f>
        <v>#DIV/0!</v>
      </c>
      <c r="AI14" s="26"/>
      <c r="AJ14" s="25" t="e">
        <f t="shared" ref="AJ14" si="20">AI14/$AI$1*1000</f>
        <v>#DIV/0!</v>
      </c>
      <c r="AL14" s="26"/>
      <c r="AM14" s="25" t="e">
        <f t="shared" si="11"/>
        <v>#DIV/0!</v>
      </c>
      <c r="AO14" s="26">
        <f>H14+E14+K14+N14+Q14+T14+W14+Z14+AC14+AF14+AI14+AL14</f>
        <v>-1.5591599292474889E-2</v>
      </c>
      <c r="AP14" s="25">
        <f t="shared" ref="AP14" si="21">AO14/$AO$1*1000</f>
        <v>-3.1872798452262934E-5</v>
      </c>
    </row>
    <row r="15" spans="1:43" outlineLevel="1">
      <c r="A15" s="14" t="s">
        <v>26</v>
      </c>
      <c r="B15" s="22" t="s">
        <v>196</v>
      </c>
      <c r="C15" s="22" t="s">
        <v>195</v>
      </c>
      <c r="D15" s="22" t="s">
        <v>28</v>
      </c>
      <c r="E15" s="23">
        <f>0.13931-E268</f>
        <v>7.6646901103145496E-2</v>
      </c>
      <c r="F15" s="24">
        <f t="shared" si="0"/>
        <v>7.8522811059353456E-4</v>
      </c>
      <c r="H15" s="23">
        <v>1.7353731259453786E-2</v>
      </c>
      <c r="I15" s="25">
        <f t="shared" si="1"/>
        <v>1.632616258627372E-4</v>
      </c>
      <c r="K15" s="23">
        <v>3.473591089758428E-2</v>
      </c>
      <c r="L15" s="25">
        <f t="shared" si="2"/>
        <v>3.2349790360587357E-4</v>
      </c>
      <c r="N15" s="26">
        <v>3.356532395788614E-2</v>
      </c>
      <c r="O15" s="25">
        <f t="shared" si="3"/>
        <v>3.0411637182102151E-4</v>
      </c>
      <c r="Q15" s="26">
        <v>3.3217105841881957E-2</v>
      </c>
      <c r="R15" s="25">
        <f t="shared" si="4"/>
        <v>4.9187937157574974E-4</v>
      </c>
      <c r="T15" s="26"/>
      <c r="U15" s="25" t="e">
        <f t="shared" si="5"/>
        <v>#DIV/0!</v>
      </c>
      <c r="W15" s="26"/>
      <c r="X15" s="25" t="e">
        <f t="shared" si="6"/>
        <v>#DIV/0!</v>
      </c>
      <c r="Z15" s="26"/>
      <c r="AA15" s="25" t="e">
        <f t="shared" si="7"/>
        <v>#DIV/0!</v>
      </c>
      <c r="AC15" s="26"/>
      <c r="AD15" s="25" t="e">
        <f t="shared" si="8"/>
        <v>#DIV/0!</v>
      </c>
      <c r="AF15" s="26"/>
      <c r="AG15" s="25" t="e">
        <f t="shared" si="9"/>
        <v>#DIV/0!</v>
      </c>
      <c r="AI15" s="26"/>
      <c r="AJ15" s="25" t="e">
        <f t="shared" si="10"/>
        <v>#DIV/0!</v>
      </c>
      <c r="AL15" s="26"/>
      <c r="AM15" s="25" t="e">
        <f t="shared" si="11"/>
        <v>#DIV/0!</v>
      </c>
      <c r="AO15" s="26">
        <f>H15+E15+K15+N15+Q15+T15+W15+Z15+AC15+AF15+AI15+AL15</f>
        <v>0.19551897305995167</v>
      </c>
      <c r="AP15" s="25">
        <f t="shared" si="12"/>
        <v>3.9968554251781886E-4</v>
      </c>
    </row>
    <row r="16" spans="1:43" s="33" customFormat="1">
      <c r="A16" s="14"/>
      <c r="B16" s="27" t="s">
        <v>36</v>
      </c>
      <c r="C16" s="28" t="s">
        <v>217</v>
      </c>
      <c r="D16" s="29"/>
      <c r="E16" s="30">
        <f>SUM(E7:E15)</f>
        <v>415.47839081244126</v>
      </c>
      <c r="F16" s="31">
        <f t="shared" si="0"/>
        <v>4.256471000322108</v>
      </c>
      <c r="G16" s="17"/>
      <c r="H16" s="30">
        <f>SUM(H7:H15)</f>
        <v>362.67505536586282</v>
      </c>
      <c r="I16" s="31">
        <f t="shared" si="1"/>
        <v>3.4119993166675711</v>
      </c>
      <c r="J16" s="17"/>
      <c r="K16" s="32">
        <f>SUM(K7:K15)</f>
        <v>409.4874401991899</v>
      </c>
      <c r="L16" s="31">
        <f t="shared" si="2"/>
        <v>3.8135844155043017</v>
      </c>
      <c r="M16" s="18"/>
      <c r="N16" s="32">
        <f>SUM(N7:N15)</f>
        <v>233.72855428739459</v>
      </c>
      <c r="O16" s="31">
        <f t="shared" si="3"/>
        <v>2.1176819270399077</v>
      </c>
      <c r="P16" s="19"/>
      <c r="Q16" s="32">
        <f>SUM(Q7:Q15)</f>
        <v>101.28446764891065</v>
      </c>
      <c r="R16" s="31">
        <f t="shared" si="4"/>
        <v>1.499821824775446</v>
      </c>
      <c r="S16" s="19"/>
      <c r="T16" s="32">
        <f>SUM(T7:T15)</f>
        <v>0</v>
      </c>
      <c r="U16" s="31" t="e">
        <f t="shared" si="5"/>
        <v>#DIV/0!</v>
      </c>
      <c r="V16" s="19"/>
      <c r="W16" s="32">
        <f>SUM(W7:W15)</f>
        <v>0</v>
      </c>
      <c r="X16" s="31" t="e">
        <f t="shared" si="6"/>
        <v>#DIV/0!</v>
      </c>
      <c r="Y16" s="19"/>
      <c r="Z16" s="32">
        <f>SUM(Z7:Z15)</f>
        <v>0</v>
      </c>
      <c r="AA16" s="31" t="e">
        <f>Z16/$Z$1*1000</f>
        <v>#DIV/0!</v>
      </c>
      <c r="AB16" s="19"/>
      <c r="AC16" s="32">
        <f>SUM(AC7:AC15)</f>
        <v>0</v>
      </c>
      <c r="AD16" s="31" t="e">
        <f t="shared" si="8"/>
        <v>#DIV/0!</v>
      </c>
      <c r="AE16" s="19"/>
      <c r="AF16" s="32">
        <f>SUM(AF7:AF15)</f>
        <v>0</v>
      </c>
      <c r="AG16" s="31" t="e">
        <f>AF16/$AF$1*1000</f>
        <v>#DIV/0!</v>
      </c>
      <c r="AH16" s="19"/>
      <c r="AI16" s="32">
        <f>SUM(AI7:AI15)</f>
        <v>0</v>
      </c>
      <c r="AJ16" s="31" t="e">
        <f t="shared" si="10"/>
        <v>#DIV/0!</v>
      </c>
      <c r="AK16" s="19"/>
      <c r="AL16" s="32">
        <f>SUM(AL7:AL15)</f>
        <v>0</v>
      </c>
      <c r="AM16" s="31" t="e">
        <f t="shared" si="11"/>
        <v>#DIV/0!</v>
      </c>
      <c r="AN16" s="19"/>
      <c r="AO16" s="32">
        <f>SUM(AO7:AO15)</f>
        <v>1522.6539083137993</v>
      </c>
      <c r="AP16" s="145">
        <f t="shared" si="12"/>
        <v>3.1126531808484357</v>
      </c>
      <c r="AQ16" s="155"/>
    </row>
    <row r="17" spans="1:43" outlineLevel="1">
      <c r="A17" s="14" t="s">
        <v>26</v>
      </c>
      <c r="B17" s="22">
        <v>5001010205</v>
      </c>
      <c r="C17" s="22" t="s">
        <v>37</v>
      </c>
      <c r="D17" s="22" t="s">
        <v>38</v>
      </c>
      <c r="E17" s="23">
        <v>9.6121100000000013</v>
      </c>
      <c r="F17" s="24">
        <f t="shared" si="0"/>
        <v>9.8473635143580138E-2</v>
      </c>
      <c r="H17" s="23">
        <v>8.9310399999999994</v>
      </c>
      <c r="I17" s="25">
        <f t="shared" si="1"/>
        <v>8.4022052044329873E-2</v>
      </c>
      <c r="K17" s="23">
        <v>14.73509</v>
      </c>
      <c r="L17" s="25">
        <f t="shared" si="2"/>
        <v>0.13722889658769186</v>
      </c>
      <c r="N17" s="26">
        <v>11.428825395136778</v>
      </c>
      <c r="O17" s="25">
        <f t="shared" si="3"/>
        <v>0.10355010777509087</v>
      </c>
      <c r="Q17" s="26">
        <v>11.473710000000001</v>
      </c>
      <c r="R17" s="25">
        <f t="shared" si="4"/>
        <v>0.1699028594275222</v>
      </c>
      <c r="T17" s="26"/>
      <c r="U17" s="25" t="e">
        <f t="shared" si="5"/>
        <v>#DIV/0!</v>
      </c>
      <c r="W17" s="26"/>
      <c r="X17" s="25" t="e">
        <f t="shared" si="6"/>
        <v>#DIV/0!</v>
      </c>
      <c r="Z17" s="26"/>
      <c r="AA17" s="25" t="e">
        <f t="shared" ref="AA17:AA95" si="22">Z17/$Z$1*1000</f>
        <v>#DIV/0!</v>
      </c>
      <c r="AC17" s="26"/>
      <c r="AD17" s="25" t="e">
        <f t="shared" si="8"/>
        <v>#DIV/0!</v>
      </c>
      <c r="AF17" s="26"/>
      <c r="AG17" s="25" t="e">
        <f t="shared" si="9"/>
        <v>#DIV/0!</v>
      </c>
      <c r="AI17" s="26"/>
      <c r="AJ17" s="25" t="e">
        <f t="shared" si="10"/>
        <v>#DIV/0!</v>
      </c>
      <c r="AL17" s="26"/>
      <c r="AM17" s="25" t="e">
        <f t="shared" si="11"/>
        <v>#DIV/0!</v>
      </c>
      <c r="AO17" s="26">
        <f>H17+E17+K17+N17+Q17+T17+W17+Z17+AC17+AF17+AI17+AL17</f>
        <v>56.180775395136777</v>
      </c>
      <c r="AP17" s="25">
        <f t="shared" si="12"/>
        <v>0.11484636678196822</v>
      </c>
    </row>
    <row r="18" spans="1:43" outlineLevel="1">
      <c r="A18" s="14" t="s">
        <v>26</v>
      </c>
      <c r="B18" s="22">
        <v>6666010380</v>
      </c>
      <c r="C18" s="22" t="s">
        <v>39</v>
      </c>
      <c r="D18" s="22" t="s">
        <v>38</v>
      </c>
      <c r="E18" s="23">
        <v>-2.2963800000000001</v>
      </c>
      <c r="F18" s="24">
        <f t="shared" si="0"/>
        <v>-2.3525832129575562E-2</v>
      </c>
      <c r="H18" s="23">
        <v>-2.1919899999999997</v>
      </c>
      <c r="I18" s="25">
        <f t="shared" si="1"/>
        <v>-2.0621954202494963E-2</v>
      </c>
      <c r="K18" s="23">
        <v>-2.2797100000000001</v>
      </c>
      <c r="L18" s="25">
        <f t="shared" si="2"/>
        <v>-2.1231094471762781E-2</v>
      </c>
      <c r="N18" s="26">
        <v>-2.39392</v>
      </c>
      <c r="O18" s="25">
        <f t="shared" si="3"/>
        <v>-2.1689951979704629E-2</v>
      </c>
      <c r="Q18" s="26">
        <v>-4.3612200000000003</v>
      </c>
      <c r="R18" s="25">
        <f t="shared" si="4"/>
        <v>-6.4581007241118898E-2</v>
      </c>
      <c r="T18" s="26"/>
      <c r="U18" s="25" t="e">
        <f t="shared" si="5"/>
        <v>#DIV/0!</v>
      </c>
      <c r="W18" s="26"/>
      <c r="X18" s="25" t="e">
        <f t="shared" si="6"/>
        <v>#DIV/0!</v>
      </c>
      <c r="Z18" s="26"/>
      <c r="AA18" s="25" t="e">
        <f t="shared" si="22"/>
        <v>#DIV/0!</v>
      </c>
      <c r="AC18" s="26"/>
      <c r="AD18" s="25" t="e">
        <f t="shared" si="8"/>
        <v>#DIV/0!</v>
      </c>
      <c r="AF18" s="26"/>
      <c r="AG18" s="25" t="e">
        <f t="shared" si="9"/>
        <v>#DIV/0!</v>
      </c>
      <c r="AI18" s="26"/>
      <c r="AJ18" s="25" t="e">
        <f t="shared" si="10"/>
        <v>#DIV/0!</v>
      </c>
      <c r="AL18" s="26"/>
      <c r="AM18" s="25" t="e">
        <f t="shared" si="11"/>
        <v>#DIV/0!</v>
      </c>
      <c r="AO18" s="26">
        <f>H18+E18+K18+N18+Q18+T18+W18+Z18+AC18+AF18+AI18+AL18</f>
        <v>-13.523219999999998</v>
      </c>
      <c r="AP18" s="25">
        <f t="shared" si="12"/>
        <v>-2.7644557649300256E-2</v>
      </c>
    </row>
    <row r="19" spans="1:43" outlineLevel="1">
      <c r="A19" s="14" t="s">
        <v>26</v>
      </c>
      <c r="B19" s="22">
        <v>6666010019</v>
      </c>
      <c r="C19" s="22" t="s">
        <v>40</v>
      </c>
      <c r="D19" s="22" t="s">
        <v>38</v>
      </c>
      <c r="E19" s="23">
        <v>82.346000000000004</v>
      </c>
      <c r="F19" s="24">
        <f t="shared" si="0"/>
        <v>0.84361393695382692</v>
      </c>
      <c r="H19" s="23">
        <v>76.798450000000003</v>
      </c>
      <c r="I19" s="25">
        <f t="shared" si="1"/>
        <v>0.72250973714414735</v>
      </c>
      <c r="K19" s="23">
        <v>126.36555</v>
      </c>
      <c r="L19" s="25">
        <f t="shared" si="2"/>
        <v>1.1768509722843095</v>
      </c>
      <c r="N19" s="26">
        <v>91.99667615501518</v>
      </c>
      <c r="O19" s="25">
        <f t="shared" si="3"/>
        <v>0.83352972868546871</v>
      </c>
      <c r="Q19" s="26">
        <v>97.820619999999991</v>
      </c>
      <c r="R19" s="25">
        <f t="shared" si="4"/>
        <v>1.4485291199597221</v>
      </c>
      <c r="T19" s="26"/>
      <c r="U19" s="25" t="e">
        <f t="shared" si="5"/>
        <v>#DIV/0!</v>
      </c>
      <c r="W19" s="26"/>
      <c r="X19" s="25" t="e">
        <f t="shared" si="6"/>
        <v>#DIV/0!</v>
      </c>
      <c r="Z19" s="26"/>
      <c r="AA19" s="25" t="e">
        <f t="shared" si="22"/>
        <v>#DIV/0!</v>
      </c>
      <c r="AC19" s="26"/>
      <c r="AD19" s="25" t="e">
        <f t="shared" si="8"/>
        <v>#DIV/0!</v>
      </c>
      <c r="AF19" s="26"/>
      <c r="AG19" s="25" t="e">
        <f t="shared" si="9"/>
        <v>#DIV/0!</v>
      </c>
      <c r="AI19" s="26"/>
      <c r="AJ19" s="25" t="e">
        <f t="shared" si="10"/>
        <v>#DIV/0!</v>
      </c>
      <c r="AL19" s="26"/>
      <c r="AM19" s="25" t="e">
        <f t="shared" si="11"/>
        <v>#DIV/0!</v>
      </c>
      <c r="AO19" s="26">
        <f>H19+E19+K19+N19+Q19+T19+W19+Z19+AC19+AF19+AI19+AL19</f>
        <v>475.32729615501512</v>
      </c>
      <c r="AP19" s="25">
        <f t="shared" si="12"/>
        <v>0.97167781348253845</v>
      </c>
    </row>
    <row r="20" spans="1:43" outlineLevel="1">
      <c r="A20" s="14" t="s">
        <v>26</v>
      </c>
      <c r="B20" s="22">
        <v>6666010183</v>
      </c>
      <c r="C20" s="22" t="s">
        <v>41</v>
      </c>
      <c r="D20" s="22" t="s">
        <v>38</v>
      </c>
      <c r="E20" s="23">
        <v>13.272549999999999</v>
      </c>
      <c r="F20" s="24">
        <f t="shared" si="0"/>
        <v>0.13597391687412277</v>
      </c>
      <c r="H20" s="23">
        <v>22.614709999999999</v>
      </c>
      <c r="I20" s="25">
        <f t="shared" si="1"/>
        <v>0.21275622330517244</v>
      </c>
      <c r="K20" s="23">
        <v>8.3357399999999995</v>
      </c>
      <c r="L20" s="25">
        <f t="shared" si="2"/>
        <v>7.7631314260169865E-2</v>
      </c>
      <c r="N20" s="26">
        <v>22.837660425531915</v>
      </c>
      <c r="O20" s="25">
        <f t="shared" si="3"/>
        <v>0.20691909418802132</v>
      </c>
      <c r="Q20" s="26">
        <v>12.033860000000001</v>
      </c>
      <c r="R20" s="25">
        <f t="shared" si="4"/>
        <v>0.17819756852408522</v>
      </c>
      <c r="T20" s="26"/>
      <c r="U20" s="25" t="e">
        <f t="shared" si="5"/>
        <v>#DIV/0!</v>
      </c>
      <c r="W20" s="26"/>
      <c r="X20" s="25" t="e">
        <f t="shared" si="6"/>
        <v>#DIV/0!</v>
      </c>
      <c r="Z20" s="26"/>
      <c r="AA20" s="25" t="e">
        <f t="shared" si="22"/>
        <v>#DIV/0!</v>
      </c>
      <c r="AC20" s="26"/>
      <c r="AD20" s="25" t="e">
        <f t="shared" si="8"/>
        <v>#DIV/0!</v>
      </c>
      <c r="AF20" s="26"/>
      <c r="AG20" s="25" t="e">
        <f t="shared" si="9"/>
        <v>#DIV/0!</v>
      </c>
      <c r="AI20" s="26"/>
      <c r="AJ20" s="25" t="e">
        <f t="shared" si="10"/>
        <v>#DIV/0!</v>
      </c>
      <c r="AL20" s="26"/>
      <c r="AM20" s="25" t="e">
        <f t="shared" si="11"/>
        <v>#DIV/0!</v>
      </c>
      <c r="AO20" s="26">
        <f>H20+E20+K20+N20+Q20+T20+W20+Z20+AC20+AF20+AI20+AL20</f>
        <v>79.094520425531925</v>
      </c>
      <c r="AP20" s="25">
        <f t="shared" si="12"/>
        <v>0.16168730743472148</v>
      </c>
    </row>
    <row r="21" spans="1:43" outlineLevel="1">
      <c r="A21" s="14" t="s">
        <v>26</v>
      </c>
      <c r="B21" s="22">
        <v>6666010229</v>
      </c>
      <c r="C21" s="22" t="s">
        <v>42</v>
      </c>
      <c r="D21" s="22" t="s">
        <v>38</v>
      </c>
      <c r="E21" s="23">
        <v>23.070599999999999</v>
      </c>
      <c r="F21" s="24">
        <f t="shared" si="0"/>
        <v>0.23635246027599349</v>
      </c>
      <c r="H21" s="23">
        <v>116.24877000000001</v>
      </c>
      <c r="I21" s="25">
        <f t="shared" si="1"/>
        <v>1.093653169510979</v>
      </c>
      <c r="K21" s="23">
        <v>-306.31482</v>
      </c>
      <c r="L21" s="25">
        <f t="shared" si="2"/>
        <v>-2.8527307778274476</v>
      </c>
      <c r="N21" s="26">
        <v>19.53584</v>
      </c>
      <c r="O21" s="25">
        <f t="shared" si="3"/>
        <v>0.17700317115158104</v>
      </c>
      <c r="Q21" s="26">
        <v>29.152169999999998</v>
      </c>
      <c r="R21" s="25">
        <f t="shared" si="4"/>
        <v>0.43168574432482854</v>
      </c>
      <c r="T21" s="26"/>
      <c r="U21" s="25" t="e">
        <f t="shared" si="5"/>
        <v>#DIV/0!</v>
      </c>
      <c r="W21" s="26"/>
      <c r="X21" s="25" t="e">
        <f t="shared" si="6"/>
        <v>#DIV/0!</v>
      </c>
      <c r="Z21" s="26"/>
      <c r="AA21" s="25" t="e">
        <f t="shared" si="22"/>
        <v>#DIV/0!</v>
      </c>
      <c r="AC21" s="26"/>
      <c r="AD21" s="25" t="e">
        <f t="shared" si="8"/>
        <v>#DIV/0!</v>
      </c>
      <c r="AF21" s="26"/>
      <c r="AG21" s="25" t="e">
        <f t="shared" si="9"/>
        <v>#DIV/0!</v>
      </c>
      <c r="AI21" s="26"/>
      <c r="AJ21" s="25" t="e">
        <f t="shared" si="10"/>
        <v>#DIV/0!</v>
      </c>
      <c r="AL21" s="26"/>
      <c r="AM21" s="25" t="e">
        <f t="shared" si="11"/>
        <v>#DIV/0!</v>
      </c>
      <c r="AO21" s="26">
        <f>H21+E21+K21+N21+Q21+T21+W21+Z21+AC21+AF21+AI21+AL21</f>
        <v>-118.30744</v>
      </c>
      <c r="AP21" s="25">
        <f t="shared" si="12"/>
        <v>-0.24184749234436262</v>
      </c>
    </row>
    <row r="22" spans="1:43" outlineLevel="1">
      <c r="A22" s="14" t="s">
        <v>26</v>
      </c>
      <c r="B22" s="22">
        <v>6666010188</v>
      </c>
      <c r="C22" s="22" t="s">
        <v>43</v>
      </c>
      <c r="D22" s="22" t="s">
        <v>38</v>
      </c>
      <c r="E22" s="23">
        <v>465.92912999999999</v>
      </c>
      <c r="F22" s="24">
        <f t="shared" si="0"/>
        <v>4.773326059562959</v>
      </c>
      <c r="H22" s="23">
        <v>395.30928</v>
      </c>
      <c r="I22" s="25">
        <f t="shared" si="1"/>
        <v>3.7190178185033962</v>
      </c>
      <c r="K22" s="23">
        <v>962.64237000000003</v>
      </c>
      <c r="L22" s="25">
        <f t="shared" si="2"/>
        <v>8.9651539450156452</v>
      </c>
      <c r="N22" s="26">
        <v>514.78729936930085</v>
      </c>
      <c r="O22" s="25">
        <f t="shared" si="3"/>
        <v>4.6641958808489701</v>
      </c>
      <c r="Q22" s="26">
        <v>577.93582000000004</v>
      </c>
      <c r="R22" s="25">
        <f t="shared" si="4"/>
        <v>8.5580817698538461</v>
      </c>
      <c r="T22" s="26"/>
      <c r="U22" s="25" t="e">
        <f t="shared" si="5"/>
        <v>#DIV/0!</v>
      </c>
      <c r="W22" s="26"/>
      <c r="X22" s="25" t="e">
        <f t="shared" si="6"/>
        <v>#DIV/0!</v>
      </c>
      <c r="Z22" s="26"/>
      <c r="AA22" s="25" t="e">
        <f t="shared" si="22"/>
        <v>#DIV/0!</v>
      </c>
      <c r="AC22" s="26"/>
      <c r="AD22" s="25" t="e">
        <f t="shared" si="8"/>
        <v>#DIV/0!</v>
      </c>
      <c r="AF22" s="26"/>
      <c r="AG22" s="25" t="e">
        <f t="shared" si="9"/>
        <v>#DIV/0!</v>
      </c>
      <c r="AI22" s="26"/>
      <c r="AJ22" s="25" t="e">
        <f t="shared" si="10"/>
        <v>#DIV/0!</v>
      </c>
      <c r="AL22" s="26"/>
      <c r="AM22" s="25" t="e">
        <f t="shared" si="11"/>
        <v>#DIV/0!</v>
      </c>
      <c r="AO22" s="26">
        <f t="shared" ref="AO22" si="23">H22+E22+K22+N22+Q22+T22+W22+Z22+AC22+AF22+AI22+AL22</f>
        <v>2916.603899369301</v>
      </c>
      <c r="AP22" s="25">
        <f t="shared" si="12"/>
        <v>5.9622060896952478</v>
      </c>
    </row>
    <row r="23" spans="1:43" s="15" customFormat="1" outlineLevel="1">
      <c r="A23" s="14" t="s">
        <v>26</v>
      </c>
      <c r="B23" s="34">
        <v>5102040406</v>
      </c>
      <c r="C23" s="34" t="s">
        <v>44</v>
      </c>
      <c r="D23" s="34" t="s">
        <v>38</v>
      </c>
      <c r="E23" s="23">
        <v>0</v>
      </c>
      <c r="F23" s="35">
        <f t="shared" si="0"/>
        <v>0</v>
      </c>
      <c r="G23" s="36"/>
      <c r="H23" s="23">
        <v>0</v>
      </c>
      <c r="I23" s="37">
        <f t="shared" si="1"/>
        <v>0</v>
      </c>
      <c r="J23" s="17"/>
      <c r="K23" s="23">
        <v>0</v>
      </c>
      <c r="L23" s="37">
        <f t="shared" si="2"/>
        <v>0</v>
      </c>
      <c r="M23" s="18"/>
      <c r="N23" s="26">
        <v>0</v>
      </c>
      <c r="O23" s="37">
        <f t="shared" si="3"/>
        <v>0</v>
      </c>
      <c r="P23" s="38"/>
      <c r="Q23" s="26">
        <v>0</v>
      </c>
      <c r="R23" s="37">
        <f t="shared" si="4"/>
        <v>0</v>
      </c>
      <c r="S23" s="38"/>
      <c r="T23" s="26"/>
      <c r="U23" s="37" t="e">
        <f t="shared" si="5"/>
        <v>#DIV/0!</v>
      </c>
      <c r="V23" s="38"/>
      <c r="W23" s="26"/>
      <c r="X23" s="37" t="e">
        <f t="shared" si="6"/>
        <v>#DIV/0!</v>
      </c>
      <c r="Y23" s="38"/>
      <c r="Z23" s="26"/>
      <c r="AA23" s="37" t="e">
        <f t="shared" si="22"/>
        <v>#DIV/0!</v>
      </c>
      <c r="AB23" s="38"/>
      <c r="AC23" s="26"/>
      <c r="AD23" s="37" t="e">
        <f t="shared" si="8"/>
        <v>#DIV/0!</v>
      </c>
      <c r="AE23" s="38"/>
      <c r="AF23" s="26"/>
      <c r="AG23" s="37" t="e">
        <f t="shared" si="9"/>
        <v>#DIV/0!</v>
      </c>
      <c r="AH23" s="38"/>
      <c r="AI23" s="26"/>
      <c r="AJ23" s="37" t="e">
        <f t="shared" si="10"/>
        <v>#DIV/0!</v>
      </c>
      <c r="AK23" s="38"/>
      <c r="AL23" s="26"/>
      <c r="AM23" s="37" t="e">
        <f t="shared" si="11"/>
        <v>#DIV/0!</v>
      </c>
      <c r="AN23" s="38"/>
      <c r="AO23" s="26">
        <f>H23+E23+K23+N23+Q23+T23+W23+Z23+AC23+AF23+AI23+AL23</f>
        <v>0</v>
      </c>
      <c r="AP23" s="37">
        <f t="shared" si="12"/>
        <v>0</v>
      </c>
      <c r="AQ23"/>
    </row>
    <row r="24" spans="1:43" outlineLevel="1">
      <c r="A24" s="14" t="s">
        <v>26</v>
      </c>
      <c r="B24" s="22">
        <v>6666010115</v>
      </c>
      <c r="C24" s="22" t="s">
        <v>45</v>
      </c>
      <c r="D24" s="22" t="s">
        <v>38</v>
      </c>
      <c r="E24" s="23">
        <v>-1.5219400000000001</v>
      </c>
      <c r="F24" s="24">
        <f t="shared" si="0"/>
        <v>-1.5591890258270071E-2</v>
      </c>
      <c r="H24" s="23">
        <v>0.18412000000000001</v>
      </c>
      <c r="I24" s="25">
        <f t="shared" si="1"/>
        <v>1.7321767926693887E-3</v>
      </c>
      <c r="K24" s="23">
        <v>7.0038599999999995</v>
      </c>
      <c r="L24" s="25">
        <f t="shared" si="2"/>
        <v>6.5227425122932489E-2</v>
      </c>
      <c r="N24" s="26">
        <v>4.4822100000000002</v>
      </c>
      <c r="O24" s="25">
        <f t="shared" si="3"/>
        <v>4.0610763794509383E-2</v>
      </c>
      <c r="Q24" s="26">
        <v>1.8399400000000001</v>
      </c>
      <c r="R24" s="25">
        <f t="shared" si="4"/>
        <v>2.72458574580563E-2</v>
      </c>
      <c r="T24" s="26"/>
      <c r="U24" s="25" t="e">
        <f t="shared" si="5"/>
        <v>#DIV/0!</v>
      </c>
      <c r="W24" s="26"/>
      <c r="X24" s="25" t="e">
        <f t="shared" si="6"/>
        <v>#DIV/0!</v>
      </c>
      <c r="Z24" s="26"/>
      <c r="AA24" s="25" t="e">
        <f t="shared" si="22"/>
        <v>#DIV/0!</v>
      </c>
      <c r="AC24" s="26"/>
      <c r="AD24" s="25" t="e">
        <f t="shared" si="8"/>
        <v>#DIV/0!</v>
      </c>
      <c r="AF24" s="26"/>
      <c r="AG24" s="25" t="e">
        <f t="shared" si="9"/>
        <v>#DIV/0!</v>
      </c>
      <c r="AI24" s="26"/>
      <c r="AJ24" s="25" t="e">
        <f t="shared" si="10"/>
        <v>#DIV/0!</v>
      </c>
      <c r="AL24" s="26"/>
      <c r="AM24" s="25" t="e">
        <f t="shared" si="11"/>
        <v>#DIV/0!</v>
      </c>
      <c r="AO24" s="26">
        <f>H24+E24+K24+N24+Q24+T24+W24+Z24+AC24+AF24+AI24+AL24</f>
        <v>11.988190000000001</v>
      </c>
      <c r="AP24" s="25">
        <f t="shared" si="12"/>
        <v>2.4506604903696376E-2</v>
      </c>
    </row>
    <row r="25" spans="1:43" s="39" customFormat="1">
      <c r="A25" s="14"/>
      <c r="B25" s="27" t="s">
        <v>46</v>
      </c>
      <c r="C25" s="28" t="s">
        <v>38</v>
      </c>
      <c r="D25" s="29"/>
      <c r="E25" s="30">
        <f>SUM(E17:E24)</f>
        <v>590.41206999999997</v>
      </c>
      <c r="F25" s="31">
        <f t="shared" si="0"/>
        <v>6.0486222864226367</v>
      </c>
      <c r="G25" s="17"/>
      <c r="H25" s="32">
        <f>SUM(H17:H24)</f>
        <v>617.89438000000007</v>
      </c>
      <c r="I25" s="31">
        <f t="shared" si="1"/>
        <v>5.8130692230982</v>
      </c>
      <c r="J25" s="17"/>
      <c r="K25" s="32">
        <f>SUM(K17:K24)</f>
        <v>810.48808000000008</v>
      </c>
      <c r="L25" s="31">
        <f t="shared" si="2"/>
        <v>7.5481306809715401</v>
      </c>
      <c r="M25" s="18"/>
      <c r="N25" s="32">
        <f>SUM(N17:N24)</f>
        <v>662.67459134498472</v>
      </c>
      <c r="O25" s="31">
        <f t="shared" si="3"/>
        <v>6.0041187944639365</v>
      </c>
      <c r="P25" s="19"/>
      <c r="Q25" s="32">
        <f>SUM(Q17:Q24)</f>
        <v>725.89490000000001</v>
      </c>
      <c r="R25" s="31">
        <f t="shared" si="4"/>
        <v>10.74906191230694</v>
      </c>
      <c r="S25" s="19"/>
      <c r="T25" s="32">
        <f>SUM(T17:T24)</f>
        <v>0</v>
      </c>
      <c r="U25" s="31" t="e">
        <f t="shared" si="5"/>
        <v>#DIV/0!</v>
      </c>
      <c r="V25" s="19"/>
      <c r="W25" s="32">
        <f>SUM(W17:W24)</f>
        <v>0</v>
      </c>
      <c r="X25" s="31" t="e">
        <f t="shared" si="6"/>
        <v>#DIV/0!</v>
      </c>
      <c r="Y25" s="19"/>
      <c r="Z25" s="32">
        <f>SUM(Z17:Z24)</f>
        <v>0</v>
      </c>
      <c r="AA25" s="31" t="e">
        <f t="shared" si="22"/>
        <v>#DIV/0!</v>
      </c>
      <c r="AB25" s="19"/>
      <c r="AC25" s="32">
        <f>SUM(AC17:AC24)</f>
        <v>0</v>
      </c>
      <c r="AD25" s="31" t="e">
        <f t="shared" si="8"/>
        <v>#DIV/0!</v>
      </c>
      <c r="AE25" s="19"/>
      <c r="AF25" s="32">
        <f>SUM(AF17:AF24)</f>
        <v>0</v>
      </c>
      <c r="AG25" s="31" t="e">
        <f t="shared" si="9"/>
        <v>#DIV/0!</v>
      </c>
      <c r="AH25" s="19"/>
      <c r="AI25" s="32">
        <f>SUM(AI17:AI24)</f>
        <v>0</v>
      </c>
      <c r="AJ25" s="31" t="e">
        <f t="shared" si="10"/>
        <v>#DIV/0!</v>
      </c>
      <c r="AK25" s="19"/>
      <c r="AL25" s="32">
        <f>SUM(AL17:AL24)</f>
        <v>0</v>
      </c>
      <c r="AM25" s="31" t="e">
        <f t="shared" si="11"/>
        <v>#DIV/0!</v>
      </c>
      <c r="AN25" s="19"/>
      <c r="AO25" s="32">
        <f>SUM(AO17:AO24)</f>
        <v>3407.3640213449848</v>
      </c>
      <c r="AP25" s="31">
        <f t="shared" si="12"/>
        <v>6.9654321323045103</v>
      </c>
      <c r="AQ25"/>
    </row>
    <row r="26" spans="1:43" outlineLevel="2">
      <c r="A26" s="14" t="s">
        <v>47</v>
      </c>
      <c r="B26" s="22">
        <v>8701530201</v>
      </c>
      <c r="C26" s="22" t="s">
        <v>48</v>
      </c>
      <c r="D26" s="22" t="s">
        <v>49</v>
      </c>
      <c r="E26" s="23">
        <v>0</v>
      </c>
      <c r="F26" s="24">
        <f t="shared" si="0"/>
        <v>0</v>
      </c>
      <c r="H26" s="23">
        <v>0</v>
      </c>
      <c r="I26" s="25">
        <f t="shared" si="1"/>
        <v>0</v>
      </c>
      <c r="K26" s="23">
        <v>0</v>
      </c>
      <c r="L26" s="25">
        <f t="shared" si="2"/>
        <v>0</v>
      </c>
      <c r="N26" s="26">
        <v>0</v>
      </c>
      <c r="O26" s="25">
        <f t="shared" si="3"/>
        <v>0</v>
      </c>
      <c r="Q26" s="26">
        <v>0</v>
      </c>
      <c r="R26" s="25">
        <f t="shared" si="4"/>
        <v>0</v>
      </c>
      <c r="T26" s="26"/>
      <c r="U26" s="25" t="e">
        <f t="shared" si="5"/>
        <v>#DIV/0!</v>
      </c>
      <c r="W26" s="26"/>
      <c r="X26" s="25" t="e">
        <f t="shared" si="6"/>
        <v>#DIV/0!</v>
      </c>
      <c r="Z26" s="26"/>
      <c r="AA26" s="25" t="e">
        <f t="shared" si="22"/>
        <v>#DIV/0!</v>
      </c>
      <c r="AC26" s="26"/>
      <c r="AD26" s="25" t="e">
        <f t="shared" si="8"/>
        <v>#DIV/0!</v>
      </c>
      <c r="AF26" s="26"/>
      <c r="AG26" s="25" t="e">
        <f t="shared" si="9"/>
        <v>#DIV/0!</v>
      </c>
      <c r="AI26" s="26"/>
      <c r="AJ26" s="25" t="e">
        <f t="shared" si="10"/>
        <v>#DIV/0!</v>
      </c>
      <c r="AL26" s="26"/>
      <c r="AM26" s="25" t="e">
        <f t="shared" si="11"/>
        <v>#DIV/0!</v>
      </c>
      <c r="AO26" s="26">
        <f>H26+E26+K26+N26+Q26+T26+W26+Z26+AC26+AF26+AI26+AL26</f>
        <v>0</v>
      </c>
      <c r="AP26" s="25">
        <f t="shared" si="12"/>
        <v>0</v>
      </c>
    </row>
    <row r="27" spans="1:43" outlineLevel="2">
      <c r="A27" s="14" t="s">
        <v>47</v>
      </c>
      <c r="B27" s="22">
        <v>6666050309</v>
      </c>
      <c r="C27" s="22" t="s">
        <v>50</v>
      </c>
      <c r="D27" s="22" t="s">
        <v>49</v>
      </c>
      <c r="E27" s="23">
        <v>39.442389999999989</v>
      </c>
      <c r="F27" s="24">
        <f t="shared" si="0"/>
        <v>0.40407730686090693</v>
      </c>
      <c r="H27" s="23">
        <v>36.98317999999999</v>
      </c>
      <c r="I27" s="25">
        <f t="shared" si="1"/>
        <v>0.34793290308013614</v>
      </c>
      <c r="K27" s="23">
        <v>41.54440000000001</v>
      </c>
      <c r="L27" s="25">
        <f t="shared" si="2"/>
        <v>0.38690582625540165</v>
      </c>
      <c r="N27" s="26">
        <v>48.092269999999992</v>
      </c>
      <c r="O27" s="25">
        <f t="shared" si="3"/>
        <v>0.43573679441877317</v>
      </c>
      <c r="Q27" s="26">
        <v>22.505840000000003</v>
      </c>
      <c r="R27" s="25">
        <f t="shared" si="4"/>
        <v>0.33326679598998982</v>
      </c>
      <c r="T27" s="26"/>
      <c r="U27" s="25" t="e">
        <f t="shared" si="5"/>
        <v>#DIV/0!</v>
      </c>
      <c r="W27" s="26"/>
      <c r="X27" s="25" t="e">
        <f t="shared" si="6"/>
        <v>#DIV/0!</v>
      </c>
      <c r="Z27" s="26"/>
      <c r="AA27" s="25" t="e">
        <f t="shared" si="22"/>
        <v>#DIV/0!</v>
      </c>
      <c r="AC27" s="26"/>
      <c r="AD27" s="25" t="e">
        <f t="shared" si="8"/>
        <v>#DIV/0!</v>
      </c>
      <c r="AF27" s="26"/>
      <c r="AG27" s="25" t="e">
        <f t="shared" si="9"/>
        <v>#DIV/0!</v>
      </c>
      <c r="AI27" s="26"/>
      <c r="AJ27" s="25" t="e">
        <f t="shared" si="10"/>
        <v>#DIV/0!</v>
      </c>
      <c r="AL27" s="26"/>
      <c r="AM27" s="25" t="e">
        <f t="shared" si="11"/>
        <v>#DIV/0!</v>
      </c>
      <c r="AO27" s="26">
        <f>H27+E27+K27+N27+Q27+T27+W27+Z27+AC27+AF27+AI27+AL27</f>
        <v>188.56807999999998</v>
      </c>
      <c r="AP27" s="25">
        <f t="shared" si="12"/>
        <v>0.38547632578467722</v>
      </c>
    </row>
    <row r="28" spans="1:43" outlineLevel="2">
      <c r="A28" s="14" t="s">
        <v>47</v>
      </c>
      <c r="B28" s="22">
        <v>6666050308</v>
      </c>
      <c r="C28" s="22" t="s">
        <v>51</v>
      </c>
      <c r="D28" s="22" t="s">
        <v>49</v>
      </c>
      <c r="E28" s="23">
        <v>7.4128099999999995</v>
      </c>
      <c r="F28" s="24">
        <f t="shared" si="0"/>
        <v>7.5942363053344383E-2</v>
      </c>
      <c r="H28" s="23">
        <v>16.073730000000005</v>
      </c>
      <c r="I28" s="25">
        <f t="shared" si="1"/>
        <v>0.15121954202494969</v>
      </c>
      <c r="K28" s="23">
        <v>12.285690000000001</v>
      </c>
      <c r="L28" s="25">
        <f t="shared" si="2"/>
        <v>0.11441746759052303</v>
      </c>
      <c r="N28" s="26">
        <v>10.61223</v>
      </c>
      <c r="O28" s="25">
        <f t="shared" si="3"/>
        <v>9.6151399836912205E-2</v>
      </c>
      <c r="Q28" s="26">
        <v>13.043089999999998</v>
      </c>
      <c r="R28" s="25">
        <f t="shared" si="4"/>
        <v>0.19314226059143205</v>
      </c>
      <c r="T28" s="26"/>
      <c r="U28" s="25" t="e">
        <f t="shared" si="5"/>
        <v>#DIV/0!</v>
      </c>
      <c r="W28" s="26"/>
      <c r="X28" s="25" t="e">
        <f t="shared" si="6"/>
        <v>#DIV/0!</v>
      </c>
      <c r="Z28" s="26"/>
      <c r="AA28" s="25" t="e">
        <f t="shared" si="22"/>
        <v>#DIV/0!</v>
      </c>
      <c r="AC28" s="26"/>
      <c r="AD28" s="25" t="e">
        <f t="shared" si="8"/>
        <v>#DIV/0!</v>
      </c>
      <c r="AF28" s="26"/>
      <c r="AG28" s="25" t="e">
        <f t="shared" si="9"/>
        <v>#DIV/0!</v>
      </c>
      <c r="AI28" s="26"/>
      <c r="AJ28" s="25" t="e">
        <f t="shared" si="10"/>
        <v>#DIV/0!</v>
      </c>
      <c r="AL28" s="26"/>
      <c r="AM28" s="25" t="e">
        <f t="shared" si="11"/>
        <v>#DIV/0!</v>
      </c>
      <c r="AO28" s="26">
        <f>H28+E28+K28+N28+Q28+T28+W28+Z28+AC28+AF28+AI28+AL28</f>
        <v>59.427550000000004</v>
      </c>
      <c r="AP28" s="25">
        <f t="shared" si="12"/>
        <v>0.12148351738207866</v>
      </c>
    </row>
    <row r="29" spans="1:43" outlineLevel="2">
      <c r="A29" s="14" t="s">
        <v>47</v>
      </c>
      <c r="B29" s="22">
        <v>6666050306</v>
      </c>
      <c r="C29" s="22" t="s">
        <v>52</v>
      </c>
      <c r="D29" s="22" t="s">
        <v>49</v>
      </c>
      <c r="E29" s="23">
        <v>0.65246000000000004</v>
      </c>
      <c r="F29" s="24">
        <f t="shared" si="0"/>
        <v>6.68428763151694E-3</v>
      </c>
      <c r="H29" s="23">
        <v>8.5329999999999989E-2</v>
      </c>
      <c r="I29" s="25">
        <f t="shared" si="1"/>
        <v>8.0277343970496916E-4</v>
      </c>
      <c r="K29" s="23">
        <v>0.89870000000000005</v>
      </c>
      <c r="L29" s="25">
        <f t="shared" si="2"/>
        <v>8.3696542989122342E-3</v>
      </c>
      <c r="N29" s="26">
        <v>0.43010999999999994</v>
      </c>
      <c r="O29" s="25">
        <f t="shared" si="3"/>
        <v>3.8969828757814615E-3</v>
      </c>
      <c r="Q29" s="26">
        <v>0.21765999999999999</v>
      </c>
      <c r="R29" s="25">
        <f t="shared" si="4"/>
        <v>3.2231123484029556E-3</v>
      </c>
      <c r="T29" s="26"/>
      <c r="U29" s="25" t="e">
        <f t="shared" si="5"/>
        <v>#DIV/0!</v>
      </c>
      <c r="W29" s="26"/>
      <c r="X29" s="25" t="e">
        <f t="shared" si="6"/>
        <v>#DIV/0!</v>
      </c>
      <c r="Z29" s="26"/>
      <c r="AA29" s="25" t="e">
        <f t="shared" si="22"/>
        <v>#DIV/0!</v>
      </c>
      <c r="AC29" s="26"/>
      <c r="AD29" s="25" t="e">
        <f t="shared" si="8"/>
        <v>#DIV/0!</v>
      </c>
      <c r="AF29" s="26"/>
      <c r="AG29" s="25" t="e">
        <f t="shared" si="9"/>
        <v>#DIV/0!</v>
      </c>
      <c r="AI29" s="26"/>
      <c r="AJ29" s="25" t="e">
        <f t="shared" si="10"/>
        <v>#DIV/0!</v>
      </c>
      <c r="AL29" s="26"/>
      <c r="AM29" s="25" t="e">
        <f t="shared" si="11"/>
        <v>#DIV/0!</v>
      </c>
      <c r="AO29" s="26">
        <f>H29+E29+K29+N29+Q29+T29+W29+Z29+AC29+AF29+AI29+AL29</f>
        <v>2.2842600000000002</v>
      </c>
      <c r="AP29" s="25">
        <f t="shared" si="12"/>
        <v>4.6695503922875338E-3</v>
      </c>
    </row>
    <row r="30" spans="1:43" s="33" customFormat="1">
      <c r="A30" s="14"/>
      <c r="B30" s="27" t="s">
        <v>46</v>
      </c>
      <c r="C30" s="28" t="s">
        <v>49</v>
      </c>
      <c r="D30" s="29"/>
      <c r="E30" s="30">
        <f>SUM(E26:E29)</f>
        <v>47.507659999999987</v>
      </c>
      <c r="F30" s="31">
        <f t="shared" si="0"/>
        <v>0.48670395754576828</v>
      </c>
      <c r="G30" s="17"/>
      <c r="H30" s="32">
        <f>SUM(H26:H29)</f>
        <v>53.142239999999994</v>
      </c>
      <c r="I30" s="31">
        <f t="shared" si="1"/>
        <v>0.49995521854479086</v>
      </c>
      <c r="J30" s="17"/>
      <c r="K30" s="32">
        <f>SUM(K26:K29)</f>
        <v>54.728790000000011</v>
      </c>
      <c r="L30" s="31">
        <f t="shared" si="2"/>
        <v>0.5096929481448369</v>
      </c>
      <c r="M30" s="18"/>
      <c r="N30" s="32">
        <f>SUM(N26:N29)</f>
        <v>59.134609999999995</v>
      </c>
      <c r="O30" s="31">
        <f t="shared" si="3"/>
        <v>0.53578517713146678</v>
      </c>
      <c r="P30" s="19"/>
      <c r="Q30" s="32">
        <f>SUM(Q26:Q29)</f>
        <v>35.766590000000001</v>
      </c>
      <c r="R30" s="31">
        <f t="shared" si="4"/>
        <v>0.52963216892982479</v>
      </c>
      <c r="S30" s="19"/>
      <c r="T30" s="32">
        <f>SUM(T26:T29)</f>
        <v>0</v>
      </c>
      <c r="U30" s="31" t="e">
        <f t="shared" si="5"/>
        <v>#DIV/0!</v>
      </c>
      <c r="V30" s="19"/>
      <c r="W30" s="32">
        <f>SUM(W26:W29)</f>
        <v>0</v>
      </c>
      <c r="X30" s="31" t="e">
        <f t="shared" si="6"/>
        <v>#DIV/0!</v>
      </c>
      <c r="Y30" s="19"/>
      <c r="Z30" s="32">
        <f>SUM(Z26:Z29)</f>
        <v>0</v>
      </c>
      <c r="AA30" s="31" t="e">
        <f t="shared" si="22"/>
        <v>#DIV/0!</v>
      </c>
      <c r="AB30" s="19"/>
      <c r="AC30" s="32">
        <f>SUM(AC26:AC29)</f>
        <v>0</v>
      </c>
      <c r="AD30" s="31" t="e">
        <f t="shared" si="8"/>
        <v>#DIV/0!</v>
      </c>
      <c r="AE30" s="19"/>
      <c r="AF30" s="32">
        <f>SUM(AF26:AF29)</f>
        <v>0</v>
      </c>
      <c r="AG30" s="31" t="e">
        <f t="shared" si="9"/>
        <v>#DIV/0!</v>
      </c>
      <c r="AH30" s="19"/>
      <c r="AI30" s="32">
        <f>SUM(AI26:AI29)</f>
        <v>0</v>
      </c>
      <c r="AJ30" s="31" t="e">
        <f t="shared" si="10"/>
        <v>#DIV/0!</v>
      </c>
      <c r="AK30" s="19"/>
      <c r="AL30" s="32">
        <f>SUM(AL26:AL29)</f>
        <v>0</v>
      </c>
      <c r="AM30" s="31" t="e">
        <f t="shared" si="11"/>
        <v>#DIV/0!</v>
      </c>
      <c r="AN30" s="19"/>
      <c r="AO30" s="32">
        <f>SUM(AO26:AO29)</f>
        <v>250.27988999999997</v>
      </c>
      <c r="AP30" s="31">
        <f t="shared" si="12"/>
        <v>0.51162939355904347</v>
      </c>
      <c r="AQ30"/>
    </row>
    <row r="31" spans="1:43" outlineLevel="2">
      <c r="A31" s="14" t="s">
        <v>26</v>
      </c>
      <c r="B31" s="22">
        <v>5102010151</v>
      </c>
      <c r="C31" s="22" t="s">
        <v>53</v>
      </c>
      <c r="D31" s="22" t="s">
        <v>54</v>
      </c>
      <c r="E31" s="23">
        <v>0</v>
      </c>
      <c r="F31" s="24">
        <f t="shared" si="0"/>
        <v>0</v>
      </c>
      <c r="H31" s="23">
        <v>0</v>
      </c>
      <c r="I31" s="25">
        <f t="shared" si="1"/>
        <v>0</v>
      </c>
      <c r="K31" s="23">
        <v>0</v>
      </c>
      <c r="L31" s="25">
        <f t="shared" si="2"/>
        <v>0</v>
      </c>
      <c r="N31" s="26">
        <v>0</v>
      </c>
      <c r="O31" s="25">
        <f t="shared" si="3"/>
        <v>0</v>
      </c>
      <c r="Q31" s="26">
        <v>0</v>
      </c>
      <c r="R31" s="25">
        <f t="shared" si="4"/>
        <v>0</v>
      </c>
      <c r="T31" s="26"/>
      <c r="U31" s="25" t="e">
        <f t="shared" si="5"/>
        <v>#DIV/0!</v>
      </c>
      <c r="W31" s="26"/>
      <c r="X31" s="25" t="e">
        <f t="shared" si="6"/>
        <v>#DIV/0!</v>
      </c>
      <c r="Z31" s="26"/>
      <c r="AA31" s="25" t="e">
        <f t="shared" si="22"/>
        <v>#DIV/0!</v>
      </c>
      <c r="AC31" s="26"/>
      <c r="AD31" s="25" t="e">
        <f t="shared" si="8"/>
        <v>#DIV/0!</v>
      </c>
      <c r="AF31" s="26"/>
      <c r="AG31" s="25" t="e">
        <f t="shared" si="9"/>
        <v>#DIV/0!</v>
      </c>
      <c r="AI31" s="26"/>
      <c r="AJ31" s="25" t="e">
        <f t="shared" si="10"/>
        <v>#DIV/0!</v>
      </c>
      <c r="AL31" s="26"/>
      <c r="AM31" s="25" t="e">
        <f t="shared" si="11"/>
        <v>#DIV/0!</v>
      </c>
      <c r="AO31" s="26">
        <f>H31+E31+K31+N31+Q31+T31+W31+Z31+AC31+AF31+AI31+AL31</f>
        <v>0</v>
      </c>
      <c r="AP31" s="25">
        <f t="shared" si="12"/>
        <v>0</v>
      </c>
    </row>
    <row r="32" spans="1:43" outlineLevel="2">
      <c r="A32" s="14" t="s">
        <v>26</v>
      </c>
      <c r="B32" s="22">
        <v>5001010200</v>
      </c>
      <c r="C32" s="22" t="s">
        <v>55</v>
      </c>
      <c r="D32" s="22" t="s">
        <v>54</v>
      </c>
      <c r="E32" s="23">
        <v>0</v>
      </c>
      <c r="F32" s="24">
        <f t="shared" si="0"/>
        <v>0</v>
      </c>
      <c r="H32" s="23">
        <v>0</v>
      </c>
      <c r="I32" s="25">
        <f t="shared" si="1"/>
        <v>0</v>
      </c>
      <c r="K32" s="23">
        <v>0</v>
      </c>
      <c r="L32" s="25">
        <f t="shared" si="2"/>
        <v>0</v>
      </c>
      <c r="N32" s="26">
        <v>0</v>
      </c>
      <c r="O32" s="25">
        <f t="shared" si="3"/>
        <v>0</v>
      </c>
      <c r="Q32" s="26">
        <v>0</v>
      </c>
      <c r="R32" s="25">
        <f t="shared" si="4"/>
        <v>0</v>
      </c>
      <c r="T32" s="26"/>
      <c r="U32" s="25" t="e">
        <f t="shared" si="5"/>
        <v>#DIV/0!</v>
      </c>
      <c r="W32" s="26"/>
      <c r="X32" s="25" t="e">
        <f t="shared" si="6"/>
        <v>#DIV/0!</v>
      </c>
      <c r="Z32" s="26"/>
      <c r="AA32" s="25" t="e">
        <f t="shared" si="22"/>
        <v>#DIV/0!</v>
      </c>
      <c r="AC32" s="26"/>
      <c r="AD32" s="25" t="e">
        <f t="shared" si="8"/>
        <v>#DIV/0!</v>
      </c>
      <c r="AF32" s="26"/>
      <c r="AG32" s="25" t="e">
        <f t="shared" si="9"/>
        <v>#DIV/0!</v>
      </c>
      <c r="AI32" s="26"/>
      <c r="AJ32" s="25" t="e">
        <f t="shared" si="10"/>
        <v>#DIV/0!</v>
      </c>
      <c r="AL32" s="26"/>
      <c r="AM32" s="25" t="e">
        <f t="shared" si="11"/>
        <v>#DIV/0!</v>
      </c>
      <c r="AO32" s="26">
        <f t="shared" ref="AO32:AO72" si="24">H32+E32+K32+N32+Q32+T32+W32+Z32+AC32+AF32+AI32+AL32</f>
        <v>0</v>
      </c>
      <c r="AP32" s="25">
        <f t="shared" si="12"/>
        <v>0</v>
      </c>
    </row>
    <row r="33" spans="1:42" outlineLevel="2">
      <c r="A33" s="14" t="s">
        <v>26</v>
      </c>
      <c r="B33" s="22">
        <v>5001010201</v>
      </c>
      <c r="C33" s="22" t="s">
        <v>56</v>
      </c>
      <c r="D33" s="22" t="s">
        <v>54</v>
      </c>
      <c r="E33" s="23">
        <v>0</v>
      </c>
      <c r="F33" s="24">
        <f t="shared" si="0"/>
        <v>0</v>
      </c>
      <c r="H33" s="23">
        <v>0</v>
      </c>
      <c r="I33" s="25">
        <f t="shared" si="1"/>
        <v>0</v>
      </c>
      <c r="K33" s="23">
        <v>0</v>
      </c>
      <c r="L33" s="25">
        <f t="shared" si="2"/>
        <v>0</v>
      </c>
      <c r="N33" s="26">
        <v>0</v>
      </c>
      <c r="O33" s="25">
        <f t="shared" si="3"/>
        <v>0</v>
      </c>
      <c r="Q33" s="26">
        <v>0</v>
      </c>
      <c r="R33" s="25">
        <f t="shared" si="4"/>
        <v>0</v>
      </c>
      <c r="T33" s="26"/>
      <c r="U33" s="25" t="e">
        <f t="shared" si="5"/>
        <v>#DIV/0!</v>
      </c>
      <c r="W33" s="26"/>
      <c r="X33" s="25" t="e">
        <f t="shared" si="6"/>
        <v>#DIV/0!</v>
      </c>
      <c r="Z33" s="26"/>
      <c r="AA33" s="25" t="e">
        <f t="shared" si="22"/>
        <v>#DIV/0!</v>
      </c>
      <c r="AC33" s="26"/>
      <c r="AD33" s="25" t="e">
        <f t="shared" si="8"/>
        <v>#DIV/0!</v>
      </c>
      <c r="AF33" s="26"/>
      <c r="AG33" s="25" t="e">
        <f t="shared" si="9"/>
        <v>#DIV/0!</v>
      </c>
      <c r="AI33" s="26"/>
      <c r="AJ33" s="25" t="e">
        <f t="shared" si="10"/>
        <v>#DIV/0!</v>
      </c>
      <c r="AL33" s="26"/>
      <c r="AM33" s="25" t="e">
        <f t="shared" si="11"/>
        <v>#DIV/0!</v>
      </c>
      <c r="AO33" s="26">
        <f t="shared" ref="AO33:AO38" si="25">H33+E33+K33+N33+Q33+T33+W33+Z33+AC33+AF33+AI33+AL33</f>
        <v>0</v>
      </c>
      <c r="AP33" s="25">
        <f t="shared" si="12"/>
        <v>0</v>
      </c>
    </row>
    <row r="34" spans="1:42" outlineLevel="2">
      <c r="A34" s="14" t="s">
        <v>47</v>
      </c>
      <c r="B34" s="22">
        <v>5207000011</v>
      </c>
      <c r="C34" s="22" t="s">
        <v>57</v>
      </c>
      <c r="D34" s="22" t="s">
        <v>54</v>
      </c>
      <c r="E34" s="23">
        <v>0</v>
      </c>
      <c r="F34" s="24">
        <f t="shared" si="0"/>
        <v>0</v>
      </c>
      <c r="H34" s="23">
        <v>0</v>
      </c>
      <c r="I34" s="25">
        <f t="shared" si="1"/>
        <v>0</v>
      </c>
      <c r="K34" s="23">
        <v>0</v>
      </c>
      <c r="L34" s="25">
        <f t="shared" si="2"/>
        <v>0</v>
      </c>
      <c r="N34" s="26">
        <v>-0.15631999999999999</v>
      </c>
      <c r="O34" s="25">
        <f t="shared" si="3"/>
        <v>-1.4163269004258401E-3</v>
      </c>
      <c r="Q34" s="26">
        <v>0</v>
      </c>
      <c r="R34" s="25">
        <f t="shared" si="4"/>
        <v>0</v>
      </c>
      <c r="T34" s="26"/>
      <c r="U34" s="25" t="e">
        <f t="shared" si="5"/>
        <v>#DIV/0!</v>
      </c>
      <c r="W34" s="26"/>
      <c r="X34" s="25" t="e">
        <f t="shared" si="6"/>
        <v>#DIV/0!</v>
      </c>
      <c r="Z34" s="26"/>
      <c r="AA34" s="25" t="e">
        <f t="shared" si="22"/>
        <v>#DIV/0!</v>
      </c>
      <c r="AC34" s="26"/>
      <c r="AD34" s="25" t="e">
        <f t="shared" si="8"/>
        <v>#DIV/0!</v>
      </c>
      <c r="AF34" s="26"/>
      <c r="AG34" s="25" t="e">
        <f t="shared" si="9"/>
        <v>#DIV/0!</v>
      </c>
      <c r="AI34" s="26"/>
      <c r="AJ34" s="25" t="e">
        <f t="shared" si="10"/>
        <v>#DIV/0!</v>
      </c>
      <c r="AL34" s="26"/>
      <c r="AM34" s="25" t="e">
        <f t="shared" si="11"/>
        <v>#DIV/0!</v>
      </c>
      <c r="AO34" s="26">
        <f t="shared" si="25"/>
        <v>-0.15631999999999999</v>
      </c>
      <c r="AP34" s="25">
        <f t="shared" si="12"/>
        <v>-3.1955386747672645E-4</v>
      </c>
    </row>
    <row r="35" spans="1:42" outlineLevel="2">
      <c r="A35" s="14" t="s">
        <v>47</v>
      </c>
      <c r="B35" s="22">
        <v>5207000012</v>
      </c>
      <c r="C35" s="22" t="s">
        <v>58</v>
      </c>
      <c r="D35" s="22" t="s">
        <v>54</v>
      </c>
      <c r="E35" s="23">
        <v>0</v>
      </c>
      <c r="F35" s="24">
        <f t="shared" si="0"/>
        <v>0</v>
      </c>
      <c r="H35" s="23">
        <v>0</v>
      </c>
      <c r="I35" s="25">
        <f t="shared" si="1"/>
        <v>0</v>
      </c>
      <c r="K35" s="23">
        <v>0</v>
      </c>
      <c r="L35" s="25">
        <f t="shared" si="2"/>
        <v>0</v>
      </c>
      <c r="N35" s="26">
        <v>0</v>
      </c>
      <c r="O35" s="25">
        <f t="shared" si="3"/>
        <v>0</v>
      </c>
      <c r="Q35" s="26">
        <v>0</v>
      </c>
      <c r="R35" s="25">
        <f t="shared" si="4"/>
        <v>0</v>
      </c>
      <c r="T35" s="26"/>
      <c r="U35" s="25" t="e">
        <f t="shared" si="5"/>
        <v>#DIV/0!</v>
      </c>
      <c r="W35" s="26"/>
      <c r="X35" s="25" t="e">
        <f t="shared" si="6"/>
        <v>#DIV/0!</v>
      </c>
      <c r="Z35" s="26"/>
      <c r="AA35" s="25" t="e">
        <f t="shared" si="22"/>
        <v>#DIV/0!</v>
      </c>
      <c r="AC35" s="26"/>
      <c r="AD35" s="25" t="e">
        <f t="shared" si="8"/>
        <v>#DIV/0!</v>
      </c>
      <c r="AF35" s="26"/>
      <c r="AG35" s="25" t="e">
        <f t="shared" si="9"/>
        <v>#DIV/0!</v>
      </c>
      <c r="AI35" s="26"/>
      <c r="AJ35" s="25" t="e">
        <f t="shared" si="10"/>
        <v>#DIV/0!</v>
      </c>
      <c r="AL35" s="26"/>
      <c r="AM35" s="25" t="e">
        <f t="shared" si="11"/>
        <v>#DIV/0!</v>
      </c>
      <c r="AO35" s="26">
        <f t="shared" si="25"/>
        <v>0</v>
      </c>
      <c r="AP35" s="25">
        <f t="shared" si="12"/>
        <v>0</v>
      </c>
    </row>
    <row r="36" spans="1:42" outlineLevel="2">
      <c r="A36" s="14" t="s">
        <v>47</v>
      </c>
      <c r="B36" s="22">
        <v>5207000022</v>
      </c>
      <c r="C36" s="22" t="s">
        <v>59</v>
      </c>
      <c r="D36" s="22" t="s">
        <v>54</v>
      </c>
      <c r="E36" s="23">
        <v>0</v>
      </c>
      <c r="F36" s="24">
        <f t="shared" si="0"/>
        <v>0</v>
      </c>
      <c r="H36" s="23">
        <v>0</v>
      </c>
      <c r="I36" s="25">
        <f t="shared" si="1"/>
        <v>0</v>
      </c>
      <c r="K36" s="23">
        <v>0</v>
      </c>
      <c r="L36" s="25">
        <f t="shared" si="2"/>
        <v>0</v>
      </c>
      <c r="N36" s="26">
        <v>0</v>
      </c>
      <c r="O36" s="25">
        <f t="shared" si="3"/>
        <v>0</v>
      </c>
      <c r="Q36" s="26">
        <v>0</v>
      </c>
      <c r="R36" s="25">
        <f t="shared" si="4"/>
        <v>0</v>
      </c>
      <c r="T36" s="26"/>
      <c r="U36" s="25" t="e">
        <f t="shared" si="5"/>
        <v>#DIV/0!</v>
      </c>
      <c r="W36" s="26"/>
      <c r="X36" s="25" t="e">
        <f t="shared" si="6"/>
        <v>#DIV/0!</v>
      </c>
      <c r="Z36" s="26"/>
      <c r="AA36" s="25" t="e">
        <f t="shared" si="22"/>
        <v>#DIV/0!</v>
      </c>
      <c r="AC36" s="26"/>
      <c r="AD36" s="25" t="e">
        <f t="shared" si="8"/>
        <v>#DIV/0!</v>
      </c>
      <c r="AF36" s="26"/>
      <c r="AG36" s="25" t="e">
        <f t="shared" si="9"/>
        <v>#DIV/0!</v>
      </c>
      <c r="AI36" s="26"/>
      <c r="AJ36" s="25" t="e">
        <f t="shared" si="10"/>
        <v>#DIV/0!</v>
      </c>
      <c r="AL36" s="26"/>
      <c r="AM36" s="25" t="e">
        <f t="shared" si="11"/>
        <v>#DIV/0!</v>
      </c>
      <c r="AO36" s="26">
        <f t="shared" si="25"/>
        <v>0</v>
      </c>
      <c r="AP36" s="25">
        <f t="shared" si="12"/>
        <v>0</v>
      </c>
    </row>
    <row r="37" spans="1:42" outlineLevel="2">
      <c r="A37" s="14" t="s">
        <v>26</v>
      </c>
      <c r="B37" s="22">
        <v>5301060000</v>
      </c>
      <c r="C37" s="22" t="s">
        <v>60</v>
      </c>
      <c r="D37" s="22" t="s">
        <v>54</v>
      </c>
      <c r="E37" s="23">
        <v>-2.6004499999999999</v>
      </c>
      <c r="F37" s="24">
        <f t="shared" si="0"/>
        <v>-2.6640952351681676E-2</v>
      </c>
      <c r="H37" s="23">
        <v>0</v>
      </c>
      <c r="I37" s="25">
        <f t="shared" si="1"/>
        <v>0</v>
      </c>
      <c r="K37" s="23">
        <v>-7.3766699999999998</v>
      </c>
      <c r="L37" s="25">
        <f t="shared" si="2"/>
        <v>-6.8699430040232462E-2</v>
      </c>
      <c r="N37" s="26">
        <v>-3.0956600000000005</v>
      </c>
      <c r="O37" s="25">
        <f t="shared" si="3"/>
        <v>-2.8048020295370124E-2</v>
      </c>
      <c r="Q37" s="26">
        <v>-2.8489999999999998E-2</v>
      </c>
      <c r="R37" s="25">
        <f t="shared" si="4"/>
        <v>-4.2188032163006619E-4</v>
      </c>
      <c r="T37" s="26"/>
      <c r="U37" s="25" t="e">
        <f t="shared" si="5"/>
        <v>#DIV/0!</v>
      </c>
      <c r="W37" s="26"/>
      <c r="X37" s="25" t="e">
        <f t="shared" si="6"/>
        <v>#DIV/0!</v>
      </c>
      <c r="Z37" s="26"/>
      <c r="AA37" s="25" t="e">
        <f t="shared" si="22"/>
        <v>#DIV/0!</v>
      </c>
      <c r="AC37" s="26"/>
      <c r="AD37" s="25" t="e">
        <f t="shared" si="8"/>
        <v>#DIV/0!</v>
      </c>
      <c r="AF37" s="26"/>
      <c r="AG37" s="25" t="e">
        <f t="shared" si="9"/>
        <v>#DIV/0!</v>
      </c>
      <c r="AI37" s="26"/>
      <c r="AJ37" s="25" t="e">
        <f t="shared" si="10"/>
        <v>#DIV/0!</v>
      </c>
      <c r="AL37" s="26"/>
      <c r="AM37" s="25" t="e">
        <f t="shared" si="11"/>
        <v>#DIV/0!</v>
      </c>
      <c r="AO37" s="26">
        <f t="shared" si="25"/>
        <v>-13.10127</v>
      </c>
      <c r="AP37" s="25">
        <f t="shared" si="12"/>
        <v>-2.6781995249211949E-2</v>
      </c>
    </row>
    <row r="38" spans="1:42" outlineLevel="2">
      <c r="A38" s="14" t="s">
        <v>26</v>
      </c>
      <c r="B38" s="22">
        <v>5301999999</v>
      </c>
      <c r="C38" s="22" t="s">
        <v>61</v>
      </c>
      <c r="D38" s="22" t="s">
        <v>54</v>
      </c>
      <c r="E38" s="23">
        <v>0</v>
      </c>
      <c r="F38" s="24">
        <f t="shared" si="0"/>
        <v>0</v>
      </c>
      <c r="H38" s="23">
        <v>-0.44035000000000002</v>
      </c>
      <c r="I38" s="25">
        <f t="shared" si="1"/>
        <v>-4.1427550002822366E-3</v>
      </c>
      <c r="K38" s="23">
        <v>-4.5716899999999994</v>
      </c>
      <c r="L38" s="25">
        <f t="shared" si="2"/>
        <v>-4.2576460289077626E-2</v>
      </c>
      <c r="N38" s="26">
        <v>-0.30975999999999998</v>
      </c>
      <c r="O38" s="25">
        <f t="shared" si="3"/>
        <v>-2.8065597535562197E-3</v>
      </c>
      <c r="Q38" s="26">
        <v>-0.31298999999999999</v>
      </c>
      <c r="R38" s="25">
        <f t="shared" si="4"/>
        <v>-4.6347603322918363E-3</v>
      </c>
      <c r="T38" s="26"/>
      <c r="U38" s="25" t="e">
        <f t="shared" si="5"/>
        <v>#DIV/0!</v>
      </c>
      <c r="W38" s="26"/>
      <c r="X38" s="25" t="e">
        <f t="shared" si="6"/>
        <v>#DIV/0!</v>
      </c>
      <c r="Z38" s="26"/>
      <c r="AA38" s="25" t="e">
        <f t="shared" si="22"/>
        <v>#DIV/0!</v>
      </c>
      <c r="AC38" s="26"/>
      <c r="AD38" s="25" t="e">
        <f t="shared" si="8"/>
        <v>#DIV/0!</v>
      </c>
      <c r="AF38" s="26"/>
      <c r="AG38" s="25" t="e">
        <f t="shared" si="9"/>
        <v>#DIV/0!</v>
      </c>
      <c r="AI38" s="26"/>
      <c r="AJ38" s="25" t="e">
        <f t="shared" si="10"/>
        <v>#DIV/0!</v>
      </c>
      <c r="AL38" s="26"/>
      <c r="AM38" s="25" t="e">
        <f t="shared" si="11"/>
        <v>#DIV/0!</v>
      </c>
      <c r="AO38" s="26">
        <f t="shared" si="25"/>
        <v>-5.6347899999999989</v>
      </c>
      <c r="AP38" s="25">
        <f t="shared" si="12"/>
        <v>-1.1518800773536227E-2</v>
      </c>
    </row>
    <row r="39" spans="1:42" outlineLevel="2">
      <c r="A39" s="14" t="s">
        <v>26</v>
      </c>
      <c r="B39" s="22">
        <v>5405030000</v>
      </c>
      <c r="C39" s="22" t="s">
        <v>62</v>
      </c>
      <c r="D39" s="22" t="s">
        <v>54</v>
      </c>
      <c r="E39" s="23">
        <v>2.1999999999974536E-4</v>
      </c>
      <c r="F39" s="24">
        <f t="shared" si="0"/>
        <v>2.2538443413113826E-6</v>
      </c>
      <c r="H39" s="23">
        <v>-2.2000000000000001E-4</v>
      </c>
      <c r="I39" s="25">
        <f t="shared" si="1"/>
        <v>-2.0697311231113706E-6</v>
      </c>
      <c r="K39" s="23">
        <v>-9.9999999999909054E-6</v>
      </c>
      <c r="L39" s="25">
        <f t="shared" si="2"/>
        <v>-9.3130680971454576E-8</v>
      </c>
      <c r="N39" s="26">
        <v>-1.8900436771218666E-15</v>
      </c>
      <c r="O39" s="25">
        <f t="shared" si="3"/>
        <v>-1.7124614271286278E-17</v>
      </c>
      <c r="Q39" s="26">
        <v>-1.9999999999882335E-5</v>
      </c>
      <c r="R39" s="25">
        <f t="shared" si="4"/>
        <v>-2.9616028194284602E-7</v>
      </c>
      <c r="T39" s="26"/>
      <c r="U39" s="25" t="e">
        <f t="shared" si="5"/>
        <v>#DIV/0!</v>
      </c>
      <c r="W39" s="26"/>
      <c r="X39" s="25" t="e">
        <f t="shared" si="6"/>
        <v>#DIV/0!</v>
      </c>
      <c r="Z39" s="26"/>
      <c r="AA39" s="25" t="e">
        <f t="shared" si="22"/>
        <v>#DIV/0!</v>
      </c>
      <c r="AC39" s="26"/>
      <c r="AD39" s="25" t="e">
        <f t="shared" si="8"/>
        <v>#DIV/0!</v>
      </c>
      <c r="AF39" s="26"/>
      <c r="AG39" s="25" t="e">
        <f t="shared" si="9"/>
        <v>#DIV/0!</v>
      </c>
      <c r="AI39" s="26"/>
      <c r="AJ39" s="25" t="e">
        <f t="shared" si="10"/>
        <v>#DIV/0!</v>
      </c>
      <c r="AL39" s="26"/>
      <c r="AM39" s="25" t="e">
        <f t="shared" si="11"/>
        <v>#DIV/0!</v>
      </c>
      <c r="AO39" s="26">
        <f t="shared" si="24"/>
        <v>-3.0000000002017935E-5</v>
      </c>
      <c r="AP39" s="25">
        <f t="shared" si="12"/>
        <v>-6.1326868122739456E-8</v>
      </c>
    </row>
    <row r="40" spans="1:42" outlineLevel="2">
      <c r="A40" s="14" t="s">
        <v>26</v>
      </c>
      <c r="B40" s="22">
        <v>5601050000</v>
      </c>
      <c r="C40" s="22" t="s">
        <v>63</v>
      </c>
      <c r="D40" s="22" t="s">
        <v>54</v>
      </c>
      <c r="E40" s="23">
        <v>0</v>
      </c>
      <c r="F40" s="24">
        <f t="shared" si="0"/>
        <v>0</v>
      </c>
      <c r="H40" s="23">
        <v>0</v>
      </c>
      <c r="I40" s="25">
        <f t="shared" si="1"/>
        <v>0</v>
      </c>
      <c r="K40" s="23">
        <v>0</v>
      </c>
      <c r="L40" s="25">
        <f t="shared" si="2"/>
        <v>0</v>
      </c>
      <c r="N40" s="26">
        <v>0</v>
      </c>
      <c r="O40" s="25">
        <f t="shared" si="3"/>
        <v>0</v>
      </c>
      <c r="Q40" s="26">
        <v>0</v>
      </c>
      <c r="R40" s="25">
        <f t="shared" si="4"/>
        <v>0</v>
      </c>
      <c r="T40" s="26"/>
      <c r="U40" s="25" t="e">
        <f t="shared" si="5"/>
        <v>#DIV/0!</v>
      </c>
      <c r="W40" s="26"/>
      <c r="X40" s="25" t="e">
        <f t="shared" si="6"/>
        <v>#DIV/0!</v>
      </c>
      <c r="Z40" s="26"/>
      <c r="AA40" s="25" t="e">
        <f t="shared" si="22"/>
        <v>#DIV/0!</v>
      </c>
      <c r="AC40" s="26"/>
      <c r="AD40" s="25" t="e">
        <f t="shared" si="8"/>
        <v>#DIV/0!</v>
      </c>
      <c r="AF40" s="26"/>
      <c r="AG40" s="25" t="e">
        <f t="shared" si="9"/>
        <v>#DIV/0!</v>
      </c>
      <c r="AI40" s="26"/>
      <c r="AJ40" s="25" t="e">
        <f t="shared" si="10"/>
        <v>#DIV/0!</v>
      </c>
      <c r="AL40" s="26"/>
      <c r="AM40" s="25" t="e">
        <f t="shared" si="11"/>
        <v>#DIV/0!</v>
      </c>
      <c r="AO40" s="26">
        <f t="shared" ref="AO40:AO46" si="26">H40+E40+K40+N40+Q40+T40+W40+Z40+AC40+AF40+AI40+AL40</f>
        <v>0</v>
      </c>
      <c r="AP40" s="25">
        <f t="shared" si="12"/>
        <v>0</v>
      </c>
    </row>
    <row r="41" spans="1:42" outlineLevel="2">
      <c r="A41" s="14" t="s">
        <v>26</v>
      </c>
      <c r="B41" s="22">
        <v>5601050100</v>
      </c>
      <c r="C41" s="22" t="s">
        <v>64</v>
      </c>
      <c r="D41" s="22" t="s">
        <v>54</v>
      </c>
      <c r="E41" s="23">
        <v>0</v>
      </c>
      <c r="F41" s="24">
        <f t="shared" si="0"/>
        <v>0</v>
      </c>
      <c r="H41" s="23">
        <v>0</v>
      </c>
      <c r="I41" s="25">
        <f t="shared" si="1"/>
        <v>0</v>
      </c>
      <c r="K41" s="23">
        <v>0</v>
      </c>
      <c r="L41" s="25">
        <f t="shared" si="2"/>
        <v>0</v>
      </c>
      <c r="N41" s="26">
        <v>0</v>
      </c>
      <c r="O41" s="25">
        <f t="shared" si="3"/>
        <v>0</v>
      </c>
      <c r="Q41" s="26">
        <v>6.3140000000000002E-2</v>
      </c>
      <c r="R41" s="25">
        <f t="shared" si="4"/>
        <v>9.3497801009906562E-4</v>
      </c>
      <c r="T41" s="26"/>
      <c r="U41" s="25" t="e">
        <f t="shared" si="5"/>
        <v>#DIV/0!</v>
      </c>
      <c r="W41" s="26"/>
      <c r="X41" s="25" t="e">
        <f t="shared" si="6"/>
        <v>#DIV/0!</v>
      </c>
      <c r="Z41" s="26"/>
      <c r="AA41" s="25" t="e">
        <f t="shared" si="22"/>
        <v>#DIV/0!</v>
      </c>
      <c r="AC41" s="26"/>
      <c r="AD41" s="25" t="e">
        <f t="shared" si="8"/>
        <v>#DIV/0!</v>
      </c>
      <c r="AF41" s="26"/>
      <c r="AG41" s="25" t="e">
        <f t="shared" si="9"/>
        <v>#DIV/0!</v>
      </c>
      <c r="AI41" s="26"/>
      <c r="AJ41" s="25" t="e">
        <f t="shared" si="10"/>
        <v>#DIV/0!</v>
      </c>
      <c r="AL41" s="26"/>
      <c r="AM41" s="25" t="e">
        <f t="shared" si="11"/>
        <v>#DIV/0!</v>
      </c>
      <c r="AO41" s="26">
        <f t="shared" si="26"/>
        <v>6.3140000000000002E-2</v>
      </c>
      <c r="AP41" s="25">
        <f t="shared" si="12"/>
        <v>1.2907261510031033E-4</v>
      </c>
    </row>
    <row r="42" spans="1:42" outlineLevel="2">
      <c r="A42" s="14" t="s">
        <v>26</v>
      </c>
      <c r="B42" s="22">
        <v>5102040893</v>
      </c>
      <c r="C42" s="40" t="s">
        <v>65</v>
      </c>
      <c r="D42" s="22" t="s">
        <v>54</v>
      </c>
      <c r="E42" s="23">
        <v>0</v>
      </c>
      <c r="F42" s="24">
        <f t="shared" si="0"/>
        <v>0</v>
      </c>
      <c r="H42" s="23">
        <v>0</v>
      </c>
      <c r="I42" s="25">
        <f t="shared" si="1"/>
        <v>0</v>
      </c>
      <c r="K42" s="23">
        <v>0</v>
      </c>
      <c r="L42" s="25">
        <f t="shared" si="2"/>
        <v>0</v>
      </c>
      <c r="N42" s="26">
        <v>0</v>
      </c>
      <c r="O42" s="25">
        <f t="shared" si="3"/>
        <v>0</v>
      </c>
      <c r="Q42" s="26">
        <v>0</v>
      </c>
      <c r="R42" s="25">
        <f t="shared" si="4"/>
        <v>0</v>
      </c>
      <c r="T42" s="26"/>
      <c r="U42" s="25" t="e">
        <f t="shared" si="5"/>
        <v>#DIV/0!</v>
      </c>
      <c r="W42" s="26"/>
      <c r="X42" s="25" t="e">
        <f t="shared" si="6"/>
        <v>#DIV/0!</v>
      </c>
      <c r="Z42" s="26"/>
      <c r="AA42" s="25" t="e">
        <f t="shared" si="22"/>
        <v>#DIV/0!</v>
      </c>
      <c r="AC42" s="26"/>
      <c r="AD42" s="25" t="e">
        <f t="shared" si="8"/>
        <v>#DIV/0!</v>
      </c>
      <c r="AF42" s="26"/>
      <c r="AG42" s="25" t="e">
        <f t="shared" si="9"/>
        <v>#DIV/0!</v>
      </c>
      <c r="AI42" s="26"/>
      <c r="AJ42" s="25" t="e">
        <f t="shared" si="10"/>
        <v>#DIV/0!</v>
      </c>
      <c r="AL42" s="26"/>
      <c r="AM42" s="25" t="e">
        <f t="shared" si="11"/>
        <v>#DIV/0!</v>
      </c>
      <c r="AO42" s="26">
        <f t="shared" si="26"/>
        <v>0</v>
      </c>
      <c r="AP42" s="25">
        <f t="shared" si="12"/>
        <v>0</v>
      </c>
    </row>
    <row r="43" spans="1:42" outlineLevel="2">
      <c r="A43" s="14" t="s">
        <v>26</v>
      </c>
      <c r="B43" s="22">
        <v>5801000041</v>
      </c>
      <c r="C43" s="22" t="s">
        <v>66</v>
      </c>
      <c r="D43" s="22" t="s">
        <v>54</v>
      </c>
      <c r="E43" s="23">
        <v>0</v>
      </c>
      <c r="F43" s="24">
        <f t="shared" si="0"/>
        <v>0</v>
      </c>
      <c r="H43" s="23">
        <v>0</v>
      </c>
      <c r="I43" s="25">
        <f t="shared" si="1"/>
        <v>0</v>
      </c>
      <c r="K43" s="23">
        <v>0</v>
      </c>
      <c r="L43" s="25">
        <f t="shared" si="2"/>
        <v>0</v>
      </c>
      <c r="N43" s="26">
        <v>0</v>
      </c>
      <c r="O43" s="25">
        <f t="shared" si="3"/>
        <v>0</v>
      </c>
      <c r="Q43" s="26">
        <v>0</v>
      </c>
      <c r="R43" s="25">
        <f t="shared" si="4"/>
        <v>0</v>
      </c>
      <c r="T43" s="26"/>
      <c r="U43" s="25" t="e">
        <f t="shared" si="5"/>
        <v>#DIV/0!</v>
      </c>
      <c r="W43" s="26"/>
      <c r="X43" s="25" t="e">
        <f t="shared" si="6"/>
        <v>#DIV/0!</v>
      </c>
      <c r="Z43" s="26"/>
      <c r="AA43" s="25" t="e">
        <f t="shared" si="22"/>
        <v>#DIV/0!</v>
      </c>
      <c r="AC43" s="26"/>
      <c r="AD43" s="25" t="e">
        <f t="shared" si="8"/>
        <v>#DIV/0!</v>
      </c>
      <c r="AF43" s="26"/>
      <c r="AG43" s="25" t="e">
        <f t="shared" si="9"/>
        <v>#DIV/0!</v>
      </c>
      <c r="AI43" s="26"/>
      <c r="AJ43" s="25" t="e">
        <f t="shared" si="10"/>
        <v>#DIV/0!</v>
      </c>
      <c r="AL43" s="26"/>
      <c r="AM43" s="25" t="e">
        <f t="shared" si="11"/>
        <v>#DIV/0!</v>
      </c>
      <c r="AO43" s="26">
        <f t="shared" si="26"/>
        <v>0</v>
      </c>
      <c r="AP43" s="25">
        <f t="shared" si="12"/>
        <v>0</v>
      </c>
    </row>
    <row r="44" spans="1:42" outlineLevel="2">
      <c r="A44" s="14" t="s">
        <v>26</v>
      </c>
      <c r="B44" s="22">
        <v>6666010322</v>
      </c>
      <c r="C44" s="22" t="s">
        <v>67</v>
      </c>
      <c r="D44" s="22" t="s">
        <v>54</v>
      </c>
      <c r="E44" s="23">
        <v>0.8637800000000001</v>
      </c>
      <c r="F44" s="24">
        <f t="shared" si="0"/>
        <v>8.8492075688190903E-3</v>
      </c>
      <c r="H44" s="23">
        <v>2.4104399999999999</v>
      </c>
      <c r="I44" s="25">
        <f t="shared" si="1"/>
        <v>2.2677103129057144E-2</v>
      </c>
      <c r="K44" s="23">
        <v>0.75366000000000011</v>
      </c>
      <c r="L44" s="25">
        <f t="shared" si="2"/>
        <v>7.0188869021010286E-3</v>
      </c>
      <c r="N44" s="26">
        <v>1.1502699999999999</v>
      </c>
      <c r="O44" s="25">
        <f t="shared" si="3"/>
        <v>1.0421944368940835E-2</v>
      </c>
      <c r="Q44" s="26">
        <v>-0.64188999999999996</v>
      </c>
      <c r="R44" s="25">
        <f t="shared" si="4"/>
        <v>-9.5051161688705921E-3</v>
      </c>
      <c r="T44" s="26"/>
      <c r="U44" s="25" t="e">
        <f t="shared" si="5"/>
        <v>#DIV/0!</v>
      </c>
      <c r="W44" s="26"/>
      <c r="X44" s="25" t="e">
        <f t="shared" si="6"/>
        <v>#DIV/0!</v>
      </c>
      <c r="Z44" s="26"/>
      <c r="AA44" s="25" t="e">
        <f t="shared" si="22"/>
        <v>#DIV/0!</v>
      </c>
      <c r="AC44" s="26"/>
      <c r="AD44" s="25" t="e">
        <f t="shared" si="8"/>
        <v>#DIV/0!</v>
      </c>
      <c r="AF44" s="26"/>
      <c r="AG44" s="25" t="e">
        <f t="shared" si="9"/>
        <v>#DIV/0!</v>
      </c>
      <c r="AI44" s="26"/>
      <c r="AJ44" s="25" t="e">
        <f t="shared" si="10"/>
        <v>#DIV/0!</v>
      </c>
      <c r="AL44" s="26"/>
      <c r="AM44" s="25" t="e">
        <f t="shared" si="11"/>
        <v>#DIV/0!</v>
      </c>
      <c r="AO44" s="26">
        <f t="shared" si="26"/>
        <v>4.5362600000000004</v>
      </c>
      <c r="AP44" s="25">
        <f t="shared" si="12"/>
        <v>9.2731539590581828E-3</v>
      </c>
    </row>
    <row r="45" spans="1:42" outlineLevel="2">
      <c r="A45" s="14" t="s">
        <v>26</v>
      </c>
      <c r="B45" s="22">
        <v>6666020101</v>
      </c>
      <c r="C45" s="22" t="s">
        <v>68</v>
      </c>
      <c r="D45" s="22" t="s">
        <v>54</v>
      </c>
      <c r="E45" s="23">
        <v>0</v>
      </c>
      <c r="F45" s="24">
        <f t="shared" si="0"/>
        <v>0</v>
      </c>
      <c r="H45" s="23">
        <v>0</v>
      </c>
      <c r="I45" s="25">
        <f t="shared" si="1"/>
        <v>0</v>
      </c>
      <c r="K45" s="23">
        <v>1.05206</v>
      </c>
      <c r="L45" s="25">
        <f t="shared" si="2"/>
        <v>9.7979064222917609E-3</v>
      </c>
      <c r="N45" s="26">
        <v>4.3400000000000001E-3</v>
      </c>
      <c r="O45" s="25">
        <f t="shared" si="3"/>
        <v>3.9322279604965118E-5</v>
      </c>
      <c r="Q45" s="26">
        <v>1.2346799999999998</v>
      </c>
      <c r="R45" s="25">
        <f t="shared" si="4"/>
        <v>1.8283158845567218E-2</v>
      </c>
      <c r="T45" s="26"/>
      <c r="U45" s="25" t="e">
        <f t="shared" si="5"/>
        <v>#DIV/0!</v>
      </c>
      <c r="W45" s="26"/>
      <c r="X45" s="25" t="e">
        <f t="shared" si="6"/>
        <v>#DIV/0!</v>
      </c>
      <c r="Z45" s="26"/>
      <c r="AA45" s="25" t="e">
        <f t="shared" si="22"/>
        <v>#DIV/0!</v>
      </c>
      <c r="AC45" s="26"/>
      <c r="AD45" s="25" t="e">
        <f t="shared" si="8"/>
        <v>#DIV/0!</v>
      </c>
      <c r="AF45" s="26"/>
      <c r="AG45" s="25" t="e">
        <f t="shared" si="9"/>
        <v>#DIV/0!</v>
      </c>
      <c r="AI45" s="26"/>
      <c r="AJ45" s="25" t="e">
        <f t="shared" si="10"/>
        <v>#DIV/0!</v>
      </c>
      <c r="AL45" s="26"/>
      <c r="AM45" s="25" t="e">
        <f t="shared" si="11"/>
        <v>#DIV/0!</v>
      </c>
      <c r="AO45" s="26">
        <f t="shared" si="26"/>
        <v>2.29108</v>
      </c>
      <c r="AP45" s="25">
        <f t="shared" si="12"/>
        <v>4.6834920336398314E-3</v>
      </c>
    </row>
    <row r="46" spans="1:42" outlineLevel="2">
      <c r="A46" s="14" t="s">
        <v>26</v>
      </c>
      <c r="B46" s="22">
        <v>6666020201</v>
      </c>
      <c r="C46" s="22" t="s">
        <v>69</v>
      </c>
      <c r="D46" s="22" t="s">
        <v>54</v>
      </c>
      <c r="E46" s="23">
        <v>-6.9330000000000003E-2</v>
      </c>
      <c r="F46" s="24">
        <f t="shared" si="0"/>
        <v>-7.1026830992408651E-4</v>
      </c>
      <c r="H46" s="23">
        <v>3.1600000000000003E-2</v>
      </c>
      <c r="I46" s="25">
        <f t="shared" si="1"/>
        <v>2.9728865222872409E-4</v>
      </c>
      <c r="K46" s="23">
        <v>0.17091999999999999</v>
      </c>
      <c r="L46" s="25">
        <f t="shared" si="2"/>
        <v>1.5917895991655489E-3</v>
      </c>
      <c r="N46" s="26">
        <v>7.7909999999999993E-2</v>
      </c>
      <c r="O46" s="25">
        <f t="shared" si="3"/>
        <v>7.0589834194074465E-4</v>
      </c>
      <c r="Q46" s="26">
        <v>0</v>
      </c>
      <c r="R46" s="25">
        <f t="shared" si="4"/>
        <v>0</v>
      </c>
      <c r="T46" s="26"/>
      <c r="U46" s="25" t="e">
        <f t="shared" si="5"/>
        <v>#DIV/0!</v>
      </c>
      <c r="W46" s="26"/>
      <c r="X46" s="25" t="e">
        <f t="shared" si="6"/>
        <v>#DIV/0!</v>
      </c>
      <c r="Z46" s="26"/>
      <c r="AA46" s="25" t="e">
        <f t="shared" si="22"/>
        <v>#DIV/0!</v>
      </c>
      <c r="AC46" s="26"/>
      <c r="AD46" s="25" t="e">
        <f t="shared" si="8"/>
        <v>#DIV/0!</v>
      </c>
      <c r="AF46" s="26"/>
      <c r="AG46" s="25" t="e">
        <f t="shared" si="9"/>
        <v>#DIV/0!</v>
      </c>
      <c r="AI46" s="26"/>
      <c r="AJ46" s="25" t="e">
        <f t="shared" si="10"/>
        <v>#DIV/0!</v>
      </c>
      <c r="AL46" s="26"/>
      <c r="AM46" s="25" t="e">
        <f t="shared" si="11"/>
        <v>#DIV/0!</v>
      </c>
      <c r="AO46" s="26">
        <f t="shared" si="26"/>
        <v>0.21109999999999995</v>
      </c>
      <c r="AP46" s="25">
        <f t="shared" si="12"/>
        <v>4.3153672866131618E-4</v>
      </c>
    </row>
    <row r="47" spans="1:42" outlineLevel="2">
      <c r="A47" s="14" t="s">
        <v>26</v>
      </c>
      <c r="B47" s="22">
        <v>6666020202</v>
      </c>
      <c r="C47" s="22" t="s">
        <v>70</v>
      </c>
      <c r="D47" s="22" t="s">
        <v>54</v>
      </c>
      <c r="E47" s="23">
        <v>0</v>
      </c>
      <c r="F47" s="24">
        <f t="shared" si="0"/>
        <v>0</v>
      </c>
      <c r="H47" s="23">
        <v>0.4</v>
      </c>
      <c r="I47" s="25">
        <f t="shared" si="1"/>
        <v>3.7631474965661282E-3</v>
      </c>
      <c r="K47" s="23">
        <v>0</v>
      </c>
      <c r="L47" s="25">
        <f t="shared" si="2"/>
        <v>0</v>
      </c>
      <c r="N47" s="26">
        <v>0.35197000000000001</v>
      </c>
      <c r="O47" s="25">
        <f t="shared" si="3"/>
        <v>3.1890006342303163E-3</v>
      </c>
      <c r="Q47" s="26">
        <v>3.4369999999999998E-2</v>
      </c>
      <c r="R47" s="25">
        <f t="shared" si="4"/>
        <v>5.0895144452177507E-4</v>
      </c>
      <c r="T47" s="26"/>
      <c r="U47" s="25" t="e">
        <f t="shared" si="5"/>
        <v>#DIV/0!</v>
      </c>
      <c r="W47" s="26"/>
      <c r="X47" s="25" t="e">
        <f t="shared" si="6"/>
        <v>#DIV/0!</v>
      </c>
      <c r="Z47" s="26"/>
      <c r="AA47" s="25" t="e">
        <f t="shared" si="22"/>
        <v>#DIV/0!</v>
      </c>
      <c r="AC47" s="26"/>
      <c r="AD47" s="25" t="e">
        <f t="shared" si="8"/>
        <v>#DIV/0!</v>
      </c>
      <c r="AF47" s="26"/>
      <c r="AG47" s="25" t="e">
        <f t="shared" si="9"/>
        <v>#DIV/0!</v>
      </c>
      <c r="AI47" s="26"/>
      <c r="AJ47" s="25" t="e">
        <f t="shared" si="10"/>
        <v>#DIV/0!</v>
      </c>
      <c r="AL47" s="26"/>
      <c r="AM47" s="25" t="e">
        <f t="shared" si="11"/>
        <v>#DIV/0!</v>
      </c>
      <c r="AO47" s="26">
        <f t="shared" si="24"/>
        <v>0.78634000000000004</v>
      </c>
      <c r="AP47" s="25">
        <f t="shared" si="12"/>
        <v>1.6074589825463734E-3</v>
      </c>
    </row>
    <row r="48" spans="1:42" outlineLevel="2">
      <c r="A48" s="14" t="s">
        <v>26</v>
      </c>
      <c r="B48" s="22">
        <v>6666020204</v>
      </c>
      <c r="C48" s="22" t="s">
        <v>71</v>
      </c>
      <c r="D48" s="22" t="s">
        <v>54</v>
      </c>
      <c r="E48" s="23">
        <v>0</v>
      </c>
      <c r="F48" s="24">
        <f t="shared" si="0"/>
        <v>0</v>
      </c>
      <c r="H48" s="23">
        <v>0</v>
      </c>
      <c r="I48" s="25">
        <f t="shared" si="1"/>
        <v>0</v>
      </c>
      <c r="K48" s="23">
        <v>1.4939100000000001</v>
      </c>
      <c r="L48" s="25">
        <f t="shared" si="2"/>
        <v>1.3912885561019222E-2</v>
      </c>
      <c r="N48" s="26">
        <v>4.8643599999999996</v>
      </c>
      <c r="O48" s="25">
        <f t="shared" si="3"/>
        <v>4.4073208299356702E-2</v>
      </c>
      <c r="Q48" s="26">
        <v>1.8247200000000001</v>
      </c>
      <c r="R48" s="25">
        <f t="shared" si="4"/>
        <v>2.7020479483496472E-2</v>
      </c>
      <c r="T48" s="26"/>
      <c r="U48" s="25" t="e">
        <f t="shared" si="5"/>
        <v>#DIV/0!</v>
      </c>
      <c r="W48" s="26"/>
      <c r="X48" s="25" t="e">
        <f t="shared" si="6"/>
        <v>#DIV/0!</v>
      </c>
      <c r="Z48" s="26"/>
      <c r="AA48" s="25" t="e">
        <f t="shared" si="22"/>
        <v>#DIV/0!</v>
      </c>
      <c r="AC48" s="26"/>
      <c r="AD48" s="25" t="e">
        <f t="shared" si="8"/>
        <v>#DIV/0!</v>
      </c>
      <c r="AF48" s="26"/>
      <c r="AG48" s="25" t="e">
        <f t="shared" si="9"/>
        <v>#DIV/0!</v>
      </c>
      <c r="AI48" s="26"/>
      <c r="AJ48" s="25" t="e">
        <f t="shared" si="10"/>
        <v>#DIV/0!</v>
      </c>
      <c r="AL48" s="26"/>
      <c r="AM48" s="25" t="e">
        <f t="shared" si="11"/>
        <v>#DIV/0!</v>
      </c>
      <c r="AO48" s="26">
        <f t="shared" ref="AO48:AO64" si="27">H48+E48+K48+N48+Q48+T48+W48+Z48+AC48+AF48+AI48+AL48</f>
        <v>8.1829900000000002</v>
      </c>
      <c r="AP48" s="25">
        <f t="shared" si="12"/>
        <v>1.6727904951531331E-2</v>
      </c>
    </row>
    <row r="49" spans="1:42" outlineLevel="2">
      <c r="A49" s="14" t="s">
        <v>26</v>
      </c>
      <c r="B49" s="22">
        <v>6666020205</v>
      </c>
      <c r="C49" s="22" t="s">
        <v>72</v>
      </c>
      <c r="D49" s="22" t="s">
        <v>54</v>
      </c>
      <c r="E49" s="23">
        <v>0</v>
      </c>
      <c r="F49" s="24">
        <f t="shared" si="0"/>
        <v>0</v>
      </c>
      <c r="H49" s="23">
        <v>0</v>
      </c>
      <c r="I49" s="25">
        <f t="shared" si="1"/>
        <v>0</v>
      </c>
      <c r="K49" s="23">
        <v>0</v>
      </c>
      <c r="L49" s="25">
        <f t="shared" si="2"/>
        <v>0</v>
      </c>
      <c r="N49" s="26">
        <v>0</v>
      </c>
      <c r="O49" s="25">
        <f t="shared" si="3"/>
        <v>0</v>
      </c>
      <c r="Q49" s="26">
        <v>0</v>
      </c>
      <c r="R49" s="25">
        <f t="shared" si="4"/>
        <v>0</v>
      </c>
      <c r="T49" s="26"/>
      <c r="U49" s="25" t="e">
        <f t="shared" si="5"/>
        <v>#DIV/0!</v>
      </c>
      <c r="W49" s="26"/>
      <c r="X49" s="25" t="e">
        <f t="shared" si="6"/>
        <v>#DIV/0!</v>
      </c>
      <c r="Z49" s="26"/>
      <c r="AA49" s="25" t="e">
        <f t="shared" si="22"/>
        <v>#DIV/0!</v>
      </c>
      <c r="AC49" s="26"/>
      <c r="AD49" s="25" t="e">
        <f t="shared" si="8"/>
        <v>#DIV/0!</v>
      </c>
      <c r="AF49" s="26"/>
      <c r="AG49" s="25" t="e">
        <f t="shared" si="9"/>
        <v>#DIV/0!</v>
      </c>
      <c r="AI49" s="26"/>
      <c r="AJ49" s="25" t="e">
        <f t="shared" si="10"/>
        <v>#DIV/0!</v>
      </c>
      <c r="AL49" s="26"/>
      <c r="AM49" s="25" t="e">
        <f t="shared" si="11"/>
        <v>#DIV/0!</v>
      </c>
      <c r="AO49" s="26">
        <f t="shared" si="27"/>
        <v>0</v>
      </c>
      <c r="AP49" s="25">
        <f t="shared" si="12"/>
        <v>0</v>
      </c>
    </row>
    <row r="50" spans="1:42" outlineLevel="2">
      <c r="A50" s="14" t="s">
        <v>26</v>
      </c>
      <c r="B50" s="22">
        <v>6666020301</v>
      </c>
      <c r="C50" s="22" t="s">
        <v>73</v>
      </c>
      <c r="D50" s="22" t="s">
        <v>54</v>
      </c>
      <c r="E50" s="23">
        <v>0.47977999999999998</v>
      </c>
      <c r="F50" s="24">
        <f t="shared" si="0"/>
        <v>4.9152247185255751E-3</v>
      </c>
      <c r="H50" s="23">
        <v>-0.47367000000000004</v>
      </c>
      <c r="I50" s="25">
        <f t="shared" si="1"/>
        <v>-4.4562251867461952E-3</v>
      </c>
      <c r="K50" s="23">
        <v>9.3450000000000005E-2</v>
      </c>
      <c r="L50" s="25">
        <f t="shared" si="2"/>
        <v>8.7030621367903448E-4</v>
      </c>
      <c r="N50" s="26">
        <v>0.99068000000000012</v>
      </c>
      <c r="O50" s="25">
        <f t="shared" si="3"/>
        <v>8.975989852314941E-3</v>
      </c>
      <c r="Q50" s="26">
        <v>0.53398999999999996</v>
      </c>
      <c r="R50" s="25">
        <f t="shared" si="4"/>
        <v>7.9073314477795375E-3</v>
      </c>
      <c r="T50" s="26"/>
      <c r="U50" s="25" t="e">
        <f t="shared" si="5"/>
        <v>#DIV/0!</v>
      </c>
      <c r="W50" s="26"/>
      <c r="X50" s="25" t="e">
        <f t="shared" si="6"/>
        <v>#DIV/0!</v>
      </c>
      <c r="Z50" s="26"/>
      <c r="AA50" s="25" t="e">
        <f t="shared" si="22"/>
        <v>#DIV/0!</v>
      </c>
      <c r="AC50" s="26"/>
      <c r="AD50" s="25" t="e">
        <f t="shared" si="8"/>
        <v>#DIV/0!</v>
      </c>
      <c r="AF50" s="26"/>
      <c r="AG50" s="25" t="e">
        <f t="shared" si="9"/>
        <v>#DIV/0!</v>
      </c>
      <c r="AI50" s="26"/>
      <c r="AJ50" s="25" t="e">
        <f t="shared" si="10"/>
        <v>#DIV/0!</v>
      </c>
      <c r="AL50" s="26"/>
      <c r="AM50" s="25" t="e">
        <f t="shared" si="11"/>
        <v>#DIV/0!</v>
      </c>
      <c r="AO50" s="26">
        <f t="shared" si="27"/>
        <v>1.6242300000000001</v>
      </c>
      <c r="AP50" s="25">
        <f t="shared" si="12"/>
        <v>3.3202979668098993E-3</v>
      </c>
    </row>
    <row r="51" spans="1:42" outlineLevel="2">
      <c r="A51" s="14" t="s">
        <v>26</v>
      </c>
      <c r="B51" s="22">
        <v>6666020302</v>
      </c>
      <c r="C51" s="22" t="s">
        <v>74</v>
      </c>
      <c r="D51" s="22" t="s">
        <v>54</v>
      </c>
      <c r="E51" s="23">
        <v>0</v>
      </c>
      <c r="F51" s="24">
        <f t="shared" si="0"/>
        <v>0</v>
      </c>
      <c r="H51" s="23">
        <v>1.2232700000000001</v>
      </c>
      <c r="I51" s="25">
        <f t="shared" si="1"/>
        <v>1.1508363595311119E-2</v>
      </c>
      <c r="K51" s="23">
        <v>-9.7879999999999995E-2</v>
      </c>
      <c r="L51" s="25">
        <f t="shared" si="2"/>
        <v>-9.1156310534942623E-4</v>
      </c>
      <c r="N51" s="26">
        <v>0</v>
      </c>
      <c r="O51" s="25">
        <f t="shared" si="3"/>
        <v>0</v>
      </c>
      <c r="Q51" s="26">
        <v>0</v>
      </c>
      <c r="R51" s="25">
        <f t="shared" si="4"/>
        <v>0</v>
      </c>
      <c r="T51" s="26"/>
      <c r="U51" s="25" t="e">
        <f t="shared" si="5"/>
        <v>#DIV/0!</v>
      </c>
      <c r="W51" s="26"/>
      <c r="X51" s="25" t="e">
        <f t="shared" si="6"/>
        <v>#DIV/0!</v>
      </c>
      <c r="Z51" s="26"/>
      <c r="AA51" s="25" t="e">
        <f t="shared" si="22"/>
        <v>#DIV/0!</v>
      </c>
      <c r="AC51" s="26"/>
      <c r="AD51" s="25" t="e">
        <f t="shared" si="8"/>
        <v>#DIV/0!</v>
      </c>
      <c r="AF51" s="26"/>
      <c r="AG51" s="25" t="e">
        <f t="shared" si="9"/>
        <v>#DIV/0!</v>
      </c>
      <c r="AI51" s="26"/>
      <c r="AJ51" s="25" t="e">
        <f t="shared" si="10"/>
        <v>#DIV/0!</v>
      </c>
      <c r="AL51" s="26"/>
      <c r="AM51" s="25" t="e">
        <f t="shared" si="11"/>
        <v>#DIV/0!</v>
      </c>
      <c r="AO51" s="26">
        <f t="shared" si="27"/>
        <v>1.1253900000000001</v>
      </c>
      <c r="AP51" s="25">
        <f t="shared" si="12"/>
        <v>2.3005548037335799E-3</v>
      </c>
    </row>
    <row r="52" spans="1:42" outlineLevel="2">
      <c r="A52" s="14" t="s">
        <v>26</v>
      </c>
      <c r="B52" s="22" t="s">
        <v>75</v>
      </c>
      <c r="C52" s="41" t="s">
        <v>76</v>
      </c>
      <c r="D52" s="22" t="s">
        <v>54</v>
      </c>
      <c r="E52" s="23">
        <v>0</v>
      </c>
      <c r="F52" s="24">
        <f t="shared" si="0"/>
        <v>0</v>
      </c>
      <c r="H52" s="23">
        <v>0</v>
      </c>
      <c r="I52" s="25">
        <f t="shared" si="1"/>
        <v>0</v>
      </c>
      <c r="K52" s="23">
        <v>0</v>
      </c>
      <c r="L52" s="25">
        <f t="shared" si="2"/>
        <v>0</v>
      </c>
      <c r="N52" s="26">
        <v>0</v>
      </c>
      <c r="O52" s="25">
        <f t="shared" si="3"/>
        <v>0</v>
      </c>
      <c r="Q52" s="26">
        <v>0</v>
      </c>
      <c r="R52" s="25">
        <f t="shared" si="4"/>
        <v>0</v>
      </c>
      <c r="T52" s="26"/>
      <c r="U52" s="25"/>
      <c r="W52" s="26"/>
      <c r="X52" s="25" t="e">
        <f t="shared" si="6"/>
        <v>#DIV/0!</v>
      </c>
      <c r="Z52" s="26"/>
      <c r="AA52" s="25" t="e">
        <f t="shared" si="22"/>
        <v>#DIV/0!</v>
      </c>
      <c r="AC52" s="26"/>
      <c r="AD52" s="25" t="e">
        <f t="shared" si="8"/>
        <v>#DIV/0!</v>
      </c>
      <c r="AF52" s="26"/>
      <c r="AG52" s="25" t="e">
        <f t="shared" si="9"/>
        <v>#DIV/0!</v>
      </c>
      <c r="AI52" s="26"/>
      <c r="AJ52" s="25" t="e">
        <f t="shared" si="10"/>
        <v>#DIV/0!</v>
      </c>
      <c r="AL52" s="26"/>
      <c r="AM52" s="25" t="e">
        <f t="shared" si="11"/>
        <v>#DIV/0!</v>
      </c>
      <c r="AO52" s="26">
        <f t="shared" si="27"/>
        <v>0</v>
      </c>
      <c r="AP52" s="25">
        <f t="shared" si="12"/>
        <v>0</v>
      </c>
    </row>
    <row r="53" spans="1:42" outlineLevel="2">
      <c r="A53" s="14" t="s">
        <v>26</v>
      </c>
      <c r="B53" s="22">
        <v>6666020405</v>
      </c>
      <c r="C53" s="22" t="s">
        <v>77</v>
      </c>
      <c r="D53" s="22" t="s">
        <v>54</v>
      </c>
      <c r="E53" s="23">
        <v>0</v>
      </c>
      <c r="F53" s="24">
        <f t="shared" si="0"/>
        <v>0</v>
      </c>
      <c r="H53" s="23">
        <v>0</v>
      </c>
      <c r="I53" s="25">
        <f t="shared" si="1"/>
        <v>0</v>
      </c>
      <c r="K53" s="23">
        <v>0</v>
      </c>
      <c r="L53" s="25">
        <f t="shared" si="2"/>
        <v>0</v>
      </c>
      <c r="N53" s="26">
        <v>0</v>
      </c>
      <c r="O53" s="25">
        <f t="shared" si="3"/>
        <v>0</v>
      </c>
      <c r="Q53" s="26">
        <v>0</v>
      </c>
      <c r="R53" s="25">
        <f t="shared" si="4"/>
        <v>0</v>
      </c>
      <c r="T53" s="26"/>
      <c r="U53" s="25" t="e">
        <f t="shared" si="5"/>
        <v>#DIV/0!</v>
      </c>
      <c r="W53" s="26"/>
      <c r="X53" s="25" t="e">
        <f t="shared" si="6"/>
        <v>#DIV/0!</v>
      </c>
      <c r="Z53" s="26"/>
      <c r="AA53" s="25" t="e">
        <f t="shared" si="22"/>
        <v>#DIV/0!</v>
      </c>
      <c r="AC53" s="26"/>
      <c r="AD53" s="25" t="e">
        <f t="shared" si="8"/>
        <v>#DIV/0!</v>
      </c>
      <c r="AF53" s="26"/>
      <c r="AG53" s="25" t="e">
        <f t="shared" si="9"/>
        <v>#DIV/0!</v>
      </c>
      <c r="AI53" s="26"/>
      <c r="AJ53" s="25" t="e">
        <f t="shared" si="10"/>
        <v>#DIV/0!</v>
      </c>
      <c r="AL53" s="26"/>
      <c r="AM53" s="25" t="e">
        <f t="shared" si="11"/>
        <v>#DIV/0!</v>
      </c>
      <c r="AO53" s="26">
        <f t="shared" si="27"/>
        <v>0</v>
      </c>
      <c r="AP53" s="25">
        <f t="shared" si="12"/>
        <v>0</v>
      </c>
    </row>
    <row r="54" spans="1:42" outlineLevel="2">
      <c r="A54" s="14" t="s">
        <v>26</v>
      </c>
      <c r="B54" s="22">
        <v>6666020495</v>
      </c>
      <c r="C54" s="22" t="s">
        <v>78</v>
      </c>
      <c r="D54" s="22" t="s">
        <v>54</v>
      </c>
      <c r="E54" s="23">
        <v>0.14395000000000002</v>
      </c>
      <c r="F54" s="24">
        <f t="shared" si="0"/>
        <v>1.4747313315097686E-3</v>
      </c>
      <c r="H54" s="23">
        <v>9.9310000000000023E-2</v>
      </c>
      <c r="I54" s="25">
        <f t="shared" si="1"/>
        <v>9.3429544470995563E-4</v>
      </c>
      <c r="K54" s="23">
        <v>0.48268999999999995</v>
      </c>
      <c r="L54" s="25">
        <f t="shared" si="2"/>
        <v>4.4953248398152288E-3</v>
      </c>
      <c r="N54" s="26">
        <v>0.25046000000000002</v>
      </c>
      <c r="O54" s="25">
        <f t="shared" si="3"/>
        <v>2.2692760713962129E-3</v>
      </c>
      <c r="Q54" s="26">
        <v>1.3430800000000001</v>
      </c>
      <c r="R54" s="25">
        <f t="shared" si="4"/>
        <v>1.9888347573706892E-2</v>
      </c>
      <c r="T54" s="26"/>
      <c r="U54" s="25" t="e">
        <f t="shared" si="5"/>
        <v>#DIV/0!</v>
      </c>
      <c r="W54" s="26"/>
      <c r="X54" s="25" t="e">
        <f t="shared" si="6"/>
        <v>#DIV/0!</v>
      </c>
      <c r="Z54" s="26"/>
      <c r="AA54" s="25" t="e">
        <f t="shared" si="22"/>
        <v>#DIV/0!</v>
      </c>
      <c r="AC54" s="26"/>
      <c r="AD54" s="25" t="e">
        <f t="shared" si="8"/>
        <v>#DIV/0!</v>
      </c>
      <c r="AF54" s="26"/>
      <c r="AG54" s="25" t="e">
        <f t="shared" si="9"/>
        <v>#DIV/0!</v>
      </c>
      <c r="AI54" s="26"/>
      <c r="AJ54" s="25" t="e">
        <f t="shared" si="10"/>
        <v>#DIV/0!</v>
      </c>
      <c r="AL54" s="26"/>
      <c r="AM54" s="25" t="e">
        <f t="shared" si="11"/>
        <v>#DIV/0!</v>
      </c>
      <c r="AO54" s="26">
        <f t="shared" si="27"/>
        <v>2.3194900000000001</v>
      </c>
      <c r="AP54" s="25">
        <f t="shared" si="12"/>
        <v>4.741568577748159E-3</v>
      </c>
    </row>
    <row r="55" spans="1:42" outlineLevel="2">
      <c r="A55" s="14" t="s">
        <v>26</v>
      </c>
      <c r="B55" s="22">
        <v>6666020504</v>
      </c>
      <c r="C55" s="22" t="s">
        <v>79</v>
      </c>
      <c r="D55" s="22" t="s">
        <v>54</v>
      </c>
      <c r="E55" s="23">
        <v>0</v>
      </c>
      <c r="F55" s="24">
        <f t="shared" si="0"/>
        <v>0</v>
      </c>
      <c r="H55" s="23">
        <v>0</v>
      </c>
      <c r="I55" s="25">
        <f t="shared" si="1"/>
        <v>0</v>
      </c>
      <c r="K55" s="23">
        <v>0</v>
      </c>
      <c r="L55" s="25">
        <f t="shared" si="2"/>
        <v>0</v>
      </c>
      <c r="N55" s="26">
        <v>0</v>
      </c>
      <c r="O55" s="25">
        <f t="shared" si="3"/>
        <v>0</v>
      </c>
      <c r="Q55" s="26">
        <v>0</v>
      </c>
      <c r="R55" s="25">
        <f t="shared" si="4"/>
        <v>0</v>
      </c>
      <c r="T55" s="26"/>
      <c r="U55" s="25" t="e">
        <f t="shared" si="5"/>
        <v>#DIV/0!</v>
      </c>
      <c r="W55" s="26"/>
      <c r="X55" s="25" t="e">
        <f t="shared" si="6"/>
        <v>#DIV/0!</v>
      </c>
      <c r="Z55" s="26"/>
      <c r="AA55" s="25" t="e">
        <f t="shared" si="22"/>
        <v>#DIV/0!</v>
      </c>
      <c r="AC55" s="26"/>
      <c r="AD55" s="25" t="e">
        <f t="shared" si="8"/>
        <v>#DIV/0!</v>
      </c>
      <c r="AF55" s="26"/>
      <c r="AG55" s="25" t="e">
        <f t="shared" si="9"/>
        <v>#DIV/0!</v>
      </c>
      <c r="AI55" s="26"/>
      <c r="AJ55" s="25" t="e">
        <f t="shared" si="10"/>
        <v>#DIV/0!</v>
      </c>
      <c r="AL55" s="26"/>
      <c r="AM55" s="25" t="e">
        <f t="shared" si="11"/>
        <v>#DIV/0!</v>
      </c>
      <c r="AO55" s="26">
        <f t="shared" si="27"/>
        <v>0</v>
      </c>
      <c r="AP55" s="25">
        <f t="shared" si="12"/>
        <v>0</v>
      </c>
    </row>
    <row r="56" spans="1:42" outlineLevel="2">
      <c r="A56" s="14" t="s">
        <v>26</v>
      </c>
      <c r="B56" s="22">
        <v>6666020508</v>
      </c>
      <c r="C56" s="22" t="s">
        <v>80</v>
      </c>
      <c r="D56" s="22" t="s">
        <v>54</v>
      </c>
      <c r="E56" s="23">
        <v>0</v>
      </c>
      <c r="F56" s="24">
        <f t="shared" si="0"/>
        <v>0</v>
      </c>
      <c r="H56" s="23">
        <v>1.908E-2</v>
      </c>
      <c r="I56" s="25">
        <f t="shared" si="1"/>
        <v>1.795021355862043E-4</v>
      </c>
      <c r="K56" s="23">
        <v>-4.0000000000000003E-5</v>
      </c>
      <c r="L56" s="25">
        <f t="shared" si="2"/>
        <v>-3.7252272388615706E-7</v>
      </c>
      <c r="N56" s="26">
        <v>1.39E-3</v>
      </c>
      <c r="O56" s="25">
        <f t="shared" si="3"/>
        <v>1.2594001993295279E-5</v>
      </c>
      <c r="Q56" s="26">
        <v>6.5360000000000001E-2</v>
      </c>
      <c r="R56" s="25">
        <f t="shared" si="4"/>
        <v>9.6785180139491499E-4</v>
      </c>
      <c r="T56" s="26"/>
      <c r="U56" s="25" t="e">
        <f t="shared" si="5"/>
        <v>#DIV/0!</v>
      </c>
      <c r="W56" s="26"/>
      <c r="X56" s="25" t="e">
        <f t="shared" si="6"/>
        <v>#DIV/0!</v>
      </c>
      <c r="Z56" s="26"/>
      <c r="AA56" s="25" t="e">
        <f t="shared" si="22"/>
        <v>#DIV/0!</v>
      </c>
      <c r="AC56" s="26"/>
      <c r="AD56" s="25" t="e">
        <f t="shared" si="8"/>
        <v>#DIV/0!</v>
      </c>
      <c r="AF56" s="26"/>
      <c r="AG56" s="25" t="e">
        <f t="shared" si="9"/>
        <v>#DIV/0!</v>
      </c>
      <c r="AI56" s="26"/>
      <c r="AJ56" s="25" t="e">
        <f t="shared" si="10"/>
        <v>#DIV/0!</v>
      </c>
      <c r="AL56" s="26"/>
      <c r="AM56" s="25" t="e">
        <f t="shared" si="11"/>
        <v>#DIV/0!</v>
      </c>
      <c r="AO56" s="26">
        <f t="shared" si="27"/>
        <v>8.5790000000000005E-2</v>
      </c>
      <c r="AP56" s="25">
        <f t="shared" si="12"/>
        <v>1.7537440052986414E-4</v>
      </c>
    </row>
    <row r="57" spans="1:42" outlineLevel="2">
      <c r="A57" s="14" t="s">
        <v>26</v>
      </c>
      <c r="B57" s="22">
        <v>6666020602</v>
      </c>
      <c r="C57" s="22" t="s">
        <v>81</v>
      </c>
      <c r="D57" s="22" t="s">
        <v>54</v>
      </c>
      <c r="E57" s="23">
        <v>0</v>
      </c>
      <c r="F57" s="24">
        <f t="shared" si="0"/>
        <v>0</v>
      </c>
      <c r="H57" s="23">
        <v>0.10889</v>
      </c>
      <c r="I57" s="25">
        <f t="shared" si="1"/>
        <v>1.0244228272527141E-3</v>
      </c>
      <c r="K57" s="23">
        <v>0</v>
      </c>
      <c r="L57" s="25">
        <f t="shared" si="2"/>
        <v>0</v>
      </c>
      <c r="N57" s="26">
        <v>0</v>
      </c>
      <c r="O57" s="25">
        <f t="shared" si="3"/>
        <v>0</v>
      </c>
      <c r="Q57" s="26">
        <v>2.49E-3</v>
      </c>
      <c r="R57" s="25">
        <f t="shared" si="4"/>
        <v>3.6871955102101255E-5</v>
      </c>
      <c r="T57" s="26"/>
      <c r="U57" s="25" t="e">
        <f t="shared" si="5"/>
        <v>#DIV/0!</v>
      </c>
      <c r="W57" s="26"/>
      <c r="X57" s="25" t="e">
        <f t="shared" si="6"/>
        <v>#DIV/0!</v>
      </c>
      <c r="Z57" s="26"/>
      <c r="AA57" s="25" t="e">
        <f t="shared" si="22"/>
        <v>#DIV/0!</v>
      </c>
      <c r="AC57" s="26"/>
      <c r="AD57" s="25" t="e">
        <f t="shared" si="8"/>
        <v>#DIV/0!</v>
      </c>
      <c r="AF57" s="26"/>
      <c r="AG57" s="25" t="e">
        <f t="shared" si="9"/>
        <v>#DIV/0!</v>
      </c>
      <c r="AI57" s="26"/>
      <c r="AJ57" s="25" t="e">
        <f t="shared" si="10"/>
        <v>#DIV/0!</v>
      </c>
      <c r="AL57" s="26"/>
      <c r="AM57" s="25" t="e">
        <f t="shared" si="11"/>
        <v>#DIV/0!</v>
      </c>
      <c r="AO57" s="26">
        <f t="shared" si="27"/>
        <v>0.11138000000000001</v>
      </c>
      <c r="AP57" s="25">
        <f t="shared" si="12"/>
        <v>2.2768621903504219E-4</v>
      </c>
    </row>
    <row r="58" spans="1:42" outlineLevel="2">
      <c r="A58" s="14" t="s">
        <v>26</v>
      </c>
      <c r="B58" s="22">
        <v>6666020701</v>
      </c>
      <c r="C58" s="22" t="s">
        <v>82</v>
      </c>
      <c r="D58" s="22" t="s">
        <v>54</v>
      </c>
      <c r="E58" s="23">
        <v>0</v>
      </c>
      <c r="F58" s="24">
        <f t="shared" si="0"/>
        <v>0</v>
      </c>
      <c r="H58" s="23">
        <v>0</v>
      </c>
      <c r="I58" s="25">
        <f t="shared" si="1"/>
        <v>0</v>
      </c>
      <c r="K58" s="23">
        <v>0</v>
      </c>
      <c r="L58" s="25">
        <f t="shared" si="2"/>
        <v>0</v>
      </c>
      <c r="N58" s="26">
        <v>0</v>
      </c>
      <c r="O58" s="25">
        <f t="shared" si="3"/>
        <v>0</v>
      </c>
      <c r="Q58" s="26">
        <v>0</v>
      </c>
      <c r="R58" s="25">
        <f t="shared" si="4"/>
        <v>0</v>
      </c>
      <c r="T58" s="26"/>
      <c r="U58" s="25" t="e">
        <f t="shared" si="5"/>
        <v>#DIV/0!</v>
      </c>
      <c r="W58" s="26"/>
      <c r="X58" s="25" t="e">
        <f t="shared" si="6"/>
        <v>#DIV/0!</v>
      </c>
      <c r="Z58" s="26"/>
      <c r="AA58" s="25" t="e">
        <f t="shared" si="22"/>
        <v>#DIV/0!</v>
      </c>
      <c r="AC58" s="26"/>
      <c r="AD58" s="25" t="e">
        <f t="shared" si="8"/>
        <v>#DIV/0!</v>
      </c>
      <c r="AF58" s="26"/>
      <c r="AG58" s="25" t="e">
        <f t="shared" si="9"/>
        <v>#DIV/0!</v>
      </c>
      <c r="AI58" s="26"/>
      <c r="AJ58" s="25" t="e">
        <f t="shared" si="10"/>
        <v>#DIV/0!</v>
      </c>
      <c r="AL58" s="26"/>
      <c r="AM58" s="25" t="e">
        <f t="shared" si="11"/>
        <v>#DIV/0!</v>
      </c>
      <c r="AO58" s="26">
        <f t="shared" si="27"/>
        <v>0</v>
      </c>
      <c r="AP58" s="25">
        <f t="shared" si="12"/>
        <v>0</v>
      </c>
    </row>
    <row r="59" spans="1:42" outlineLevel="2">
      <c r="A59" s="14" t="s">
        <v>26</v>
      </c>
      <c r="B59" s="22">
        <v>6666020802</v>
      </c>
      <c r="C59" s="22" t="s">
        <v>83</v>
      </c>
      <c r="D59" s="22" t="s">
        <v>54</v>
      </c>
      <c r="E59" s="23">
        <v>21.109000000000002</v>
      </c>
      <c r="F59" s="24">
        <f t="shared" si="0"/>
        <v>0.21625636454907748</v>
      </c>
      <c r="H59" s="23">
        <v>20.408999999999999</v>
      </c>
      <c r="I59" s="25">
        <f t="shared" si="1"/>
        <v>0.19200519314354525</v>
      </c>
      <c r="K59" s="23">
        <v>20.408999999999999</v>
      </c>
      <c r="L59" s="25">
        <f t="shared" si="2"/>
        <v>0.19007040679481446</v>
      </c>
      <c r="N59" s="26">
        <v>20.412179999999999</v>
      </c>
      <c r="O59" s="25">
        <f t="shared" si="3"/>
        <v>0.18494319108453383</v>
      </c>
      <c r="Q59" s="26">
        <v>18.181819999999998</v>
      </c>
      <c r="R59" s="25">
        <f t="shared" si="4"/>
        <v>0.2692366468732878</v>
      </c>
      <c r="T59" s="26"/>
      <c r="U59" s="25" t="e">
        <f t="shared" si="5"/>
        <v>#DIV/0!</v>
      </c>
      <c r="W59" s="26"/>
      <c r="X59" s="25" t="e">
        <f t="shared" si="6"/>
        <v>#DIV/0!</v>
      </c>
      <c r="Z59" s="26"/>
      <c r="AA59" s="25" t="e">
        <f t="shared" si="22"/>
        <v>#DIV/0!</v>
      </c>
      <c r="AC59" s="26"/>
      <c r="AD59" s="25" t="e">
        <f t="shared" si="8"/>
        <v>#DIV/0!</v>
      </c>
      <c r="AF59" s="26"/>
      <c r="AG59" s="25" t="e">
        <f t="shared" si="9"/>
        <v>#DIV/0!</v>
      </c>
      <c r="AI59" s="26"/>
      <c r="AJ59" s="25" t="e">
        <f t="shared" si="10"/>
        <v>#DIV/0!</v>
      </c>
      <c r="AL59" s="26"/>
      <c r="AM59" s="25" t="e">
        <f t="shared" si="11"/>
        <v>#DIV/0!</v>
      </c>
      <c r="AO59" s="26">
        <f t="shared" si="27"/>
        <v>100.521</v>
      </c>
      <c r="AP59" s="25">
        <f t="shared" si="12"/>
        <v>0.20548793700504106</v>
      </c>
    </row>
    <row r="60" spans="1:42" outlineLevel="2">
      <c r="A60" s="14" t="s">
        <v>26</v>
      </c>
      <c r="B60" s="22">
        <v>6666020803</v>
      </c>
      <c r="C60" s="22" t="s">
        <v>84</v>
      </c>
      <c r="D60" s="22" t="s">
        <v>54</v>
      </c>
      <c r="E60" s="23">
        <v>6.59518</v>
      </c>
      <c r="F60" s="24">
        <f t="shared" si="0"/>
        <v>6.7565950558850951E-2</v>
      </c>
      <c r="H60" s="23">
        <v>4.40212</v>
      </c>
      <c r="I60" s="25">
        <f t="shared" si="1"/>
        <v>4.1414567143959212E-2</v>
      </c>
      <c r="K60" s="23">
        <v>4.1903600000000001</v>
      </c>
      <c r="L60" s="25">
        <f t="shared" si="2"/>
        <v>3.9025108031589928E-2</v>
      </c>
      <c r="N60" s="26">
        <v>4.4525299999999994</v>
      </c>
      <c r="O60" s="25">
        <f t="shared" si="3"/>
        <v>4.0341850140436702E-2</v>
      </c>
      <c r="Q60" s="26">
        <v>3.9979399999999994</v>
      </c>
      <c r="R60" s="25">
        <f t="shared" si="4"/>
        <v>5.9201551879877377E-2</v>
      </c>
      <c r="T60" s="26"/>
      <c r="U60" s="25" t="e">
        <f t="shared" si="5"/>
        <v>#DIV/0!</v>
      </c>
      <c r="W60" s="26"/>
      <c r="X60" s="25" t="e">
        <f t="shared" si="6"/>
        <v>#DIV/0!</v>
      </c>
      <c r="Z60" s="26"/>
      <c r="AA60" s="25" t="e">
        <f t="shared" si="22"/>
        <v>#DIV/0!</v>
      </c>
      <c r="AC60" s="26"/>
      <c r="AD60" s="25" t="e">
        <f t="shared" si="8"/>
        <v>#DIV/0!</v>
      </c>
      <c r="AF60" s="26"/>
      <c r="AG60" s="25" t="e">
        <f t="shared" si="9"/>
        <v>#DIV/0!</v>
      </c>
      <c r="AI60" s="26"/>
      <c r="AJ60" s="25" t="e">
        <f t="shared" si="10"/>
        <v>#DIV/0!</v>
      </c>
      <c r="AL60" s="26"/>
      <c r="AM60" s="25" t="e">
        <f t="shared" si="11"/>
        <v>#DIV/0!</v>
      </c>
      <c r="AO60" s="26">
        <f t="shared" si="27"/>
        <v>23.638129999999997</v>
      </c>
      <c r="AP60" s="25">
        <f t="shared" si="12"/>
        <v>4.832174936935537E-2</v>
      </c>
    </row>
    <row r="61" spans="1:42" outlineLevel="2">
      <c r="A61" s="14" t="s">
        <v>26</v>
      </c>
      <c r="B61" s="22">
        <v>6666021100</v>
      </c>
      <c r="C61" s="22" t="s">
        <v>85</v>
      </c>
      <c r="D61" s="22" t="s">
        <v>54</v>
      </c>
      <c r="E61" s="23">
        <v>7.2289300000000001</v>
      </c>
      <c r="F61" s="24">
        <f t="shared" si="0"/>
        <v>7.4058558973886135E-2</v>
      </c>
      <c r="H61" s="23">
        <v>16.15981</v>
      </c>
      <c r="I61" s="25">
        <f t="shared" si="1"/>
        <v>0.1520293713662107</v>
      </c>
      <c r="K61" s="23">
        <v>22.217189999999999</v>
      </c>
      <c r="L61" s="25">
        <f t="shared" si="2"/>
        <v>0.20691020339740721</v>
      </c>
      <c r="N61" s="26">
        <v>16.835849999999997</v>
      </c>
      <c r="O61" s="25">
        <f t="shared" si="3"/>
        <v>0.15254009241641747</v>
      </c>
      <c r="Q61" s="26">
        <v>17.180679999999999</v>
      </c>
      <c r="R61" s="25">
        <f t="shared" si="4"/>
        <v>0.25441175163998758</v>
      </c>
      <c r="T61" s="26"/>
      <c r="U61" s="25" t="e">
        <f t="shared" si="5"/>
        <v>#DIV/0!</v>
      </c>
      <c r="W61" s="26"/>
      <c r="X61" s="25" t="e">
        <f t="shared" si="6"/>
        <v>#DIV/0!</v>
      </c>
      <c r="Z61" s="26"/>
      <c r="AA61" s="25" t="e">
        <f t="shared" si="22"/>
        <v>#DIV/0!</v>
      </c>
      <c r="AC61" s="26"/>
      <c r="AD61" s="25" t="e">
        <f t="shared" si="8"/>
        <v>#DIV/0!</v>
      </c>
      <c r="AF61" s="26"/>
      <c r="AG61" s="25" t="e">
        <f t="shared" si="9"/>
        <v>#DIV/0!</v>
      </c>
      <c r="AI61" s="26"/>
      <c r="AJ61" s="25" t="e">
        <f t="shared" si="10"/>
        <v>#DIV/0!</v>
      </c>
      <c r="AL61" s="26"/>
      <c r="AM61" s="25" t="e">
        <f t="shared" si="11"/>
        <v>#DIV/0!</v>
      </c>
      <c r="AO61" s="26">
        <f t="shared" si="27"/>
        <v>79.62245999999999</v>
      </c>
      <c r="AP61" s="25">
        <f t="shared" si="12"/>
        <v>0.16276653678998818</v>
      </c>
    </row>
    <row r="62" spans="1:42" outlineLevel="2">
      <c r="A62" s="14" t="s">
        <v>26</v>
      </c>
      <c r="B62" s="22">
        <v>6666021104</v>
      </c>
      <c r="C62" s="41" t="s">
        <v>86</v>
      </c>
      <c r="D62" s="22" t="s">
        <v>54</v>
      </c>
      <c r="E62" s="23">
        <v>0</v>
      </c>
      <c r="F62" s="24">
        <f t="shared" si="0"/>
        <v>0</v>
      </c>
      <c r="H62" s="23">
        <v>0</v>
      </c>
      <c r="I62" s="25">
        <f t="shared" si="1"/>
        <v>0</v>
      </c>
      <c r="K62" s="23">
        <v>0</v>
      </c>
      <c r="L62" s="25">
        <f t="shared" si="2"/>
        <v>0</v>
      </c>
      <c r="N62" s="26">
        <v>0</v>
      </c>
      <c r="O62" s="25">
        <f t="shared" si="3"/>
        <v>0</v>
      </c>
      <c r="Q62" s="26">
        <v>0</v>
      </c>
      <c r="R62" s="25">
        <f t="shared" si="4"/>
        <v>0</v>
      </c>
      <c r="T62" s="26"/>
      <c r="U62" s="25"/>
      <c r="W62" s="26"/>
      <c r="X62" s="25" t="e">
        <f t="shared" si="6"/>
        <v>#DIV/0!</v>
      </c>
      <c r="Z62" s="26"/>
      <c r="AA62" s="25" t="e">
        <f t="shared" si="22"/>
        <v>#DIV/0!</v>
      </c>
      <c r="AC62" s="26"/>
      <c r="AD62" s="25" t="e">
        <f t="shared" si="8"/>
        <v>#DIV/0!</v>
      </c>
      <c r="AF62" s="26"/>
      <c r="AG62" s="25" t="e">
        <f t="shared" si="9"/>
        <v>#DIV/0!</v>
      </c>
      <c r="AI62" s="26"/>
      <c r="AJ62" s="25" t="e">
        <f t="shared" si="10"/>
        <v>#DIV/0!</v>
      </c>
      <c r="AL62" s="26"/>
      <c r="AM62" s="25" t="e">
        <f t="shared" si="11"/>
        <v>#DIV/0!</v>
      </c>
      <c r="AO62" s="26">
        <f t="shared" si="27"/>
        <v>0</v>
      </c>
      <c r="AP62" s="25">
        <f t="shared" si="12"/>
        <v>0</v>
      </c>
    </row>
    <row r="63" spans="1:42" outlineLevel="2">
      <c r="A63" s="14" t="s">
        <v>26</v>
      </c>
      <c r="B63" s="22">
        <v>6666021902</v>
      </c>
      <c r="C63" s="22" t="s">
        <v>87</v>
      </c>
      <c r="D63" s="22" t="s">
        <v>54</v>
      </c>
      <c r="E63" s="23">
        <v>7.8499499999999998</v>
      </c>
      <c r="F63" s="24">
        <f t="shared" si="0"/>
        <v>8.0420751759535294E-2</v>
      </c>
      <c r="H63" s="23">
        <v>11.28762</v>
      </c>
      <c r="I63" s="25">
        <f t="shared" si="1"/>
        <v>0.1061924473629744</v>
      </c>
      <c r="K63" s="23">
        <v>4.7368300000000003</v>
      </c>
      <c r="L63" s="25">
        <f t="shared" si="2"/>
        <v>4.4114420354641637E-2</v>
      </c>
      <c r="N63" s="26">
        <v>11.66625</v>
      </c>
      <c r="O63" s="25">
        <f t="shared" si="3"/>
        <v>0.10570127752106551</v>
      </c>
      <c r="Q63" s="26">
        <v>7.9300600000000001</v>
      </c>
      <c r="R63" s="25">
        <f t="shared" si="4"/>
        <v>0.11742844027187514</v>
      </c>
      <c r="T63" s="26"/>
      <c r="U63" s="25" t="e">
        <f t="shared" si="5"/>
        <v>#DIV/0!</v>
      </c>
      <c r="W63" s="26"/>
      <c r="X63" s="25" t="e">
        <f t="shared" si="6"/>
        <v>#DIV/0!</v>
      </c>
      <c r="Z63" s="26"/>
      <c r="AA63" s="25" t="e">
        <f t="shared" si="22"/>
        <v>#DIV/0!</v>
      </c>
      <c r="AC63" s="26"/>
      <c r="AD63" s="25" t="e">
        <f t="shared" si="8"/>
        <v>#DIV/0!</v>
      </c>
      <c r="AF63" s="26"/>
      <c r="AG63" s="25" t="e">
        <f t="shared" si="9"/>
        <v>#DIV/0!</v>
      </c>
      <c r="AI63" s="26"/>
      <c r="AJ63" s="25" t="e">
        <f t="shared" si="10"/>
        <v>#DIV/0!</v>
      </c>
      <c r="AL63" s="26"/>
      <c r="AM63" s="25" t="e">
        <f t="shared" si="11"/>
        <v>#DIV/0!</v>
      </c>
      <c r="AO63" s="26">
        <f t="shared" si="27"/>
        <v>43.470709999999997</v>
      </c>
      <c r="AP63" s="25">
        <f t="shared" si="12"/>
        <v>8.8864083306417638E-2</v>
      </c>
    </row>
    <row r="64" spans="1:42" outlineLevel="2">
      <c r="A64" s="152" t="s">
        <v>26</v>
      </c>
      <c r="B64" s="22">
        <v>6666022100</v>
      </c>
      <c r="C64" s="22" t="s">
        <v>88</v>
      </c>
      <c r="D64" s="22" t="s">
        <v>54</v>
      </c>
      <c r="E64" s="23">
        <v>14.06269</v>
      </c>
      <c r="F64" s="24">
        <f t="shared" si="0"/>
        <v>0.14406870127342206</v>
      </c>
      <c r="H64" s="23">
        <v>12.288459999999999</v>
      </c>
      <c r="I64" s="25">
        <f t="shared" si="1"/>
        <v>0.11560821871413249</v>
      </c>
      <c r="K64" s="23">
        <v>13.946010000000001</v>
      </c>
      <c r="L64" s="25">
        <f t="shared" si="2"/>
        <v>0.12988014081358962</v>
      </c>
      <c r="N64" s="26">
        <v>13.37186</v>
      </c>
      <c r="O64" s="25">
        <f t="shared" si="3"/>
        <v>0.1211548428014859</v>
      </c>
      <c r="Q64" s="26">
        <v>15.729290000000001</v>
      </c>
      <c r="R64" s="25">
        <f t="shared" si="4"/>
        <v>0.23291954805940976</v>
      </c>
      <c r="T64" s="26"/>
      <c r="U64" s="25" t="e">
        <f t="shared" si="5"/>
        <v>#DIV/0!</v>
      </c>
      <c r="W64" s="26"/>
      <c r="X64" s="25" t="e">
        <f t="shared" si="6"/>
        <v>#DIV/0!</v>
      </c>
      <c r="Z64" s="26"/>
      <c r="AA64" s="25" t="e">
        <f t="shared" si="22"/>
        <v>#DIV/0!</v>
      </c>
      <c r="AC64" s="26"/>
      <c r="AD64" s="25" t="e">
        <f t="shared" si="8"/>
        <v>#DIV/0!</v>
      </c>
      <c r="AF64" s="26"/>
      <c r="AG64" s="25" t="e">
        <f t="shared" si="9"/>
        <v>#DIV/0!</v>
      </c>
      <c r="AI64" s="26"/>
      <c r="AJ64" s="25" t="e">
        <f t="shared" si="10"/>
        <v>#DIV/0!</v>
      </c>
      <c r="AL64" s="26"/>
      <c r="AM64" s="25" t="e">
        <f t="shared" si="11"/>
        <v>#DIV/0!</v>
      </c>
      <c r="AO64" s="151">
        <f t="shared" si="27"/>
        <v>69.398309999999995</v>
      </c>
      <c r="AP64" s="25">
        <f t="shared" si="12"/>
        <v>0.14186603350082383</v>
      </c>
    </row>
    <row r="65" spans="1:42" outlineLevel="2">
      <c r="A65" s="14" t="s">
        <v>26</v>
      </c>
      <c r="B65" s="22">
        <v>6666022300</v>
      </c>
      <c r="C65" s="22" t="s">
        <v>89</v>
      </c>
      <c r="D65" s="22" t="s">
        <v>54</v>
      </c>
      <c r="E65" s="23">
        <v>0</v>
      </c>
      <c r="F65" s="24">
        <f t="shared" si="0"/>
        <v>0</v>
      </c>
      <c r="H65" s="23">
        <v>0</v>
      </c>
      <c r="I65" s="25">
        <f t="shared" si="1"/>
        <v>0</v>
      </c>
      <c r="K65" s="23">
        <v>0</v>
      </c>
      <c r="L65" s="25">
        <f t="shared" si="2"/>
        <v>0</v>
      </c>
      <c r="N65" s="26">
        <v>0</v>
      </c>
      <c r="O65" s="25">
        <f t="shared" si="3"/>
        <v>0</v>
      </c>
      <c r="Q65" s="26">
        <v>0</v>
      </c>
      <c r="R65" s="25">
        <f t="shared" si="4"/>
        <v>0</v>
      </c>
      <c r="T65" s="26"/>
      <c r="U65" s="25" t="e">
        <f t="shared" si="5"/>
        <v>#DIV/0!</v>
      </c>
      <c r="W65" s="26"/>
      <c r="X65" s="25" t="e">
        <f t="shared" si="6"/>
        <v>#DIV/0!</v>
      </c>
      <c r="Z65" s="26"/>
      <c r="AA65" s="25" t="e">
        <f t="shared" si="22"/>
        <v>#DIV/0!</v>
      </c>
      <c r="AC65" s="26"/>
      <c r="AD65" s="25" t="e">
        <f t="shared" si="8"/>
        <v>#DIV/0!</v>
      </c>
      <c r="AF65" s="26"/>
      <c r="AG65" s="25" t="e">
        <f t="shared" si="9"/>
        <v>#DIV/0!</v>
      </c>
      <c r="AI65" s="26"/>
      <c r="AJ65" s="25" t="e">
        <f t="shared" si="10"/>
        <v>#DIV/0!</v>
      </c>
      <c r="AL65" s="26"/>
      <c r="AM65" s="25" t="e">
        <f t="shared" si="11"/>
        <v>#DIV/0!</v>
      </c>
      <c r="AO65" s="26">
        <f t="shared" si="24"/>
        <v>0</v>
      </c>
      <c r="AP65" s="25">
        <f t="shared" si="12"/>
        <v>0</v>
      </c>
    </row>
    <row r="66" spans="1:42" outlineLevel="2">
      <c r="A66" s="14" t="s">
        <v>26</v>
      </c>
      <c r="B66" s="22">
        <v>6666029700</v>
      </c>
      <c r="C66" s="22" t="s">
        <v>90</v>
      </c>
      <c r="D66" s="22" t="s">
        <v>54</v>
      </c>
      <c r="E66" s="23">
        <v>0</v>
      </c>
      <c r="F66" s="24">
        <f t="shared" si="0"/>
        <v>0</v>
      </c>
      <c r="H66" s="23">
        <v>0</v>
      </c>
      <c r="I66" s="25">
        <f t="shared" si="1"/>
        <v>0</v>
      </c>
      <c r="K66" s="23">
        <v>0</v>
      </c>
      <c r="L66" s="25">
        <f t="shared" si="2"/>
        <v>0</v>
      </c>
      <c r="N66" s="26">
        <v>0</v>
      </c>
      <c r="O66" s="25">
        <f t="shared" si="3"/>
        <v>0</v>
      </c>
      <c r="Q66" s="26">
        <v>0</v>
      </c>
      <c r="R66" s="25">
        <f t="shared" si="4"/>
        <v>0</v>
      </c>
      <c r="T66" s="26"/>
      <c r="U66" s="25" t="e">
        <f t="shared" si="5"/>
        <v>#DIV/0!</v>
      </c>
      <c r="W66" s="26"/>
      <c r="X66" s="25" t="e">
        <f t="shared" si="6"/>
        <v>#DIV/0!</v>
      </c>
      <c r="Z66" s="26"/>
      <c r="AA66" s="25" t="e">
        <f t="shared" si="22"/>
        <v>#DIV/0!</v>
      </c>
      <c r="AC66" s="26"/>
      <c r="AD66" s="25" t="e">
        <f t="shared" si="8"/>
        <v>#DIV/0!</v>
      </c>
      <c r="AF66" s="26"/>
      <c r="AG66" s="25" t="e">
        <f t="shared" si="9"/>
        <v>#DIV/0!</v>
      </c>
      <c r="AI66" s="26"/>
      <c r="AJ66" s="25" t="e">
        <f t="shared" si="10"/>
        <v>#DIV/0!</v>
      </c>
      <c r="AL66" s="26"/>
      <c r="AM66" s="25" t="e">
        <f t="shared" si="11"/>
        <v>#DIV/0!</v>
      </c>
      <c r="AO66" s="26">
        <f t="shared" si="24"/>
        <v>0</v>
      </c>
      <c r="AP66" s="25">
        <f t="shared" si="12"/>
        <v>0</v>
      </c>
    </row>
    <row r="67" spans="1:42" outlineLevel="2">
      <c r="A67" s="14" t="s">
        <v>26</v>
      </c>
      <c r="B67" s="22">
        <v>6666029900</v>
      </c>
      <c r="C67" s="22" t="s">
        <v>91</v>
      </c>
      <c r="D67" s="22" t="s">
        <v>54</v>
      </c>
      <c r="E67" s="23">
        <v>0</v>
      </c>
      <c r="F67" s="24">
        <f t="shared" si="0"/>
        <v>0</v>
      </c>
      <c r="H67" s="23">
        <v>0</v>
      </c>
      <c r="I67" s="25">
        <f t="shared" si="1"/>
        <v>0</v>
      </c>
      <c r="K67" s="23">
        <v>0</v>
      </c>
      <c r="L67" s="25">
        <f t="shared" si="2"/>
        <v>0</v>
      </c>
      <c r="N67" s="26">
        <v>-1.6709999999999999E-2</v>
      </c>
      <c r="O67" s="25">
        <f t="shared" si="3"/>
        <v>-1.5139983691220439E-4</v>
      </c>
      <c r="Q67" s="26">
        <v>0</v>
      </c>
      <c r="R67" s="25">
        <f t="shared" si="4"/>
        <v>0</v>
      </c>
      <c r="T67" s="26"/>
      <c r="U67" s="25" t="e">
        <f t="shared" si="5"/>
        <v>#DIV/0!</v>
      </c>
      <c r="W67" s="26"/>
      <c r="X67" s="25" t="e">
        <f t="shared" si="6"/>
        <v>#DIV/0!</v>
      </c>
      <c r="Z67" s="26"/>
      <c r="AA67" s="25" t="e">
        <f t="shared" si="22"/>
        <v>#DIV/0!</v>
      </c>
      <c r="AC67" s="26"/>
      <c r="AD67" s="25" t="e">
        <f t="shared" si="8"/>
        <v>#DIV/0!</v>
      </c>
      <c r="AF67" s="26"/>
      <c r="AG67" s="25" t="e">
        <f t="shared" si="9"/>
        <v>#DIV/0!</v>
      </c>
      <c r="AI67" s="26"/>
      <c r="AJ67" s="25" t="e">
        <f t="shared" si="10"/>
        <v>#DIV/0!</v>
      </c>
      <c r="AL67" s="26"/>
      <c r="AM67" s="25" t="e">
        <f t="shared" si="11"/>
        <v>#DIV/0!</v>
      </c>
      <c r="AO67" s="26">
        <f t="shared" si="24"/>
        <v>-1.6709999999999999E-2</v>
      </c>
      <c r="AP67" s="25">
        <f t="shared" si="12"/>
        <v>-3.4159065542068181E-5</v>
      </c>
    </row>
    <row r="68" spans="1:42" outlineLevel="2">
      <c r="A68" s="14" t="s">
        <v>26</v>
      </c>
      <c r="B68" s="22">
        <v>6666029996</v>
      </c>
      <c r="C68" s="22" t="s">
        <v>92</v>
      </c>
      <c r="D68" s="22" t="s">
        <v>54</v>
      </c>
      <c r="E68" s="23">
        <v>3.7000000000000002E-3</v>
      </c>
      <c r="F68" s="24">
        <f t="shared" si="0"/>
        <v>3.7905563922098942E-5</v>
      </c>
      <c r="H68" s="23">
        <v>-3.1900000000000001E-3</v>
      </c>
      <c r="I68" s="25">
        <f t="shared" si="1"/>
        <v>-3.0011101285114869E-5</v>
      </c>
      <c r="K68" s="23">
        <v>6.3700000000000007E-2</v>
      </c>
      <c r="L68" s="25">
        <f t="shared" si="2"/>
        <v>5.9324243778870515E-4</v>
      </c>
      <c r="N68" s="26">
        <v>4.7100000000000003E-2</v>
      </c>
      <c r="O68" s="25">
        <f t="shared" si="3"/>
        <v>4.2674639847784727E-4</v>
      </c>
      <c r="Q68" s="26">
        <v>8.6700000000000006E-3</v>
      </c>
      <c r="R68" s="25">
        <f t="shared" si="4"/>
        <v>1.2838548222297909E-4</v>
      </c>
      <c r="T68" s="26"/>
      <c r="U68" s="25"/>
      <c r="W68" s="26"/>
      <c r="X68" s="25"/>
      <c r="Z68" s="26"/>
      <c r="AA68" s="25"/>
      <c r="AC68" s="26"/>
      <c r="AD68" s="25"/>
      <c r="AF68" s="26"/>
      <c r="AG68" s="25" t="e">
        <f t="shared" si="9"/>
        <v>#DIV/0!</v>
      </c>
      <c r="AI68" s="26"/>
      <c r="AJ68" s="25" t="e">
        <f t="shared" si="10"/>
        <v>#DIV/0!</v>
      </c>
      <c r="AL68" s="26"/>
      <c r="AM68" s="25" t="e">
        <f t="shared" si="11"/>
        <v>#DIV/0!</v>
      </c>
      <c r="AO68" s="26">
        <f>H68+E68+K68+N68+Q68+T68+W68+Z68+AC68+AF68+AI68+AL68</f>
        <v>0.11998</v>
      </c>
      <c r="AP68" s="25">
        <f t="shared" si="12"/>
        <v>2.4526658789571166E-4</v>
      </c>
    </row>
    <row r="69" spans="1:42" outlineLevel="2">
      <c r="A69" s="14" t="s">
        <v>26</v>
      </c>
      <c r="B69" s="22">
        <v>6666029997</v>
      </c>
      <c r="C69" s="22" t="s">
        <v>93</v>
      </c>
      <c r="D69" s="22" t="s">
        <v>54</v>
      </c>
      <c r="E69" s="23">
        <v>1.44756</v>
      </c>
      <c r="F69" s="24">
        <f t="shared" si="0"/>
        <v>1.4829885975965823E-2</v>
      </c>
      <c r="H69" s="23">
        <v>-2.6960700000000006</v>
      </c>
      <c r="I69" s="25">
        <f t="shared" si="1"/>
        <v>-2.536427267766761E-2</v>
      </c>
      <c r="K69" s="23">
        <v>0</v>
      </c>
      <c r="L69" s="25">
        <f t="shared" si="2"/>
        <v>0</v>
      </c>
      <c r="N69" s="26">
        <v>6.8419699999999999</v>
      </c>
      <c r="O69" s="25">
        <f t="shared" si="3"/>
        <v>6.199121137990396E-2</v>
      </c>
      <c r="Q69" s="26">
        <v>1.7642599999999999</v>
      </c>
      <c r="R69" s="25">
        <f t="shared" si="4"/>
        <v>2.6125186951177975E-2</v>
      </c>
      <c r="T69" s="26"/>
      <c r="U69" s="25" t="e">
        <f t="shared" si="5"/>
        <v>#DIV/0!</v>
      </c>
      <c r="W69" s="26"/>
      <c r="X69" s="25" t="e">
        <f t="shared" si="6"/>
        <v>#DIV/0!</v>
      </c>
      <c r="Z69" s="26"/>
      <c r="AA69" s="25" t="e">
        <f t="shared" si="22"/>
        <v>#DIV/0!</v>
      </c>
      <c r="AC69" s="26"/>
      <c r="AD69" s="25" t="e">
        <f t="shared" si="8"/>
        <v>#DIV/0!</v>
      </c>
      <c r="AF69" s="26"/>
      <c r="AG69" s="25" t="e">
        <f t="shared" si="9"/>
        <v>#DIV/0!</v>
      </c>
      <c r="AI69" s="26"/>
      <c r="AJ69" s="25" t="e">
        <f t="shared" si="10"/>
        <v>#DIV/0!</v>
      </c>
      <c r="AL69" s="26"/>
      <c r="AM69" s="25" t="e">
        <f t="shared" si="11"/>
        <v>#DIV/0!</v>
      </c>
      <c r="AO69" s="26">
        <f>H69+E69+K69+N69+Q69+T69+W69+Z69+AC69+AF69+AI69+AL69</f>
        <v>7.3577199999999996</v>
      </c>
      <c r="AP69" s="25">
        <f t="shared" si="12"/>
        <v>1.504086413645637E-2</v>
      </c>
    </row>
    <row r="70" spans="1:42" outlineLevel="2">
      <c r="A70" s="14" t="s">
        <v>26</v>
      </c>
      <c r="B70" s="22">
        <v>6666030702</v>
      </c>
      <c r="C70" s="22" t="s">
        <v>94</v>
      </c>
      <c r="D70" s="22" t="s">
        <v>54</v>
      </c>
      <c r="E70" s="23">
        <v>0</v>
      </c>
      <c r="F70" s="24">
        <f t="shared" si="0"/>
        <v>0</v>
      </c>
      <c r="H70" s="23">
        <v>0</v>
      </c>
      <c r="I70" s="25">
        <f t="shared" si="1"/>
        <v>0</v>
      </c>
      <c r="K70" s="23">
        <v>0</v>
      </c>
      <c r="L70" s="25">
        <f t="shared" si="2"/>
        <v>0</v>
      </c>
      <c r="N70" s="26">
        <v>0</v>
      </c>
      <c r="O70" s="25">
        <f t="shared" si="3"/>
        <v>0</v>
      </c>
      <c r="Q70" s="26">
        <v>0</v>
      </c>
      <c r="R70" s="25">
        <f t="shared" si="4"/>
        <v>0</v>
      </c>
      <c r="T70" s="26"/>
      <c r="U70" s="25" t="e">
        <f t="shared" si="5"/>
        <v>#DIV/0!</v>
      </c>
      <c r="W70" s="26"/>
      <c r="X70" s="25" t="e">
        <f t="shared" si="6"/>
        <v>#DIV/0!</v>
      </c>
      <c r="Z70" s="26"/>
      <c r="AA70" s="25" t="e">
        <f t="shared" si="22"/>
        <v>#DIV/0!</v>
      </c>
      <c r="AC70" s="26"/>
      <c r="AD70" s="25" t="e">
        <f t="shared" si="8"/>
        <v>#DIV/0!</v>
      </c>
      <c r="AF70" s="26"/>
      <c r="AG70" s="25" t="e">
        <f t="shared" si="9"/>
        <v>#DIV/0!</v>
      </c>
      <c r="AI70" s="26"/>
      <c r="AJ70" s="25" t="e">
        <f t="shared" si="10"/>
        <v>#DIV/0!</v>
      </c>
      <c r="AL70" s="26"/>
      <c r="AM70" s="25" t="e">
        <f t="shared" si="11"/>
        <v>#DIV/0!</v>
      </c>
      <c r="AO70" s="26">
        <f>H70+E70+K70+N70+Q70+T70+W70+Z70+AC70+AF70+AI70+AL70</f>
        <v>0</v>
      </c>
      <c r="AP70" s="25">
        <f t="shared" si="12"/>
        <v>0</v>
      </c>
    </row>
    <row r="71" spans="1:42" outlineLevel="2">
      <c r="A71" s="14" t="s">
        <v>26</v>
      </c>
      <c r="B71" s="22">
        <v>6666031200</v>
      </c>
      <c r="C71" s="22" t="s">
        <v>95</v>
      </c>
      <c r="D71" s="22" t="s">
        <v>54</v>
      </c>
      <c r="E71" s="23">
        <v>0</v>
      </c>
      <c r="F71" s="24">
        <f t="shared" si="0"/>
        <v>0</v>
      </c>
      <c r="H71" s="23">
        <v>0</v>
      </c>
      <c r="I71" s="25">
        <f t="shared" si="1"/>
        <v>0</v>
      </c>
      <c r="K71" s="23">
        <v>0</v>
      </c>
      <c r="L71" s="25">
        <f t="shared" si="2"/>
        <v>0</v>
      </c>
      <c r="N71" s="26">
        <v>0</v>
      </c>
      <c r="O71" s="25">
        <f t="shared" si="3"/>
        <v>0</v>
      </c>
      <c r="Q71" s="26">
        <v>0</v>
      </c>
      <c r="R71" s="25">
        <f t="shared" si="4"/>
        <v>0</v>
      </c>
      <c r="T71" s="26"/>
      <c r="U71" s="25" t="e">
        <f t="shared" si="5"/>
        <v>#DIV/0!</v>
      </c>
      <c r="W71" s="26"/>
      <c r="X71" s="25" t="e">
        <f t="shared" si="6"/>
        <v>#DIV/0!</v>
      </c>
      <c r="Z71" s="26"/>
      <c r="AA71" s="25" t="e">
        <f t="shared" si="22"/>
        <v>#DIV/0!</v>
      </c>
      <c r="AC71" s="26"/>
      <c r="AD71" s="25" t="e">
        <f t="shared" si="8"/>
        <v>#DIV/0!</v>
      </c>
      <c r="AF71" s="26"/>
      <c r="AG71" s="25" t="e">
        <f t="shared" si="9"/>
        <v>#DIV/0!</v>
      </c>
      <c r="AI71" s="26"/>
      <c r="AJ71" s="25" t="e">
        <f t="shared" si="10"/>
        <v>#DIV/0!</v>
      </c>
      <c r="AL71" s="26"/>
      <c r="AM71" s="25" t="e">
        <f t="shared" si="11"/>
        <v>#DIV/0!</v>
      </c>
      <c r="AO71" s="26">
        <f>H71+E71+K71+N71+Q71+T71+W71+Z71+AC71+AF71+AI71+AL71</f>
        <v>0</v>
      </c>
      <c r="AP71" s="25">
        <f t="shared" si="12"/>
        <v>0</v>
      </c>
    </row>
    <row r="72" spans="1:42" outlineLevel="2">
      <c r="A72" s="14" t="s">
        <v>26</v>
      </c>
      <c r="B72" s="22">
        <v>6666050107</v>
      </c>
      <c r="C72" s="22" t="s">
        <v>96</v>
      </c>
      <c r="D72" s="22" t="s">
        <v>54</v>
      </c>
      <c r="E72" s="23">
        <v>0</v>
      </c>
      <c r="F72" s="24">
        <f t="shared" ref="F72:F138" si="28">E72/$E$1*1000</f>
        <v>0</v>
      </c>
      <c r="H72" s="23">
        <v>0</v>
      </c>
      <c r="I72" s="25">
        <f t="shared" si="1"/>
        <v>0</v>
      </c>
      <c r="K72" s="23">
        <v>0</v>
      </c>
      <c r="L72" s="25">
        <f t="shared" ref="L72:L138" si="29">K72/$K$1*1000</f>
        <v>0</v>
      </c>
      <c r="N72" s="26">
        <v>0</v>
      </c>
      <c r="O72" s="25">
        <f t="shared" ref="O72:O138" si="30">N72/$N$1*1000</f>
        <v>0</v>
      </c>
      <c r="Q72" s="26">
        <v>0</v>
      </c>
      <c r="R72" s="25">
        <f t="shared" ref="R72:R135" si="31">Q72/$Q$1*1000</f>
        <v>0</v>
      </c>
      <c r="T72" s="26"/>
      <c r="U72" s="25" t="e">
        <f t="shared" si="5"/>
        <v>#DIV/0!</v>
      </c>
      <c r="W72" s="26"/>
      <c r="X72" s="25" t="e">
        <f t="shared" si="6"/>
        <v>#DIV/0!</v>
      </c>
      <c r="Z72" s="26"/>
      <c r="AA72" s="25" t="e">
        <f t="shared" si="22"/>
        <v>#DIV/0!</v>
      </c>
      <c r="AC72" s="26"/>
      <c r="AD72" s="25" t="e">
        <f t="shared" si="8"/>
        <v>#DIV/0!</v>
      </c>
      <c r="AF72" s="26"/>
      <c r="AG72" s="25" t="e">
        <f t="shared" si="9"/>
        <v>#DIV/0!</v>
      </c>
      <c r="AI72" s="26"/>
      <c r="AJ72" s="25" t="e">
        <f t="shared" si="10"/>
        <v>#DIV/0!</v>
      </c>
      <c r="AL72" s="26"/>
      <c r="AM72" s="25" t="e">
        <f t="shared" si="11"/>
        <v>#DIV/0!</v>
      </c>
      <c r="AO72" s="26">
        <f t="shared" si="24"/>
        <v>0</v>
      </c>
      <c r="AP72" s="25">
        <f t="shared" si="12"/>
        <v>0</v>
      </c>
    </row>
    <row r="73" spans="1:42" outlineLevel="2">
      <c r="A73" s="14" t="s">
        <v>26</v>
      </c>
      <c r="B73" s="22">
        <v>6666070100</v>
      </c>
      <c r="C73" s="22" t="s">
        <v>97</v>
      </c>
      <c r="D73" s="22" t="s">
        <v>54</v>
      </c>
      <c r="E73" s="23">
        <v>0</v>
      </c>
      <c r="F73" s="24">
        <f t="shared" si="28"/>
        <v>0</v>
      </c>
      <c r="H73" s="23">
        <v>0</v>
      </c>
      <c r="I73" s="25">
        <f t="shared" si="1"/>
        <v>0</v>
      </c>
      <c r="K73" s="23">
        <v>0</v>
      </c>
      <c r="L73" s="25">
        <f t="shared" si="29"/>
        <v>0</v>
      </c>
      <c r="N73" s="26">
        <v>0</v>
      </c>
      <c r="O73" s="25">
        <f t="shared" si="30"/>
        <v>0</v>
      </c>
      <c r="Q73" s="26">
        <v>0</v>
      </c>
      <c r="R73" s="25">
        <f t="shared" si="31"/>
        <v>0</v>
      </c>
      <c r="T73" s="26"/>
      <c r="U73" s="25" t="e">
        <f t="shared" si="5"/>
        <v>#DIV/0!</v>
      </c>
      <c r="W73" s="26"/>
      <c r="X73" s="25" t="e">
        <f t="shared" si="6"/>
        <v>#DIV/0!</v>
      </c>
      <c r="Z73" s="26"/>
      <c r="AA73" s="25" t="e">
        <f t="shared" si="22"/>
        <v>#DIV/0!</v>
      </c>
      <c r="AC73" s="26"/>
      <c r="AD73" s="25" t="e">
        <f t="shared" si="8"/>
        <v>#DIV/0!</v>
      </c>
      <c r="AF73" s="26"/>
      <c r="AG73" s="25" t="e">
        <f t="shared" si="9"/>
        <v>#DIV/0!</v>
      </c>
      <c r="AI73" s="26"/>
      <c r="AJ73" s="25" t="e">
        <f t="shared" ref="AJ73:AJ138" si="32">AI73/$AI$1*1000</f>
        <v>#DIV/0!</v>
      </c>
      <c r="AL73" s="26"/>
      <c r="AM73" s="25" t="e">
        <f t="shared" ref="AM73:AM138" si="33">AL73/$AI$1*1000</f>
        <v>#DIV/0!</v>
      </c>
      <c r="AO73" s="26">
        <f t="shared" ref="AO73:AO80" si="34">H73+E73+K73+N73+Q73+T73+W73+Z73+AC73+AF73+AI73+AL73</f>
        <v>0</v>
      </c>
      <c r="AP73" s="25">
        <f t="shared" si="12"/>
        <v>0</v>
      </c>
    </row>
    <row r="74" spans="1:42" outlineLevel="2">
      <c r="A74" s="14" t="s">
        <v>26</v>
      </c>
      <c r="B74" s="22">
        <v>6666070300</v>
      </c>
      <c r="C74" s="22" t="s">
        <v>98</v>
      </c>
      <c r="D74" s="22" t="s">
        <v>54</v>
      </c>
      <c r="E74" s="23">
        <v>0</v>
      </c>
      <c r="F74" s="24">
        <f t="shared" si="28"/>
        <v>0</v>
      </c>
      <c r="H74" s="23">
        <v>0</v>
      </c>
      <c r="I74" s="25">
        <f t="shared" si="1"/>
        <v>0</v>
      </c>
      <c r="K74" s="23">
        <v>0</v>
      </c>
      <c r="L74" s="25">
        <f t="shared" si="29"/>
        <v>0</v>
      </c>
      <c r="N74" s="26">
        <v>0</v>
      </c>
      <c r="O74" s="25">
        <f t="shared" si="30"/>
        <v>0</v>
      </c>
      <c r="Q74" s="26">
        <v>0</v>
      </c>
      <c r="R74" s="25">
        <f t="shared" si="31"/>
        <v>0</v>
      </c>
      <c r="T74" s="26"/>
      <c r="U74" s="25" t="e">
        <f t="shared" si="5"/>
        <v>#DIV/0!</v>
      </c>
      <c r="W74" s="26"/>
      <c r="X74" s="25" t="e">
        <f t="shared" si="6"/>
        <v>#DIV/0!</v>
      </c>
      <c r="Z74" s="26"/>
      <c r="AA74" s="25" t="e">
        <f t="shared" si="22"/>
        <v>#DIV/0!</v>
      </c>
      <c r="AC74" s="26"/>
      <c r="AD74" s="25" t="e">
        <f t="shared" ref="AD74:AD138" si="35">AC74/$AC$1*1000</f>
        <v>#DIV/0!</v>
      </c>
      <c r="AF74" s="26"/>
      <c r="AG74" s="25" t="e">
        <f t="shared" ref="AG74:AG138" si="36">AF74/$AF$1*1000</f>
        <v>#DIV/0!</v>
      </c>
      <c r="AI74" s="26"/>
      <c r="AJ74" s="25" t="e">
        <f t="shared" si="32"/>
        <v>#DIV/0!</v>
      </c>
      <c r="AL74" s="26"/>
      <c r="AM74" s="25" t="e">
        <f t="shared" si="33"/>
        <v>#DIV/0!</v>
      </c>
      <c r="AO74" s="26">
        <f t="shared" si="34"/>
        <v>0</v>
      </c>
      <c r="AP74" s="25">
        <f t="shared" si="12"/>
        <v>0</v>
      </c>
    </row>
    <row r="75" spans="1:42" outlineLevel="2">
      <c r="A75" s="152" t="s">
        <v>26</v>
      </c>
      <c r="B75" s="22">
        <v>6666070400</v>
      </c>
      <c r="C75" s="22" t="s">
        <v>99</v>
      </c>
      <c r="D75" s="22" t="s">
        <v>54</v>
      </c>
      <c r="E75" s="23">
        <v>13.541130000000001</v>
      </c>
      <c r="F75" s="24">
        <f t="shared" si="28"/>
        <v>0.13872545102498693</v>
      </c>
      <c r="H75" s="23">
        <v>34.085230000000003</v>
      </c>
      <c r="I75" s="25">
        <f t="shared" si="1"/>
        <v>0.32066936986095174</v>
      </c>
      <c r="K75" s="23">
        <v>-16.3657</v>
      </c>
      <c r="L75" s="25">
        <f t="shared" si="29"/>
        <v>-0.152414878557592</v>
      </c>
      <c r="N75" s="26">
        <v>4.9744299999999999</v>
      </c>
      <c r="O75" s="25">
        <f t="shared" si="30"/>
        <v>4.50704901694301E-2</v>
      </c>
      <c r="Q75" s="26">
        <v>4.6062099999999999</v>
      </c>
      <c r="R75" s="25">
        <f t="shared" si="31"/>
        <v>6.8208822614799117E-2</v>
      </c>
      <c r="T75" s="26"/>
      <c r="U75" s="25" t="e">
        <f t="shared" si="5"/>
        <v>#DIV/0!</v>
      </c>
      <c r="W75" s="26"/>
      <c r="X75" s="25" t="e">
        <f t="shared" ref="X75:X137" si="37">W75/$W$1*1000</f>
        <v>#DIV/0!</v>
      </c>
      <c r="Z75" s="26"/>
      <c r="AA75" s="25" t="e">
        <f t="shared" si="22"/>
        <v>#DIV/0!</v>
      </c>
      <c r="AC75" s="26"/>
      <c r="AD75" s="25" t="e">
        <f t="shared" si="35"/>
        <v>#DIV/0!</v>
      </c>
      <c r="AF75" s="26"/>
      <c r="AG75" s="25" t="e">
        <f t="shared" si="36"/>
        <v>#DIV/0!</v>
      </c>
      <c r="AI75" s="26"/>
      <c r="AJ75" s="25" t="e">
        <f t="shared" si="32"/>
        <v>#DIV/0!</v>
      </c>
      <c r="AL75" s="26"/>
      <c r="AM75" s="25" t="e">
        <f t="shared" si="33"/>
        <v>#DIV/0!</v>
      </c>
      <c r="AO75" s="26">
        <f t="shared" si="34"/>
        <v>40.841300000000004</v>
      </c>
      <c r="AP75" s="25">
        <f t="shared" si="12"/>
        <v>8.3488967296425465E-2</v>
      </c>
    </row>
    <row r="76" spans="1:42" outlineLevel="2">
      <c r="A76" s="42" t="s">
        <v>26</v>
      </c>
      <c r="B76" s="22">
        <v>5401050201</v>
      </c>
      <c r="C76" s="43" t="s">
        <v>100</v>
      </c>
      <c r="D76" s="22" t="s">
        <v>54</v>
      </c>
      <c r="E76" s="23">
        <v>0</v>
      </c>
      <c r="F76" s="24">
        <f t="shared" si="28"/>
        <v>0</v>
      </c>
      <c r="H76" s="23">
        <v>0</v>
      </c>
      <c r="I76" s="25">
        <f t="shared" si="1"/>
        <v>0</v>
      </c>
      <c r="K76" s="23">
        <v>0</v>
      </c>
      <c r="L76" s="25">
        <f t="shared" si="29"/>
        <v>0</v>
      </c>
      <c r="N76" s="26">
        <v>0</v>
      </c>
      <c r="O76" s="25">
        <f t="shared" si="30"/>
        <v>0</v>
      </c>
      <c r="Q76" s="26">
        <v>0</v>
      </c>
      <c r="R76" s="25">
        <f t="shared" si="31"/>
        <v>0</v>
      </c>
      <c r="T76" s="26"/>
      <c r="U76" s="25"/>
      <c r="W76" s="26"/>
      <c r="X76" s="25"/>
      <c r="Z76" s="26"/>
      <c r="AA76" s="25"/>
      <c r="AC76" s="26"/>
      <c r="AD76" s="25" t="e">
        <f t="shared" si="35"/>
        <v>#DIV/0!</v>
      </c>
      <c r="AF76" s="26"/>
      <c r="AG76" s="25" t="e">
        <f t="shared" si="36"/>
        <v>#DIV/0!</v>
      </c>
      <c r="AI76" s="26"/>
      <c r="AJ76" s="25" t="e">
        <f t="shared" si="32"/>
        <v>#DIV/0!</v>
      </c>
      <c r="AL76" s="26"/>
      <c r="AM76" s="25" t="e">
        <f t="shared" si="33"/>
        <v>#DIV/0!</v>
      </c>
      <c r="AO76" s="26">
        <f t="shared" si="34"/>
        <v>0</v>
      </c>
      <c r="AP76" s="25">
        <f t="shared" si="12"/>
        <v>0</v>
      </c>
    </row>
    <row r="77" spans="1:42" outlineLevel="2">
      <c r="A77" s="42" t="s">
        <v>26</v>
      </c>
      <c r="B77" s="22">
        <v>5401020212</v>
      </c>
      <c r="C77" s="43" t="s">
        <v>101</v>
      </c>
      <c r="D77" s="22" t="s">
        <v>54</v>
      </c>
      <c r="E77" s="23">
        <v>0</v>
      </c>
      <c r="F77" s="24">
        <f t="shared" si="28"/>
        <v>0</v>
      </c>
      <c r="H77" s="23">
        <v>0</v>
      </c>
      <c r="I77" s="25">
        <f t="shared" si="1"/>
        <v>0</v>
      </c>
      <c r="K77" s="23">
        <v>0</v>
      </c>
      <c r="L77" s="25">
        <f t="shared" si="29"/>
        <v>0</v>
      </c>
      <c r="N77" s="26">
        <v>0</v>
      </c>
      <c r="O77" s="25">
        <f t="shared" si="30"/>
        <v>0</v>
      </c>
      <c r="Q77" s="26">
        <v>0</v>
      </c>
      <c r="R77" s="25">
        <f t="shared" si="31"/>
        <v>0</v>
      </c>
      <c r="T77" s="26"/>
      <c r="U77" s="25"/>
      <c r="W77" s="26"/>
      <c r="X77" s="25"/>
      <c r="Z77" s="26"/>
      <c r="AA77" s="25"/>
      <c r="AC77" s="26"/>
      <c r="AD77" s="25" t="e">
        <f t="shared" si="35"/>
        <v>#DIV/0!</v>
      </c>
      <c r="AF77" s="26"/>
      <c r="AG77" s="25" t="e">
        <f t="shared" si="36"/>
        <v>#DIV/0!</v>
      </c>
      <c r="AI77" s="26"/>
      <c r="AJ77" s="25" t="e">
        <f t="shared" si="32"/>
        <v>#DIV/0!</v>
      </c>
      <c r="AL77" s="26"/>
      <c r="AM77" s="25" t="e">
        <f t="shared" si="33"/>
        <v>#DIV/0!</v>
      </c>
      <c r="AO77" s="26">
        <f t="shared" si="34"/>
        <v>0</v>
      </c>
      <c r="AP77" s="25">
        <f t="shared" si="12"/>
        <v>0</v>
      </c>
    </row>
    <row r="78" spans="1:42" outlineLevel="2">
      <c r="A78" s="42" t="s">
        <v>26</v>
      </c>
      <c r="B78" s="22" t="s">
        <v>102</v>
      </c>
      <c r="C78" s="43" t="s">
        <v>103</v>
      </c>
      <c r="D78" s="22" t="s">
        <v>54</v>
      </c>
      <c r="E78" s="23">
        <v>0</v>
      </c>
      <c r="F78" s="24">
        <f t="shared" si="28"/>
        <v>0</v>
      </c>
      <c r="H78" s="23">
        <v>0</v>
      </c>
      <c r="I78" s="25">
        <f t="shared" si="1"/>
        <v>0</v>
      </c>
      <c r="K78" s="23">
        <v>0</v>
      </c>
      <c r="L78" s="25">
        <f t="shared" si="29"/>
        <v>0</v>
      </c>
      <c r="N78" s="26">
        <v>0</v>
      </c>
      <c r="O78" s="25">
        <f t="shared" si="30"/>
        <v>0</v>
      </c>
      <c r="Q78" s="26">
        <v>0</v>
      </c>
      <c r="R78" s="25">
        <f t="shared" si="31"/>
        <v>0</v>
      </c>
      <c r="T78" s="26"/>
      <c r="U78" s="25"/>
      <c r="W78" s="26"/>
      <c r="X78" s="25"/>
      <c r="Z78" s="26"/>
      <c r="AA78" s="25"/>
      <c r="AC78" s="26"/>
      <c r="AD78" s="25" t="e">
        <f t="shared" si="35"/>
        <v>#DIV/0!</v>
      </c>
      <c r="AF78" s="26"/>
      <c r="AG78" s="25" t="e">
        <f t="shared" si="36"/>
        <v>#DIV/0!</v>
      </c>
      <c r="AI78" s="26"/>
      <c r="AJ78" s="25" t="e">
        <f t="shared" si="32"/>
        <v>#DIV/0!</v>
      </c>
      <c r="AL78" s="26"/>
      <c r="AM78" s="25" t="e">
        <f t="shared" si="33"/>
        <v>#DIV/0!</v>
      </c>
      <c r="AO78" s="26">
        <f t="shared" si="34"/>
        <v>0</v>
      </c>
      <c r="AP78" s="25">
        <f t="shared" si="12"/>
        <v>0</v>
      </c>
    </row>
    <row r="79" spans="1:42" outlineLevel="2">
      <c r="A79" s="42" t="s">
        <v>26</v>
      </c>
      <c r="B79" s="22" t="s">
        <v>104</v>
      </c>
      <c r="C79" s="43" t="s">
        <v>105</v>
      </c>
      <c r="D79" s="22" t="s">
        <v>54</v>
      </c>
      <c r="E79" s="23">
        <v>0</v>
      </c>
      <c r="F79" s="24">
        <f t="shared" si="28"/>
        <v>0</v>
      </c>
      <c r="H79" s="23">
        <v>0</v>
      </c>
      <c r="I79" s="25">
        <f t="shared" si="1"/>
        <v>0</v>
      </c>
      <c r="K79" s="23">
        <v>0</v>
      </c>
      <c r="L79" s="25">
        <f t="shared" si="29"/>
        <v>0</v>
      </c>
      <c r="N79" s="26">
        <v>0</v>
      </c>
      <c r="O79" s="25">
        <f t="shared" si="30"/>
        <v>0</v>
      </c>
      <c r="Q79" s="26">
        <v>0</v>
      </c>
      <c r="R79" s="25">
        <f t="shared" si="31"/>
        <v>0</v>
      </c>
      <c r="T79" s="26"/>
      <c r="U79" s="25"/>
      <c r="W79" s="26"/>
      <c r="X79" s="25"/>
      <c r="Z79" s="26"/>
      <c r="AA79" s="25"/>
      <c r="AC79" s="26"/>
      <c r="AD79" s="25" t="e">
        <f t="shared" si="35"/>
        <v>#DIV/0!</v>
      </c>
      <c r="AF79" s="26"/>
      <c r="AG79" s="25" t="e">
        <f t="shared" si="36"/>
        <v>#DIV/0!</v>
      </c>
      <c r="AI79" s="26"/>
      <c r="AJ79" s="25" t="e">
        <f t="shared" si="32"/>
        <v>#DIV/0!</v>
      </c>
      <c r="AL79" s="26"/>
      <c r="AM79" s="25" t="e">
        <f t="shared" si="33"/>
        <v>#DIV/0!</v>
      </c>
      <c r="AO79" s="26">
        <f t="shared" si="34"/>
        <v>0</v>
      </c>
      <c r="AP79" s="25">
        <f t="shared" si="12"/>
        <v>0</v>
      </c>
    </row>
    <row r="80" spans="1:42" outlineLevel="2">
      <c r="A80" s="42" t="s">
        <v>26</v>
      </c>
      <c r="B80" s="22" t="s">
        <v>106</v>
      </c>
      <c r="C80" s="43" t="s">
        <v>107</v>
      </c>
      <c r="D80" s="22" t="s">
        <v>54</v>
      </c>
      <c r="E80" s="23">
        <v>0</v>
      </c>
      <c r="F80" s="24">
        <f t="shared" si="28"/>
        <v>0</v>
      </c>
      <c r="H80" s="23">
        <v>0</v>
      </c>
      <c r="I80" s="25">
        <f t="shared" si="1"/>
        <v>0</v>
      </c>
      <c r="K80" s="23">
        <v>0</v>
      </c>
      <c r="L80" s="25">
        <f t="shared" si="29"/>
        <v>0</v>
      </c>
      <c r="N80" s="26">
        <v>0</v>
      </c>
      <c r="O80" s="25">
        <f t="shared" si="30"/>
        <v>0</v>
      </c>
      <c r="Q80" s="26">
        <v>0</v>
      </c>
      <c r="R80" s="25">
        <f t="shared" si="31"/>
        <v>0</v>
      </c>
      <c r="T80" s="26"/>
      <c r="U80" s="25"/>
      <c r="W80" s="26"/>
      <c r="X80" s="25"/>
      <c r="Z80" s="26"/>
      <c r="AA80" s="25"/>
      <c r="AC80" s="26"/>
      <c r="AD80" s="25" t="e">
        <f t="shared" ref="AD80:AD81" si="38">AC80/$AC$1*1000</f>
        <v>#DIV/0!</v>
      </c>
      <c r="AF80" s="26"/>
      <c r="AG80" s="25" t="e">
        <f t="shared" ref="AG80:AG81" si="39">AF80/$AF$1*1000</f>
        <v>#DIV/0!</v>
      </c>
      <c r="AI80" s="26"/>
      <c r="AJ80" s="25" t="e">
        <f t="shared" ref="AJ80:AJ81" si="40">AI80/$AI$1*1000</f>
        <v>#DIV/0!</v>
      </c>
      <c r="AL80" s="26"/>
      <c r="AM80" s="25" t="e">
        <f t="shared" ref="AM80:AM81" si="41">AL80/$AI$1*1000</f>
        <v>#DIV/0!</v>
      </c>
      <c r="AO80" s="26">
        <f t="shared" si="34"/>
        <v>0</v>
      </c>
      <c r="AP80" s="25">
        <f t="shared" ref="AP80:AP81" si="42">AO80/$AO$1*1000</f>
        <v>0</v>
      </c>
    </row>
    <row r="81" spans="1:45" outlineLevel="2">
      <c r="A81" s="42" t="s">
        <v>26</v>
      </c>
      <c r="B81" s="22">
        <v>6666040215</v>
      </c>
      <c r="C81" s="43" t="s">
        <v>200</v>
      </c>
      <c r="D81" s="22" t="s">
        <v>54</v>
      </c>
      <c r="E81" s="23">
        <v>0</v>
      </c>
      <c r="F81" s="24">
        <f t="shared" si="28"/>
        <v>0</v>
      </c>
      <c r="H81" s="23">
        <v>0</v>
      </c>
      <c r="I81" s="25">
        <f t="shared" si="1"/>
        <v>0</v>
      </c>
      <c r="K81" s="23">
        <v>0</v>
      </c>
      <c r="L81" s="25">
        <f t="shared" si="29"/>
        <v>0</v>
      </c>
      <c r="N81" s="26">
        <v>0</v>
      </c>
      <c r="O81" s="25">
        <f t="shared" si="30"/>
        <v>0</v>
      </c>
      <c r="Q81" s="26">
        <v>0</v>
      </c>
      <c r="R81" s="25">
        <f t="shared" si="31"/>
        <v>0</v>
      </c>
      <c r="T81" s="26"/>
      <c r="U81" s="25"/>
      <c r="W81" s="26"/>
      <c r="X81" s="25"/>
      <c r="Z81" s="26"/>
      <c r="AA81" s="25"/>
      <c r="AC81" s="26"/>
      <c r="AD81" s="25" t="e">
        <f t="shared" si="38"/>
        <v>#DIV/0!</v>
      </c>
      <c r="AF81" s="26"/>
      <c r="AG81" s="25" t="e">
        <f t="shared" si="39"/>
        <v>#DIV/0!</v>
      </c>
      <c r="AI81" s="26"/>
      <c r="AJ81" s="25" t="e">
        <f t="shared" si="40"/>
        <v>#DIV/0!</v>
      </c>
      <c r="AL81" s="26"/>
      <c r="AM81" s="25" t="e">
        <f t="shared" si="41"/>
        <v>#DIV/0!</v>
      </c>
      <c r="AO81" s="26">
        <f t="shared" ref="AO81" si="43">H81+E81+K81+N81+Q81+T81+W81+Z81+AC81+AF81+AI81+AL81</f>
        <v>0</v>
      </c>
      <c r="AP81" s="25">
        <f t="shared" si="42"/>
        <v>0</v>
      </c>
    </row>
    <row r="82" spans="1:45" outlineLevel="2">
      <c r="A82" s="42" t="s">
        <v>26</v>
      </c>
      <c r="B82" s="22" t="s">
        <v>75</v>
      </c>
      <c r="C82" s="43" t="s">
        <v>76</v>
      </c>
      <c r="D82" s="22" t="s">
        <v>54</v>
      </c>
      <c r="E82" s="23">
        <v>0</v>
      </c>
      <c r="F82" s="24">
        <f t="shared" si="28"/>
        <v>0</v>
      </c>
      <c r="H82" s="23">
        <v>0</v>
      </c>
      <c r="I82" s="25">
        <f t="shared" si="1"/>
        <v>0</v>
      </c>
      <c r="K82" s="23">
        <v>0</v>
      </c>
      <c r="L82" s="25">
        <f t="shared" si="29"/>
        <v>0</v>
      </c>
      <c r="N82" s="26">
        <v>0</v>
      </c>
      <c r="O82" s="25">
        <f t="shared" si="30"/>
        <v>0</v>
      </c>
      <c r="Q82" s="26">
        <v>0</v>
      </c>
      <c r="R82" s="25">
        <f t="shared" si="31"/>
        <v>0</v>
      </c>
      <c r="T82" s="26"/>
      <c r="U82" s="25"/>
      <c r="W82" s="26"/>
      <c r="X82" s="25"/>
      <c r="Z82" s="26"/>
      <c r="AA82" s="25"/>
      <c r="AC82" s="26"/>
      <c r="AD82" s="25" t="e">
        <f t="shared" ref="AD82:AD84" si="44">AC82/$AC$1*1000</f>
        <v>#DIV/0!</v>
      </c>
      <c r="AF82" s="26"/>
      <c r="AG82" s="25" t="e">
        <f t="shared" ref="AG82:AG84" si="45">AF82/$AF$1*1000</f>
        <v>#DIV/0!</v>
      </c>
      <c r="AI82" s="26"/>
      <c r="AJ82" s="25" t="e">
        <f t="shared" ref="AJ82:AJ84" si="46">AI82/$AI$1*1000</f>
        <v>#DIV/0!</v>
      </c>
      <c r="AL82" s="26"/>
      <c r="AM82" s="25" t="e">
        <f t="shared" ref="AM82:AM84" si="47">AL82/$AI$1*1000</f>
        <v>#DIV/0!</v>
      </c>
      <c r="AO82" s="26">
        <f>H82+E82+K82+N82+Q82+T82+W82+Z82+AC82+AF82+AI82+AL82</f>
        <v>0</v>
      </c>
      <c r="AP82" s="25">
        <f t="shared" ref="AP82:AP84" si="48">AO82/$AO$1*1000</f>
        <v>0</v>
      </c>
    </row>
    <row r="83" spans="1:45" outlineLevel="2">
      <c r="A83" s="42" t="s">
        <v>26</v>
      </c>
      <c r="B83" s="22" t="s">
        <v>201</v>
      </c>
      <c r="C83" s="43" t="s">
        <v>202</v>
      </c>
      <c r="D83" s="22" t="s">
        <v>54</v>
      </c>
      <c r="E83" s="23">
        <v>0</v>
      </c>
      <c r="F83" s="24">
        <f t="shared" si="28"/>
        <v>0</v>
      </c>
      <c r="H83" s="23">
        <v>0</v>
      </c>
      <c r="I83" s="25">
        <f t="shared" si="1"/>
        <v>0</v>
      </c>
      <c r="K83" s="23">
        <v>0</v>
      </c>
      <c r="L83" s="25">
        <f t="shared" si="29"/>
        <v>0</v>
      </c>
      <c r="N83" s="26">
        <v>0</v>
      </c>
      <c r="O83" s="25">
        <f t="shared" si="30"/>
        <v>0</v>
      </c>
      <c r="Q83" s="26">
        <v>0</v>
      </c>
      <c r="R83" s="25">
        <f t="shared" si="31"/>
        <v>0</v>
      </c>
      <c r="T83" s="26"/>
      <c r="U83" s="25"/>
      <c r="W83" s="26"/>
      <c r="X83" s="25"/>
      <c r="Z83" s="26"/>
      <c r="AA83" s="25"/>
      <c r="AC83" s="26"/>
      <c r="AD83" s="25" t="e">
        <f t="shared" si="44"/>
        <v>#DIV/0!</v>
      </c>
      <c r="AF83" s="26"/>
      <c r="AG83" s="25" t="e">
        <f t="shared" si="45"/>
        <v>#DIV/0!</v>
      </c>
      <c r="AI83" s="26"/>
      <c r="AJ83" s="25" t="e">
        <f t="shared" si="46"/>
        <v>#DIV/0!</v>
      </c>
      <c r="AL83" s="26"/>
      <c r="AM83" s="25" t="e">
        <f t="shared" si="47"/>
        <v>#DIV/0!</v>
      </c>
      <c r="AO83" s="26">
        <f>H83+E83+K83+N83+Q83+T83+W83+Z83+AC83+AF83+AI83+AL83</f>
        <v>0</v>
      </c>
      <c r="AP83" s="25">
        <f t="shared" si="48"/>
        <v>0</v>
      </c>
    </row>
    <row r="84" spans="1:45" outlineLevel="2">
      <c r="A84" s="42" t="s">
        <v>26</v>
      </c>
      <c r="B84" s="22" t="s">
        <v>203</v>
      </c>
      <c r="C84" s="43" t="s">
        <v>204</v>
      </c>
      <c r="D84" s="22" t="s">
        <v>54</v>
      </c>
      <c r="E84" s="23">
        <v>0</v>
      </c>
      <c r="F84" s="24">
        <f t="shared" si="28"/>
        <v>0</v>
      </c>
      <c r="H84" s="23">
        <v>0.5999000000000001</v>
      </c>
      <c r="I84" s="25">
        <f t="shared" si="1"/>
        <v>5.6437804579750513E-3</v>
      </c>
      <c r="K84" s="23">
        <v>0.58943999999999996</v>
      </c>
      <c r="L84" s="25">
        <f t="shared" si="29"/>
        <v>5.4894948591864097E-3</v>
      </c>
      <c r="N84" s="26">
        <v>-4.1230000000000003E-2</v>
      </c>
      <c r="O84" s="25">
        <f t="shared" si="30"/>
        <v>-3.7356165624716865E-4</v>
      </c>
      <c r="Q84" s="26">
        <v>-8.3049999999999999E-2</v>
      </c>
      <c r="R84" s="25">
        <f t="shared" si="31"/>
        <v>-1.2298055707749033E-3</v>
      </c>
      <c r="T84" s="26"/>
      <c r="U84" s="25"/>
      <c r="W84" s="26"/>
      <c r="X84" s="25"/>
      <c r="Z84" s="26"/>
      <c r="AA84" s="25"/>
      <c r="AC84" s="26"/>
      <c r="AD84" s="25" t="e">
        <f t="shared" si="44"/>
        <v>#DIV/0!</v>
      </c>
      <c r="AF84" s="26"/>
      <c r="AG84" s="25" t="e">
        <f t="shared" si="45"/>
        <v>#DIV/0!</v>
      </c>
      <c r="AI84" s="26"/>
      <c r="AJ84" s="25" t="e">
        <f t="shared" si="46"/>
        <v>#DIV/0!</v>
      </c>
      <c r="AL84" s="26"/>
      <c r="AM84" s="25" t="e">
        <f t="shared" si="47"/>
        <v>#DIV/0!</v>
      </c>
      <c r="AO84" s="26">
        <f>H84+E84+K84+N84+Q84+T84+W84+Z84+AC84+AF84+AI84+AL84</f>
        <v>1.0650599999999999</v>
      </c>
      <c r="AP84" s="25">
        <f t="shared" si="48"/>
        <v>2.1772264719470461E-3</v>
      </c>
    </row>
    <row r="85" spans="1:45" outlineLevel="2">
      <c r="A85" s="42" t="s">
        <v>26</v>
      </c>
      <c r="B85" s="22" t="s">
        <v>205</v>
      </c>
      <c r="C85" s="43" t="s">
        <v>166</v>
      </c>
      <c r="D85" s="22" t="s">
        <v>54</v>
      </c>
      <c r="E85" s="23">
        <v>0</v>
      </c>
      <c r="F85" s="24">
        <f t="shared" si="28"/>
        <v>0</v>
      </c>
      <c r="H85" s="23">
        <v>0</v>
      </c>
      <c r="I85" s="25">
        <f t="shared" si="1"/>
        <v>0</v>
      </c>
      <c r="K85" s="23">
        <v>0</v>
      </c>
      <c r="L85" s="25">
        <f t="shared" si="29"/>
        <v>0</v>
      </c>
      <c r="N85" s="26">
        <v>0</v>
      </c>
      <c r="O85" s="25">
        <f t="shared" si="30"/>
        <v>0</v>
      </c>
      <c r="Q85" s="26">
        <v>0</v>
      </c>
      <c r="R85" s="25">
        <f t="shared" si="31"/>
        <v>0</v>
      </c>
      <c r="T85" s="26"/>
      <c r="U85" s="25"/>
      <c r="W85" s="26"/>
      <c r="X85" s="25"/>
      <c r="Z85" s="26"/>
      <c r="AA85" s="25"/>
      <c r="AC85" s="26"/>
      <c r="AD85" s="25" t="e">
        <f t="shared" ref="AD85:AD89" si="49">AC85/$AC$1*1000</f>
        <v>#DIV/0!</v>
      </c>
      <c r="AF85" s="26"/>
      <c r="AG85" s="25" t="e">
        <f t="shared" ref="AG85:AG89" si="50">AF85/$AF$1*1000</f>
        <v>#DIV/0!</v>
      </c>
      <c r="AI85" s="26"/>
      <c r="AJ85" s="25" t="e">
        <f t="shared" ref="AJ85:AJ89" si="51">AI85/$AI$1*1000</f>
        <v>#DIV/0!</v>
      </c>
      <c r="AL85" s="26"/>
      <c r="AM85" s="25" t="e">
        <f t="shared" ref="AM85:AM89" si="52">AL85/$AI$1*1000</f>
        <v>#DIV/0!</v>
      </c>
      <c r="AO85" s="26">
        <f>H85+E85+K85+N85+Q85+T85+W85+Z85+AC85+AF85+AI85+AL85</f>
        <v>0</v>
      </c>
      <c r="AP85" s="25">
        <f t="shared" ref="AP85:AP89" si="53">AO85/$AO$1*1000</f>
        <v>0</v>
      </c>
    </row>
    <row r="86" spans="1:45" outlineLevel="2">
      <c r="A86" s="42" t="s">
        <v>26</v>
      </c>
      <c r="B86" s="22">
        <v>6666020801</v>
      </c>
      <c r="C86" s="43" t="s">
        <v>160</v>
      </c>
      <c r="D86" s="22" t="s">
        <v>54</v>
      </c>
      <c r="E86" s="23">
        <v>1.2620100000000001</v>
      </c>
      <c r="F86" s="24">
        <f t="shared" ref="F86:F89" si="54">E86/$E$1*1000</f>
        <v>1.2928973169007592E-2</v>
      </c>
      <c r="H86" s="23">
        <v>1.5688800000000001</v>
      </c>
      <c r="I86" s="25">
        <f t="shared" ref="I86:I89" si="55">H86/$H$1*1000</f>
        <v>1.4759817111031668E-2</v>
      </c>
      <c r="K86" s="23">
        <v>0.94999</v>
      </c>
      <c r="L86" s="25">
        <f t="shared" ref="L86:L89" si="56">K86/$K$1*1000</f>
        <v>8.8473215616152578E-3</v>
      </c>
      <c r="N86" s="26">
        <v>-2.5536099999999999</v>
      </c>
      <c r="O86" s="25">
        <f t="shared" ref="O86:O89" si="57">N86/$N$1*1000</f>
        <v>-2.3136812539639392E-2</v>
      </c>
      <c r="Q86" s="26">
        <v>0.29748000000000002</v>
      </c>
      <c r="R86" s="25">
        <f t="shared" si="31"/>
        <v>4.4050880336438079E-3</v>
      </c>
      <c r="T86" s="26"/>
      <c r="U86" s="25"/>
      <c r="W86" s="26"/>
      <c r="X86" s="25"/>
      <c r="Z86" s="26"/>
      <c r="AA86" s="25"/>
      <c r="AC86" s="26"/>
      <c r="AD86" s="25" t="e">
        <f t="shared" si="49"/>
        <v>#DIV/0!</v>
      </c>
      <c r="AF86" s="26"/>
      <c r="AG86" s="25" t="e">
        <f t="shared" si="50"/>
        <v>#DIV/0!</v>
      </c>
      <c r="AI86" s="26"/>
      <c r="AJ86" s="25" t="e">
        <f t="shared" si="51"/>
        <v>#DIV/0!</v>
      </c>
      <c r="AL86" s="26"/>
      <c r="AM86" s="25" t="e">
        <f t="shared" si="52"/>
        <v>#DIV/0!</v>
      </c>
      <c r="AO86" s="26">
        <f t="shared" ref="AO86:AO89" si="58">H86+E86+K86+N86+Q86+T86+W86+Z86+AC86+AF86+AI86+AL86</f>
        <v>1.5247500000000003</v>
      </c>
      <c r="AP86" s="25">
        <f t="shared" si="53"/>
        <v>3.1169380721285745E-3</v>
      </c>
    </row>
    <row r="87" spans="1:45" outlineLevel="2">
      <c r="A87" s="42" t="s">
        <v>26</v>
      </c>
      <c r="B87" s="22" t="s">
        <v>222</v>
      </c>
      <c r="C87" s="43" t="s">
        <v>221</v>
      </c>
      <c r="D87" s="22" t="s">
        <v>54</v>
      </c>
      <c r="E87" s="23"/>
      <c r="F87" s="24">
        <f t="shared" si="54"/>
        <v>0</v>
      </c>
      <c r="H87" s="23"/>
      <c r="I87" s="25">
        <f t="shared" si="55"/>
        <v>0</v>
      </c>
      <c r="K87" s="23"/>
      <c r="L87" s="25">
        <f t="shared" si="56"/>
        <v>0</v>
      </c>
      <c r="N87" s="26"/>
      <c r="O87" s="25">
        <f t="shared" si="57"/>
        <v>0</v>
      </c>
      <c r="Q87" s="26">
        <v>0.5981999999999984</v>
      </c>
      <c r="R87" s="25">
        <f t="shared" si="31"/>
        <v>8.8581540329626153E-3</v>
      </c>
      <c r="T87" s="26"/>
      <c r="U87" s="25"/>
      <c r="W87" s="26"/>
      <c r="X87" s="25"/>
      <c r="Z87" s="26"/>
      <c r="AA87" s="25"/>
      <c r="AC87" s="26"/>
      <c r="AD87" s="25" t="e">
        <f t="shared" si="49"/>
        <v>#DIV/0!</v>
      </c>
      <c r="AF87" s="26"/>
      <c r="AG87" s="25" t="e">
        <f t="shared" si="50"/>
        <v>#DIV/0!</v>
      </c>
      <c r="AI87" s="26"/>
      <c r="AJ87" s="25" t="e">
        <f t="shared" si="51"/>
        <v>#DIV/0!</v>
      </c>
      <c r="AL87" s="26"/>
      <c r="AM87" s="25" t="e">
        <f t="shared" si="52"/>
        <v>#DIV/0!</v>
      </c>
      <c r="AO87" s="26">
        <f t="shared" si="58"/>
        <v>0.5981999999999984</v>
      </c>
      <c r="AP87" s="25">
        <f t="shared" si="53"/>
        <v>1.2228577502851666E-3</v>
      </c>
    </row>
    <row r="88" spans="1:45" outlineLevel="2">
      <c r="A88" s="42" t="s">
        <v>26</v>
      </c>
      <c r="B88" s="22" t="s">
        <v>220</v>
      </c>
      <c r="C88" s="43" t="s">
        <v>219</v>
      </c>
      <c r="D88" s="22" t="s">
        <v>54</v>
      </c>
      <c r="E88" s="23"/>
      <c r="F88" s="24">
        <f t="shared" si="54"/>
        <v>0</v>
      </c>
      <c r="H88" s="23"/>
      <c r="I88" s="25">
        <f t="shared" si="55"/>
        <v>0</v>
      </c>
      <c r="K88" s="23"/>
      <c r="L88" s="25">
        <f t="shared" si="56"/>
        <v>0</v>
      </c>
      <c r="N88" s="26"/>
      <c r="O88" s="25">
        <f t="shared" si="57"/>
        <v>0</v>
      </c>
      <c r="Q88" s="26">
        <v>2.24248</v>
      </c>
      <c r="R88" s="25">
        <f t="shared" si="31"/>
        <v>3.3206675452755033E-2</v>
      </c>
      <c r="T88" s="26"/>
      <c r="U88" s="25"/>
      <c r="W88" s="26"/>
      <c r="X88" s="25"/>
      <c r="Z88" s="26"/>
      <c r="AA88" s="25"/>
      <c r="AC88" s="26"/>
      <c r="AD88" s="25" t="e">
        <f t="shared" si="49"/>
        <v>#DIV/0!</v>
      </c>
      <c r="AF88" s="26"/>
      <c r="AG88" s="25" t="e">
        <f t="shared" si="50"/>
        <v>#DIV/0!</v>
      </c>
      <c r="AI88" s="26"/>
      <c r="AJ88" s="25" t="e">
        <f t="shared" si="51"/>
        <v>#DIV/0!</v>
      </c>
      <c r="AL88" s="26"/>
      <c r="AM88" s="25" t="e">
        <f t="shared" si="52"/>
        <v>#DIV/0!</v>
      </c>
      <c r="AO88" s="26">
        <f t="shared" si="58"/>
        <v>2.24248</v>
      </c>
      <c r="AP88" s="25">
        <f t="shared" si="53"/>
        <v>4.5841425072876765E-3</v>
      </c>
    </row>
    <row r="89" spans="1:45" outlineLevel="2">
      <c r="A89" s="42" t="s">
        <v>26</v>
      </c>
      <c r="B89" s="22" t="s">
        <v>223</v>
      </c>
      <c r="C89" s="43" t="s">
        <v>162</v>
      </c>
      <c r="D89" s="22" t="s">
        <v>54</v>
      </c>
      <c r="E89" s="23"/>
      <c r="F89" s="24">
        <f t="shared" si="54"/>
        <v>0</v>
      </c>
      <c r="H89" s="23"/>
      <c r="I89" s="25">
        <f t="shared" si="55"/>
        <v>0</v>
      </c>
      <c r="K89" s="23"/>
      <c r="L89" s="25">
        <f t="shared" si="56"/>
        <v>0</v>
      </c>
      <c r="N89" s="26"/>
      <c r="O89" s="25">
        <f t="shared" si="57"/>
        <v>0</v>
      </c>
      <c r="Q89" s="26">
        <v>1.1348399999999998</v>
      </c>
      <c r="R89" s="25">
        <f t="shared" si="31"/>
        <v>1.6804726718099836E-2</v>
      </c>
      <c r="T89" s="26"/>
      <c r="U89" s="25"/>
      <c r="W89" s="26"/>
      <c r="X89" s="25"/>
      <c r="Z89" s="26"/>
      <c r="AA89" s="25"/>
      <c r="AC89" s="26"/>
      <c r="AD89" s="25" t="e">
        <f t="shared" si="49"/>
        <v>#DIV/0!</v>
      </c>
      <c r="AF89" s="26"/>
      <c r="AG89" s="25" t="e">
        <f t="shared" si="50"/>
        <v>#DIV/0!</v>
      </c>
      <c r="AI89" s="26"/>
      <c r="AJ89" s="25" t="e">
        <f t="shared" si="51"/>
        <v>#DIV/0!</v>
      </c>
      <c r="AL89" s="26"/>
      <c r="AM89" s="25" t="e">
        <f t="shared" si="52"/>
        <v>#DIV/0!</v>
      </c>
      <c r="AO89" s="26">
        <f t="shared" si="58"/>
        <v>1.1348399999999998</v>
      </c>
      <c r="AP89" s="25">
        <f t="shared" si="53"/>
        <v>2.3198727671909429E-3</v>
      </c>
    </row>
    <row r="90" spans="1:45" s="9" customFormat="1">
      <c r="A90" s="14"/>
      <c r="B90" s="27" t="s">
        <v>36</v>
      </c>
      <c r="C90" s="28" t="s">
        <v>54</v>
      </c>
      <c r="D90" s="29"/>
      <c r="E90" s="32">
        <f>SUM(E31:E89)</f>
        <v>71.91810000000001</v>
      </c>
      <c r="F90" s="31">
        <f t="shared" si="28"/>
        <v>0.73678273965024443</v>
      </c>
      <c r="G90" s="17"/>
      <c r="H90" s="32">
        <f>SUM(H31:H89)</f>
        <v>101.48011</v>
      </c>
      <c r="I90" s="31">
        <f t="shared" si="1"/>
        <v>0.95471155474438818</v>
      </c>
      <c r="J90" s="17"/>
      <c r="K90" s="32">
        <f>SUM(K31:K89)</f>
        <v>42.737220000000001</v>
      </c>
      <c r="L90" s="31">
        <f t="shared" si="29"/>
        <v>0.39801464014304871</v>
      </c>
      <c r="M90" s="18"/>
      <c r="N90" s="32">
        <f>SUM(N31:N89)</f>
        <v>80.120259999999988</v>
      </c>
      <c r="O90" s="31">
        <f t="shared" si="30"/>
        <v>0.72592425477937839</v>
      </c>
      <c r="P90" s="44"/>
      <c r="Q90" s="32">
        <f>SUM(Q31:Q89)</f>
        <v>77.707319999999967</v>
      </c>
      <c r="R90" s="31">
        <f t="shared" si="31"/>
        <v>1.1506910900179173</v>
      </c>
      <c r="S90" s="19"/>
      <c r="T90" s="32">
        <f>SUM(T31:T89)</f>
        <v>0</v>
      </c>
      <c r="U90" s="31" t="e">
        <f t="shared" si="5"/>
        <v>#DIV/0!</v>
      </c>
      <c r="V90" s="19"/>
      <c r="W90" s="32">
        <f>SUM(W31:W89)</f>
        <v>0</v>
      </c>
      <c r="X90" s="31" t="e">
        <f t="shared" si="37"/>
        <v>#DIV/0!</v>
      </c>
      <c r="Y90" s="19"/>
      <c r="Z90" s="32">
        <f>SUM(Z31:Z89)</f>
        <v>0</v>
      </c>
      <c r="AA90" s="31" t="e">
        <f t="shared" si="22"/>
        <v>#DIV/0!</v>
      </c>
      <c r="AB90" s="19"/>
      <c r="AC90" s="32">
        <f>SUM(AC31:AC89)</f>
        <v>0</v>
      </c>
      <c r="AD90" s="31" t="e">
        <f t="shared" si="35"/>
        <v>#DIV/0!</v>
      </c>
      <c r="AE90" s="19"/>
      <c r="AF90" s="32">
        <f>SUM(AF31:AF89)</f>
        <v>0</v>
      </c>
      <c r="AG90" s="31" t="e">
        <f t="shared" si="36"/>
        <v>#DIV/0!</v>
      </c>
      <c r="AH90" s="19"/>
      <c r="AI90" s="32">
        <f>SUM(AI31:AI89)</f>
        <v>0</v>
      </c>
      <c r="AJ90" s="31" t="e">
        <f t="shared" si="32"/>
        <v>#DIV/0!</v>
      </c>
      <c r="AK90" s="19"/>
      <c r="AL90" s="32">
        <f>SUM(AL31:AL89)</f>
        <v>0</v>
      </c>
      <c r="AM90" s="31" t="e">
        <f t="shared" si="33"/>
        <v>#DIV/0!</v>
      </c>
      <c r="AN90" s="19"/>
      <c r="AO90" s="32">
        <f>SUM(AO31:AO89)</f>
        <v>373.96301</v>
      </c>
      <c r="AP90" s="31">
        <f t="shared" si="12"/>
        <v>0.76446600651700192</v>
      </c>
      <c r="AQ90"/>
      <c r="AR90" s="12"/>
      <c r="AS90" s="144"/>
    </row>
    <row r="91" spans="1:45" ht="20.55" customHeight="1" outlineLevel="1">
      <c r="A91" s="14" t="s">
        <v>26</v>
      </c>
      <c r="B91" s="22">
        <v>6666110203</v>
      </c>
      <c r="C91" s="22" t="s">
        <v>108</v>
      </c>
      <c r="D91" s="22" t="s">
        <v>109</v>
      </c>
      <c r="E91" s="23">
        <v>17.845759999999999</v>
      </c>
      <c r="F91" s="24">
        <f t="shared" si="28"/>
        <v>0.18282529632930714</v>
      </c>
      <c r="H91" s="23">
        <v>35.953449999999997</v>
      </c>
      <c r="I91" s="25">
        <f t="shared" ref="I91:I138" si="59">H91/$H$1*1000</f>
        <v>0.3382453384010386</v>
      </c>
      <c r="K91" s="23">
        <v>23.866119999999995</v>
      </c>
      <c r="L91" s="25">
        <f t="shared" si="29"/>
        <v>0.22226680077484723</v>
      </c>
      <c r="N91" s="26">
        <v>11.558020000000001</v>
      </c>
      <c r="O91" s="25">
        <f t="shared" si="30"/>
        <v>0.10472066684787534</v>
      </c>
      <c r="Q91" s="26">
        <v>15.63923</v>
      </c>
      <c r="R91" s="25">
        <f t="shared" si="31"/>
        <v>0.23158593830981325</v>
      </c>
      <c r="T91" s="26"/>
      <c r="U91" s="25" t="e">
        <f t="shared" ref="U91:U138" si="60">T91/$T$1*1000</f>
        <v>#DIV/0!</v>
      </c>
      <c r="W91" s="26"/>
      <c r="X91" s="25" t="e">
        <f t="shared" si="37"/>
        <v>#DIV/0!</v>
      </c>
      <c r="Z91" s="26"/>
      <c r="AA91" s="25" t="e">
        <f t="shared" si="22"/>
        <v>#DIV/0!</v>
      </c>
      <c r="AC91" s="26"/>
      <c r="AD91" s="25" t="e">
        <f t="shared" si="35"/>
        <v>#DIV/0!</v>
      </c>
      <c r="AF91" s="26"/>
      <c r="AG91" s="25" t="e">
        <f t="shared" si="36"/>
        <v>#DIV/0!</v>
      </c>
      <c r="AI91" s="26"/>
      <c r="AJ91" s="25" t="e">
        <f t="shared" si="32"/>
        <v>#DIV/0!</v>
      </c>
      <c r="AL91" s="26"/>
      <c r="AM91" s="25" t="e">
        <f t="shared" si="33"/>
        <v>#DIV/0!</v>
      </c>
      <c r="AO91" s="26">
        <f>H91+E91+K91+N91+Q91+T91+W91+Z91+AC91+AF91+AI91+AL91</f>
        <v>104.86257999999998</v>
      </c>
      <c r="AP91" s="25">
        <f t="shared" ref="AP91:AP138" si="61">AO91/$AO$1*1000</f>
        <v>0.21436312047458814</v>
      </c>
    </row>
    <row r="92" spans="1:45" outlineLevel="1">
      <c r="A92" s="14" t="s">
        <v>26</v>
      </c>
      <c r="B92" s="22">
        <v>5102040000</v>
      </c>
      <c r="C92" s="22" t="s">
        <v>110</v>
      </c>
      <c r="D92" s="22" t="s">
        <v>109</v>
      </c>
      <c r="E92" s="23">
        <v>0</v>
      </c>
      <c r="F92" s="24">
        <f t="shared" si="28"/>
        <v>0</v>
      </c>
      <c r="H92" s="23">
        <v>0</v>
      </c>
      <c r="I92" s="25">
        <f t="shared" si="59"/>
        <v>0</v>
      </c>
      <c r="K92" s="23">
        <v>-4.02E-2</v>
      </c>
      <c r="L92" s="25">
        <f t="shared" si="29"/>
        <v>-3.7438533750558785E-4</v>
      </c>
      <c r="N92" s="26">
        <v>0</v>
      </c>
      <c r="O92" s="25">
        <f t="shared" si="30"/>
        <v>0</v>
      </c>
      <c r="Q92" s="26">
        <v>0</v>
      </c>
      <c r="R92" s="25">
        <f t="shared" si="31"/>
        <v>0</v>
      </c>
      <c r="T92" s="26"/>
      <c r="U92" s="25" t="e">
        <f t="shared" si="60"/>
        <v>#DIV/0!</v>
      </c>
      <c r="W92" s="26"/>
      <c r="X92" s="25" t="e">
        <f t="shared" si="37"/>
        <v>#DIV/0!</v>
      </c>
      <c r="Z92" s="26"/>
      <c r="AA92" s="25" t="e">
        <f t="shared" si="22"/>
        <v>#DIV/0!</v>
      </c>
      <c r="AC92" s="26"/>
      <c r="AD92" s="25" t="e">
        <f t="shared" si="35"/>
        <v>#DIV/0!</v>
      </c>
      <c r="AF92" s="26"/>
      <c r="AG92" s="25" t="e">
        <f t="shared" si="36"/>
        <v>#DIV/0!</v>
      </c>
      <c r="AI92" s="26"/>
      <c r="AJ92" s="25" t="e">
        <f t="shared" si="32"/>
        <v>#DIV/0!</v>
      </c>
      <c r="AL92" s="26"/>
      <c r="AM92" s="25" t="e">
        <f t="shared" si="33"/>
        <v>#DIV/0!</v>
      </c>
      <c r="AO92" s="26">
        <f>H92+E92+K92+N92+Q92+T92+W92+Z92+AC92+AF92+AI92+AL92</f>
        <v>-4.02E-2</v>
      </c>
      <c r="AP92" s="25">
        <f t="shared" si="61"/>
        <v>-8.2178003278943223E-5</v>
      </c>
    </row>
    <row r="93" spans="1:45" outlineLevel="1">
      <c r="A93" s="14" t="s">
        <v>47</v>
      </c>
      <c r="B93" s="22">
        <v>6666050307</v>
      </c>
      <c r="C93" s="22" t="s">
        <v>111</v>
      </c>
      <c r="D93" s="22" t="s">
        <v>109</v>
      </c>
      <c r="E93" s="23">
        <v>-10.076469999999999</v>
      </c>
      <c r="F93" s="24">
        <f t="shared" si="28"/>
        <v>-0.10323088586327359</v>
      </c>
      <c r="H93" s="23">
        <v>-9.1386699999999976</v>
      </c>
      <c r="I93" s="25">
        <f t="shared" si="59"/>
        <v>-8.5975407831109921E-2</v>
      </c>
      <c r="K93" s="23">
        <v>-19.271179999999998</v>
      </c>
      <c r="L93" s="25">
        <f t="shared" si="29"/>
        <v>-0.17947381165251078</v>
      </c>
      <c r="N93" s="26">
        <v>0.38446000000000002</v>
      </c>
      <c r="O93" s="25">
        <f t="shared" si="30"/>
        <v>3.4833741052822326E-3</v>
      </c>
      <c r="Q93" s="26">
        <v>-12.006379999999996</v>
      </c>
      <c r="R93" s="25">
        <f t="shared" si="31"/>
        <v>-0.17779064429669333</v>
      </c>
      <c r="T93" s="26"/>
      <c r="U93" s="25" t="e">
        <f t="shared" si="60"/>
        <v>#DIV/0!</v>
      </c>
      <c r="W93" s="26"/>
      <c r="X93" s="25" t="e">
        <f t="shared" si="37"/>
        <v>#DIV/0!</v>
      </c>
      <c r="Z93" s="26"/>
      <c r="AA93" s="25" t="e">
        <f t="shared" si="22"/>
        <v>#DIV/0!</v>
      </c>
      <c r="AC93" s="26"/>
      <c r="AD93" s="25" t="e">
        <f t="shared" si="35"/>
        <v>#DIV/0!</v>
      </c>
      <c r="AF93" s="26"/>
      <c r="AG93" s="25" t="e">
        <f t="shared" si="36"/>
        <v>#DIV/0!</v>
      </c>
      <c r="AI93" s="26"/>
      <c r="AJ93" s="25" t="e">
        <f t="shared" si="32"/>
        <v>#DIV/0!</v>
      </c>
      <c r="AL93" s="26"/>
      <c r="AM93" s="25" t="e">
        <f t="shared" si="33"/>
        <v>#DIV/0!</v>
      </c>
      <c r="AO93" s="26">
        <f>H93+E93+K93+N93+Q93+T93+W93+Z93+AC93+AF93+AI93+AL93</f>
        <v>-50.108239999999995</v>
      </c>
      <c r="AP93" s="25">
        <f t="shared" si="61"/>
        <v>-0.10243271420452919</v>
      </c>
    </row>
    <row r="94" spans="1:45" outlineLevel="2">
      <c r="A94" s="14" t="s">
        <v>47</v>
      </c>
      <c r="B94" s="22">
        <v>6666050312</v>
      </c>
      <c r="C94" s="22" t="s">
        <v>112</v>
      </c>
      <c r="D94" s="22" t="s">
        <v>54</v>
      </c>
      <c r="E94" s="23">
        <v>1.28948</v>
      </c>
      <c r="F94" s="24">
        <f t="shared" si="28"/>
        <v>1.321039636926166E-2</v>
      </c>
      <c r="H94" s="23">
        <v>0</v>
      </c>
      <c r="I94" s="25">
        <f t="shared" si="59"/>
        <v>0</v>
      </c>
      <c r="K94" s="23">
        <v>0</v>
      </c>
      <c r="L94" s="25">
        <f t="shared" si="29"/>
        <v>0</v>
      </c>
      <c r="N94" s="26">
        <v>-1.255E-2</v>
      </c>
      <c r="O94" s="25">
        <f t="shared" si="30"/>
        <v>-1.1370843526320558E-4</v>
      </c>
      <c r="Q94" s="26">
        <v>0</v>
      </c>
      <c r="R94" s="25">
        <f t="shared" si="31"/>
        <v>0</v>
      </c>
      <c r="T94" s="26"/>
      <c r="U94" s="25" t="e">
        <f t="shared" si="60"/>
        <v>#DIV/0!</v>
      </c>
      <c r="W94" s="26"/>
      <c r="X94" s="25" t="e">
        <f t="shared" si="37"/>
        <v>#DIV/0!</v>
      </c>
      <c r="Z94" s="26"/>
      <c r="AA94" s="25" t="e">
        <f t="shared" si="22"/>
        <v>#DIV/0!</v>
      </c>
      <c r="AC94" s="26"/>
      <c r="AD94" s="25" t="e">
        <f t="shared" si="35"/>
        <v>#DIV/0!</v>
      </c>
      <c r="AF94" s="26"/>
      <c r="AG94" s="25" t="e">
        <f t="shared" si="36"/>
        <v>#DIV/0!</v>
      </c>
      <c r="AI94" s="26"/>
      <c r="AJ94" s="25" t="e">
        <f t="shared" si="32"/>
        <v>#DIV/0!</v>
      </c>
      <c r="AL94" s="26"/>
      <c r="AM94" s="25" t="e">
        <f t="shared" si="33"/>
        <v>#DIV/0!</v>
      </c>
      <c r="AO94" s="26">
        <f t="shared" ref="AO94" si="62">H94+E94+K94+N94+Q94+T94+W94+Z94+AC94+AF94+AI94+AL94</f>
        <v>1.2769299999999999</v>
      </c>
      <c r="AP94" s="25">
        <f t="shared" si="61"/>
        <v>2.6103372568900733E-3</v>
      </c>
    </row>
    <row r="95" spans="1:45" s="33" customFormat="1">
      <c r="A95" s="45"/>
      <c r="B95" s="27" t="s">
        <v>46</v>
      </c>
      <c r="C95" s="28" t="s">
        <v>109</v>
      </c>
      <c r="D95" s="29"/>
      <c r="E95" s="30">
        <f>SUM(E91:E94)</f>
        <v>9.0587699999999991</v>
      </c>
      <c r="F95" s="31">
        <f t="shared" si="28"/>
        <v>9.2804806835295198E-2</v>
      </c>
      <c r="G95" s="17"/>
      <c r="H95" s="32">
        <f>SUM(H91:H94)</f>
        <v>26.814779999999999</v>
      </c>
      <c r="I95" s="31">
        <f t="shared" si="59"/>
        <v>0.25226993056992869</v>
      </c>
      <c r="J95" s="17"/>
      <c r="K95" s="32">
        <f>SUM(K91:K94)</f>
        <v>4.5547399999999989</v>
      </c>
      <c r="L95" s="31">
        <f t="shared" si="29"/>
        <v>4.2418603784830859E-2</v>
      </c>
      <c r="M95" s="18"/>
      <c r="N95" s="32">
        <f>SUM(N91:N94)</f>
        <v>11.929930000000002</v>
      </c>
      <c r="O95" s="31">
        <f t="shared" si="30"/>
        <v>0.10809033251789438</v>
      </c>
      <c r="P95" s="19"/>
      <c r="Q95" s="32">
        <f>SUM(Q91:Q94)</f>
        <v>3.632850000000003</v>
      </c>
      <c r="R95" s="31">
        <f t="shared" si="31"/>
        <v>5.3795294013119943E-2</v>
      </c>
      <c r="S95" s="19"/>
      <c r="T95" s="32">
        <f>SUM(T91:T94)</f>
        <v>0</v>
      </c>
      <c r="U95" s="31" t="e">
        <f t="shared" si="60"/>
        <v>#DIV/0!</v>
      </c>
      <c r="V95" s="19"/>
      <c r="W95" s="32">
        <f>SUM(W91:W94)</f>
        <v>0</v>
      </c>
      <c r="X95" s="31" t="e">
        <f t="shared" si="37"/>
        <v>#DIV/0!</v>
      </c>
      <c r="Y95" s="19"/>
      <c r="Z95" s="32">
        <f>SUM(Z91:Z94)</f>
        <v>0</v>
      </c>
      <c r="AA95" s="31" t="e">
        <f t="shared" si="22"/>
        <v>#DIV/0!</v>
      </c>
      <c r="AB95" s="19"/>
      <c r="AC95" s="32">
        <f>SUM(AC91:AC94)</f>
        <v>0</v>
      </c>
      <c r="AD95" s="31" t="e">
        <f t="shared" si="35"/>
        <v>#DIV/0!</v>
      </c>
      <c r="AE95" s="19"/>
      <c r="AF95" s="32">
        <f>SUM(AF91:AF94)</f>
        <v>0</v>
      </c>
      <c r="AG95" s="31" t="e">
        <f t="shared" si="36"/>
        <v>#DIV/0!</v>
      </c>
      <c r="AH95" s="19"/>
      <c r="AI95" s="32">
        <f>SUM(AI91:AI94)</f>
        <v>0</v>
      </c>
      <c r="AJ95" s="31" t="e">
        <f t="shared" si="32"/>
        <v>#DIV/0!</v>
      </c>
      <c r="AK95" s="19"/>
      <c r="AL95" s="32">
        <f>SUM(AL91:AL94)</f>
        <v>0</v>
      </c>
      <c r="AM95" s="31" t="e">
        <f t="shared" si="33"/>
        <v>#DIV/0!</v>
      </c>
      <c r="AN95" s="19"/>
      <c r="AO95" s="32">
        <f>SUM(AO91:AO94)</f>
        <v>55.991069999999986</v>
      </c>
      <c r="AP95" s="31">
        <f t="shared" si="61"/>
        <v>0.11445856552367009</v>
      </c>
      <c r="AQ95"/>
    </row>
    <row r="96" spans="1:45" ht="22.95" customHeight="1" outlineLevel="1">
      <c r="A96" s="42" t="s">
        <v>47</v>
      </c>
      <c r="B96" s="22">
        <v>6666100203</v>
      </c>
      <c r="C96" s="22" t="s">
        <v>113</v>
      </c>
      <c r="D96" s="22" t="s">
        <v>114</v>
      </c>
      <c r="E96" s="23">
        <v>12.5</v>
      </c>
      <c r="F96" s="24">
        <f t="shared" si="28"/>
        <v>0.12805933757465859</v>
      </c>
      <c r="H96" s="23">
        <v>0</v>
      </c>
      <c r="I96" s="25">
        <f t="shared" si="59"/>
        <v>0</v>
      </c>
      <c r="K96" s="23">
        <v>12.5</v>
      </c>
      <c r="L96" s="25">
        <f t="shared" si="29"/>
        <v>0.11641335121442407</v>
      </c>
      <c r="N96" s="26">
        <v>12.5</v>
      </c>
      <c r="O96" s="25">
        <f t="shared" si="30"/>
        <v>0.11325541360877049</v>
      </c>
      <c r="Q96" s="26">
        <v>16.166</v>
      </c>
      <c r="R96" s="25">
        <f t="shared" si="31"/>
        <v>0.23938635589581084</v>
      </c>
      <c r="T96" s="26"/>
      <c r="U96" s="25" t="e">
        <f t="shared" si="60"/>
        <v>#DIV/0!</v>
      </c>
      <c r="W96" s="26"/>
      <c r="X96" s="25" t="e">
        <f t="shared" si="37"/>
        <v>#DIV/0!</v>
      </c>
      <c r="Z96" s="26"/>
      <c r="AA96" s="25" t="e">
        <f t="shared" ref="AA96:AA137" si="63">Z96/$Z$1*1000</f>
        <v>#DIV/0!</v>
      </c>
      <c r="AC96" s="26"/>
      <c r="AD96" s="25" t="e">
        <f t="shared" si="35"/>
        <v>#DIV/0!</v>
      </c>
      <c r="AF96" s="26"/>
      <c r="AG96" s="25" t="e">
        <f t="shared" si="36"/>
        <v>#DIV/0!</v>
      </c>
      <c r="AI96" s="26"/>
      <c r="AJ96" s="25" t="e">
        <f t="shared" si="32"/>
        <v>#DIV/0!</v>
      </c>
      <c r="AL96" s="26"/>
      <c r="AM96" s="25" t="e">
        <f t="shared" si="33"/>
        <v>#DIV/0!</v>
      </c>
      <c r="AO96" s="26">
        <f>H96+E96+K96+N96+Q96+T96+W96+Z96+AC96+AF96+AI96+AL96</f>
        <v>53.665999999999997</v>
      </c>
      <c r="AP96" s="25">
        <f t="shared" si="61"/>
        <v>0.1097055901484519</v>
      </c>
    </row>
    <row r="97" spans="1:43" s="33" customFormat="1">
      <c r="A97" s="45"/>
      <c r="B97" s="27" t="s">
        <v>36</v>
      </c>
      <c r="C97" s="28" t="s">
        <v>114</v>
      </c>
      <c r="D97" s="29"/>
      <c r="E97" s="30">
        <f>SUM(E96)</f>
        <v>12.5</v>
      </c>
      <c r="F97" s="31">
        <f t="shared" si="28"/>
        <v>0.12805933757465859</v>
      </c>
      <c r="G97" s="17"/>
      <c r="H97" s="32">
        <f>+H96</f>
        <v>0</v>
      </c>
      <c r="I97" s="31">
        <f t="shared" si="59"/>
        <v>0</v>
      </c>
      <c r="J97" s="17"/>
      <c r="K97" s="32">
        <f>+K96</f>
        <v>12.5</v>
      </c>
      <c r="L97" s="31">
        <f t="shared" si="29"/>
        <v>0.11641335121442407</v>
      </c>
      <c r="M97" s="18"/>
      <c r="N97" s="32">
        <f>+N96</f>
        <v>12.5</v>
      </c>
      <c r="O97" s="31">
        <f t="shared" si="30"/>
        <v>0.11325541360877049</v>
      </c>
      <c r="P97" s="19"/>
      <c r="Q97" s="32">
        <f>+Q96</f>
        <v>16.166</v>
      </c>
      <c r="R97" s="31">
        <f t="shared" si="31"/>
        <v>0.23938635589581084</v>
      </c>
      <c r="S97" s="19"/>
      <c r="T97" s="32">
        <f>+T96</f>
        <v>0</v>
      </c>
      <c r="U97" s="31" t="e">
        <f t="shared" si="60"/>
        <v>#DIV/0!</v>
      </c>
      <c r="V97" s="19"/>
      <c r="W97" s="32">
        <f>+W96</f>
        <v>0</v>
      </c>
      <c r="X97" s="31" t="e">
        <f t="shared" si="37"/>
        <v>#DIV/0!</v>
      </c>
      <c r="Y97" s="19"/>
      <c r="Z97" s="32">
        <f>+Z96</f>
        <v>0</v>
      </c>
      <c r="AA97" s="31" t="e">
        <f t="shared" si="63"/>
        <v>#DIV/0!</v>
      </c>
      <c r="AB97" s="19"/>
      <c r="AC97" s="32">
        <f>+AC96</f>
        <v>0</v>
      </c>
      <c r="AD97" s="31" t="e">
        <f t="shared" si="35"/>
        <v>#DIV/0!</v>
      </c>
      <c r="AE97" s="19"/>
      <c r="AF97" s="32">
        <f>+AF96</f>
        <v>0</v>
      </c>
      <c r="AG97" s="31" t="e">
        <f t="shared" si="36"/>
        <v>#DIV/0!</v>
      </c>
      <c r="AH97" s="19"/>
      <c r="AI97" s="32">
        <f>+AI96</f>
        <v>0</v>
      </c>
      <c r="AJ97" s="31" t="e">
        <f t="shared" si="32"/>
        <v>#DIV/0!</v>
      </c>
      <c r="AK97" s="19"/>
      <c r="AL97" s="32">
        <f>+AL96</f>
        <v>0</v>
      </c>
      <c r="AM97" s="31" t="e">
        <f t="shared" si="33"/>
        <v>#DIV/0!</v>
      </c>
      <c r="AN97" s="19"/>
      <c r="AO97" s="32">
        <f>+AO96</f>
        <v>53.665999999999997</v>
      </c>
      <c r="AP97" s="31">
        <f t="shared" si="61"/>
        <v>0.1097055901484519</v>
      </c>
      <c r="AQ97"/>
    </row>
    <row r="98" spans="1:43" outlineLevel="2">
      <c r="A98" s="42" t="s">
        <v>47</v>
      </c>
      <c r="B98" s="22">
        <v>5301070000</v>
      </c>
      <c r="C98" s="22" t="s">
        <v>115</v>
      </c>
      <c r="D98" s="22" t="s">
        <v>116</v>
      </c>
      <c r="E98" s="23">
        <v>-65.754980000000003</v>
      </c>
      <c r="F98" s="24">
        <f t="shared" si="28"/>
        <v>-0.673643134482794</v>
      </c>
      <c r="H98" s="23">
        <v>-85.738210000000009</v>
      </c>
      <c r="I98" s="25">
        <f t="shared" si="59"/>
        <v>-0.8066138258039024</v>
      </c>
      <c r="K98" s="23">
        <v>-77.706310000000002</v>
      </c>
      <c r="L98" s="25">
        <f t="shared" si="29"/>
        <v>-0.72368415660855312</v>
      </c>
      <c r="N98" s="26">
        <v>-84.259619999999998</v>
      </c>
      <c r="O98" s="25">
        <f t="shared" si="30"/>
        <v>-0.76342864908942643</v>
      </c>
      <c r="Q98" s="26">
        <v>-69.877479999999991</v>
      </c>
      <c r="R98" s="25">
        <f t="shared" si="31"/>
        <v>-1.0347467089188667</v>
      </c>
      <c r="T98" s="26"/>
      <c r="U98" s="25" t="e">
        <f t="shared" si="60"/>
        <v>#DIV/0!</v>
      </c>
      <c r="W98" s="26"/>
      <c r="X98" s="25" t="e">
        <f t="shared" si="37"/>
        <v>#DIV/0!</v>
      </c>
      <c r="Z98" s="26"/>
      <c r="AA98" s="25" t="e">
        <f t="shared" si="63"/>
        <v>#DIV/0!</v>
      </c>
      <c r="AC98" s="26"/>
      <c r="AD98" s="25" t="e">
        <f t="shared" si="35"/>
        <v>#DIV/0!</v>
      </c>
      <c r="AF98" s="26"/>
      <c r="AG98" s="25" t="e">
        <f t="shared" si="36"/>
        <v>#DIV/0!</v>
      </c>
      <c r="AI98" s="26"/>
      <c r="AJ98" s="25" t="e">
        <f t="shared" si="32"/>
        <v>#DIV/0!</v>
      </c>
      <c r="AL98" s="26"/>
      <c r="AM98" s="25" t="e">
        <f t="shared" si="33"/>
        <v>#DIV/0!</v>
      </c>
      <c r="AO98" s="26">
        <f>H98+E98+K98+N98+Q98+T98+W98+Z98+AC98+AF98+AI98+AL98</f>
        <v>-383.33660000000003</v>
      </c>
      <c r="AP98" s="25">
        <f t="shared" si="61"/>
        <v>-0.7836277704412673</v>
      </c>
    </row>
    <row r="99" spans="1:43" s="33" customFormat="1">
      <c r="A99" s="45"/>
      <c r="B99" s="27" t="s">
        <v>46</v>
      </c>
      <c r="C99" s="28" t="s">
        <v>116</v>
      </c>
      <c r="D99" s="29"/>
      <c r="E99" s="30">
        <f>SUM(E98)</f>
        <v>-65.754980000000003</v>
      </c>
      <c r="F99" s="30">
        <f t="shared" si="28"/>
        <v>-0.673643134482794</v>
      </c>
      <c r="G99" s="17"/>
      <c r="H99" s="32">
        <f>+H98</f>
        <v>-85.738210000000009</v>
      </c>
      <c r="I99" s="30">
        <f t="shared" si="59"/>
        <v>-0.8066138258039024</v>
      </c>
      <c r="J99" s="17"/>
      <c r="K99" s="32">
        <f>+K98</f>
        <v>-77.706310000000002</v>
      </c>
      <c r="L99" s="30">
        <f t="shared" si="29"/>
        <v>-0.72368415660855312</v>
      </c>
      <c r="M99" s="18"/>
      <c r="N99" s="32">
        <f>+N98</f>
        <v>-84.259619999999998</v>
      </c>
      <c r="O99" s="30">
        <f t="shared" si="30"/>
        <v>-0.76342864908942643</v>
      </c>
      <c r="P99" s="19"/>
      <c r="Q99" s="32">
        <f>+Q98</f>
        <v>-69.877479999999991</v>
      </c>
      <c r="R99" s="30">
        <f t="shared" si="31"/>
        <v>-1.0347467089188667</v>
      </c>
      <c r="S99" s="19"/>
      <c r="T99" s="32">
        <f>+T98</f>
        <v>0</v>
      </c>
      <c r="U99" s="30" t="e">
        <f t="shared" si="60"/>
        <v>#DIV/0!</v>
      </c>
      <c r="V99" s="19"/>
      <c r="W99" s="32">
        <f>+W98</f>
        <v>0</v>
      </c>
      <c r="X99" s="30" t="e">
        <f t="shared" si="37"/>
        <v>#DIV/0!</v>
      </c>
      <c r="Y99" s="19"/>
      <c r="Z99" s="32">
        <f>+Z98</f>
        <v>0</v>
      </c>
      <c r="AA99" s="30" t="e">
        <f t="shared" si="63"/>
        <v>#DIV/0!</v>
      </c>
      <c r="AB99" s="19"/>
      <c r="AC99" s="32">
        <f>+AC98</f>
        <v>0</v>
      </c>
      <c r="AD99" s="30" t="e">
        <f t="shared" si="35"/>
        <v>#DIV/0!</v>
      </c>
      <c r="AE99" s="19"/>
      <c r="AF99" s="32">
        <f>+AF98</f>
        <v>0</v>
      </c>
      <c r="AG99" s="30" t="e">
        <f t="shared" si="36"/>
        <v>#DIV/0!</v>
      </c>
      <c r="AH99" s="19"/>
      <c r="AI99" s="32">
        <f>+AI98</f>
        <v>0</v>
      </c>
      <c r="AJ99" s="30" t="e">
        <f t="shared" si="32"/>
        <v>#DIV/0!</v>
      </c>
      <c r="AK99" s="19"/>
      <c r="AL99" s="32">
        <f>+AL98</f>
        <v>0</v>
      </c>
      <c r="AM99" s="30" t="e">
        <f t="shared" si="33"/>
        <v>#DIV/0!</v>
      </c>
      <c r="AN99" s="19"/>
      <c r="AO99" s="32">
        <f>+AO98</f>
        <v>-383.33660000000003</v>
      </c>
      <c r="AP99" s="30">
        <f t="shared" si="61"/>
        <v>-0.7836277704412673</v>
      </c>
      <c r="AQ99"/>
    </row>
    <row r="100" spans="1:43" outlineLevel="1">
      <c r="A100" s="42" t="s">
        <v>26</v>
      </c>
      <c r="B100" s="22">
        <v>6666021602</v>
      </c>
      <c r="C100" s="22" t="s">
        <v>117</v>
      </c>
      <c r="D100" s="22" t="s">
        <v>118</v>
      </c>
      <c r="E100" s="23">
        <v>34.599880000000006</v>
      </c>
      <c r="F100" s="24">
        <f t="shared" si="28"/>
        <v>0.35446701703701433</v>
      </c>
      <c r="H100" s="23">
        <v>27.205910000000003</v>
      </c>
      <c r="I100" s="46">
        <f t="shared" si="59"/>
        <v>0.25594963027075851</v>
      </c>
      <c r="K100" s="23">
        <v>32.917619999999999</v>
      </c>
      <c r="L100" s="46">
        <f t="shared" si="29"/>
        <v>0.30656403665623605</v>
      </c>
      <c r="N100" s="26">
        <v>28.541950000000003</v>
      </c>
      <c r="O100" s="46">
        <f t="shared" si="30"/>
        <v>0.25860242819606782</v>
      </c>
      <c r="Q100" s="26">
        <v>28.437699999999996</v>
      </c>
      <c r="R100" s="46">
        <f t="shared" si="31"/>
        <v>0.42110586249278104</v>
      </c>
      <c r="T100" s="26"/>
      <c r="U100" s="46" t="e">
        <f t="shared" si="60"/>
        <v>#DIV/0!</v>
      </c>
      <c r="W100" s="26"/>
      <c r="X100" s="46" t="e">
        <f t="shared" si="37"/>
        <v>#DIV/0!</v>
      </c>
      <c r="Z100" s="26"/>
      <c r="AA100" s="46" t="e">
        <f t="shared" si="63"/>
        <v>#DIV/0!</v>
      </c>
      <c r="AC100" s="26"/>
      <c r="AD100" s="46" t="e">
        <f t="shared" si="35"/>
        <v>#DIV/0!</v>
      </c>
      <c r="AF100" s="26"/>
      <c r="AG100" s="46" t="e">
        <f t="shared" si="36"/>
        <v>#DIV/0!</v>
      </c>
      <c r="AI100" s="26"/>
      <c r="AJ100" s="46" t="e">
        <f t="shared" si="32"/>
        <v>#DIV/0!</v>
      </c>
      <c r="AL100" s="26"/>
      <c r="AM100" s="46" t="e">
        <f t="shared" si="33"/>
        <v>#DIV/0!</v>
      </c>
      <c r="AO100" s="26">
        <f>H100+E100+K100+N100+Q100+T100+W100+Z100+AC100+AF100+AI100+AL100</f>
        <v>151.70305999999999</v>
      </c>
      <c r="AP100" s="46">
        <f t="shared" si="61"/>
        <v>0.31011578512700794</v>
      </c>
    </row>
    <row r="101" spans="1:43" s="33" customFormat="1">
      <c r="A101" s="45"/>
      <c r="B101" s="27" t="s">
        <v>36</v>
      </c>
      <c r="C101" s="28" t="s">
        <v>118</v>
      </c>
      <c r="D101" s="29"/>
      <c r="E101" s="30">
        <f>SUM(E100:E100)</f>
        <v>34.599880000000006</v>
      </c>
      <c r="F101" s="30">
        <f t="shared" si="28"/>
        <v>0.35446701703701433</v>
      </c>
      <c r="G101" s="17"/>
      <c r="H101" s="32">
        <f>+SUM(H100:H100)</f>
        <v>27.205910000000003</v>
      </c>
      <c r="I101" s="30">
        <f t="shared" si="59"/>
        <v>0.25594963027075851</v>
      </c>
      <c r="J101" s="17"/>
      <c r="K101" s="32">
        <f>+SUM(K100:K100)</f>
        <v>32.917619999999999</v>
      </c>
      <c r="L101" s="30">
        <f t="shared" si="29"/>
        <v>0.30656403665623605</v>
      </c>
      <c r="M101" s="18"/>
      <c r="N101" s="32">
        <f>+SUM(N100:N100)</f>
        <v>28.541950000000003</v>
      </c>
      <c r="O101" s="30">
        <f t="shared" si="30"/>
        <v>0.25860242819606782</v>
      </c>
      <c r="P101" s="19"/>
      <c r="Q101" s="32">
        <f>+SUM(Q100:Q100)</f>
        <v>28.437699999999996</v>
      </c>
      <c r="R101" s="30">
        <f t="shared" si="31"/>
        <v>0.42110586249278104</v>
      </c>
      <c r="S101" s="19"/>
      <c r="T101" s="32">
        <f>+SUM(T100:T100)</f>
        <v>0</v>
      </c>
      <c r="U101" s="30" t="e">
        <f t="shared" si="60"/>
        <v>#DIV/0!</v>
      </c>
      <c r="V101" s="19"/>
      <c r="W101" s="32">
        <f>+SUM(W100:W100)</f>
        <v>0</v>
      </c>
      <c r="X101" s="30" t="e">
        <f t="shared" si="37"/>
        <v>#DIV/0!</v>
      </c>
      <c r="Y101" s="19"/>
      <c r="Z101" s="32">
        <f>+SUM(Z100:Z100)</f>
        <v>0</v>
      </c>
      <c r="AA101" s="30" t="e">
        <f t="shared" si="63"/>
        <v>#DIV/0!</v>
      </c>
      <c r="AB101" s="19"/>
      <c r="AC101" s="32">
        <f>+SUM(AC100:AC100)</f>
        <v>0</v>
      </c>
      <c r="AD101" s="30" t="e">
        <f t="shared" si="35"/>
        <v>#DIV/0!</v>
      </c>
      <c r="AE101" s="19"/>
      <c r="AF101" s="32">
        <f>+SUM(AF100:AF100)</f>
        <v>0</v>
      </c>
      <c r="AG101" s="30" t="e">
        <f t="shared" si="36"/>
        <v>#DIV/0!</v>
      </c>
      <c r="AH101" s="19"/>
      <c r="AI101" s="32">
        <f>+SUM(AI100:AI100)</f>
        <v>0</v>
      </c>
      <c r="AJ101" s="30" t="e">
        <f t="shared" si="32"/>
        <v>#DIV/0!</v>
      </c>
      <c r="AK101" s="19"/>
      <c r="AL101" s="32">
        <f>+SUM(AL100:AL100)</f>
        <v>0</v>
      </c>
      <c r="AM101" s="30" t="e">
        <f t="shared" si="33"/>
        <v>#DIV/0!</v>
      </c>
      <c r="AN101" s="19"/>
      <c r="AO101" s="32">
        <f>SUM(AO100:AO100)</f>
        <v>151.70305999999999</v>
      </c>
      <c r="AP101" s="30">
        <f t="shared" si="61"/>
        <v>0.31011578512700794</v>
      </c>
      <c r="AQ101"/>
    </row>
    <row r="102" spans="1:43" outlineLevel="2">
      <c r="A102" s="45" t="s">
        <v>26</v>
      </c>
      <c r="B102" s="22">
        <v>6666021600</v>
      </c>
      <c r="C102" s="22" t="s">
        <v>119</v>
      </c>
      <c r="D102" s="22" t="s">
        <v>120</v>
      </c>
      <c r="E102" s="23">
        <v>21.143379999999997</v>
      </c>
      <c r="F102" s="24">
        <f t="shared" si="28"/>
        <v>0.21660857895114277</v>
      </c>
      <c r="H102" s="23">
        <v>17.140930000000001</v>
      </c>
      <c r="I102" s="25">
        <f t="shared" si="59"/>
        <v>0.1612596195457881</v>
      </c>
      <c r="K102" s="23">
        <v>6.3357300000000034</v>
      </c>
      <c r="L102" s="25">
        <f t="shared" si="29"/>
        <v>5.9005084935181078E-2</v>
      </c>
      <c r="N102" s="26">
        <v>10.543709999999999</v>
      </c>
      <c r="O102" s="25">
        <f t="shared" si="30"/>
        <v>9.5530578961674356E-2</v>
      </c>
      <c r="Q102" s="26">
        <v>-6.118549999999999</v>
      </c>
      <c r="R102" s="25">
        <f t="shared" si="31"/>
        <v>-9.0603574654603058E-2</v>
      </c>
      <c r="T102" s="26"/>
      <c r="U102" s="25" t="e">
        <f t="shared" si="60"/>
        <v>#DIV/0!</v>
      </c>
      <c r="W102" s="26"/>
      <c r="X102" s="25" t="e">
        <f t="shared" si="37"/>
        <v>#DIV/0!</v>
      </c>
      <c r="Z102" s="26"/>
      <c r="AA102" s="25" t="e">
        <f t="shared" si="63"/>
        <v>#DIV/0!</v>
      </c>
      <c r="AC102" s="26"/>
      <c r="AD102" s="25" t="e">
        <f t="shared" si="35"/>
        <v>#DIV/0!</v>
      </c>
      <c r="AF102" s="26"/>
      <c r="AG102" s="25" t="e">
        <f t="shared" si="36"/>
        <v>#DIV/0!</v>
      </c>
      <c r="AI102" s="26"/>
      <c r="AJ102" s="25" t="e">
        <f t="shared" si="32"/>
        <v>#DIV/0!</v>
      </c>
      <c r="AL102" s="26"/>
      <c r="AM102" s="25" t="e">
        <f t="shared" si="33"/>
        <v>#DIV/0!</v>
      </c>
      <c r="AO102" s="26">
        <f>H102+E102+K102+N102+Q102+T102+W102+Z102+AC102+AF102+AI102+AL102</f>
        <v>49.045200000000001</v>
      </c>
      <c r="AP102" s="25">
        <f t="shared" si="61"/>
        <v>0.10025961707503547</v>
      </c>
    </row>
    <row r="103" spans="1:43" outlineLevel="2">
      <c r="A103" s="45" t="s">
        <v>26</v>
      </c>
      <c r="B103" s="22">
        <v>6666021603</v>
      </c>
      <c r="C103" s="22" t="s">
        <v>121</v>
      </c>
      <c r="D103" s="22" t="s">
        <v>120</v>
      </c>
      <c r="E103" s="23">
        <v>0.89229000000000003</v>
      </c>
      <c r="F103" s="24">
        <f t="shared" si="28"/>
        <v>9.1412853059593697E-3</v>
      </c>
      <c r="H103" s="23">
        <v>0.88063999999999998</v>
      </c>
      <c r="I103" s="25">
        <f t="shared" si="59"/>
        <v>8.2849455284399864E-3</v>
      </c>
      <c r="K103" s="23">
        <v>0.12418000000000012</v>
      </c>
      <c r="L103" s="25">
        <f t="shared" si="29"/>
        <v>1.1564967963045758E-3</v>
      </c>
      <c r="N103" s="26">
        <v>1.0837999999999999</v>
      </c>
      <c r="O103" s="25">
        <f t="shared" si="30"/>
        <v>9.8196973815348355E-3</v>
      </c>
      <c r="Q103" s="26">
        <v>0.61682000000000015</v>
      </c>
      <c r="R103" s="25">
        <f t="shared" si="31"/>
        <v>9.1338792554530538E-3</v>
      </c>
      <c r="T103" s="26"/>
      <c r="U103" s="25" t="e">
        <f t="shared" si="60"/>
        <v>#DIV/0!</v>
      </c>
      <c r="W103" s="26"/>
      <c r="X103" s="25" t="e">
        <f t="shared" si="37"/>
        <v>#DIV/0!</v>
      </c>
      <c r="Z103" s="26"/>
      <c r="AA103" s="25" t="e">
        <f t="shared" si="63"/>
        <v>#DIV/0!</v>
      </c>
      <c r="AC103" s="26"/>
      <c r="AD103" s="25" t="e">
        <f t="shared" si="35"/>
        <v>#DIV/0!</v>
      </c>
      <c r="AF103" s="26"/>
      <c r="AG103" s="25" t="e">
        <f t="shared" si="36"/>
        <v>#DIV/0!</v>
      </c>
      <c r="AI103" s="26"/>
      <c r="AJ103" s="25" t="e">
        <f t="shared" si="32"/>
        <v>#DIV/0!</v>
      </c>
      <c r="AL103" s="26"/>
      <c r="AM103" s="25" t="e">
        <f t="shared" si="33"/>
        <v>#DIV/0!</v>
      </c>
      <c r="AO103" s="26">
        <f t="shared" ref="AO103" si="64">H103+E103+K103+N103+Q103+T103+W103+Z103+AC103+AF103+AI103+AL103</f>
        <v>3.5977300000000003</v>
      </c>
      <c r="AP103" s="25">
        <f t="shared" si="61"/>
        <v>7.3545837745460797E-3</v>
      </c>
    </row>
    <row r="104" spans="1:43" outlineLevel="2">
      <c r="A104" s="45" t="s">
        <v>26</v>
      </c>
      <c r="B104" s="22">
        <v>6666021604</v>
      </c>
      <c r="C104" s="47" t="s">
        <v>122</v>
      </c>
      <c r="D104" s="22" t="s">
        <v>120</v>
      </c>
      <c r="E104" s="23">
        <v>16.509910000000001</v>
      </c>
      <c r="F104" s="24">
        <f t="shared" si="28"/>
        <v>0.16913985104137855</v>
      </c>
      <c r="H104" s="23">
        <v>27.845069999999996</v>
      </c>
      <c r="I104" s="25">
        <f t="shared" si="59"/>
        <v>0.26196276365552146</v>
      </c>
      <c r="K104" s="23">
        <v>19.732170000000004</v>
      </c>
      <c r="L104" s="25">
        <f t="shared" si="29"/>
        <v>0.18376704291461782</v>
      </c>
      <c r="N104" s="26">
        <v>22.745100000000001</v>
      </c>
      <c r="O104" s="25">
        <f t="shared" si="30"/>
        <v>0.20608045664582769</v>
      </c>
      <c r="Q104" s="26">
        <v>21.148880000000002</v>
      </c>
      <c r="R104" s="25">
        <f t="shared" si="31"/>
        <v>0.31317291318061341</v>
      </c>
      <c r="T104" s="26"/>
      <c r="U104" s="25" t="e">
        <f t="shared" si="60"/>
        <v>#DIV/0!</v>
      </c>
      <c r="W104" s="26"/>
      <c r="X104" s="25" t="e">
        <f t="shared" si="37"/>
        <v>#DIV/0!</v>
      </c>
      <c r="Z104" s="26"/>
      <c r="AA104" s="25" t="e">
        <f t="shared" si="63"/>
        <v>#DIV/0!</v>
      </c>
      <c r="AC104" s="26"/>
      <c r="AD104" s="25" t="e">
        <f t="shared" si="35"/>
        <v>#DIV/0!</v>
      </c>
      <c r="AF104" s="26"/>
      <c r="AG104" s="25" t="e">
        <f t="shared" si="36"/>
        <v>#DIV/0!</v>
      </c>
      <c r="AI104" s="26"/>
      <c r="AJ104" s="25" t="e">
        <f t="shared" si="32"/>
        <v>#DIV/0!</v>
      </c>
      <c r="AL104" s="26"/>
      <c r="AM104" s="25" t="e">
        <f t="shared" si="33"/>
        <v>#DIV/0!</v>
      </c>
      <c r="AO104" s="26">
        <f>H104+E104+K104+N104+Q104+T104+W104+Z104+AC104+AF104+AI104+AL104</f>
        <v>107.98113000000002</v>
      </c>
      <c r="AP104" s="25">
        <f t="shared" si="61"/>
        <v>0.22073815062696506</v>
      </c>
    </row>
    <row r="105" spans="1:43" s="33" customFormat="1">
      <c r="A105" s="45"/>
      <c r="B105" s="27" t="s">
        <v>46</v>
      </c>
      <c r="C105" s="28" t="s">
        <v>120</v>
      </c>
      <c r="D105" s="29"/>
      <c r="E105" s="30">
        <f>SUM(E102:E104)</f>
        <v>38.545580000000001</v>
      </c>
      <c r="F105" s="31">
        <f t="shared" si="28"/>
        <v>0.39488971529848071</v>
      </c>
      <c r="G105" s="17"/>
      <c r="H105" s="32">
        <f>SUM(H102:H104)</f>
        <v>45.866639999999997</v>
      </c>
      <c r="I105" s="31">
        <f t="shared" si="59"/>
        <v>0.43150732872974956</v>
      </c>
      <c r="J105" s="17"/>
      <c r="K105" s="32">
        <f>SUM(K102:K104)</f>
        <v>26.192080000000008</v>
      </c>
      <c r="L105" s="31">
        <f t="shared" si="29"/>
        <v>0.24392862464610349</v>
      </c>
      <c r="M105" s="18"/>
      <c r="N105" s="32">
        <f>SUM(N102:N104)</f>
        <v>34.372610000000002</v>
      </c>
      <c r="O105" s="31">
        <f t="shared" si="30"/>
        <v>0.3114307329890369</v>
      </c>
      <c r="P105" s="19"/>
      <c r="Q105" s="32">
        <f>SUM(Q102:Q104)</f>
        <v>15.647150000000003</v>
      </c>
      <c r="R105" s="31">
        <f t="shared" si="31"/>
        <v>0.23170321778146336</v>
      </c>
      <c r="S105" s="19"/>
      <c r="T105" s="32">
        <f>SUM(T102:T104)</f>
        <v>0</v>
      </c>
      <c r="U105" s="31" t="e">
        <f t="shared" si="60"/>
        <v>#DIV/0!</v>
      </c>
      <c r="V105" s="19"/>
      <c r="W105" s="32">
        <f>SUM(W102:W104)</f>
        <v>0</v>
      </c>
      <c r="X105" s="31" t="e">
        <f t="shared" si="37"/>
        <v>#DIV/0!</v>
      </c>
      <c r="Y105" s="19"/>
      <c r="Z105" s="32">
        <f>SUM(Z102:Z104)</f>
        <v>0</v>
      </c>
      <c r="AA105" s="31" t="e">
        <f t="shared" si="63"/>
        <v>#DIV/0!</v>
      </c>
      <c r="AB105" s="19"/>
      <c r="AC105" s="32">
        <f>SUM(AC102:AC104)</f>
        <v>0</v>
      </c>
      <c r="AD105" s="31" t="e">
        <f t="shared" si="35"/>
        <v>#DIV/0!</v>
      </c>
      <c r="AE105" s="19"/>
      <c r="AF105" s="32">
        <f>SUM(AF102:AF104)</f>
        <v>0</v>
      </c>
      <c r="AG105" s="31" t="e">
        <f t="shared" si="36"/>
        <v>#DIV/0!</v>
      </c>
      <c r="AH105" s="19"/>
      <c r="AI105" s="32">
        <f>SUM(AI102:AI104)</f>
        <v>0</v>
      </c>
      <c r="AJ105" s="31" t="e">
        <f t="shared" si="32"/>
        <v>#DIV/0!</v>
      </c>
      <c r="AK105" s="19"/>
      <c r="AL105" s="32">
        <f>SUM(AL102:AL104)</f>
        <v>0</v>
      </c>
      <c r="AM105" s="31" t="e">
        <f t="shared" si="33"/>
        <v>#DIV/0!</v>
      </c>
      <c r="AN105" s="19"/>
      <c r="AO105" s="32">
        <f>SUM(AO102:AO104)</f>
        <v>160.62406000000001</v>
      </c>
      <c r="AP105" s="31">
        <f t="shared" si="61"/>
        <v>0.32835235147654662</v>
      </c>
      <c r="AQ105"/>
    </row>
    <row r="106" spans="1:43" outlineLevel="1">
      <c r="A106" s="45" t="s">
        <v>26</v>
      </c>
      <c r="B106" s="22">
        <v>5001010206</v>
      </c>
      <c r="C106" s="22" t="s">
        <v>123</v>
      </c>
      <c r="D106" s="22" t="s">
        <v>124</v>
      </c>
      <c r="E106" s="23">
        <v>4.8149699999999998</v>
      </c>
      <c r="F106" s="24">
        <f t="shared" si="28"/>
        <v>4.9328149491348311E-2</v>
      </c>
      <c r="H106" s="23">
        <v>4.2330200000000007</v>
      </c>
      <c r="I106" s="25">
        <f t="shared" si="59"/>
        <v>3.9823696539785888E-2</v>
      </c>
      <c r="K106" s="23">
        <v>6.1506699999999999</v>
      </c>
      <c r="L106" s="25">
        <f t="shared" si="29"/>
        <v>5.7281608553121734E-2</v>
      </c>
      <c r="N106" s="26">
        <v>5.1261443085106384</v>
      </c>
      <c r="O106" s="25">
        <f t="shared" si="30"/>
        <v>4.6445087510289376E-2</v>
      </c>
      <c r="Q106" s="26">
        <v>5.5465599999999995</v>
      </c>
      <c r="R106" s="25">
        <f t="shared" si="31"/>
        <v>8.2133538671128797E-2</v>
      </c>
      <c r="T106" s="26"/>
      <c r="U106" s="25" t="e">
        <f t="shared" si="60"/>
        <v>#DIV/0!</v>
      </c>
      <c r="W106" s="26"/>
      <c r="X106" s="25" t="e">
        <f t="shared" si="37"/>
        <v>#DIV/0!</v>
      </c>
      <c r="Z106" s="26"/>
      <c r="AA106" s="25" t="e">
        <f t="shared" si="63"/>
        <v>#DIV/0!</v>
      </c>
      <c r="AC106" s="26"/>
      <c r="AD106" s="25" t="e">
        <f t="shared" si="35"/>
        <v>#DIV/0!</v>
      </c>
      <c r="AF106" s="26"/>
      <c r="AG106" s="25" t="e">
        <f t="shared" si="36"/>
        <v>#DIV/0!</v>
      </c>
      <c r="AI106" s="26"/>
      <c r="AJ106" s="25" t="e">
        <f t="shared" si="32"/>
        <v>#DIV/0!</v>
      </c>
      <c r="AL106" s="26"/>
      <c r="AM106" s="25" t="e">
        <f t="shared" si="33"/>
        <v>#DIV/0!</v>
      </c>
      <c r="AO106" s="26">
        <f t="shared" ref="AO106:AO112" si="65">H106+E106+K106+N106+Q106+T106+W106+Z106+AC106+AF106+AI106+AL106</f>
        <v>25.871364308510639</v>
      </c>
      <c r="AP106" s="25">
        <f t="shared" si="61"/>
        <v>5.2886991566555262E-2</v>
      </c>
    </row>
    <row r="107" spans="1:43" outlineLevel="1">
      <c r="A107" s="45" t="s">
        <v>26</v>
      </c>
      <c r="B107" s="22">
        <v>6666010184</v>
      </c>
      <c r="C107" s="22" t="s">
        <v>125</v>
      </c>
      <c r="D107" s="22" t="s">
        <v>124</v>
      </c>
      <c r="E107" s="23">
        <v>-0.41167000000000004</v>
      </c>
      <c r="F107" s="24">
        <f t="shared" si="28"/>
        <v>-4.2174549999487764E-3</v>
      </c>
      <c r="H107" s="23">
        <v>-0.38145000000000001</v>
      </c>
      <c r="I107" s="25">
        <f t="shared" si="59"/>
        <v>-3.5886315314128739E-3</v>
      </c>
      <c r="K107" s="23">
        <v>-0.58418000000000003</v>
      </c>
      <c r="L107" s="25">
        <f t="shared" si="29"/>
        <v>-5.4405081209953814E-3</v>
      </c>
      <c r="N107" s="26">
        <v>0</v>
      </c>
      <c r="O107" s="25">
        <f t="shared" si="30"/>
        <v>0</v>
      </c>
      <c r="Q107" s="26">
        <v>-0.74368999999999996</v>
      </c>
      <c r="R107" s="25">
        <f t="shared" si="31"/>
        <v>-1.1012572003968548E-2</v>
      </c>
      <c r="T107" s="26"/>
      <c r="U107" s="25" t="e">
        <f t="shared" si="60"/>
        <v>#DIV/0!</v>
      </c>
      <c r="W107" s="26"/>
      <c r="X107" s="25" t="e">
        <f t="shared" si="37"/>
        <v>#DIV/0!</v>
      </c>
      <c r="Z107" s="26"/>
      <c r="AA107" s="25" t="e">
        <f t="shared" si="63"/>
        <v>#DIV/0!</v>
      </c>
      <c r="AC107" s="26"/>
      <c r="AD107" s="25" t="e">
        <f t="shared" si="35"/>
        <v>#DIV/0!</v>
      </c>
      <c r="AF107" s="26"/>
      <c r="AG107" s="25" t="e">
        <f t="shared" si="36"/>
        <v>#DIV/0!</v>
      </c>
      <c r="AI107" s="26"/>
      <c r="AJ107" s="25" t="e">
        <f t="shared" si="32"/>
        <v>#DIV/0!</v>
      </c>
      <c r="AL107" s="26"/>
      <c r="AM107" s="25" t="e">
        <f t="shared" si="33"/>
        <v>#DIV/0!</v>
      </c>
      <c r="AO107" s="26">
        <f t="shared" si="65"/>
        <v>-2.1209899999999999</v>
      </c>
      <c r="AP107" s="25">
        <f t="shared" si="61"/>
        <v>-4.335789133696661E-3</v>
      </c>
    </row>
    <row r="108" spans="1:43" outlineLevel="1">
      <c r="A108" s="45" t="s">
        <v>26</v>
      </c>
      <c r="B108" s="22">
        <v>6666010186</v>
      </c>
      <c r="C108" s="22" t="s">
        <v>126</v>
      </c>
      <c r="D108" s="22" t="s">
        <v>124</v>
      </c>
      <c r="E108" s="23">
        <v>8.5325299999999995</v>
      </c>
      <c r="F108" s="24">
        <f t="shared" si="28"/>
        <v>8.7413611170872124E-2</v>
      </c>
      <c r="H108" s="23">
        <v>8.460169999999998</v>
      </c>
      <c r="I108" s="25">
        <f t="shared" si="59"/>
        <v>7.9592168890059628E-2</v>
      </c>
      <c r="K108" s="23">
        <v>-2.4715400000000001</v>
      </c>
      <c r="L108" s="25">
        <f t="shared" si="29"/>
        <v>-2.3017620324839814E-2</v>
      </c>
      <c r="N108" s="26">
        <v>15.439129574468087</v>
      </c>
      <c r="O108" s="25">
        <f t="shared" si="30"/>
        <v>0.13988520045726274</v>
      </c>
      <c r="Q108" s="26">
        <v>8.8165799999999983</v>
      </c>
      <c r="R108" s="25">
        <f t="shared" si="31"/>
        <v>0.13055604092935094</v>
      </c>
      <c r="T108" s="26"/>
      <c r="U108" s="25" t="e">
        <f t="shared" si="60"/>
        <v>#DIV/0!</v>
      </c>
      <c r="W108" s="26"/>
      <c r="X108" s="25" t="e">
        <f t="shared" si="37"/>
        <v>#DIV/0!</v>
      </c>
      <c r="Z108" s="26"/>
      <c r="AA108" s="25" t="e">
        <f t="shared" si="63"/>
        <v>#DIV/0!</v>
      </c>
      <c r="AC108" s="26"/>
      <c r="AD108" s="25" t="e">
        <f t="shared" si="35"/>
        <v>#DIV/0!</v>
      </c>
      <c r="AF108" s="26"/>
      <c r="AG108" s="25" t="e">
        <f t="shared" si="36"/>
        <v>#DIV/0!</v>
      </c>
      <c r="AI108" s="26"/>
      <c r="AJ108" s="25" t="e">
        <f t="shared" si="32"/>
        <v>#DIV/0!</v>
      </c>
      <c r="AL108" s="26"/>
      <c r="AM108" s="25" t="e">
        <f t="shared" si="33"/>
        <v>#DIV/0!</v>
      </c>
      <c r="AO108" s="26">
        <f t="shared" si="65"/>
        <v>38.77686957446808</v>
      </c>
      <c r="AP108" s="25">
        <f t="shared" si="61"/>
        <v>7.9268798881537095E-2</v>
      </c>
    </row>
    <row r="109" spans="1:43" outlineLevel="1">
      <c r="A109" s="45" t="s">
        <v>26</v>
      </c>
      <c r="B109" s="22">
        <v>6666010189</v>
      </c>
      <c r="C109" s="22" t="s">
        <v>127</v>
      </c>
      <c r="D109" s="22" t="s">
        <v>124</v>
      </c>
      <c r="E109" s="23">
        <v>15.467079999999999</v>
      </c>
      <c r="F109" s="24">
        <f t="shared" si="28"/>
        <v>0.15845632152114003</v>
      </c>
      <c r="H109" s="23">
        <v>-93.768669999999986</v>
      </c>
      <c r="I109" s="25">
        <f t="shared" si="59"/>
        <v>-0.88216333941708835</v>
      </c>
      <c r="K109" s="23">
        <v>87.842200000000005</v>
      </c>
      <c r="L109" s="25">
        <f t="shared" si="29"/>
        <v>0.81808039040381464</v>
      </c>
      <c r="N109" s="26">
        <v>0</v>
      </c>
      <c r="O109" s="25">
        <f t="shared" si="30"/>
        <v>0</v>
      </c>
      <c r="Q109" s="26">
        <v>0</v>
      </c>
      <c r="R109" s="25">
        <f t="shared" si="31"/>
        <v>0</v>
      </c>
      <c r="T109" s="26"/>
      <c r="U109" s="25" t="e">
        <f t="shared" si="60"/>
        <v>#DIV/0!</v>
      </c>
      <c r="W109" s="26"/>
      <c r="X109" s="25" t="e">
        <f t="shared" si="37"/>
        <v>#DIV/0!</v>
      </c>
      <c r="Z109" s="26"/>
      <c r="AA109" s="25" t="e">
        <f t="shared" si="63"/>
        <v>#DIV/0!</v>
      </c>
      <c r="AC109" s="26"/>
      <c r="AD109" s="25" t="e">
        <f t="shared" si="35"/>
        <v>#DIV/0!</v>
      </c>
      <c r="AF109" s="26"/>
      <c r="AG109" s="25" t="e">
        <f t="shared" si="36"/>
        <v>#DIV/0!</v>
      </c>
      <c r="AI109" s="26"/>
      <c r="AJ109" s="25" t="e">
        <f t="shared" si="32"/>
        <v>#DIV/0!</v>
      </c>
      <c r="AL109" s="26"/>
      <c r="AM109" s="25" t="e">
        <f t="shared" si="33"/>
        <v>#DIV/0!</v>
      </c>
      <c r="AO109" s="26">
        <f t="shared" si="65"/>
        <v>9.5406100000000151</v>
      </c>
      <c r="AP109" s="25">
        <f t="shared" si="61"/>
        <v>1.9503191041371139E-2</v>
      </c>
    </row>
    <row r="110" spans="1:43" outlineLevel="1">
      <c r="A110" s="45" t="s">
        <v>26</v>
      </c>
      <c r="B110" s="22">
        <v>6666010012</v>
      </c>
      <c r="C110" s="22" t="s">
        <v>128</v>
      </c>
      <c r="D110" s="22" t="s">
        <v>124</v>
      </c>
      <c r="E110" s="23">
        <v>43.679630000000003</v>
      </c>
      <c r="F110" s="24">
        <f t="shared" si="28"/>
        <v>0.44748675866449483</v>
      </c>
      <c r="H110" s="23">
        <v>38.54119</v>
      </c>
      <c r="I110" s="25">
        <f t="shared" si="59"/>
        <v>0.3625904566579487</v>
      </c>
      <c r="K110" s="23">
        <v>54.947620000000001</v>
      </c>
      <c r="L110" s="25">
        <f t="shared" si="29"/>
        <v>0.51173092683653709</v>
      </c>
      <c r="N110" s="26">
        <v>46.704543844984791</v>
      </c>
      <c r="O110" s="25">
        <f t="shared" si="30"/>
        <v>0.42316339444581674</v>
      </c>
      <c r="Q110" s="26">
        <v>50.635500000000008</v>
      </c>
      <c r="R110" s="25">
        <f t="shared" si="31"/>
        <v>0.74981119782026051</v>
      </c>
      <c r="T110" s="26"/>
      <c r="U110" s="25" t="e">
        <f t="shared" si="60"/>
        <v>#DIV/0!</v>
      </c>
      <c r="W110" s="26"/>
      <c r="X110" s="25" t="e">
        <f t="shared" si="37"/>
        <v>#DIV/0!</v>
      </c>
      <c r="Z110" s="26"/>
      <c r="AA110" s="25" t="e">
        <f t="shared" si="63"/>
        <v>#DIV/0!</v>
      </c>
      <c r="AC110" s="26"/>
      <c r="AD110" s="25" t="e">
        <f t="shared" si="35"/>
        <v>#DIV/0!</v>
      </c>
      <c r="AF110" s="26"/>
      <c r="AG110" s="25" t="e">
        <f t="shared" si="36"/>
        <v>#DIV/0!</v>
      </c>
      <c r="AI110" s="26"/>
      <c r="AJ110" s="25" t="e">
        <f t="shared" si="32"/>
        <v>#DIV/0!</v>
      </c>
      <c r="AL110" s="26"/>
      <c r="AM110" s="25" t="e">
        <f t="shared" si="33"/>
        <v>#DIV/0!</v>
      </c>
      <c r="AO110" s="26">
        <f t="shared" si="65"/>
        <v>234.5084838449848</v>
      </c>
      <c r="AP110" s="25">
        <f t="shared" si="61"/>
        <v>0.4793890287152528</v>
      </c>
    </row>
    <row r="111" spans="1:43" outlineLevel="1">
      <c r="A111" s="45" t="s">
        <v>26</v>
      </c>
      <c r="B111" s="22">
        <v>6666010226</v>
      </c>
      <c r="C111" s="22" t="s">
        <v>129</v>
      </c>
      <c r="D111" s="22" t="s">
        <v>124</v>
      </c>
      <c r="E111" s="23">
        <v>5.3679299999999994</v>
      </c>
      <c r="F111" s="24">
        <f t="shared" si="28"/>
        <v>5.4993084795770961E-2</v>
      </c>
      <c r="H111" s="23">
        <v>32.209569999999999</v>
      </c>
      <c r="I111" s="25">
        <f t="shared" si="59"/>
        <v>0.30302340677742862</v>
      </c>
      <c r="K111" s="23">
        <v>-87.722500000000011</v>
      </c>
      <c r="L111" s="25">
        <f t="shared" si="29"/>
        <v>-0.81696561615258545</v>
      </c>
      <c r="N111" s="26">
        <v>7.9773300000000003</v>
      </c>
      <c r="O111" s="25">
        <f t="shared" si="30"/>
        <v>7.2278064691492255E-2</v>
      </c>
      <c r="Q111" s="26">
        <v>7.6469599999999991</v>
      </c>
      <c r="R111" s="25">
        <f t="shared" si="31"/>
        <v>0.11323629148094948</v>
      </c>
      <c r="T111" s="26"/>
      <c r="U111" s="25" t="e">
        <f t="shared" si="60"/>
        <v>#DIV/0!</v>
      </c>
      <c r="W111" s="26"/>
      <c r="X111" s="25" t="e">
        <f t="shared" si="37"/>
        <v>#DIV/0!</v>
      </c>
      <c r="Z111" s="26"/>
      <c r="AA111" s="25" t="e">
        <f t="shared" si="63"/>
        <v>#DIV/0!</v>
      </c>
      <c r="AC111" s="26"/>
      <c r="AD111" s="25" t="e">
        <f t="shared" si="35"/>
        <v>#DIV/0!</v>
      </c>
      <c r="AF111" s="26"/>
      <c r="AG111" s="25" t="e">
        <f t="shared" si="36"/>
        <v>#DIV/0!</v>
      </c>
      <c r="AI111" s="26"/>
      <c r="AJ111" s="25" t="e">
        <f t="shared" si="32"/>
        <v>#DIV/0!</v>
      </c>
      <c r="AL111" s="26"/>
      <c r="AM111" s="25" t="e">
        <f t="shared" si="33"/>
        <v>#DIV/0!</v>
      </c>
      <c r="AO111" s="26">
        <f t="shared" si="65"/>
        <v>-34.520710000000008</v>
      </c>
      <c r="AP111" s="25">
        <f t="shared" si="61"/>
        <v>-7.0568234317697723E-2</v>
      </c>
    </row>
    <row r="112" spans="1:43" outlineLevel="1">
      <c r="A112" s="45" t="s">
        <v>26</v>
      </c>
      <c r="B112" s="22">
        <v>6666010102</v>
      </c>
      <c r="C112" s="22" t="s">
        <v>130</v>
      </c>
      <c r="D112" s="22" t="s">
        <v>124</v>
      </c>
      <c r="E112" s="23">
        <v>250.17500999999999</v>
      </c>
      <c r="F112" s="24">
        <f t="shared" si="28"/>
        <v>2.5629796846666868</v>
      </c>
      <c r="H112" s="23">
        <v>320.31914999999998</v>
      </c>
      <c r="I112" s="25">
        <f t="shared" si="59"/>
        <v>3.0135205185617249</v>
      </c>
      <c r="K112" s="23">
        <v>304.76812999999999</v>
      </c>
      <c r="L112" s="25">
        <f t="shared" si="29"/>
        <v>2.8383263485322603</v>
      </c>
      <c r="N112" s="26">
        <v>263.24697063069908</v>
      </c>
      <c r="O112" s="25">
        <f t="shared" si="30"/>
        <v>2.3851315632028549</v>
      </c>
      <c r="Q112" s="26">
        <v>298.55275</v>
      </c>
      <c r="R112" s="25">
        <f t="shared" si="31"/>
        <v>4.4209733307666115</v>
      </c>
      <c r="T112" s="26"/>
      <c r="U112" s="25" t="e">
        <f t="shared" si="60"/>
        <v>#DIV/0!</v>
      </c>
      <c r="W112" s="26"/>
      <c r="X112" s="25" t="e">
        <f t="shared" si="37"/>
        <v>#DIV/0!</v>
      </c>
      <c r="Z112" s="26"/>
      <c r="AA112" s="25" t="e">
        <f t="shared" si="63"/>
        <v>#DIV/0!</v>
      </c>
      <c r="AC112" s="26"/>
      <c r="AD112" s="25" t="e">
        <f t="shared" si="35"/>
        <v>#DIV/0!</v>
      </c>
      <c r="AF112" s="26"/>
      <c r="AG112" s="25" t="e">
        <f t="shared" si="36"/>
        <v>#DIV/0!</v>
      </c>
      <c r="AI112" s="26"/>
      <c r="AJ112" s="25" t="e">
        <f t="shared" si="32"/>
        <v>#DIV/0!</v>
      </c>
      <c r="AL112" s="26"/>
      <c r="AM112" s="25" t="e">
        <f t="shared" si="33"/>
        <v>#DIV/0!</v>
      </c>
      <c r="AO112" s="26">
        <f t="shared" si="65"/>
        <v>1437.062010630699</v>
      </c>
      <c r="AP112" s="25">
        <f t="shared" si="61"/>
        <v>2.9376837468073211</v>
      </c>
    </row>
    <row r="113" spans="1:43" s="33" customFormat="1">
      <c r="A113" s="45"/>
      <c r="B113" s="27" t="s">
        <v>131</v>
      </c>
      <c r="C113" s="28" t="s">
        <v>124</v>
      </c>
      <c r="D113" s="29"/>
      <c r="E113" s="30">
        <f>SUM(E106:E112)</f>
        <v>327.62547999999998</v>
      </c>
      <c r="F113" s="31">
        <f t="shared" si="28"/>
        <v>3.3564401553103642</v>
      </c>
      <c r="G113" s="17"/>
      <c r="H113" s="32">
        <f>SUM(H106:H112)</f>
        <v>309.61297999999999</v>
      </c>
      <c r="I113" s="31">
        <f t="shared" si="59"/>
        <v>2.9127982764784464</v>
      </c>
      <c r="J113" s="17"/>
      <c r="K113" s="32">
        <f>SUM(K106:K112)</f>
        <v>362.93039999999996</v>
      </c>
      <c r="L113" s="31">
        <f t="shared" si="29"/>
        <v>3.3799955297273132</v>
      </c>
      <c r="M113" s="18"/>
      <c r="N113" s="32">
        <f>SUM(N106:N112)</f>
        <v>338.4941183586626</v>
      </c>
      <c r="O113" s="31">
        <f t="shared" si="30"/>
        <v>3.0669033103077159</v>
      </c>
      <c r="P113" s="19"/>
      <c r="Q113" s="32">
        <f>SUM(Q106:Q112)</f>
        <v>370.45465999999999</v>
      </c>
      <c r="R113" s="31">
        <f t="shared" si="31"/>
        <v>5.4856978276643318</v>
      </c>
      <c r="S113" s="19"/>
      <c r="T113" s="32">
        <f>SUM(T106:T112)</f>
        <v>0</v>
      </c>
      <c r="U113" s="31" t="e">
        <f t="shared" si="60"/>
        <v>#DIV/0!</v>
      </c>
      <c r="V113" s="19"/>
      <c r="W113" s="32">
        <f>SUM(W106:W112)</f>
        <v>0</v>
      </c>
      <c r="X113" s="31" t="e">
        <f t="shared" si="37"/>
        <v>#DIV/0!</v>
      </c>
      <c r="Y113" s="19"/>
      <c r="Z113" s="32">
        <f>SUM(Z106:Z112)</f>
        <v>0</v>
      </c>
      <c r="AA113" s="31" t="e">
        <f t="shared" si="63"/>
        <v>#DIV/0!</v>
      </c>
      <c r="AB113" s="19"/>
      <c r="AC113" s="32">
        <f>SUM(AC106:AC112)</f>
        <v>0</v>
      </c>
      <c r="AD113" s="31" t="e">
        <f t="shared" si="35"/>
        <v>#DIV/0!</v>
      </c>
      <c r="AE113" s="19"/>
      <c r="AF113" s="32">
        <f>SUM(AF106:AF112)</f>
        <v>0</v>
      </c>
      <c r="AG113" s="31" t="e">
        <f t="shared" si="36"/>
        <v>#DIV/0!</v>
      </c>
      <c r="AH113" s="19"/>
      <c r="AI113" s="32">
        <f>SUM(AI106:AI112)</f>
        <v>0</v>
      </c>
      <c r="AJ113" s="31" t="e">
        <f t="shared" si="32"/>
        <v>#DIV/0!</v>
      </c>
      <c r="AK113" s="19"/>
      <c r="AL113" s="32">
        <f>SUM(AL106:AL112)</f>
        <v>0</v>
      </c>
      <c r="AM113" s="31" t="e">
        <f t="shared" si="33"/>
        <v>#DIV/0!</v>
      </c>
      <c r="AN113" s="19"/>
      <c r="AO113" s="32">
        <f>SUM(AO106:AO112)</f>
        <v>1709.1176383586626</v>
      </c>
      <c r="AP113" s="31">
        <f t="shared" si="61"/>
        <v>3.4938277335606434</v>
      </c>
      <c r="AQ113"/>
    </row>
    <row r="114" spans="1:43" outlineLevel="1">
      <c r="A114" s="45" t="s">
        <v>26</v>
      </c>
      <c r="B114" s="22">
        <v>6666010196</v>
      </c>
      <c r="C114" s="22" t="s">
        <v>132</v>
      </c>
      <c r="D114" s="22" t="s">
        <v>133</v>
      </c>
      <c r="E114" s="23">
        <v>19.500690000000002</v>
      </c>
      <c r="F114" s="24">
        <f t="shared" si="28"/>
        <v>0.19977963549190156</v>
      </c>
      <c r="H114" s="23">
        <v>17.015330000000002</v>
      </c>
      <c r="I114" s="25">
        <f t="shared" si="59"/>
        <v>0.16007799123186633</v>
      </c>
      <c r="K114" s="23">
        <v>20.042760000000001</v>
      </c>
      <c r="L114" s="25">
        <f t="shared" si="29"/>
        <v>0.18665958873491284</v>
      </c>
      <c r="N114" s="26">
        <v>17.608280000000004</v>
      </c>
      <c r="O114" s="25">
        <f t="shared" si="30"/>
        <v>0.15953864274712334</v>
      </c>
      <c r="Q114" s="26">
        <v>18.931279999999994</v>
      </c>
      <c r="R114" s="25">
        <f t="shared" si="31"/>
        <v>0.28033466111859728</v>
      </c>
      <c r="T114" s="26"/>
      <c r="U114" s="25" t="e">
        <f t="shared" si="60"/>
        <v>#DIV/0!</v>
      </c>
      <c r="W114" s="26"/>
      <c r="X114" s="25" t="e">
        <f t="shared" si="37"/>
        <v>#DIV/0!</v>
      </c>
      <c r="Z114" s="26"/>
      <c r="AA114" s="25" t="e">
        <f t="shared" si="63"/>
        <v>#DIV/0!</v>
      </c>
      <c r="AC114" s="26"/>
      <c r="AD114" s="25" t="e">
        <f t="shared" si="35"/>
        <v>#DIV/0!</v>
      </c>
      <c r="AF114" s="26"/>
      <c r="AG114" s="25" t="e">
        <f t="shared" si="36"/>
        <v>#DIV/0!</v>
      </c>
      <c r="AI114" s="26"/>
      <c r="AJ114" s="25" t="e">
        <f t="shared" si="32"/>
        <v>#DIV/0!</v>
      </c>
      <c r="AL114" s="26"/>
      <c r="AM114" s="25" t="e">
        <f t="shared" si="33"/>
        <v>#DIV/0!</v>
      </c>
      <c r="AO114" s="26">
        <f t="shared" ref="AO114:AO120" si="66">H114+E114+K114+N114+Q114+T114+W114+Z114+AC114+AF114+AI114+AL114</f>
        <v>93.098340000000007</v>
      </c>
      <c r="AP114" s="25">
        <f t="shared" si="61"/>
        <v>0.19031432064139731</v>
      </c>
    </row>
    <row r="115" spans="1:43" outlineLevel="1">
      <c r="A115" s="45" t="s">
        <v>26</v>
      </c>
      <c r="B115" s="22">
        <v>6666010101</v>
      </c>
      <c r="C115" s="22" t="s">
        <v>134</v>
      </c>
      <c r="D115" s="22" t="s">
        <v>133</v>
      </c>
      <c r="E115" s="23">
        <v>111.61958</v>
      </c>
      <c r="F115" s="24">
        <f t="shared" si="28"/>
        <v>1.1435143580129288</v>
      </c>
      <c r="H115" s="23">
        <v>119.90985999999999</v>
      </c>
      <c r="I115" s="25">
        <f t="shared" si="59"/>
        <v>1.1280962236814871</v>
      </c>
      <c r="K115" s="23">
        <v>110.92881000000001</v>
      </c>
      <c r="L115" s="25">
        <f t="shared" si="29"/>
        <v>1.0330875614662496</v>
      </c>
      <c r="N115" s="26">
        <v>137.05122000000003</v>
      </c>
      <c r="O115" s="25">
        <f t="shared" si="30"/>
        <v>1.2417434085349284</v>
      </c>
      <c r="Q115" s="26">
        <v>168.00578999999999</v>
      </c>
      <c r="R115" s="25">
        <f t="shared" si="31"/>
        <v>2.4878321067361657</v>
      </c>
      <c r="T115" s="26"/>
      <c r="U115" s="25" t="e">
        <f t="shared" si="60"/>
        <v>#DIV/0!</v>
      </c>
      <c r="W115" s="26"/>
      <c r="X115" s="25" t="e">
        <f t="shared" si="37"/>
        <v>#DIV/0!</v>
      </c>
      <c r="Z115" s="26"/>
      <c r="AA115" s="25" t="e">
        <f t="shared" si="63"/>
        <v>#DIV/0!</v>
      </c>
      <c r="AC115" s="26"/>
      <c r="AD115" s="25" t="e">
        <f t="shared" si="35"/>
        <v>#DIV/0!</v>
      </c>
      <c r="AF115" s="26"/>
      <c r="AG115" s="25" t="e">
        <f t="shared" si="36"/>
        <v>#DIV/0!</v>
      </c>
      <c r="AI115" s="26"/>
      <c r="AJ115" s="25" t="e">
        <f t="shared" si="32"/>
        <v>#DIV/0!</v>
      </c>
      <c r="AL115" s="26"/>
      <c r="AM115" s="25" t="e">
        <f t="shared" si="33"/>
        <v>#DIV/0!</v>
      </c>
      <c r="AO115" s="26">
        <f t="shared" si="66"/>
        <v>647.51526000000013</v>
      </c>
      <c r="AP115" s="25">
        <f t="shared" si="61"/>
        <v>1.3236694318270095</v>
      </c>
    </row>
    <row r="116" spans="1:43" outlineLevel="1">
      <c r="A116" s="45" t="s">
        <v>26</v>
      </c>
      <c r="B116" s="22">
        <v>6666010199</v>
      </c>
      <c r="C116" s="22" t="s">
        <v>135</v>
      </c>
      <c r="D116" s="22" t="s">
        <v>133</v>
      </c>
      <c r="E116" s="23">
        <v>27.763369999999998</v>
      </c>
      <c r="F116" s="24">
        <f t="shared" si="28"/>
        <v>0.28442870168321188</v>
      </c>
      <c r="H116" s="23">
        <v>15.162570000000001</v>
      </c>
      <c r="I116" s="25">
        <f t="shared" si="59"/>
        <v>0.1426474683425217</v>
      </c>
      <c r="K116" s="23">
        <v>23.782509999999998</v>
      </c>
      <c r="L116" s="25">
        <f t="shared" si="29"/>
        <v>0.22148813515124421</v>
      </c>
      <c r="N116" s="26">
        <v>-78.714799999999997</v>
      </c>
      <c r="O116" s="25">
        <f t="shared" si="30"/>
        <v>-0.7131901784905319</v>
      </c>
      <c r="Q116" s="26">
        <v>-15.122609999999998</v>
      </c>
      <c r="R116" s="25">
        <f t="shared" si="31"/>
        <v>-0.2239358220669026</v>
      </c>
      <c r="T116" s="26"/>
      <c r="U116" s="25" t="e">
        <f t="shared" si="60"/>
        <v>#DIV/0!</v>
      </c>
      <c r="W116" s="26"/>
      <c r="X116" s="25" t="e">
        <f t="shared" si="37"/>
        <v>#DIV/0!</v>
      </c>
      <c r="Z116" s="26"/>
      <c r="AA116" s="25" t="e">
        <f t="shared" si="63"/>
        <v>#DIV/0!</v>
      </c>
      <c r="AC116" s="26"/>
      <c r="AD116" s="25" t="e">
        <f t="shared" si="35"/>
        <v>#DIV/0!</v>
      </c>
      <c r="AF116" s="26"/>
      <c r="AG116" s="25" t="e">
        <f t="shared" si="36"/>
        <v>#DIV/0!</v>
      </c>
      <c r="AI116" s="26"/>
      <c r="AJ116" s="25" t="e">
        <f t="shared" si="32"/>
        <v>#DIV/0!</v>
      </c>
      <c r="AL116" s="26"/>
      <c r="AM116" s="25" t="e">
        <f t="shared" si="33"/>
        <v>#DIV/0!</v>
      </c>
      <c r="AO116" s="26">
        <f t="shared" si="66"/>
        <v>-27.128959999999996</v>
      </c>
      <c r="AP116" s="25">
        <f t="shared" si="61"/>
        <v>-5.5457805070505448E-2</v>
      </c>
    </row>
    <row r="117" spans="1:43" outlineLevel="1">
      <c r="A117" s="45" t="s">
        <v>26</v>
      </c>
      <c r="B117" s="22">
        <v>6666010185</v>
      </c>
      <c r="C117" s="22" t="s">
        <v>136</v>
      </c>
      <c r="D117" s="22" t="s">
        <v>133</v>
      </c>
      <c r="E117" s="23">
        <v>-0.40558</v>
      </c>
      <c r="F117" s="24">
        <f t="shared" si="28"/>
        <v>-4.1550644906824027E-3</v>
      </c>
      <c r="H117" s="23">
        <v>-0.54747999999999997</v>
      </c>
      <c r="I117" s="25">
        <f t="shared" si="59"/>
        <v>-5.1506199785500591E-3</v>
      </c>
      <c r="K117" s="23">
        <v>-0.54159999999999997</v>
      </c>
      <c r="L117" s="25">
        <f t="shared" si="29"/>
        <v>-5.0439576814185656E-3</v>
      </c>
      <c r="N117" s="26">
        <v>-0.30648999999999998</v>
      </c>
      <c r="O117" s="25">
        <f t="shared" si="30"/>
        <v>-2.7769321373561657E-3</v>
      </c>
      <c r="Q117" s="26">
        <v>-0.58774000000000004</v>
      </c>
      <c r="R117" s="25">
        <f t="shared" si="31"/>
        <v>-8.703262205505621E-3</v>
      </c>
      <c r="T117" s="26"/>
      <c r="U117" s="25" t="e">
        <f t="shared" si="60"/>
        <v>#DIV/0!</v>
      </c>
      <c r="W117" s="26"/>
      <c r="X117" s="25" t="e">
        <f t="shared" si="37"/>
        <v>#DIV/0!</v>
      </c>
      <c r="Z117" s="26"/>
      <c r="AA117" s="25" t="e">
        <f t="shared" si="63"/>
        <v>#DIV/0!</v>
      </c>
      <c r="AC117" s="26"/>
      <c r="AD117" s="25" t="e">
        <f t="shared" si="35"/>
        <v>#DIV/0!</v>
      </c>
      <c r="AF117" s="26"/>
      <c r="AG117" s="25" t="e">
        <f t="shared" si="36"/>
        <v>#DIV/0!</v>
      </c>
      <c r="AI117" s="26"/>
      <c r="AJ117" s="25" t="e">
        <f t="shared" si="32"/>
        <v>#DIV/0!</v>
      </c>
      <c r="AL117" s="26"/>
      <c r="AM117" s="25" t="e">
        <f t="shared" si="33"/>
        <v>#DIV/0!</v>
      </c>
      <c r="AO117" s="26">
        <f t="shared" si="66"/>
        <v>-2.38889</v>
      </c>
      <c r="AP117" s="25">
        <f t="shared" si="61"/>
        <v>-4.8834380659958871E-3</v>
      </c>
    </row>
    <row r="118" spans="1:43" outlineLevel="1">
      <c r="A118" s="45" t="s">
        <v>26</v>
      </c>
      <c r="B118" s="22">
        <v>6666010207</v>
      </c>
      <c r="C118" s="22" t="s">
        <v>137</v>
      </c>
      <c r="D118" s="22" t="s">
        <v>133</v>
      </c>
      <c r="E118" s="23">
        <v>1.8953799999999998</v>
      </c>
      <c r="F118" s="24">
        <f t="shared" si="28"/>
        <v>1.9417688580180514E-2</v>
      </c>
      <c r="H118" s="23">
        <v>1.6831399999999999</v>
      </c>
      <c r="I118" s="25">
        <f t="shared" si="59"/>
        <v>1.5834760193425782E-2</v>
      </c>
      <c r="K118" s="23">
        <v>1.9620900000000001</v>
      </c>
      <c r="L118" s="25">
        <f t="shared" si="29"/>
        <v>1.827307778274475E-2</v>
      </c>
      <c r="N118" s="26">
        <v>1.78271</v>
      </c>
      <c r="O118" s="25">
        <f t="shared" si="30"/>
        <v>1.6152124671559302E-2</v>
      </c>
      <c r="Q118" s="26">
        <v>1.9722200000000001</v>
      </c>
      <c r="R118" s="25">
        <f t="shared" si="31"/>
        <v>2.9204661562837811E-2</v>
      </c>
      <c r="T118" s="26"/>
      <c r="U118" s="25" t="e">
        <f t="shared" si="60"/>
        <v>#DIV/0!</v>
      </c>
      <c r="W118" s="26"/>
      <c r="X118" s="25" t="e">
        <f t="shared" si="37"/>
        <v>#DIV/0!</v>
      </c>
      <c r="Z118" s="26"/>
      <c r="AA118" s="25" t="e">
        <f t="shared" si="63"/>
        <v>#DIV/0!</v>
      </c>
      <c r="AC118" s="26"/>
      <c r="AD118" s="25" t="e">
        <f t="shared" si="35"/>
        <v>#DIV/0!</v>
      </c>
      <c r="AF118" s="26"/>
      <c r="AG118" s="25" t="e">
        <f t="shared" si="36"/>
        <v>#DIV/0!</v>
      </c>
      <c r="AI118" s="26"/>
      <c r="AJ118" s="25" t="e">
        <f t="shared" si="32"/>
        <v>#DIV/0!</v>
      </c>
      <c r="AL118" s="26"/>
      <c r="AM118" s="25" t="e">
        <f t="shared" si="33"/>
        <v>#DIV/0!</v>
      </c>
      <c r="AO118" s="26">
        <f t="shared" si="66"/>
        <v>9.295539999999999</v>
      </c>
      <c r="AP118" s="25">
        <f t="shared" si="61"/>
        <v>1.9002211855710143E-2</v>
      </c>
    </row>
    <row r="119" spans="1:43" customFormat="1" outlineLevel="1">
      <c r="A119" s="45" t="s">
        <v>26</v>
      </c>
      <c r="B119" s="22">
        <v>5102040406</v>
      </c>
      <c r="C119" s="22" t="s">
        <v>44</v>
      </c>
      <c r="D119" s="22" t="s">
        <v>38</v>
      </c>
      <c r="E119" s="23">
        <v>0</v>
      </c>
      <c r="F119" s="24">
        <f t="shared" si="28"/>
        <v>0</v>
      </c>
      <c r="G119" s="17"/>
      <c r="H119" s="23">
        <v>0</v>
      </c>
      <c r="I119" s="25">
        <f t="shared" si="59"/>
        <v>0</v>
      </c>
      <c r="J119" s="17"/>
      <c r="K119" s="23">
        <v>0</v>
      </c>
      <c r="L119" s="25">
        <f t="shared" si="29"/>
        <v>0</v>
      </c>
      <c r="M119" s="18"/>
      <c r="N119" s="26">
        <v>0</v>
      </c>
      <c r="O119" s="25">
        <f t="shared" si="30"/>
        <v>0</v>
      </c>
      <c r="P119" s="19"/>
      <c r="Q119" s="26">
        <v>0</v>
      </c>
      <c r="R119" s="25">
        <f t="shared" si="31"/>
        <v>0</v>
      </c>
      <c r="S119" s="19"/>
      <c r="T119" s="26"/>
      <c r="U119" s="25" t="e">
        <f t="shared" si="60"/>
        <v>#DIV/0!</v>
      </c>
      <c r="V119" s="19"/>
      <c r="W119" s="26"/>
      <c r="X119" s="25" t="e">
        <f t="shared" si="37"/>
        <v>#DIV/0!</v>
      </c>
      <c r="Y119" s="19"/>
      <c r="Z119" s="26"/>
      <c r="AA119" s="25" t="e">
        <f t="shared" si="63"/>
        <v>#DIV/0!</v>
      </c>
      <c r="AB119" s="19"/>
      <c r="AC119" s="26"/>
      <c r="AD119" s="25" t="e">
        <f t="shared" si="35"/>
        <v>#DIV/0!</v>
      </c>
      <c r="AE119" s="19"/>
      <c r="AF119" s="26"/>
      <c r="AG119" s="25" t="e">
        <f t="shared" si="36"/>
        <v>#DIV/0!</v>
      </c>
      <c r="AH119" s="19"/>
      <c r="AI119" s="26"/>
      <c r="AJ119" s="25" t="e">
        <f t="shared" si="32"/>
        <v>#DIV/0!</v>
      </c>
      <c r="AK119" s="19"/>
      <c r="AL119" s="26"/>
      <c r="AM119" s="25" t="e">
        <f t="shared" si="33"/>
        <v>#DIV/0!</v>
      </c>
      <c r="AN119" s="19"/>
      <c r="AO119" s="26">
        <f t="shared" si="66"/>
        <v>0</v>
      </c>
      <c r="AP119" s="25">
        <f t="shared" si="61"/>
        <v>0</v>
      </c>
    </row>
    <row r="120" spans="1:43" outlineLevel="1">
      <c r="A120" s="45" t="s">
        <v>26</v>
      </c>
      <c r="B120" s="22">
        <v>6666010227</v>
      </c>
      <c r="C120" s="22" t="s">
        <v>138</v>
      </c>
      <c r="D120" s="22" t="s">
        <v>133</v>
      </c>
      <c r="E120" s="23">
        <v>10.023270000000002</v>
      </c>
      <c r="F120" s="24">
        <f t="shared" si="28"/>
        <v>0.10268586532255587</v>
      </c>
      <c r="H120" s="23">
        <v>2.1995499999999999</v>
      </c>
      <c r="I120" s="25">
        <f t="shared" si="59"/>
        <v>2.0693077690180063E-2</v>
      </c>
      <c r="K120" s="23">
        <v>2.3939400000000002</v>
      </c>
      <c r="L120" s="25">
        <f t="shared" si="29"/>
        <v>2.2294926240500675E-2</v>
      </c>
      <c r="N120" s="26">
        <v>2.3254200000000003</v>
      </c>
      <c r="O120" s="25">
        <f t="shared" si="30"/>
        <v>2.1069312313128568E-2</v>
      </c>
      <c r="Q120" s="26">
        <v>2.4104800000000002</v>
      </c>
      <c r="R120" s="25">
        <f t="shared" si="31"/>
        <v>3.5694421821089575E-2</v>
      </c>
      <c r="T120" s="26"/>
      <c r="U120" s="25" t="e">
        <f t="shared" si="60"/>
        <v>#DIV/0!</v>
      </c>
      <c r="W120" s="26"/>
      <c r="X120" s="25" t="e">
        <f t="shared" si="37"/>
        <v>#DIV/0!</v>
      </c>
      <c r="Z120" s="26"/>
      <c r="AA120" s="25" t="e">
        <f t="shared" si="63"/>
        <v>#DIV/0!</v>
      </c>
      <c r="AC120" s="26"/>
      <c r="AD120" s="25" t="e">
        <f t="shared" si="35"/>
        <v>#DIV/0!</v>
      </c>
      <c r="AF120" s="26"/>
      <c r="AG120" s="25" t="e">
        <f t="shared" si="36"/>
        <v>#DIV/0!</v>
      </c>
      <c r="AI120" s="26"/>
      <c r="AJ120" s="25" t="e">
        <f t="shared" si="32"/>
        <v>#DIV/0!</v>
      </c>
      <c r="AL120" s="26"/>
      <c r="AM120" s="25" t="e">
        <f t="shared" si="33"/>
        <v>#DIV/0!</v>
      </c>
      <c r="AO120" s="26">
        <f t="shared" si="66"/>
        <v>19.352660000000004</v>
      </c>
      <c r="AP120" s="25">
        <f t="shared" si="61"/>
        <v>3.956126758547944E-2</v>
      </c>
    </row>
    <row r="121" spans="1:43" s="33" customFormat="1">
      <c r="A121" s="45"/>
      <c r="B121" s="27" t="s">
        <v>131</v>
      </c>
      <c r="C121" s="28" t="s">
        <v>133</v>
      </c>
      <c r="D121" s="29"/>
      <c r="E121" s="30">
        <f>SUM(E114:E120)</f>
        <v>170.39671000000001</v>
      </c>
      <c r="F121" s="31">
        <f t="shared" si="28"/>
        <v>1.7456711846000963</v>
      </c>
      <c r="G121" s="17"/>
      <c r="H121" s="32">
        <f>SUM(H114:H120)</f>
        <v>155.42296999999996</v>
      </c>
      <c r="I121" s="31">
        <f t="shared" si="59"/>
        <v>1.4621989011609307</v>
      </c>
      <c r="J121" s="17"/>
      <c r="K121" s="32">
        <f>SUM(K114:K120)</f>
        <v>158.56851</v>
      </c>
      <c r="L121" s="31">
        <f t="shared" si="29"/>
        <v>1.4767593316942333</v>
      </c>
      <c r="M121" s="18"/>
      <c r="N121" s="32">
        <f>SUM(N114:N120)</f>
        <v>79.746340000000032</v>
      </c>
      <c r="O121" s="31">
        <f t="shared" si="30"/>
        <v>0.72253637763885148</v>
      </c>
      <c r="P121" s="19"/>
      <c r="Q121" s="32">
        <f>SUM(Q114:Q120)</f>
        <v>175.60941999999997</v>
      </c>
      <c r="R121" s="31">
        <f t="shared" si="31"/>
        <v>2.6004267669662817</v>
      </c>
      <c r="S121" s="19"/>
      <c r="T121" s="32">
        <f>SUM(T114:T120)</f>
        <v>0</v>
      </c>
      <c r="U121" s="31" t="e">
        <f t="shared" si="60"/>
        <v>#DIV/0!</v>
      </c>
      <c r="V121" s="19"/>
      <c r="W121" s="32">
        <f>SUM(W114:W120)</f>
        <v>0</v>
      </c>
      <c r="X121" s="31" t="e">
        <f t="shared" si="37"/>
        <v>#DIV/0!</v>
      </c>
      <c r="Y121" s="19"/>
      <c r="Z121" s="32">
        <f>SUM(Z114:Z120)</f>
        <v>0</v>
      </c>
      <c r="AA121" s="31" t="e">
        <f t="shared" si="63"/>
        <v>#DIV/0!</v>
      </c>
      <c r="AB121" s="19"/>
      <c r="AC121" s="32">
        <f>SUM(AC114:AC120)</f>
        <v>0</v>
      </c>
      <c r="AD121" s="31" t="e">
        <f t="shared" si="35"/>
        <v>#DIV/0!</v>
      </c>
      <c r="AE121" s="19"/>
      <c r="AF121" s="32">
        <f>SUM(AF114:AF120)</f>
        <v>0</v>
      </c>
      <c r="AG121" s="31" t="e">
        <f t="shared" si="36"/>
        <v>#DIV/0!</v>
      </c>
      <c r="AH121" s="19"/>
      <c r="AI121" s="32">
        <f>SUM(AI114:AI120)</f>
        <v>0</v>
      </c>
      <c r="AJ121" s="31" t="e">
        <f t="shared" si="32"/>
        <v>#DIV/0!</v>
      </c>
      <c r="AK121" s="19"/>
      <c r="AL121" s="32">
        <f>SUM(AL114:AL120)</f>
        <v>0</v>
      </c>
      <c r="AM121" s="31" t="e">
        <f t="shared" si="33"/>
        <v>#DIV/0!</v>
      </c>
      <c r="AN121" s="19"/>
      <c r="AO121" s="32">
        <f>SUM(AO114:AO120)</f>
        <v>739.74395000000015</v>
      </c>
      <c r="AP121" s="31">
        <f t="shared" si="61"/>
        <v>1.512205988773095</v>
      </c>
      <c r="AQ121"/>
    </row>
    <row r="122" spans="1:43" outlineLevel="1">
      <c r="A122" s="45" t="s">
        <v>26</v>
      </c>
      <c r="B122" s="22">
        <v>6666020903</v>
      </c>
      <c r="C122" s="22" t="s">
        <v>139</v>
      </c>
      <c r="D122" s="22" t="s">
        <v>140</v>
      </c>
      <c r="E122" s="23">
        <v>0</v>
      </c>
      <c r="F122" s="24">
        <f t="shared" si="28"/>
        <v>0</v>
      </c>
      <c r="H122" s="23">
        <v>0</v>
      </c>
      <c r="I122" s="25">
        <f t="shared" si="59"/>
        <v>0</v>
      </c>
      <c r="K122" s="23">
        <v>0</v>
      </c>
      <c r="L122" s="25">
        <f t="shared" si="29"/>
        <v>0</v>
      </c>
      <c r="N122" s="26">
        <v>0</v>
      </c>
      <c r="O122" s="25">
        <f t="shared" si="30"/>
        <v>0</v>
      </c>
      <c r="Q122" s="26">
        <v>0</v>
      </c>
      <c r="R122" s="25">
        <f t="shared" si="31"/>
        <v>0</v>
      </c>
      <c r="T122" s="26"/>
      <c r="U122" s="25" t="e">
        <f t="shared" si="60"/>
        <v>#DIV/0!</v>
      </c>
      <c r="W122" s="26"/>
      <c r="X122" s="25" t="e">
        <f t="shared" si="37"/>
        <v>#DIV/0!</v>
      </c>
      <c r="Z122" s="26"/>
      <c r="AA122" s="25" t="e">
        <f t="shared" si="63"/>
        <v>#DIV/0!</v>
      </c>
      <c r="AC122" s="26"/>
      <c r="AD122" s="25" t="e">
        <f t="shared" si="35"/>
        <v>#DIV/0!</v>
      </c>
      <c r="AF122" s="26"/>
      <c r="AG122" s="25" t="e">
        <f t="shared" si="36"/>
        <v>#DIV/0!</v>
      </c>
      <c r="AI122" s="26"/>
      <c r="AJ122" s="25" t="e">
        <f t="shared" si="32"/>
        <v>#DIV/0!</v>
      </c>
      <c r="AL122" s="26"/>
      <c r="AM122" s="25" t="e">
        <f t="shared" si="33"/>
        <v>#DIV/0!</v>
      </c>
      <c r="AO122" s="26">
        <f t="shared" ref="AO122:AO129" si="67">H122+E122+K122+N122+Q122+T122+W122+Z122+AC122+AF122+AI122+AL122</f>
        <v>0</v>
      </c>
      <c r="AP122" s="25">
        <f t="shared" si="61"/>
        <v>0</v>
      </c>
    </row>
    <row r="123" spans="1:43" outlineLevel="1">
      <c r="A123" s="45" t="s">
        <v>26</v>
      </c>
      <c r="B123" s="22">
        <v>6666010302</v>
      </c>
      <c r="C123" s="22" t="s">
        <v>141</v>
      </c>
      <c r="D123" s="22" t="s">
        <v>140</v>
      </c>
      <c r="E123" s="23">
        <v>0</v>
      </c>
      <c r="F123" s="24">
        <f t="shared" si="28"/>
        <v>0</v>
      </c>
      <c r="H123" s="23">
        <v>0</v>
      </c>
      <c r="I123" s="25">
        <f t="shared" si="59"/>
        <v>0</v>
      </c>
      <c r="K123" s="23">
        <v>3.3765900000000002</v>
      </c>
      <c r="L123" s="25">
        <f t="shared" si="29"/>
        <v>3.1446412606168976E-2</v>
      </c>
      <c r="N123" s="26">
        <v>2.2426699999999999</v>
      </c>
      <c r="O123" s="25">
        <f t="shared" si="30"/>
        <v>2.0319561475038508E-2</v>
      </c>
      <c r="Q123" s="26">
        <v>-1.8500000000000001E-3</v>
      </c>
      <c r="R123" s="25">
        <f t="shared" si="31"/>
        <v>-2.7394826079874429E-5</v>
      </c>
      <c r="T123" s="26"/>
      <c r="U123" s="25" t="e">
        <f t="shared" si="60"/>
        <v>#DIV/0!</v>
      </c>
      <c r="W123" s="26"/>
      <c r="X123" s="25" t="e">
        <f t="shared" si="37"/>
        <v>#DIV/0!</v>
      </c>
      <c r="Z123" s="26"/>
      <c r="AA123" s="25" t="e">
        <f t="shared" si="63"/>
        <v>#DIV/0!</v>
      </c>
      <c r="AC123" s="26"/>
      <c r="AD123" s="25" t="e">
        <f t="shared" si="35"/>
        <v>#DIV/0!</v>
      </c>
      <c r="AF123" s="26"/>
      <c r="AG123" s="25" t="e">
        <f t="shared" si="36"/>
        <v>#DIV/0!</v>
      </c>
      <c r="AI123" s="26"/>
      <c r="AJ123" s="25" t="e">
        <f t="shared" si="32"/>
        <v>#DIV/0!</v>
      </c>
      <c r="AL123" s="26"/>
      <c r="AM123" s="25" t="e">
        <f t="shared" si="33"/>
        <v>#DIV/0!</v>
      </c>
      <c r="AO123" s="26">
        <f t="shared" si="67"/>
        <v>5.6174100000000005</v>
      </c>
      <c r="AP123" s="25">
        <f t="shared" si="61"/>
        <v>1.148327207460618E-2</v>
      </c>
    </row>
    <row r="124" spans="1:43" outlineLevel="1">
      <c r="A124" s="45" t="s">
        <v>26</v>
      </c>
      <c r="B124" s="22">
        <v>6666010314</v>
      </c>
      <c r="C124" s="22" t="s">
        <v>142</v>
      </c>
      <c r="D124" s="22" t="s">
        <v>140</v>
      </c>
      <c r="E124" s="23">
        <v>16.26125</v>
      </c>
      <c r="F124" s="24">
        <f t="shared" si="28"/>
        <v>0.16659239225087338</v>
      </c>
      <c r="H124" s="23">
        <v>44.697960000000009</v>
      </c>
      <c r="I124" s="25">
        <f t="shared" si="59"/>
        <v>0.42051254068903238</v>
      </c>
      <c r="K124" s="23">
        <v>0.16642999999999999</v>
      </c>
      <c r="L124" s="25">
        <f t="shared" si="29"/>
        <v>1.549973923409328E-3</v>
      </c>
      <c r="N124" s="26">
        <v>0.35211999999999999</v>
      </c>
      <c r="O124" s="25">
        <f t="shared" si="30"/>
        <v>3.1903596991936212E-3</v>
      </c>
      <c r="Q124" s="26">
        <v>4.8312200000000001</v>
      </c>
      <c r="R124" s="25">
        <f t="shared" si="31"/>
        <v>7.1540773866816718E-2</v>
      </c>
      <c r="T124" s="26"/>
      <c r="U124" s="25" t="e">
        <f t="shared" si="60"/>
        <v>#DIV/0!</v>
      </c>
      <c r="W124" s="26"/>
      <c r="X124" s="25" t="e">
        <f t="shared" si="37"/>
        <v>#DIV/0!</v>
      </c>
      <c r="Z124" s="26"/>
      <c r="AA124" s="25" t="e">
        <f t="shared" si="63"/>
        <v>#DIV/0!</v>
      </c>
      <c r="AC124" s="26"/>
      <c r="AD124" s="25" t="e">
        <f t="shared" si="35"/>
        <v>#DIV/0!</v>
      </c>
      <c r="AF124" s="26"/>
      <c r="AG124" s="25" t="e">
        <f t="shared" si="36"/>
        <v>#DIV/0!</v>
      </c>
      <c r="AI124" s="26"/>
      <c r="AJ124" s="25" t="e">
        <f t="shared" si="32"/>
        <v>#DIV/0!</v>
      </c>
      <c r="AL124" s="26"/>
      <c r="AM124" s="25" t="e">
        <f t="shared" si="33"/>
        <v>#DIV/0!</v>
      </c>
      <c r="AO124" s="26">
        <f t="shared" si="67"/>
        <v>66.308980000000005</v>
      </c>
      <c r="AP124" s="25">
        <f t="shared" si="61"/>
        <v>0.13555073571799453</v>
      </c>
    </row>
    <row r="125" spans="1:43" outlineLevel="1">
      <c r="A125" s="45" t="s">
        <v>26</v>
      </c>
      <c r="B125" s="22">
        <v>6666020401</v>
      </c>
      <c r="C125" s="22" t="s">
        <v>143</v>
      </c>
      <c r="D125" s="22" t="s">
        <v>140</v>
      </c>
      <c r="E125" s="23">
        <v>41.088970000000003</v>
      </c>
      <c r="F125" s="24">
        <f t="shared" si="28"/>
        <v>0.42094610238600161</v>
      </c>
      <c r="H125" s="23">
        <v>50.954550000000005</v>
      </c>
      <c r="I125" s="25">
        <f t="shared" si="59"/>
        <v>0.47937371817788405</v>
      </c>
      <c r="K125" s="23">
        <v>44.441470000000002</v>
      </c>
      <c r="L125" s="25">
        <f t="shared" si="29"/>
        <v>0.41388643644762335</v>
      </c>
      <c r="N125" s="26">
        <v>55.363779999999998</v>
      </c>
      <c r="O125" s="25">
        <f t="shared" si="30"/>
        <v>0.5016198242275981</v>
      </c>
      <c r="Q125" s="26">
        <v>42.878910000000005</v>
      </c>
      <c r="R125" s="25">
        <f t="shared" si="31"/>
        <v>0.63495150375383169</v>
      </c>
      <c r="T125" s="26"/>
      <c r="U125" s="25" t="e">
        <f t="shared" si="60"/>
        <v>#DIV/0!</v>
      </c>
      <c r="W125" s="26"/>
      <c r="X125" s="25" t="e">
        <f t="shared" si="37"/>
        <v>#DIV/0!</v>
      </c>
      <c r="Z125" s="26"/>
      <c r="AA125" s="25" t="e">
        <f t="shared" si="63"/>
        <v>#DIV/0!</v>
      </c>
      <c r="AC125" s="26"/>
      <c r="AD125" s="25" t="e">
        <f t="shared" si="35"/>
        <v>#DIV/0!</v>
      </c>
      <c r="AF125" s="26"/>
      <c r="AG125" s="25" t="e">
        <f t="shared" si="36"/>
        <v>#DIV/0!</v>
      </c>
      <c r="AI125" s="26"/>
      <c r="AJ125" s="25" t="e">
        <f t="shared" si="32"/>
        <v>#DIV/0!</v>
      </c>
      <c r="AL125" s="26"/>
      <c r="AM125" s="25" t="e">
        <f t="shared" si="33"/>
        <v>#DIV/0!</v>
      </c>
      <c r="AO125" s="26">
        <f t="shared" si="67"/>
        <v>234.72768000000002</v>
      </c>
      <c r="AP125" s="25">
        <f t="shared" si="61"/>
        <v>0.47983711583827698</v>
      </c>
    </row>
    <row r="126" spans="1:43" outlineLevel="1">
      <c r="A126" s="45" t="s">
        <v>26</v>
      </c>
      <c r="B126" s="22">
        <v>6666020402</v>
      </c>
      <c r="C126" s="22" t="s">
        <v>144</v>
      </c>
      <c r="D126" s="22" t="s">
        <v>140</v>
      </c>
      <c r="E126" s="23">
        <v>0</v>
      </c>
      <c r="F126" s="24">
        <f t="shared" si="28"/>
        <v>0</v>
      </c>
      <c r="H126" s="23">
        <v>0</v>
      </c>
      <c r="I126" s="25">
        <f t="shared" si="59"/>
        <v>0</v>
      </c>
      <c r="K126" s="23">
        <v>0</v>
      </c>
      <c r="L126" s="25">
        <f t="shared" si="29"/>
        <v>0</v>
      </c>
      <c r="N126" s="26">
        <v>0</v>
      </c>
      <c r="O126" s="25">
        <f t="shared" si="30"/>
        <v>0</v>
      </c>
      <c r="Q126" s="26">
        <v>0</v>
      </c>
      <c r="R126" s="25">
        <f t="shared" si="31"/>
        <v>0</v>
      </c>
      <c r="T126" s="26"/>
      <c r="U126" s="25" t="e">
        <f t="shared" si="60"/>
        <v>#DIV/0!</v>
      </c>
      <c r="W126" s="26"/>
      <c r="X126" s="25" t="e">
        <f t="shared" si="37"/>
        <v>#DIV/0!</v>
      </c>
      <c r="Z126" s="26"/>
      <c r="AA126" s="25" t="e">
        <f t="shared" si="63"/>
        <v>#DIV/0!</v>
      </c>
      <c r="AC126" s="26"/>
      <c r="AD126" s="25" t="e">
        <f t="shared" si="35"/>
        <v>#DIV/0!</v>
      </c>
      <c r="AF126" s="26"/>
      <c r="AG126" s="25" t="e">
        <f t="shared" si="36"/>
        <v>#DIV/0!</v>
      </c>
      <c r="AI126" s="26"/>
      <c r="AJ126" s="25" t="e">
        <f t="shared" si="32"/>
        <v>#DIV/0!</v>
      </c>
      <c r="AL126" s="26"/>
      <c r="AM126" s="25" t="e">
        <f t="shared" si="33"/>
        <v>#DIV/0!</v>
      </c>
      <c r="AO126" s="26">
        <f t="shared" si="67"/>
        <v>0</v>
      </c>
      <c r="AP126" s="25">
        <f t="shared" si="61"/>
        <v>0</v>
      </c>
    </row>
    <row r="127" spans="1:43" outlineLevel="1">
      <c r="A127" s="45" t="s">
        <v>26</v>
      </c>
      <c r="B127" s="22">
        <v>6666020502</v>
      </c>
      <c r="C127" s="22" t="s">
        <v>145</v>
      </c>
      <c r="D127" s="22" t="s">
        <v>140</v>
      </c>
      <c r="E127" s="23">
        <v>37.205309999999997</v>
      </c>
      <c r="F127" s="24">
        <f t="shared" si="28"/>
        <v>0.38115898822878569</v>
      </c>
      <c r="H127" s="23">
        <v>53.459860000000006</v>
      </c>
      <c r="I127" s="25">
        <f t="shared" si="59"/>
        <v>0.50294334581443922</v>
      </c>
      <c r="K127" s="23">
        <v>35.950030000000005</v>
      </c>
      <c r="L127" s="25">
        <f t="shared" si="29"/>
        <v>0.3348050774847266</v>
      </c>
      <c r="N127" s="26">
        <v>60.909649999999992</v>
      </c>
      <c r="O127" s="25">
        <f t="shared" si="30"/>
        <v>0.55186780828123572</v>
      </c>
      <c r="Q127" s="26">
        <v>43.60707</v>
      </c>
      <c r="R127" s="25">
        <f t="shared" si="31"/>
        <v>0.64573410729887015</v>
      </c>
      <c r="T127" s="26"/>
      <c r="U127" s="25" t="e">
        <f t="shared" si="60"/>
        <v>#DIV/0!</v>
      </c>
      <c r="W127" s="26"/>
      <c r="X127" s="25" t="e">
        <f t="shared" si="37"/>
        <v>#DIV/0!</v>
      </c>
      <c r="Z127" s="26"/>
      <c r="AA127" s="25" t="e">
        <f t="shared" si="63"/>
        <v>#DIV/0!</v>
      </c>
      <c r="AC127" s="26"/>
      <c r="AD127" s="25" t="e">
        <f t="shared" si="35"/>
        <v>#DIV/0!</v>
      </c>
      <c r="AF127" s="26"/>
      <c r="AG127" s="25" t="e">
        <f t="shared" si="36"/>
        <v>#DIV/0!</v>
      </c>
      <c r="AI127" s="26"/>
      <c r="AJ127" s="25" t="e">
        <f t="shared" si="32"/>
        <v>#DIV/0!</v>
      </c>
      <c r="AL127" s="26"/>
      <c r="AM127" s="25" t="e">
        <f t="shared" si="33"/>
        <v>#DIV/0!</v>
      </c>
      <c r="AO127" s="26">
        <f t="shared" si="67"/>
        <v>231.13192000000001</v>
      </c>
      <c r="AP127" s="25">
        <f t="shared" si="61"/>
        <v>0.47248655919473737</v>
      </c>
    </row>
    <row r="128" spans="1:43" outlineLevel="1">
      <c r="A128" s="45" t="s">
        <v>26</v>
      </c>
      <c r="B128" s="22">
        <v>6666020503</v>
      </c>
      <c r="C128" s="22" t="s">
        <v>146</v>
      </c>
      <c r="D128" s="22" t="s">
        <v>140</v>
      </c>
      <c r="E128" s="23">
        <v>0</v>
      </c>
      <c r="F128" s="24">
        <f t="shared" si="28"/>
        <v>0</v>
      </c>
      <c r="H128" s="23">
        <v>1.0999300000000001</v>
      </c>
      <c r="I128" s="25">
        <f t="shared" si="59"/>
        <v>1.0347997064744954E-2</v>
      </c>
      <c r="K128" s="23">
        <v>0.52937999999999996</v>
      </c>
      <c r="L128" s="25">
        <f t="shared" si="29"/>
        <v>4.9301519892713452E-3</v>
      </c>
      <c r="N128" s="26">
        <v>1.61493</v>
      </c>
      <c r="O128" s="25">
        <f t="shared" si="30"/>
        <v>1.463196520793694E-2</v>
      </c>
      <c r="Q128" s="26">
        <v>8.8669999999999999E-2</v>
      </c>
      <c r="R128" s="25">
        <f t="shared" si="31"/>
        <v>1.3130266100013328E-3</v>
      </c>
      <c r="T128" s="26"/>
      <c r="U128" s="25" t="e">
        <f t="shared" si="60"/>
        <v>#DIV/0!</v>
      </c>
      <c r="W128" s="26"/>
      <c r="X128" s="25" t="e">
        <f t="shared" si="37"/>
        <v>#DIV/0!</v>
      </c>
      <c r="Z128" s="26"/>
      <c r="AA128" s="25" t="e">
        <f t="shared" si="63"/>
        <v>#DIV/0!</v>
      </c>
      <c r="AC128" s="26"/>
      <c r="AD128" s="25" t="e">
        <f t="shared" si="35"/>
        <v>#DIV/0!</v>
      </c>
      <c r="AF128" s="26"/>
      <c r="AG128" s="25" t="e">
        <f t="shared" si="36"/>
        <v>#DIV/0!</v>
      </c>
      <c r="AI128" s="26"/>
      <c r="AJ128" s="25" t="e">
        <f t="shared" si="32"/>
        <v>#DIV/0!</v>
      </c>
      <c r="AL128" s="26"/>
      <c r="AM128" s="25" t="e">
        <f t="shared" si="33"/>
        <v>#DIV/0!</v>
      </c>
      <c r="AO128" s="26">
        <f t="shared" si="67"/>
        <v>3.33291</v>
      </c>
      <c r="AP128" s="25">
        <f t="shared" si="61"/>
        <v>6.8132310673736981E-3</v>
      </c>
    </row>
    <row r="129" spans="1:43" outlineLevel="1">
      <c r="A129" s="45" t="s">
        <v>26</v>
      </c>
      <c r="B129" s="22">
        <v>6666021500</v>
      </c>
      <c r="C129" s="22" t="s">
        <v>147</v>
      </c>
      <c r="D129" s="22" t="s">
        <v>140</v>
      </c>
      <c r="E129" s="23">
        <v>0</v>
      </c>
      <c r="F129" s="24">
        <f t="shared" si="28"/>
        <v>0</v>
      </c>
      <c r="H129" s="23">
        <v>0</v>
      </c>
      <c r="I129" s="25">
        <f t="shared" si="59"/>
        <v>0</v>
      </c>
      <c r="K129" s="23">
        <v>0</v>
      </c>
      <c r="L129" s="25">
        <f t="shared" si="29"/>
        <v>0</v>
      </c>
      <c r="N129" s="26">
        <v>0</v>
      </c>
      <c r="O129" s="25">
        <f t="shared" si="30"/>
        <v>0</v>
      </c>
      <c r="Q129" s="26">
        <v>0</v>
      </c>
      <c r="R129" s="25">
        <f t="shared" si="31"/>
        <v>0</v>
      </c>
      <c r="T129" s="26"/>
      <c r="U129" s="25" t="e">
        <f t="shared" si="60"/>
        <v>#DIV/0!</v>
      </c>
      <c r="W129" s="26"/>
      <c r="X129" s="25" t="e">
        <f t="shared" si="37"/>
        <v>#DIV/0!</v>
      </c>
      <c r="Z129" s="26"/>
      <c r="AA129" s="25" t="e">
        <f t="shared" si="63"/>
        <v>#DIV/0!</v>
      </c>
      <c r="AC129" s="26"/>
      <c r="AD129" s="25" t="e">
        <f t="shared" si="35"/>
        <v>#DIV/0!</v>
      </c>
      <c r="AF129" s="26"/>
      <c r="AG129" s="25" t="e">
        <f t="shared" si="36"/>
        <v>#DIV/0!</v>
      </c>
      <c r="AI129" s="26"/>
      <c r="AJ129" s="25" t="e">
        <f t="shared" si="32"/>
        <v>#DIV/0!</v>
      </c>
      <c r="AL129" s="26"/>
      <c r="AM129" s="25" t="e">
        <f t="shared" si="33"/>
        <v>#DIV/0!</v>
      </c>
      <c r="AO129" s="26">
        <f t="shared" si="67"/>
        <v>0</v>
      </c>
      <c r="AP129" s="25">
        <f t="shared" si="61"/>
        <v>0</v>
      </c>
    </row>
    <row r="130" spans="1:43" outlineLevel="1">
      <c r="A130" s="45" t="s">
        <v>26</v>
      </c>
      <c r="B130" s="22">
        <v>6666021502</v>
      </c>
      <c r="C130" s="22" t="s">
        <v>148</v>
      </c>
      <c r="D130" s="22" t="s">
        <v>140</v>
      </c>
      <c r="E130" s="23">
        <v>19.380230000000001</v>
      </c>
      <c r="F130" s="24">
        <f t="shared" si="28"/>
        <v>0.19854555326756207</v>
      </c>
      <c r="H130" s="23">
        <v>15.695399999999998</v>
      </c>
      <c r="I130" s="25">
        <f t="shared" si="59"/>
        <v>0.14766026304400998</v>
      </c>
      <c r="K130" s="23">
        <v>10.478829999999999</v>
      </c>
      <c r="L130" s="25">
        <f t="shared" si="29"/>
        <v>9.7590057368499475E-2</v>
      </c>
      <c r="N130" s="26">
        <v>44.817509999999992</v>
      </c>
      <c r="O130" s="25">
        <f t="shared" si="30"/>
        <v>0.40606605055721656</v>
      </c>
      <c r="Q130" s="26">
        <v>26.102229999999999</v>
      </c>
      <c r="R130" s="25">
        <f t="shared" si="31"/>
        <v>0.38652218980912467</v>
      </c>
      <c r="T130" s="26"/>
      <c r="U130" s="25" t="e">
        <f t="shared" si="60"/>
        <v>#DIV/0!</v>
      </c>
      <c r="W130" s="26"/>
      <c r="X130" s="25" t="e">
        <f t="shared" si="37"/>
        <v>#DIV/0!</v>
      </c>
      <c r="Z130" s="26"/>
      <c r="AA130" s="25" t="e">
        <f t="shared" si="63"/>
        <v>#DIV/0!</v>
      </c>
      <c r="AC130" s="26"/>
      <c r="AD130" s="25" t="e">
        <f t="shared" si="35"/>
        <v>#DIV/0!</v>
      </c>
      <c r="AF130" s="26"/>
      <c r="AG130" s="25" t="e">
        <f t="shared" si="36"/>
        <v>#DIV/0!</v>
      </c>
      <c r="AI130" s="26"/>
      <c r="AJ130" s="25" t="e">
        <f t="shared" si="32"/>
        <v>#DIV/0!</v>
      </c>
      <c r="AL130" s="26"/>
      <c r="AM130" s="25" t="e">
        <f t="shared" si="33"/>
        <v>#DIV/0!</v>
      </c>
      <c r="AO130" s="26">
        <f t="shared" ref="AO130:AO131" si="68">H130+E130+K130+N130+Q130+T130+W130+Z130+AC130+AF130+AI130+AL130</f>
        <v>116.47419999999997</v>
      </c>
      <c r="AP130" s="25">
        <f t="shared" si="61"/>
        <v>0.23809993008737029</v>
      </c>
    </row>
    <row r="131" spans="1:43" outlineLevel="1">
      <c r="A131" s="45" t="s">
        <v>26</v>
      </c>
      <c r="B131" s="22">
        <v>6666021503</v>
      </c>
      <c r="C131" s="22" t="s">
        <v>149</v>
      </c>
      <c r="D131" s="22" t="s">
        <v>140</v>
      </c>
      <c r="E131" s="23">
        <v>22.532219999999999</v>
      </c>
      <c r="F131" s="24">
        <f t="shared" si="28"/>
        <v>0.23083689338291791</v>
      </c>
      <c r="H131" s="23">
        <v>-7.3418299999999999</v>
      </c>
      <c r="I131" s="25">
        <f t="shared" si="59"/>
        <v>-6.9070972961785243E-2</v>
      </c>
      <c r="K131" s="23">
        <v>4.3960999999999997</v>
      </c>
      <c r="L131" s="25">
        <f t="shared" si="29"/>
        <v>4.0941178661898371E-2</v>
      </c>
      <c r="N131" s="26">
        <v>6.8612999999999991</v>
      </c>
      <c r="O131" s="25">
        <f t="shared" si="30"/>
        <v>6.216634955150855E-2</v>
      </c>
      <c r="Q131" s="26">
        <v>5.8605</v>
      </c>
      <c r="R131" s="25">
        <f t="shared" si="31"/>
        <v>8.6782366616813017E-2</v>
      </c>
      <c r="T131" s="26"/>
      <c r="U131" s="25" t="e">
        <f t="shared" si="60"/>
        <v>#DIV/0!</v>
      </c>
      <c r="W131" s="26"/>
      <c r="X131" s="25" t="e">
        <f t="shared" si="37"/>
        <v>#DIV/0!</v>
      </c>
      <c r="Z131" s="26"/>
      <c r="AA131" s="25" t="e">
        <f t="shared" si="63"/>
        <v>#DIV/0!</v>
      </c>
      <c r="AC131" s="26"/>
      <c r="AD131" s="25" t="e">
        <f t="shared" si="35"/>
        <v>#DIV/0!</v>
      </c>
      <c r="AF131" s="26"/>
      <c r="AG131" s="25" t="e">
        <f t="shared" si="36"/>
        <v>#DIV/0!</v>
      </c>
      <c r="AI131" s="26"/>
      <c r="AJ131" s="25" t="e">
        <f t="shared" si="32"/>
        <v>#DIV/0!</v>
      </c>
      <c r="AL131" s="26"/>
      <c r="AM131" s="25" t="e">
        <f t="shared" si="33"/>
        <v>#DIV/0!</v>
      </c>
      <c r="AO131" s="26">
        <f t="shared" si="68"/>
        <v>32.30829</v>
      </c>
      <c r="AP131" s="25">
        <f t="shared" si="61"/>
        <v>6.6045541332264882E-2</v>
      </c>
    </row>
    <row r="132" spans="1:43" outlineLevel="1">
      <c r="A132" s="45" t="s">
        <v>26</v>
      </c>
      <c r="B132" s="22">
        <v>6666021505</v>
      </c>
      <c r="C132" s="22" t="s">
        <v>150</v>
      </c>
      <c r="D132" s="22" t="s">
        <v>140</v>
      </c>
      <c r="E132" s="23">
        <v>0</v>
      </c>
      <c r="F132" s="24">
        <f t="shared" si="28"/>
        <v>0</v>
      </c>
      <c r="H132" s="23">
        <v>0</v>
      </c>
      <c r="I132" s="25">
        <f t="shared" si="59"/>
        <v>0</v>
      </c>
      <c r="K132" s="23">
        <v>0</v>
      </c>
      <c r="L132" s="25">
        <f t="shared" si="29"/>
        <v>0</v>
      </c>
      <c r="N132" s="26">
        <v>0</v>
      </c>
      <c r="O132" s="25">
        <f t="shared" si="30"/>
        <v>0</v>
      </c>
      <c r="Q132" s="26">
        <v>0</v>
      </c>
      <c r="R132" s="25">
        <f t="shared" si="31"/>
        <v>0</v>
      </c>
      <c r="T132" s="26"/>
      <c r="U132" s="25" t="e">
        <f t="shared" si="60"/>
        <v>#DIV/0!</v>
      </c>
      <c r="W132" s="26"/>
      <c r="X132" s="25" t="e">
        <f t="shared" si="37"/>
        <v>#DIV/0!</v>
      </c>
      <c r="Z132" s="26"/>
      <c r="AA132" s="25" t="e">
        <f t="shared" si="63"/>
        <v>#DIV/0!</v>
      </c>
      <c r="AC132" s="26"/>
      <c r="AD132" s="25" t="e">
        <f t="shared" si="35"/>
        <v>#DIV/0!</v>
      </c>
      <c r="AF132" s="26"/>
      <c r="AG132" s="25" t="e">
        <f t="shared" si="36"/>
        <v>#DIV/0!</v>
      </c>
      <c r="AI132" s="26"/>
      <c r="AJ132" s="25" t="e">
        <f t="shared" si="32"/>
        <v>#DIV/0!</v>
      </c>
      <c r="AL132" s="26"/>
      <c r="AM132" s="25" t="e">
        <f t="shared" si="33"/>
        <v>#DIV/0!</v>
      </c>
      <c r="AO132" s="26">
        <f>H132+E132+K132+N132+Q132+T132+W132+Z132+AC132+AF132+AI132+AL132</f>
        <v>0</v>
      </c>
      <c r="AP132" s="25">
        <f t="shared" si="61"/>
        <v>0</v>
      </c>
    </row>
    <row r="133" spans="1:43" outlineLevel="1">
      <c r="A133" s="45" t="s">
        <v>26</v>
      </c>
      <c r="B133" s="22">
        <v>6666021506</v>
      </c>
      <c r="C133" s="22" t="s">
        <v>151</v>
      </c>
      <c r="D133" s="22" t="s">
        <v>140</v>
      </c>
      <c r="E133" s="23">
        <v>19.88897</v>
      </c>
      <c r="F133" s="24">
        <f t="shared" si="28"/>
        <v>0.20375746585938059</v>
      </c>
      <c r="H133" s="23">
        <v>31.180079999999993</v>
      </c>
      <c r="I133" s="25">
        <f t="shared" si="59"/>
        <v>0.29333809998682892</v>
      </c>
      <c r="K133" s="23">
        <v>20.710900000000002</v>
      </c>
      <c r="L133" s="25">
        <f t="shared" si="29"/>
        <v>0.19288202205334529</v>
      </c>
      <c r="N133" s="26">
        <v>30.461830000000003</v>
      </c>
      <c r="O133" s="25">
        <f t="shared" si="30"/>
        <v>0.27599737247440431</v>
      </c>
      <c r="Q133" s="26">
        <v>37.755459999999999</v>
      </c>
      <c r="R133" s="25">
        <f t="shared" si="31"/>
        <v>0.55908338392738144</v>
      </c>
      <c r="T133" s="26"/>
      <c r="U133" s="25" t="e">
        <f t="shared" si="60"/>
        <v>#DIV/0!</v>
      </c>
      <c r="W133" s="26"/>
      <c r="X133" s="25" t="e">
        <f t="shared" si="37"/>
        <v>#DIV/0!</v>
      </c>
      <c r="Z133" s="26"/>
      <c r="AA133" s="25" t="e">
        <f t="shared" si="63"/>
        <v>#DIV/0!</v>
      </c>
      <c r="AC133" s="26"/>
      <c r="AD133" s="25" t="e">
        <f t="shared" si="35"/>
        <v>#DIV/0!</v>
      </c>
      <c r="AF133" s="26"/>
      <c r="AG133" s="25" t="e">
        <f t="shared" si="36"/>
        <v>#DIV/0!</v>
      </c>
      <c r="AI133" s="26"/>
      <c r="AJ133" s="25" t="e">
        <f t="shared" si="32"/>
        <v>#DIV/0!</v>
      </c>
      <c r="AL133" s="26"/>
      <c r="AM133" s="25" t="e">
        <f t="shared" si="33"/>
        <v>#DIV/0!</v>
      </c>
      <c r="AO133" s="26">
        <f>H133+E133+K133+N133+Q133+T133+W133+Z133+AC133+AF133+AI133+AL133</f>
        <v>139.99723999999998</v>
      </c>
      <c r="AP133" s="25">
        <f t="shared" si="61"/>
        <v>0.28618640914833327</v>
      </c>
    </row>
    <row r="134" spans="1:43" outlineLevel="2">
      <c r="A134" s="45" t="s">
        <v>26</v>
      </c>
      <c r="B134" s="22">
        <v>6666030300</v>
      </c>
      <c r="C134" s="22" t="s">
        <v>152</v>
      </c>
      <c r="D134" s="22" t="s">
        <v>54</v>
      </c>
      <c r="E134" s="23">
        <v>0</v>
      </c>
      <c r="F134" s="24">
        <f t="shared" si="28"/>
        <v>0</v>
      </c>
      <c r="H134" s="23">
        <v>0</v>
      </c>
      <c r="I134" s="25">
        <f t="shared" si="59"/>
        <v>0</v>
      </c>
      <c r="K134" s="23">
        <v>0</v>
      </c>
      <c r="L134" s="25">
        <f t="shared" si="29"/>
        <v>0</v>
      </c>
      <c r="N134" s="26">
        <v>0</v>
      </c>
      <c r="O134" s="25">
        <f t="shared" si="30"/>
        <v>0</v>
      </c>
      <c r="Q134" s="26">
        <v>0</v>
      </c>
      <c r="R134" s="25">
        <f t="shared" si="31"/>
        <v>0</v>
      </c>
      <c r="T134" s="26"/>
      <c r="U134" s="25" t="e">
        <f t="shared" si="60"/>
        <v>#DIV/0!</v>
      </c>
      <c r="W134" s="26"/>
      <c r="X134" s="25" t="e">
        <f t="shared" si="37"/>
        <v>#DIV/0!</v>
      </c>
      <c r="Z134" s="26"/>
      <c r="AA134" s="25" t="e">
        <f t="shared" si="63"/>
        <v>#DIV/0!</v>
      </c>
      <c r="AC134" s="26"/>
      <c r="AD134" s="25" t="e">
        <f t="shared" si="35"/>
        <v>#DIV/0!</v>
      </c>
      <c r="AF134" s="26"/>
      <c r="AG134" s="25" t="e">
        <f t="shared" si="36"/>
        <v>#DIV/0!</v>
      </c>
      <c r="AI134" s="26"/>
      <c r="AJ134" s="25" t="e">
        <f t="shared" si="32"/>
        <v>#DIV/0!</v>
      </c>
      <c r="AL134" s="26"/>
      <c r="AM134" s="25" t="e">
        <f t="shared" si="33"/>
        <v>#DIV/0!</v>
      </c>
      <c r="AO134" s="26">
        <f>H134+E134+K134+N134+Q134+T134+W134+Z134+AC134+AF134+AI134+AL134</f>
        <v>0</v>
      </c>
      <c r="AP134" s="25">
        <f t="shared" si="61"/>
        <v>0</v>
      </c>
    </row>
    <row r="135" spans="1:43" outlineLevel="1">
      <c r="A135" s="45" t="s">
        <v>26</v>
      </c>
      <c r="B135" s="22">
        <v>6666091600</v>
      </c>
      <c r="C135" s="22" t="s">
        <v>153</v>
      </c>
      <c r="D135" s="22" t="s">
        <v>140</v>
      </c>
      <c r="E135" s="23">
        <v>4.8937700000000008</v>
      </c>
      <c r="F135" s="24">
        <f t="shared" ref="F135" si="69">E135/$E$1*1000</f>
        <v>5.0135435555418967E-2</v>
      </c>
      <c r="H135" s="23">
        <v>0.79354000000000002</v>
      </c>
      <c r="I135" s="25">
        <f t="shared" ref="I135" si="70">H135/$H$1*1000</f>
        <v>7.4655201610627133E-3</v>
      </c>
      <c r="K135" s="23">
        <v>-2.0543199999999997</v>
      </c>
      <c r="L135" s="25">
        <f t="shared" si="29"/>
        <v>-1.913202205334525E-2</v>
      </c>
      <c r="N135" s="26">
        <v>1.10303</v>
      </c>
      <c r="O135" s="25">
        <f t="shared" si="30"/>
        <v>9.9939295098305687E-3</v>
      </c>
      <c r="Q135" s="26">
        <v>1.3421099999999999</v>
      </c>
      <c r="R135" s="25">
        <f t="shared" si="31"/>
        <v>1.9873983800032576E-2</v>
      </c>
      <c r="T135" s="26"/>
      <c r="U135" s="25" t="e">
        <f t="shared" ref="U135" si="71">T135/$T$1*1000</f>
        <v>#DIV/0!</v>
      </c>
      <c r="W135" s="26"/>
      <c r="X135" s="25" t="e">
        <f t="shared" ref="X135" si="72">W135/$W$1*1000</f>
        <v>#DIV/0!</v>
      </c>
      <c r="Z135" s="26"/>
      <c r="AA135" s="25" t="e">
        <f t="shared" ref="AA135" si="73">Z135/$Z$1*1000</f>
        <v>#DIV/0!</v>
      </c>
      <c r="AC135" s="26"/>
      <c r="AD135" s="25" t="e">
        <f t="shared" ref="AD135" si="74">AC135/$AC$1*1000</f>
        <v>#DIV/0!</v>
      </c>
      <c r="AF135" s="26"/>
      <c r="AG135" s="25" t="e">
        <f t="shared" ref="AG135" si="75">AF135/$AF$1*1000</f>
        <v>#DIV/0!</v>
      </c>
      <c r="AI135" s="26"/>
      <c r="AJ135" s="25" t="e">
        <f t="shared" ref="AJ135" si="76">AI135/$AI$1*1000</f>
        <v>#DIV/0!</v>
      </c>
      <c r="AL135" s="26"/>
      <c r="AM135" s="25" t="e">
        <f t="shared" ref="AM135" si="77">AL135/$AI$1*1000</f>
        <v>#DIV/0!</v>
      </c>
      <c r="AO135" s="26">
        <f>H135+E135+K135+N135+Q135+T135+W135+Z135+AC135+AF135+AI135+AL135</f>
        <v>6.0781300000000016</v>
      </c>
      <c r="AP135" s="25">
        <f t="shared" ref="AP135" si="78">AO135/$AO$1*1000</f>
        <v>1.2425089230593116E-2</v>
      </c>
    </row>
    <row r="136" spans="1:43" outlineLevel="1">
      <c r="A136" s="45" t="s">
        <v>26</v>
      </c>
      <c r="B136" s="22" t="s">
        <v>207</v>
      </c>
      <c r="C136" s="22" t="s">
        <v>208</v>
      </c>
      <c r="D136" s="22" t="s">
        <v>140</v>
      </c>
      <c r="E136" s="23"/>
      <c r="F136" s="24">
        <f t="shared" si="28"/>
        <v>0</v>
      </c>
      <c r="H136" s="23">
        <v>112.31264</v>
      </c>
      <c r="I136" s="25">
        <f t="shared" si="59"/>
        <v>1.0566225751218321</v>
      </c>
      <c r="K136" s="23">
        <v>4.6021500000000009</v>
      </c>
      <c r="L136" s="25">
        <f t="shared" si="29"/>
        <v>4.2860136343316951E-2</v>
      </c>
      <c r="N136" s="26">
        <v>0.97519</v>
      </c>
      <c r="O136" s="25">
        <f t="shared" si="30"/>
        <v>8.8356437437709517E-3</v>
      </c>
      <c r="Q136" s="26">
        <v>4.9838399999999998</v>
      </c>
      <c r="R136" s="25">
        <f t="shared" ref="R136:R138" si="79">Q136/$Q$1*1000</f>
        <v>7.3800772978335871E-2</v>
      </c>
      <c r="T136" s="26"/>
      <c r="U136" s="25" t="e">
        <f t="shared" si="60"/>
        <v>#DIV/0!</v>
      </c>
      <c r="W136" s="26"/>
      <c r="X136" s="25" t="e">
        <f t="shared" si="37"/>
        <v>#DIV/0!</v>
      </c>
      <c r="Z136" s="26"/>
      <c r="AA136" s="25" t="e">
        <f t="shared" si="63"/>
        <v>#DIV/0!</v>
      </c>
      <c r="AC136" s="26"/>
      <c r="AD136" s="25" t="e">
        <f t="shared" si="35"/>
        <v>#DIV/0!</v>
      </c>
      <c r="AF136" s="26"/>
      <c r="AG136" s="25" t="e">
        <f t="shared" si="36"/>
        <v>#DIV/0!</v>
      </c>
      <c r="AI136" s="26"/>
      <c r="AJ136" s="25" t="e">
        <f t="shared" si="32"/>
        <v>#DIV/0!</v>
      </c>
      <c r="AL136" s="26"/>
      <c r="AM136" s="25" t="e">
        <f t="shared" si="33"/>
        <v>#DIV/0!</v>
      </c>
      <c r="AO136" s="26">
        <f>H136+E136+K136+N136+Q136+T136+W136+Z136+AC136+AF136+AI136+AL136</f>
        <v>122.87381999999999</v>
      </c>
      <c r="AP136" s="25">
        <f t="shared" si="61"/>
        <v>0.25118221847901184</v>
      </c>
    </row>
    <row r="137" spans="1:43" s="33" customFormat="1">
      <c r="A137" s="45"/>
      <c r="B137" s="27" t="s">
        <v>131</v>
      </c>
      <c r="C137" s="28" t="s">
        <v>140</v>
      </c>
      <c r="D137" s="29"/>
      <c r="E137" s="30">
        <f>SUM(E122:E136)</f>
        <v>161.25072</v>
      </c>
      <c r="F137" s="31">
        <f t="shared" si="28"/>
        <v>1.6519728309309403</v>
      </c>
      <c r="G137" s="17"/>
      <c r="H137" s="32">
        <f>SUM(H122:H136)</f>
        <v>302.85213000000005</v>
      </c>
      <c r="I137" s="31">
        <f t="shared" si="59"/>
        <v>2.8491930870980493</v>
      </c>
      <c r="J137" s="17"/>
      <c r="K137" s="32">
        <f>SUM(K122:K136)</f>
        <v>122.59756</v>
      </c>
      <c r="L137" s="31">
        <f t="shared" si="29"/>
        <v>1.1417594248249143</v>
      </c>
      <c r="M137" s="18"/>
      <c r="N137" s="32">
        <f>SUM(N122:N136)</f>
        <v>204.70200999999994</v>
      </c>
      <c r="O137" s="31">
        <f t="shared" si="30"/>
        <v>1.8546888647277333</v>
      </c>
      <c r="P137" s="19"/>
      <c r="Q137" s="32">
        <f>SUM(Q122:Q136)</f>
        <v>167.44815999999997</v>
      </c>
      <c r="R137" s="31">
        <f t="shared" si="79"/>
        <v>2.4795747138351274</v>
      </c>
      <c r="S137" s="19"/>
      <c r="T137" s="32">
        <f>SUM(T122:T136)</f>
        <v>0</v>
      </c>
      <c r="U137" s="31" t="e">
        <f t="shared" si="60"/>
        <v>#DIV/0!</v>
      </c>
      <c r="V137" s="19"/>
      <c r="W137" s="32">
        <f>SUM(W122:W136)</f>
        <v>0</v>
      </c>
      <c r="X137" s="31" t="e">
        <f t="shared" si="37"/>
        <v>#DIV/0!</v>
      </c>
      <c r="Y137" s="19"/>
      <c r="Z137" s="32">
        <f>SUM(Z122:Z136)</f>
        <v>0</v>
      </c>
      <c r="AA137" s="31" t="e">
        <f t="shared" si="63"/>
        <v>#DIV/0!</v>
      </c>
      <c r="AB137" s="19"/>
      <c r="AC137" s="32">
        <f>SUM(AC122:AC136)</f>
        <v>0</v>
      </c>
      <c r="AD137" s="31" t="e">
        <f t="shared" si="35"/>
        <v>#DIV/0!</v>
      </c>
      <c r="AE137" s="19"/>
      <c r="AF137" s="32">
        <f>SUM(AF122:AF136)</f>
        <v>0</v>
      </c>
      <c r="AG137" s="31" t="e">
        <f t="shared" si="36"/>
        <v>#DIV/0!</v>
      </c>
      <c r="AH137" s="19"/>
      <c r="AI137" s="32">
        <f>SUM(AI122:AI136)</f>
        <v>0</v>
      </c>
      <c r="AJ137" s="31" t="e">
        <f t="shared" si="32"/>
        <v>#DIV/0!</v>
      </c>
      <c r="AK137" s="19"/>
      <c r="AL137" s="32">
        <f>SUM(AL122:AL136)</f>
        <v>0</v>
      </c>
      <c r="AM137" s="31" t="e">
        <f t="shared" si="33"/>
        <v>#DIV/0!</v>
      </c>
      <c r="AN137" s="19"/>
      <c r="AO137" s="32">
        <f>SUM(AO122:AO136)</f>
        <v>958.85057999999992</v>
      </c>
      <c r="AP137" s="31">
        <f t="shared" si="61"/>
        <v>1.960110102170562</v>
      </c>
      <c r="AQ137"/>
    </row>
    <row r="138" spans="1:43" s="52" customFormat="1">
      <c r="A138" s="48"/>
      <c r="B138" s="49"/>
      <c r="C138" s="49"/>
      <c r="D138" s="49" t="s">
        <v>154</v>
      </c>
      <c r="E138" s="50">
        <f>SUM(E137,E121,E113,E105,E101,E99,E97,E95,E90,E30,E25,E16)</f>
        <v>1813.5383808124411</v>
      </c>
      <c r="F138" s="51">
        <f t="shared" si="28"/>
        <v>18.579241897044813</v>
      </c>
      <c r="G138" s="17"/>
      <c r="H138" s="50">
        <f>+H137+H121+H113+H105+H101+H99+H97+H95+H90+H30+H16+H25</f>
        <v>1917.2289853658631</v>
      </c>
      <c r="I138" s="51">
        <f t="shared" si="59"/>
        <v>18.037038641558912</v>
      </c>
      <c r="J138" s="17"/>
      <c r="K138" s="50">
        <f>+K137+K121+K113+K105+K101+K99+K97+K95+K90+K30+K16+K25</f>
        <v>1959.9961301991898</v>
      </c>
      <c r="L138" s="51">
        <f t="shared" si="29"/>
        <v>18.253577430703228</v>
      </c>
      <c r="M138" s="18"/>
      <c r="N138" s="50">
        <f>+N137+N121+N113+N105+N101+N99+N97+N95+N90+N30+N16+N25</f>
        <v>1661.6853539910419</v>
      </c>
      <c r="O138" s="51">
        <f t="shared" si="30"/>
        <v>15.055588964311333</v>
      </c>
      <c r="P138" s="19"/>
      <c r="Q138" s="50">
        <f>+Q137+Q121+Q113+Q105+Q101+Q99+Q97+Q95+Q90+Q30+Q16+Q25</f>
        <v>1648.1717376489105</v>
      </c>
      <c r="R138" s="51">
        <f t="shared" si="79"/>
        <v>24.406150325760176</v>
      </c>
      <c r="S138" s="19"/>
      <c r="T138" s="50">
        <f>+T137+T121+T113+T105+T101+T99+T97+T95+T90+T30+T16+T25</f>
        <v>0</v>
      </c>
      <c r="U138" s="51" t="e">
        <f t="shared" si="60"/>
        <v>#DIV/0!</v>
      </c>
      <c r="V138" s="19"/>
      <c r="W138" s="50">
        <f>+W137+W121+W113+W105+W101+W99+W97+W95+W90+W30+W16+W25</f>
        <v>0</v>
      </c>
      <c r="X138" s="51" t="e">
        <f>W138/$W$1*1000</f>
        <v>#DIV/0!</v>
      </c>
      <c r="Y138" s="19"/>
      <c r="Z138" s="50">
        <f>+Z137+Z121+Z113+Z105+Z101+Z99+Z97+Z95+Z90+Z30+Z16+Z25</f>
        <v>0</v>
      </c>
      <c r="AA138" s="51" t="e">
        <f>Z138/$Z$1*1000</f>
        <v>#DIV/0!</v>
      </c>
      <c r="AB138" s="19"/>
      <c r="AC138" s="50">
        <f>+AC137+AC121+AC113+AC105+AC101+AC99+AC97+AC95+AC90+AC30+AC16+AC25</f>
        <v>0</v>
      </c>
      <c r="AD138" s="51" t="e">
        <f t="shared" si="35"/>
        <v>#DIV/0!</v>
      </c>
      <c r="AE138" s="19"/>
      <c r="AF138" s="50">
        <f>+AF137+AF121+AF113+AF105+AF101+AF99+AF97+AF95+AF90+AF30+AF16+AF25</f>
        <v>0</v>
      </c>
      <c r="AG138" s="51" t="e">
        <f t="shared" si="36"/>
        <v>#DIV/0!</v>
      </c>
      <c r="AH138" s="19"/>
      <c r="AI138" s="50">
        <f>+AI137+AI121+AI113+AI105+AI101+AI99+AI97+AI95+AI90+AI30+AI16+AI25</f>
        <v>0</v>
      </c>
      <c r="AJ138" s="51" t="e">
        <f t="shared" si="32"/>
        <v>#DIV/0!</v>
      </c>
      <c r="AK138" s="19"/>
      <c r="AL138" s="50">
        <f>+AL137+AL121+AL113+AL105+AL101+AL99+AL97+AL95+AL90+AL30+AL16+AL25</f>
        <v>0</v>
      </c>
      <c r="AM138" s="51" t="e">
        <f t="shared" si="33"/>
        <v>#DIV/0!</v>
      </c>
      <c r="AN138" s="19"/>
      <c r="AO138" s="50">
        <f>+AO137+AO121+AO113+AO105+AO101+AO99+AO97+AO95+AO90+AO30+AO16+AO25</f>
        <v>9000.6205880174475</v>
      </c>
      <c r="AP138" s="51">
        <f t="shared" si="61"/>
        <v>18.399329059567702</v>
      </c>
      <c r="AQ138"/>
    </row>
    <row r="139" spans="1:43">
      <c r="E139" s="78"/>
      <c r="F139" s="53"/>
      <c r="H139" s="23"/>
      <c r="I139" s="53"/>
      <c r="K139" s="23"/>
      <c r="L139" s="53"/>
      <c r="N139" s="23">
        <f>N138*1000</f>
        <v>1661685.3539910419</v>
      </c>
      <c r="O139" s="53"/>
      <c r="P139" s="54"/>
      <c r="Q139" s="23"/>
      <c r="R139" s="53"/>
      <c r="S139" s="54"/>
      <c r="T139" s="23">
        <f>T138*1000</f>
        <v>0</v>
      </c>
      <c r="U139" s="53"/>
      <c r="V139" s="54"/>
      <c r="W139" s="23">
        <f>W138*1000</f>
        <v>0</v>
      </c>
      <c r="X139" s="53"/>
      <c r="Y139" s="54"/>
      <c r="Z139" s="23">
        <f>Z138*1000</f>
        <v>0</v>
      </c>
      <c r="AA139" s="53"/>
      <c r="AB139" s="54"/>
      <c r="AC139" s="23">
        <f>AC138*1000</f>
        <v>0</v>
      </c>
      <c r="AD139" s="53"/>
      <c r="AE139" s="54"/>
      <c r="AF139" s="23">
        <f>AF138*1000</f>
        <v>0</v>
      </c>
      <c r="AG139" s="53"/>
      <c r="AH139" s="54"/>
      <c r="AI139" s="23">
        <f>AI138*1000</f>
        <v>0</v>
      </c>
      <c r="AJ139" s="53"/>
      <c r="AK139" s="54"/>
      <c r="AL139" s="23">
        <f>AL138*1000</f>
        <v>0</v>
      </c>
      <c r="AM139" s="53"/>
      <c r="AN139" s="54"/>
      <c r="AO139" s="23"/>
      <c r="AP139" s="53"/>
    </row>
    <row r="140" spans="1:43">
      <c r="E140" s="78"/>
      <c r="F140" s="53"/>
      <c r="H140" s="23"/>
      <c r="I140" s="53"/>
      <c r="K140" s="78"/>
      <c r="L140" s="53"/>
      <c r="N140" s="23"/>
      <c r="O140" s="53"/>
      <c r="P140" s="54"/>
      <c r="Q140" s="55"/>
      <c r="R140" s="53"/>
      <c r="S140" s="54"/>
      <c r="T140" s="23"/>
      <c r="U140" s="53"/>
      <c r="V140" s="54"/>
      <c r="W140" s="23"/>
      <c r="X140" s="53"/>
      <c r="Y140" s="54"/>
      <c r="Z140" s="23"/>
      <c r="AA140" s="53"/>
      <c r="AB140" s="54"/>
      <c r="AC140" s="23"/>
      <c r="AD140" s="53"/>
      <c r="AE140" s="54"/>
      <c r="AF140" s="23"/>
      <c r="AG140" s="53"/>
      <c r="AH140" s="54"/>
      <c r="AI140" s="23"/>
      <c r="AJ140" s="53"/>
      <c r="AK140" s="54"/>
      <c r="AL140" s="23"/>
      <c r="AM140" s="53"/>
      <c r="AN140" s="54"/>
      <c r="AO140" s="23"/>
      <c r="AP140" s="53"/>
    </row>
    <row r="141" spans="1:43">
      <c r="E141" s="78"/>
      <c r="F141" s="23"/>
      <c r="G141" s="23"/>
      <c r="H141" s="23"/>
      <c r="I141" s="23"/>
      <c r="J141" s="23"/>
      <c r="K141" s="23"/>
      <c r="L141" s="23"/>
      <c r="M141" s="23"/>
      <c r="N141" s="78"/>
      <c r="O141" s="23"/>
      <c r="P141" s="23"/>
      <c r="Q141" s="78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53"/>
    </row>
    <row r="142" spans="1:43" outlineLevel="1">
      <c r="A142" s="42" t="s">
        <v>47</v>
      </c>
      <c r="B142" s="56">
        <v>6666110110</v>
      </c>
      <c r="C142" s="57" t="s">
        <v>31</v>
      </c>
      <c r="D142" s="57"/>
      <c r="E142" s="58">
        <v>7.43E-3</v>
      </c>
      <c r="F142" s="59">
        <f t="shared" ref="F142:F210" si="80">E142/$E$1*1000</f>
        <v>7.6118470254377056E-5</v>
      </c>
      <c r="H142" s="58">
        <v>9.9280000000000007E-2</v>
      </c>
      <c r="I142" s="59">
        <f t="shared" ref="I142:I223" si="81">H142/$H$1*1000</f>
        <v>9.3401320864771296E-4</v>
      </c>
      <c r="K142" s="58">
        <v>0.10992</v>
      </c>
      <c r="L142" s="59">
        <f t="shared" ref="L142:L206" si="82">K142/$K$1*1000</f>
        <v>1.0236924452391597E-3</v>
      </c>
      <c r="N142" s="58">
        <v>0.10637000000000001</v>
      </c>
      <c r="O142" s="59">
        <f t="shared" ref="O142:O205" si="83">N142/$N$1*1000</f>
        <v>9.6375826764519355E-4</v>
      </c>
      <c r="P142" s="54"/>
      <c r="Q142" s="58">
        <v>0.10992</v>
      </c>
      <c r="R142" s="59">
        <f t="shared" ref="R142:R205" si="84">Q142/$Q$1*1000</f>
        <v>1.6276969095674579E-3</v>
      </c>
      <c r="S142" s="54"/>
      <c r="T142" s="58"/>
      <c r="U142" s="59" t="e">
        <f t="shared" ref="U142:U223" si="85">T142/$T$1*1000</f>
        <v>#DIV/0!</v>
      </c>
      <c r="V142" s="54"/>
      <c r="W142" s="58"/>
      <c r="X142" s="59" t="e">
        <f t="shared" ref="X142:X223" si="86">W142/$W$1*1000</f>
        <v>#DIV/0!</v>
      </c>
      <c r="Y142" s="54"/>
      <c r="Z142" s="58"/>
      <c r="AA142" s="59" t="e">
        <f t="shared" ref="AA142:AA223" si="87">Z142/$Z$1*1000</f>
        <v>#DIV/0!</v>
      </c>
      <c r="AB142" s="54"/>
      <c r="AC142" s="58"/>
      <c r="AD142" s="59" t="e">
        <f t="shared" ref="AD142:AD223" si="88">AC142/$AC$1*1000</f>
        <v>#DIV/0!</v>
      </c>
      <c r="AE142" s="54"/>
      <c r="AF142" s="58"/>
      <c r="AG142" s="59" t="e">
        <f>AF142/$AF$1*1000</f>
        <v>#DIV/0!</v>
      </c>
      <c r="AH142" s="54"/>
      <c r="AI142" s="58"/>
      <c r="AJ142" s="59" t="e">
        <f>AI142/$AF$1*1000</f>
        <v>#DIV/0!</v>
      </c>
      <c r="AK142" s="54"/>
      <c r="AL142" s="58"/>
      <c r="AM142" s="59" t="e">
        <f>AL142/$AF$1*1000</f>
        <v>#DIV/0!</v>
      </c>
      <c r="AN142" s="54"/>
      <c r="AO142" s="58">
        <f t="shared" ref="AO142:AO145" si="89">H142+E142+K142+N142+Q142+T142+W142+Z142+AC142+AF142+AI142+AL142</f>
        <v>0.43292000000000003</v>
      </c>
      <c r="AP142" s="59">
        <f t="shared" ref="AP142:AP223" si="90">AO142/$AO$1*1000</f>
        <v>8.8498759153035069E-4</v>
      </c>
    </row>
    <row r="143" spans="1:43" outlineLevel="1">
      <c r="A143" s="42" t="s">
        <v>47</v>
      </c>
      <c r="B143" s="60">
        <v>6666110112</v>
      </c>
      <c r="C143" t="s">
        <v>32</v>
      </c>
      <c r="E143" s="61">
        <v>4.1399999999999996E-3</v>
      </c>
      <c r="F143" s="24">
        <f t="shared" si="80"/>
        <v>4.2413252604726919E-5</v>
      </c>
      <c r="H143" s="61">
        <v>5.6170000000000005E-2</v>
      </c>
      <c r="I143" s="24">
        <f t="shared" si="81"/>
        <v>5.2843998720529853E-4</v>
      </c>
      <c r="K143" s="61">
        <v>5.9909999999999998E-2</v>
      </c>
      <c r="L143" s="24">
        <f t="shared" si="82"/>
        <v>5.5794590970049171E-4</v>
      </c>
      <c r="N143" s="61">
        <v>5.3929999999999999E-2</v>
      </c>
      <c r="O143" s="24">
        <f t="shared" si="83"/>
        <v>4.8862915647367936E-4</v>
      </c>
      <c r="P143" s="54"/>
      <c r="Q143" s="61">
        <v>5.4060000000000004E-2</v>
      </c>
      <c r="R143" s="24">
        <f t="shared" si="84"/>
        <v>8.0052124209622252E-4</v>
      </c>
      <c r="S143" s="54"/>
      <c r="T143" s="61"/>
      <c r="U143" s="24" t="e">
        <f t="shared" si="85"/>
        <v>#DIV/0!</v>
      </c>
      <c r="V143" s="54"/>
      <c r="W143" s="61"/>
      <c r="X143" s="24" t="e">
        <f t="shared" si="86"/>
        <v>#DIV/0!</v>
      </c>
      <c r="Y143" s="54"/>
      <c r="Z143" s="61"/>
      <c r="AA143" s="24" t="e">
        <f t="shared" si="87"/>
        <v>#DIV/0!</v>
      </c>
      <c r="AB143" s="54"/>
      <c r="AC143" s="61"/>
      <c r="AD143" s="24" t="e">
        <f t="shared" si="88"/>
        <v>#DIV/0!</v>
      </c>
      <c r="AE143" s="54"/>
      <c r="AF143" s="61"/>
      <c r="AG143" s="24" t="e">
        <f t="shared" ref="AG143:AG221" si="91">AF143/$AF$1*1000</f>
        <v>#DIV/0!</v>
      </c>
      <c r="AH143" s="54"/>
      <c r="AI143" s="61"/>
      <c r="AJ143" s="24" t="e">
        <f t="shared" ref="AJ143:AJ221" si="92">AI143/$AF$1*1000</f>
        <v>#DIV/0!</v>
      </c>
      <c r="AK143" s="54"/>
      <c r="AL143" s="61"/>
      <c r="AM143" s="24" t="e">
        <f t="shared" ref="AM143:AM221" si="93">AL143/$AF$1*1000</f>
        <v>#DIV/0!</v>
      </c>
      <c r="AN143" s="54"/>
      <c r="AO143" s="61">
        <f t="shared" si="89"/>
        <v>0.22821</v>
      </c>
      <c r="AP143" s="24">
        <f t="shared" si="90"/>
        <v>4.6651348577829931E-4</v>
      </c>
    </row>
    <row r="144" spans="1:43" outlineLevel="1">
      <c r="A144" s="42" t="s">
        <v>47</v>
      </c>
      <c r="B144" s="60">
        <v>6666110207</v>
      </c>
      <c r="C144" t="s">
        <v>34</v>
      </c>
      <c r="E144" s="61">
        <v>1.4999999999999999E-4</v>
      </c>
      <c r="F144" s="24">
        <f t="shared" si="80"/>
        <v>1.5367120508959031E-6</v>
      </c>
      <c r="H144" s="61">
        <v>1.9199999999999998E-3</v>
      </c>
      <c r="I144" s="24">
        <f t="shared" si="81"/>
        <v>1.8063107983517412E-5</v>
      </c>
      <c r="K144" s="61">
        <v>2.14E-3</v>
      </c>
      <c r="L144" s="24">
        <f t="shared" si="82"/>
        <v>1.9929965727909403E-5</v>
      </c>
      <c r="N144" s="61">
        <v>2.0600000000000002E-3</v>
      </c>
      <c r="O144" s="24">
        <f t="shared" si="83"/>
        <v>1.8664492162725382E-5</v>
      </c>
      <c r="P144" s="54"/>
      <c r="Q144" s="61">
        <v>4.0000000000000003E-5</v>
      </c>
      <c r="R144" s="24">
        <f t="shared" si="84"/>
        <v>5.9232056388917694E-7</v>
      </c>
      <c r="S144" s="54"/>
      <c r="T144" s="61"/>
      <c r="U144" s="24" t="e">
        <f t="shared" si="85"/>
        <v>#DIV/0!</v>
      </c>
      <c r="V144" s="54"/>
      <c r="W144" s="61"/>
      <c r="X144" s="24" t="e">
        <f t="shared" si="86"/>
        <v>#DIV/0!</v>
      </c>
      <c r="Y144" s="54"/>
      <c r="Z144" s="61"/>
      <c r="AA144" s="24" t="e">
        <f t="shared" si="87"/>
        <v>#DIV/0!</v>
      </c>
      <c r="AB144" s="54"/>
      <c r="AC144" s="61"/>
      <c r="AD144" s="24" t="e">
        <f t="shared" si="88"/>
        <v>#DIV/0!</v>
      </c>
      <c r="AE144" s="54"/>
      <c r="AF144" s="61"/>
      <c r="AG144" s="24" t="e">
        <f t="shared" si="91"/>
        <v>#DIV/0!</v>
      </c>
      <c r="AH144" s="54"/>
      <c r="AI144" s="61"/>
      <c r="AJ144" s="24" t="e">
        <f t="shared" si="92"/>
        <v>#DIV/0!</v>
      </c>
      <c r="AK144" s="54"/>
      <c r="AL144" s="61"/>
      <c r="AM144" s="24" t="e">
        <f t="shared" si="93"/>
        <v>#DIV/0!</v>
      </c>
      <c r="AN144" s="54"/>
      <c r="AO144" s="61">
        <f t="shared" si="89"/>
        <v>6.3100000000000005E-3</v>
      </c>
      <c r="AP144" s="24">
        <f t="shared" si="90"/>
        <v>1.2899084594281883E-5</v>
      </c>
    </row>
    <row r="145" spans="1:42" outlineLevel="1">
      <c r="A145" s="42" t="s">
        <v>47</v>
      </c>
      <c r="B145" s="60">
        <v>6666110506</v>
      </c>
      <c r="C145" t="s">
        <v>35</v>
      </c>
      <c r="E145" s="61">
        <v>7.62E-3</v>
      </c>
      <c r="F145" s="24">
        <f t="shared" si="80"/>
        <v>7.806497218551188E-5</v>
      </c>
      <c r="H145" s="61">
        <v>9.801E-2</v>
      </c>
      <c r="I145" s="24">
        <f t="shared" si="81"/>
        <v>9.2206521534611552E-4</v>
      </c>
      <c r="K145" s="61">
        <v>0.10853</v>
      </c>
      <c r="L145" s="24">
        <f t="shared" si="82"/>
        <v>1.0107472805841158E-3</v>
      </c>
      <c r="N145" s="61">
        <v>0.105</v>
      </c>
      <c r="O145" s="24">
        <f t="shared" si="83"/>
        <v>9.5134547431367214E-4</v>
      </c>
      <c r="P145" s="54"/>
      <c r="Q145" s="61">
        <v>0.10851999999999999</v>
      </c>
      <c r="R145" s="24">
        <f t="shared" si="84"/>
        <v>1.6069656898313365E-3</v>
      </c>
      <c r="S145" s="54"/>
      <c r="T145" s="61"/>
      <c r="U145" s="24" t="e">
        <f t="shared" si="85"/>
        <v>#DIV/0!</v>
      </c>
      <c r="V145" s="54"/>
      <c r="W145" s="61"/>
      <c r="X145" s="24" t="e">
        <f t="shared" si="86"/>
        <v>#DIV/0!</v>
      </c>
      <c r="Y145" s="54"/>
      <c r="Z145" s="61"/>
      <c r="AA145" s="24" t="e">
        <f t="shared" si="87"/>
        <v>#DIV/0!</v>
      </c>
      <c r="AB145" s="54"/>
      <c r="AC145" s="61"/>
      <c r="AD145" s="24" t="e">
        <f t="shared" si="88"/>
        <v>#DIV/0!</v>
      </c>
      <c r="AE145" s="54"/>
      <c r="AF145" s="61"/>
      <c r="AG145" s="24" t="e">
        <f t="shared" si="91"/>
        <v>#DIV/0!</v>
      </c>
      <c r="AH145" s="54"/>
      <c r="AI145" s="61"/>
      <c r="AJ145" s="24" t="e">
        <f t="shared" si="92"/>
        <v>#DIV/0!</v>
      </c>
      <c r="AK145" s="54"/>
      <c r="AL145" s="61"/>
      <c r="AM145" s="24" t="e">
        <f t="shared" si="93"/>
        <v>#DIV/0!</v>
      </c>
      <c r="AN145" s="54"/>
      <c r="AO145" s="61">
        <f t="shared" si="89"/>
        <v>0.42768</v>
      </c>
      <c r="AP145" s="24">
        <f t="shared" si="90"/>
        <v>8.7427583189896604E-4</v>
      </c>
    </row>
    <row r="146" spans="1:42">
      <c r="A146" s="42"/>
      <c r="B146" s="28" t="s">
        <v>155</v>
      </c>
      <c r="C146" s="28" t="s">
        <v>28</v>
      </c>
      <c r="D146" s="29"/>
      <c r="E146" s="62">
        <f>SUM(E142:E145)</f>
        <v>1.9340000000000003E-2</v>
      </c>
      <c r="F146" s="63">
        <f t="shared" si="80"/>
        <v>1.9813340709551181E-4</v>
      </c>
      <c r="H146" s="62">
        <f>SUM(H142:H145)</f>
        <v>0.25538</v>
      </c>
      <c r="I146" s="63">
        <f t="shared" si="81"/>
        <v>2.4025815191826443E-3</v>
      </c>
      <c r="K146" s="62">
        <f>SUM(K142:K145)</f>
        <v>0.28050000000000003</v>
      </c>
      <c r="L146" s="63">
        <f t="shared" si="82"/>
        <v>2.6123156012516765E-3</v>
      </c>
      <c r="N146" s="62">
        <f>SUM(N142:N145)</f>
        <v>0.26735999999999999</v>
      </c>
      <c r="O146" s="63">
        <f t="shared" si="83"/>
        <v>2.4223973905952703E-3</v>
      </c>
      <c r="P146" s="54"/>
      <c r="Q146" s="62">
        <f>SUM(Q142:Q145)</f>
        <v>0.27254</v>
      </c>
      <c r="R146" s="63">
        <f t="shared" si="84"/>
        <v>4.0357761620589058E-3</v>
      </c>
      <c r="S146" s="54"/>
      <c r="T146" s="62">
        <f>SUM(T142:T145)</f>
        <v>0</v>
      </c>
      <c r="U146" s="63" t="e">
        <f t="shared" si="85"/>
        <v>#DIV/0!</v>
      </c>
      <c r="V146" s="54"/>
      <c r="W146" s="62">
        <f>SUM(W142:W145)</f>
        <v>0</v>
      </c>
      <c r="X146" s="63" t="e">
        <f t="shared" si="86"/>
        <v>#DIV/0!</v>
      </c>
      <c r="Y146" s="54"/>
      <c r="Z146" s="62">
        <f>SUM(Z142:Z145)</f>
        <v>0</v>
      </c>
      <c r="AA146" s="63" t="e">
        <f t="shared" si="87"/>
        <v>#DIV/0!</v>
      </c>
      <c r="AB146" s="54"/>
      <c r="AC146" s="62">
        <f>SUM(AC142:AC145)</f>
        <v>0</v>
      </c>
      <c r="AD146" s="63" t="e">
        <f t="shared" si="88"/>
        <v>#DIV/0!</v>
      </c>
      <c r="AE146" s="54"/>
      <c r="AF146" s="62">
        <f>SUM(AF142:AF145)</f>
        <v>0</v>
      </c>
      <c r="AG146" s="63" t="e">
        <f t="shared" si="91"/>
        <v>#DIV/0!</v>
      </c>
      <c r="AH146" s="54"/>
      <c r="AI146" s="62">
        <f>SUM(AI142:AI145)</f>
        <v>0</v>
      </c>
      <c r="AJ146" s="63" t="e">
        <f t="shared" si="92"/>
        <v>#DIV/0!</v>
      </c>
      <c r="AK146" s="54"/>
      <c r="AL146" s="62">
        <f>SUM(AL142:AL145)</f>
        <v>0</v>
      </c>
      <c r="AM146" s="63" t="e">
        <f t="shared" si="93"/>
        <v>#DIV/0!</v>
      </c>
      <c r="AN146" s="54"/>
      <c r="AO146" s="62">
        <f>SUM(AO142:AO145)</f>
        <v>1.0951200000000001</v>
      </c>
      <c r="AP146" s="63">
        <f t="shared" si="90"/>
        <v>2.2386759938018978E-3</v>
      </c>
    </row>
    <row r="147" spans="1:42">
      <c r="A147" s="42" t="s">
        <v>47</v>
      </c>
      <c r="B147" s="64">
        <v>6666010380</v>
      </c>
      <c r="C147" s="43" t="s">
        <v>39</v>
      </c>
      <c r="D147" s="33"/>
      <c r="E147" s="65">
        <v>0</v>
      </c>
      <c r="F147" s="66">
        <f t="shared" si="80"/>
        <v>0</v>
      </c>
      <c r="H147" s="65">
        <v>0</v>
      </c>
      <c r="I147" s="66">
        <f t="shared" si="81"/>
        <v>0</v>
      </c>
      <c r="K147" s="65">
        <v>0</v>
      </c>
      <c r="L147" s="66">
        <f t="shared" si="82"/>
        <v>0</v>
      </c>
      <c r="N147" s="65">
        <v>0</v>
      </c>
      <c r="O147" s="66">
        <f t="shared" si="83"/>
        <v>0</v>
      </c>
      <c r="P147" s="54"/>
      <c r="Q147" s="65">
        <v>0</v>
      </c>
      <c r="R147" s="66">
        <f t="shared" si="84"/>
        <v>0</v>
      </c>
      <c r="S147" s="54"/>
      <c r="T147" s="65"/>
      <c r="U147" s="66"/>
      <c r="V147" s="54"/>
      <c r="W147" s="65"/>
      <c r="X147" s="66"/>
      <c r="Y147" s="54"/>
      <c r="Z147" s="65"/>
      <c r="AA147" s="66"/>
      <c r="AB147" s="54"/>
      <c r="AC147" s="65"/>
      <c r="AD147" s="24" t="e">
        <f t="shared" si="88"/>
        <v>#DIV/0!</v>
      </c>
      <c r="AE147" s="54"/>
      <c r="AF147" s="65"/>
      <c r="AG147" s="24" t="e">
        <f t="shared" si="91"/>
        <v>#DIV/0!</v>
      </c>
      <c r="AH147" s="54"/>
      <c r="AI147" s="65"/>
      <c r="AJ147" s="24" t="e">
        <f t="shared" si="92"/>
        <v>#DIV/0!</v>
      </c>
      <c r="AK147" s="54"/>
      <c r="AL147" s="65"/>
      <c r="AM147" s="24" t="e">
        <f t="shared" si="93"/>
        <v>#DIV/0!</v>
      </c>
      <c r="AN147" s="54"/>
      <c r="AO147" s="65">
        <f t="shared" ref="AO147:AO148" si="94">H147+E147+K147+N147+Q147+T147+W147+Z147+AC147+AF147+AI147+AL147</f>
        <v>0</v>
      </c>
      <c r="AP147" s="24">
        <f>AO147/$AO$1*1000</f>
        <v>0</v>
      </c>
    </row>
    <row r="148" spans="1:42" outlineLevel="1">
      <c r="A148" s="42" t="s">
        <v>47</v>
      </c>
      <c r="B148" s="60">
        <v>5102040406</v>
      </c>
      <c r="C148" t="s">
        <v>156</v>
      </c>
      <c r="E148" s="61">
        <v>0</v>
      </c>
      <c r="F148" s="24">
        <f t="shared" si="80"/>
        <v>0</v>
      </c>
      <c r="H148" s="61">
        <v>-2.3988800000000001</v>
      </c>
      <c r="I148" s="24">
        <f t="shared" si="81"/>
        <v>-2.256834816640638E-2</v>
      </c>
      <c r="K148" s="61">
        <v>-4.6716099999999994</v>
      </c>
      <c r="L148" s="24">
        <f t="shared" si="82"/>
        <v>-4.3507022053345251E-2</v>
      </c>
      <c r="N148" s="61">
        <v>-7.9581899999999992</v>
      </c>
      <c r="O148" s="24">
        <f t="shared" si="83"/>
        <v>-7.2104648002174504E-2</v>
      </c>
      <c r="P148" s="54"/>
      <c r="Q148" s="61">
        <v>-4.6716099999999994</v>
      </c>
      <c r="R148" s="24">
        <f t="shared" si="84"/>
        <v>-6.9177266736757934E-2</v>
      </c>
      <c r="S148" s="54"/>
      <c r="T148" s="61"/>
      <c r="U148" s="24" t="e">
        <f t="shared" si="85"/>
        <v>#DIV/0!</v>
      </c>
      <c r="V148" s="54"/>
      <c r="W148" s="61"/>
      <c r="X148" s="24" t="e">
        <f t="shared" si="86"/>
        <v>#DIV/0!</v>
      </c>
      <c r="Y148" s="54"/>
      <c r="Z148" s="61"/>
      <c r="AA148" s="24" t="e">
        <f t="shared" si="87"/>
        <v>#DIV/0!</v>
      </c>
      <c r="AB148" s="54"/>
      <c r="AC148" s="61"/>
      <c r="AD148" s="24" t="e">
        <f t="shared" si="88"/>
        <v>#DIV/0!</v>
      </c>
      <c r="AE148" s="54"/>
      <c r="AF148" s="61"/>
      <c r="AG148" s="24" t="e">
        <f t="shared" si="91"/>
        <v>#DIV/0!</v>
      </c>
      <c r="AH148" s="54"/>
      <c r="AI148" s="61"/>
      <c r="AJ148" s="24" t="e">
        <f t="shared" si="92"/>
        <v>#DIV/0!</v>
      </c>
      <c r="AK148" s="54"/>
      <c r="AL148" s="61"/>
      <c r="AM148" s="24" t="e">
        <f t="shared" si="93"/>
        <v>#DIV/0!</v>
      </c>
      <c r="AN148" s="54"/>
      <c r="AO148" s="61">
        <f t="shared" si="94"/>
        <v>-19.700289999999995</v>
      </c>
      <c r="AP148" s="24">
        <f t="shared" si="90"/>
        <v>-4.0271902890948549E-2</v>
      </c>
    </row>
    <row r="149" spans="1:42">
      <c r="A149" s="42"/>
      <c r="B149" s="28" t="s">
        <v>157</v>
      </c>
      <c r="C149" s="28" t="s">
        <v>38</v>
      </c>
      <c r="D149" s="29"/>
      <c r="E149" s="62">
        <f>SUM(E147:E148)</f>
        <v>0</v>
      </c>
      <c r="F149" s="63">
        <f t="shared" si="80"/>
        <v>0</v>
      </c>
      <c r="H149" s="62">
        <f>+H148</f>
        <v>-2.3988800000000001</v>
      </c>
      <c r="I149" s="63">
        <f t="shared" si="81"/>
        <v>-2.256834816640638E-2</v>
      </c>
      <c r="K149" s="62">
        <f>+K148</f>
        <v>-4.6716099999999994</v>
      </c>
      <c r="L149" s="63">
        <f t="shared" si="82"/>
        <v>-4.3507022053345251E-2</v>
      </c>
      <c r="N149" s="62">
        <f>SUM(N147:N148)</f>
        <v>-7.9581899999999992</v>
      </c>
      <c r="O149" s="63">
        <f t="shared" si="83"/>
        <v>-7.2104648002174504E-2</v>
      </c>
      <c r="P149" s="54"/>
      <c r="Q149" s="62">
        <f>SUM(Q147:Q148)</f>
        <v>-4.6716099999999994</v>
      </c>
      <c r="R149" s="63">
        <f t="shared" si="84"/>
        <v>-6.9177266736757934E-2</v>
      </c>
      <c r="S149" s="54"/>
      <c r="T149" s="62">
        <f>+T148</f>
        <v>0</v>
      </c>
      <c r="U149" s="63" t="e">
        <f t="shared" si="85"/>
        <v>#DIV/0!</v>
      </c>
      <c r="V149" s="54"/>
      <c r="W149" s="62">
        <f>+W148</f>
        <v>0</v>
      </c>
      <c r="X149" s="63" t="e">
        <f t="shared" si="86"/>
        <v>#DIV/0!</v>
      </c>
      <c r="Y149" s="54"/>
      <c r="Z149" s="62">
        <f>+Z148</f>
        <v>0</v>
      </c>
      <c r="AA149" s="63" t="e">
        <f t="shared" si="87"/>
        <v>#DIV/0!</v>
      </c>
      <c r="AB149" s="54"/>
      <c r="AC149" s="62">
        <f>+AC148+AC147</f>
        <v>0</v>
      </c>
      <c r="AD149" s="63" t="e">
        <f t="shared" si="88"/>
        <v>#DIV/0!</v>
      </c>
      <c r="AE149" s="54"/>
      <c r="AF149" s="62">
        <f>+AF148+AF147</f>
        <v>0</v>
      </c>
      <c r="AG149" s="63" t="e">
        <f t="shared" si="91"/>
        <v>#DIV/0!</v>
      </c>
      <c r="AH149" s="54"/>
      <c r="AI149" s="62">
        <f>+AI148+AI147</f>
        <v>0</v>
      </c>
      <c r="AJ149" s="63" t="e">
        <f t="shared" si="92"/>
        <v>#DIV/0!</v>
      </c>
      <c r="AK149" s="54"/>
      <c r="AL149" s="62">
        <v>0</v>
      </c>
      <c r="AM149" s="63" t="e">
        <f t="shared" si="93"/>
        <v>#DIV/0!</v>
      </c>
      <c r="AN149" s="54"/>
      <c r="AO149" s="62">
        <f>+AO148+AO147</f>
        <v>-19.700289999999995</v>
      </c>
      <c r="AP149" s="63">
        <f t="shared" si="90"/>
        <v>-4.0271902890948549E-2</v>
      </c>
    </row>
    <row r="150" spans="1:42" outlineLevel="2">
      <c r="A150" s="42" t="s">
        <v>47</v>
      </c>
      <c r="B150" s="60">
        <v>6666029996</v>
      </c>
      <c r="C150" t="s">
        <v>92</v>
      </c>
      <c r="E150" s="61">
        <v>8.1939999999999999E-2</v>
      </c>
      <c r="F150" s="24">
        <f t="shared" si="80"/>
        <v>8.3945456966940204E-4</v>
      </c>
      <c r="H150" s="61">
        <v>0</v>
      </c>
      <c r="I150" s="24">
        <f t="shared" si="81"/>
        <v>0</v>
      </c>
      <c r="K150" s="61">
        <v>1.3529999999999999E-2</v>
      </c>
      <c r="L150" s="24">
        <f t="shared" si="82"/>
        <v>1.2600581135449259E-4</v>
      </c>
      <c r="N150" s="61">
        <v>4.3299999999999996E-3</v>
      </c>
      <c r="O150" s="24">
        <f t="shared" si="83"/>
        <v>3.9231675274078101E-5</v>
      </c>
      <c r="P150" s="54"/>
      <c r="Q150" s="61">
        <v>2.0670000000000001E-2</v>
      </c>
      <c r="R150" s="24">
        <f t="shared" si="84"/>
        <v>3.0608165138973212E-4</v>
      </c>
      <c r="S150" s="54"/>
      <c r="T150" s="61"/>
      <c r="U150" s="24" t="e">
        <f t="shared" si="85"/>
        <v>#DIV/0!</v>
      </c>
      <c r="V150" s="54"/>
      <c r="W150" s="61"/>
      <c r="X150" s="24" t="e">
        <f t="shared" si="86"/>
        <v>#DIV/0!</v>
      </c>
      <c r="Y150" s="54"/>
      <c r="Z150" s="61"/>
      <c r="AA150" s="24" t="e">
        <f t="shared" si="87"/>
        <v>#DIV/0!</v>
      </c>
      <c r="AB150" s="54"/>
      <c r="AC150" s="61"/>
      <c r="AD150" s="24" t="e">
        <f t="shared" si="88"/>
        <v>#DIV/0!</v>
      </c>
      <c r="AE150" s="54"/>
      <c r="AF150" s="61"/>
      <c r="AG150" s="24" t="e">
        <f t="shared" si="91"/>
        <v>#DIV/0!</v>
      </c>
      <c r="AH150" s="54"/>
      <c r="AI150" s="61"/>
      <c r="AJ150" s="24" t="e">
        <f t="shared" si="92"/>
        <v>#DIV/0!</v>
      </c>
      <c r="AK150" s="54"/>
      <c r="AL150" s="61"/>
      <c r="AM150" s="24" t="e">
        <f t="shared" si="93"/>
        <v>#DIV/0!</v>
      </c>
      <c r="AN150" s="54"/>
      <c r="AO150" s="61">
        <f t="shared" ref="AO150:AO187" si="95">H150+E150+K150+N150+Q150+T150+W150+Z150+AC150+AF150+AI150+AL150</f>
        <v>0.12046999999999999</v>
      </c>
      <c r="AP150" s="24">
        <f>AO150/$AO$1*1000</f>
        <v>2.4626826007498228E-4</v>
      </c>
    </row>
    <row r="151" spans="1:42">
      <c r="A151" s="42" t="s">
        <v>47</v>
      </c>
      <c r="B151" s="60">
        <v>6666029700</v>
      </c>
      <c r="C151" s="15" t="s">
        <v>90</v>
      </c>
      <c r="E151" s="61">
        <v>90.406660000000002</v>
      </c>
      <c r="F151" s="24">
        <f t="shared" si="80"/>
        <v>0.9261933593549907</v>
      </c>
      <c r="H151" s="61">
        <v>29.608419999999999</v>
      </c>
      <c r="I151" s="24">
        <f t="shared" si="81"/>
        <v>0.2785521290006962</v>
      </c>
      <c r="K151" s="61">
        <f>32.45997</f>
        <v>32.459969999999998</v>
      </c>
      <c r="L151" s="24">
        <f t="shared" si="82"/>
        <v>0.3023019110415735</v>
      </c>
      <c r="N151" s="61">
        <v>-11.499839999999754</v>
      </c>
      <c r="O151" s="24">
        <f t="shared" si="83"/>
        <v>-0.10419353085077243</v>
      </c>
      <c r="P151" s="54"/>
      <c r="Q151" s="61">
        <v>92.749739999999989</v>
      </c>
      <c r="R151" s="24">
        <f t="shared" si="84"/>
        <v>1.3734394574343634</v>
      </c>
      <c r="S151" s="54"/>
      <c r="T151" s="61"/>
      <c r="U151" s="24" t="e">
        <f t="shared" si="85"/>
        <v>#DIV/0!</v>
      </c>
      <c r="V151" s="54"/>
      <c r="W151" s="61"/>
      <c r="X151" s="24" t="e">
        <f t="shared" si="86"/>
        <v>#DIV/0!</v>
      </c>
      <c r="Y151" s="54"/>
      <c r="Z151" s="61"/>
      <c r="AA151" s="24" t="e">
        <f t="shared" si="87"/>
        <v>#DIV/0!</v>
      </c>
      <c r="AB151" s="54"/>
      <c r="AC151" s="61"/>
      <c r="AD151" s="24" t="e">
        <f t="shared" si="88"/>
        <v>#DIV/0!</v>
      </c>
      <c r="AE151" s="54"/>
      <c r="AF151" s="61"/>
      <c r="AG151" s="24" t="e">
        <f t="shared" si="91"/>
        <v>#DIV/0!</v>
      </c>
      <c r="AH151" s="54"/>
      <c r="AI151" s="61"/>
      <c r="AJ151" s="24" t="e">
        <f t="shared" si="92"/>
        <v>#DIV/0!</v>
      </c>
      <c r="AK151" s="54"/>
      <c r="AL151" s="61"/>
      <c r="AM151" s="24" t="e">
        <f t="shared" si="93"/>
        <v>#DIV/0!</v>
      </c>
      <c r="AN151" s="54"/>
      <c r="AO151" s="61">
        <f t="shared" si="95"/>
        <v>233.72495000000026</v>
      </c>
      <c r="AP151" s="24">
        <f>AO151/$AO$1*1000</f>
        <v>0.47778730615599152</v>
      </c>
    </row>
    <row r="152" spans="1:42" outlineLevel="3">
      <c r="A152" s="42" t="s">
        <v>47</v>
      </c>
      <c r="B152" s="60">
        <v>6666010322</v>
      </c>
      <c r="C152" t="s">
        <v>67</v>
      </c>
      <c r="E152" s="61">
        <v>0.28092</v>
      </c>
      <c r="F152" s="24">
        <f t="shared" si="80"/>
        <v>2.8779543289178477E-3</v>
      </c>
      <c r="H152" s="61">
        <v>0.36587999999999998</v>
      </c>
      <c r="I152" s="24">
        <f t="shared" si="81"/>
        <v>3.4421510151090369E-3</v>
      </c>
      <c r="K152" s="61">
        <v>0.14101</v>
      </c>
      <c r="L152" s="24">
        <f t="shared" si="82"/>
        <v>1.3132357323796752E-3</v>
      </c>
      <c r="N152" s="61">
        <v>-6.473000000000001E-2</v>
      </c>
      <c r="O152" s="24">
        <f t="shared" si="83"/>
        <v>-5.8648183383165728E-4</v>
      </c>
      <c r="P152" s="54"/>
      <c r="Q152" s="61">
        <v>-0.32138</v>
      </c>
      <c r="R152" s="24">
        <f t="shared" si="84"/>
        <v>-4.7589995705675913E-3</v>
      </c>
      <c r="S152" s="54"/>
      <c r="T152" s="61"/>
      <c r="U152" s="24" t="e">
        <f t="shared" si="85"/>
        <v>#DIV/0!</v>
      </c>
      <c r="V152" s="54"/>
      <c r="W152" s="61"/>
      <c r="X152" s="24" t="e">
        <f t="shared" si="86"/>
        <v>#DIV/0!</v>
      </c>
      <c r="Y152" s="54"/>
      <c r="Z152" s="61"/>
      <c r="AA152" s="24" t="e">
        <f t="shared" si="87"/>
        <v>#DIV/0!</v>
      </c>
      <c r="AB152" s="54"/>
      <c r="AC152" s="61"/>
      <c r="AD152" s="24" t="e">
        <f t="shared" si="88"/>
        <v>#DIV/0!</v>
      </c>
      <c r="AE152" s="54"/>
      <c r="AF152" s="61"/>
      <c r="AG152" s="24" t="e">
        <f t="shared" si="91"/>
        <v>#DIV/0!</v>
      </c>
      <c r="AH152" s="54"/>
      <c r="AI152" s="61"/>
      <c r="AJ152" s="24" t="e">
        <f t="shared" si="92"/>
        <v>#DIV/0!</v>
      </c>
      <c r="AK152" s="54"/>
      <c r="AL152" s="61"/>
      <c r="AM152" s="24" t="e">
        <f t="shared" si="93"/>
        <v>#DIV/0!</v>
      </c>
      <c r="AN152" s="54"/>
      <c r="AO152" s="61">
        <f t="shared" si="95"/>
        <v>0.40169999999999995</v>
      </c>
      <c r="AP152" s="24">
        <f t="shared" si="90"/>
        <v>8.2116676410824599E-4</v>
      </c>
    </row>
    <row r="153" spans="1:42" outlineLevel="3">
      <c r="A153" s="42" t="s">
        <v>47</v>
      </c>
      <c r="B153" s="60">
        <v>6666020495</v>
      </c>
      <c r="C153" t="s">
        <v>78</v>
      </c>
      <c r="E153" s="61">
        <v>1.967E-2</v>
      </c>
      <c r="F153" s="24">
        <f t="shared" si="80"/>
        <v>2.0151417360748277E-4</v>
      </c>
      <c r="H153" s="61">
        <v>6.9320000000000007E-2</v>
      </c>
      <c r="I153" s="24">
        <f t="shared" si="81"/>
        <v>6.5215346115491009E-4</v>
      </c>
      <c r="K153" s="61">
        <v>6.2350000000000003E-2</v>
      </c>
      <c r="L153" s="24">
        <f t="shared" si="82"/>
        <v>5.8066979585754731E-4</v>
      </c>
      <c r="N153" s="61">
        <v>6.3450000000000006E-2</v>
      </c>
      <c r="O153" s="24">
        <f t="shared" si="83"/>
        <v>5.7488447947811911E-4</v>
      </c>
      <c r="P153" s="54"/>
      <c r="Q153" s="61">
        <v>9.3000000000000005E-4</v>
      </c>
      <c r="R153" s="24">
        <f t="shared" si="84"/>
        <v>1.3771453110423362E-5</v>
      </c>
      <c r="S153" s="54"/>
      <c r="T153" s="61"/>
      <c r="U153" s="24" t="e">
        <f t="shared" si="85"/>
        <v>#DIV/0!</v>
      </c>
      <c r="V153" s="54"/>
      <c r="W153" s="61"/>
      <c r="X153" s="24" t="e">
        <f t="shared" si="86"/>
        <v>#DIV/0!</v>
      </c>
      <c r="Y153" s="54"/>
      <c r="Z153" s="61"/>
      <c r="AA153" s="24" t="e">
        <f t="shared" si="87"/>
        <v>#DIV/0!</v>
      </c>
      <c r="AB153" s="54"/>
      <c r="AC153" s="61"/>
      <c r="AD153" s="24" t="e">
        <f t="shared" si="88"/>
        <v>#DIV/0!</v>
      </c>
      <c r="AE153" s="54"/>
      <c r="AF153" s="61"/>
      <c r="AG153" s="24" t="e">
        <f t="shared" si="91"/>
        <v>#DIV/0!</v>
      </c>
      <c r="AH153" s="54"/>
      <c r="AI153" s="61"/>
      <c r="AJ153" s="24" t="e">
        <f t="shared" si="92"/>
        <v>#DIV/0!</v>
      </c>
      <c r="AK153" s="54"/>
      <c r="AL153" s="61"/>
      <c r="AM153" s="24" t="e">
        <f t="shared" si="93"/>
        <v>#DIV/0!</v>
      </c>
      <c r="AN153" s="54"/>
      <c r="AO153" s="61">
        <f t="shared" si="95"/>
        <v>0.21572000000000002</v>
      </c>
      <c r="AP153" s="24">
        <f t="shared" si="90"/>
        <v>4.4098106635158293E-4</v>
      </c>
    </row>
    <row r="154" spans="1:42" outlineLevel="3">
      <c r="A154" s="42" t="s">
        <v>47</v>
      </c>
      <c r="B154" s="60">
        <v>5301060000</v>
      </c>
      <c r="C154" t="s">
        <v>60</v>
      </c>
      <c r="E154" s="61">
        <v>0</v>
      </c>
      <c r="F154" s="24">
        <f t="shared" si="80"/>
        <v>0</v>
      </c>
      <c r="H154" s="61">
        <v>0</v>
      </c>
      <c r="I154" s="24">
        <f t="shared" si="81"/>
        <v>0</v>
      </c>
      <c r="K154" s="61">
        <v>0</v>
      </c>
      <c r="L154" s="24">
        <f t="shared" si="82"/>
        <v>0</v>
      </c>
      <c r="N154" s="61">
        <v>0</v>
      </c>
      <c r="O154" s="24">
        <f t="shared" si="83"/>
        <v>0</v>
      </c>
      <c r="P154" s="54"/>
      <c r="Q154" s="61">
        <v>0</v>
      </c>
      <c r="R154" s="24">
        <f t="shared" si="84"/>
        <v>0</v>
      </c>
      <c r="S154" s="54"/>
      <c r="T154" s="61"/>
      <c r="U154" s="24" t="e">
        <f t="shared" si="85"/>
        <v>#DIV/0!</v>
      </c>
      <c r="V154" s="54"/>
      <c r="W154" s="61"/>
      <c r="X154" s="24" t="e">
        <f t="shared" si="86"/>
        <v>#DIV/0!</v>
      </c>
      <c r="Y154" s="54"/>
      <c r="Z154" s="61"/>
      <c r="AA154" s="24" t="e">
        <f t="shared" si="87"/>
        <v>#DIV/0!</v>
      </c>
      <c r="AB154" s="54"/>
      <c r="AC154" s="61"/>
      <c r="AD154" s="24" t="e">
        <f t="shared" si="88"/>
        <v>#DIV/0!</v>
      </c>
      <c r="AE154" s="54"/>
      <c r="AF154" s="61"/>
      <c r="AG154" s="24" t="e">
        <f t="shared" si="91"/>
        <v>#DIV/0!</v>
      </c>
      <c r="AH154" s="54"/>
      <c r="AI154" s="61"/>
      <c r="AJ154" s="24" t="e">
        <f t="shared" si="92"/>
        <v>#DIV/0!</v>
      </c>
      <c r="AK154" s="54"/>
      <c r="AL154" s="61"/>
      <c r="AM154" s="24" t="e">
        <f t="shared" si="93"/>
        <v>#DIV/0!</v>
      </c>
      <c r="AN154" s="54"/>
      <c r="AO154" s="61">
        <f t="shared" si="95"/>
        <v>0</v>
      </c>
      <c r="AP154" s="24">
        <f t="shared" si="90"/>
        <v>0</v>
      </c>
    </row>
    <row r="155" spans="1:42" outlineLevel="3">
      <c r="A155" s="42" t="s">
        <v>47</v>
      </c>
      <c r="B155" s="60">
        <v>5601050000</v>
      </c>
      <c r="C155" t="s">
        <v>63</v>
      </c>
      <c r="E155" s="61">
        <v>4.7400000000000003E-3</v>
      </c>
      <c r="F155" s="24">
        <f t="shared" si="80"/>
        <v>4.8560100808310541E-5</v>
      </c>
      <c r="H155" s="61">
        <v>0</v>
      </c>
      <c r="I155" s="24">
        <f t="shared" si="81"/>
        <v>0</v>
      </c>
      <c r="K155" s="61">
        <v>0</v>
      </c>
      <c r="L155" s="24">
        <f t="shared" si="82"/>
        <v>0</v>
      </c>
      <c r="N155" s="61">
        <v>0</v>
      </c>
      <c r="O155" s="24">
        <f t="shared" si="83"/>
        <v>0</v>
      </c>
      <c r="P155" s="54"/>
      <c r="Q155" s="61">
        <v>0</v>
      </c>
      <c r="R155" s="24">
        <f t="shared" si="84"/>
        <v>0</v>
      </c>
      <c r="S155" s="54"/>
      <c r="T155" s="61"/>
      <c r="U155" s="24" t="e">
        <f t="shared" si="85"/>
        <v>#DIV/0!</v>
      </c>
      <c r="V155" s="54"/>
      <c r="W155" s="61"/>
      <c r="X155" s="24" t="e">
        <f t="shared" si="86"/>
        <v>#DIV/0!</v>
      </c>
      <c r="Y155" s="54"/>
      <c r="Z155" s="61"/>
      <c r="AA155" s="24" t="e">
        <f t="shared" si="87"/>
        <v>#DIV/0!</v>
      </c>
      <c r="AB155" s="54"/>
      <c r="AC155" s="61"/>
      <c r="AD155" s="24" t="e">
        <f t="shared" si="88"/>
        <v>#DIV/0!</v>
      </c>
      <c r="AE155" s="54"/>
      <c r="AF155" s="61"/>
      <c r="AG155" s="24" t="e">
        <f t="shared" si="91"/>
        <v>#DIV/0!</v>
      </c>
      <c r="AH155" s="54"/>
      <c r="AI155" s="61"/>
      <c r="AJ155" s="24" t="e">
        <f t="shared" si="92"/>
        <v>#DIV/0!</v>
      </c>
      <c r="AK155" s="54"/>
      <c r="AL155" s="61"/>
      <c r="AM155" s="24" t="e">
        <f t="shared" si="93"/>
        <v>#DIV/0!</v>
      </c>
      <c r="AN155" s="54"/>
      <c r="AO155" s="61">
        <f t="shared" si="95"/>
        <v>4.7400000000000003E-3</v>
      </c>
      <c r="AP155" s="24">
        <f t="shared" si="90"/>
        <v>9.6896451627410662E-6</v>
      </c>
    </row>
    <row r="156" spans="1:42" outlineLevel="3">
      <c r="A156" s="42" t="s">
        <v>47</v>
      </c>
      <c r="B156" s="60">
        <v>5601050100</v>
      </c>
      <c r="C156" t="s">
        <v>64</v>
      </c>
      <c r="E156" s="61">
        <v>0</v>
      </c>
      <c r="F156" s="24">
        <f t="shared" si="80"/>
        <v>0</v>
      </c>
      <c r="H156" s="61">
        <v>-2.6341600000000001</v>
      </c>
      <c r="I156" s="24">
        <f t="shared" si="81"/>
        <v>-2.4781831523886581E-2</v>
      </c>
      <c r="K156" s="61">
        <v>0.17216000000000001</v>
      </c>
      <c r="L156" s="24">
        <f t="shared" si="82"/>
        <v>1.6033378036060201E-3</v>
      </c>
      <c r="N156" s="61">
        <v>2.8176100000000002</v>
      </c>
      <c r="O156" s="24">
        <f t="shared" si="83"/>
        <v>2.5528766875056629E-2</v>
      </c>
      <c r="P156" s="54"/>
      <c r="Q156" s="61">
        <v>57.010460000000002</v>
      </c>
      <c r="R156" s="24">
        <f t="shared" si="84"/>
        <v>0.84421169536953411</v>
      </c>
      <c r="S156" s="54"/>
      <c r="T156" s="61"/>
      <c r="U156" s="24" t="e">
        <f t="shared" si="85"/>
        <v>#DIV/0!</v>
      </c>
      <c r="V156" s="54"/>
      <c r="W156" s="61"/>
      <c r="X156" s="24" t="e">
        <f t="shared" si="86"/>
        <v>#DIV/0!</v>
      </c>
      <c r="Y156" s="54"/>
      <c r="Z156" s="61"/>
      <c r="AA156" s="24" t="e">
        <f t="shared" si="87"/>
        <v>#DIV/0!</v>
      </c>
      <c r="AB156" s="54"/>
      <c r="AC156" s="61"/>
      <c r="AD156" s="24" t="e">
        <f t="shared" si="88"/>
        <v>#DIV/0!</v>
      </c>
      <c r="AE156" s="54"/>
      <c r="AF156" s="61"/>
      <c r="AG156" s="24" t="e">
        <f t="shared" si="91"/>
        <v>#DIV/0!</v>
      </c>
      <c r="AH156" s="54"/>
      <c r="AI156" s="61"/>
      <c r="AJ156" s="24" t="e">
        <f t="shared" si="92"/>
        <v>#DIV/0!</v>
      </c>
      <c r="AK156" s="54"/>
      <c r="AL156" s="61"/>
      <c r="AM156" s="24" t="e">
        <f t="shared" si="93"/>
        <v>#DIV/0!</v>
      </c>
      <c r="AN156" s="54"/>
      <c r="AO156" s="61">
        <f t="shared" si="95"/>
        <v>57.366070000000001</v>
      </c>
      <c r="AP156" s="24">
        <f t="shared" si="90"/>
        <v>0.11726938031243996</v>
      </c>
    </row>
    <row r="157" spans="1:42">
      <c r="A157" s="42" t="s">
        <v>47</v>
      </c>
      <c r="B157" s="60">
        <v>5601080000</v>
      </c>
      <c r="C157" t="s">
        <v>158</v>
      </c>
      <c r="E157" s="61">
        <v>0.86776999999999993</v>
      </c>
      <c r="F157" s="24">
        <f t="shared" si="80"/>
        <v>8.8900841093729182E-3</v>
      </c>
      <c r="H157" s="61">
        <v>0</v>
      </c>
      <c r="I157" s="24">
        <f t="shared" si="81"/>
        <v>0</v>
      </c>
      <c r="K157" s="61">
        <v>0.62572000000000005</v>
      </c>
      <c r="L157" s="24">
        <f t="shared" si="82"/>
        <v>5.8273729697511552E-3</v>
      </c>
      <c r="N157" s="61">
        <v>0</v>
      </c>
      <c r="O157" s="24">
        <f t="shared" si="83"/>
        <v>0</v>
      </c>
      <c r="P157" s="54"/>
      <c r="Q157" s="61">
        <v>0</v>
      </c>
      <c r="R157" s="24">
        <f t="shared" si="84"/>
        <v>0</v>
      </c>
      <c r="S157" s="54"/>
      <c r="T157" s="61"/>
      <c r="U157" s="24" t="e">
        <f t="shared" si="85"/>
        <v>#DIV/0!</v>
      </c>
      <c r="V157" s="54"/>
      <c r="W157" s="61"/>
      <c r="X157" s="24" t="e">
        <f t="shared" si="86"/>
        <v>#DIV/0!</v>
      </c>
      <c r="Y157" s="54"/>
      <c r="Z157" s="61"/>
      <c r="AA157" s="24" t="e">
        <f t="shared" si="87"/>
        <v>#DIV/0!</v>
      </c>
      <c r="AB157" s="54"/>
      <c r="AC157" s="61"/>
      <c r="AD157" s="24" t="e">
        <f t="shared" si="88"/>
        <v>#DIV/0!</v>
      </c>
      <c r="AE157" s="54"/>
      <c r="AF157" s="61"/>
      <c r="AG157" s="24" t="e">
        <f t="shared" si="91"/>
        <v>#DIV/0!</v>
      </c>
      <c r="AH157" s="54"/>
      <c r="AI157" s="61"/>
      <c r="AJ157" s="24" t="e">
        <f t="shared" si="92"/>
        <v>#DIV/0!</v>
      </c>
      <c r="AK157" s="54"/>
      <c r="AL157" s="61"/>
      <c r="AM157" s="24" t="e">
        <f t="shared" si="93"/>
        <v>#DIV/0!</v>
      </c>
      <c r="AN157" s="54"/>
      <c r="AO157" s="61">
        <f t="shared" si="95"/>
        <v>1.49349</v>
      </c>
      <c r="AP157" s="24">
        <f t="shared" si="90"/>
        <v>3.0530354755489778E-3</v>
      </c>
    </row>
    <row r="158" spans="1:42">
      <c r="A158" s="42" t="s">
        <v>47</v>
      </c>
      <c r="B158" s="60">
        <v>6666020101</v>
      </c>
      <c r="C158" t="s">
        <v>68</v>
      </c>
      <c r="E158" s="61">
        <v>0</v>
      </c>
      <c r="F158" s="24">
        <f t="shared" si="80"/>
        <v>0</v>
      </c>
      <c r="H158" s="61">
        <v>0.34688999999999998</v>
      </c>
      <c r="I158" s="24">
        <f t="shared" si="81"/>
        <v>3.2634955877095598E-3</v>
      </c>
      <c r="K158" s="61">
        <v>1.5001600000000002</v>
      </c>
      <c r="L158" s="24">
        <f t="shared" si="82"/>
        <v>1.3971092236626435E-2</v>
      </c>
      <c r="N158" s="61">
        <v>0.53949000000000003</v>
      </c>
      <c r="O158" s="24">
        <f t="shared" si="83"/>
        <v>4.8880130470236481E-3</v>
      </c>
      <c r="P158" s="54"/>
      <c r="Q158" s="61">
        <v>6.0649999999999996E-2</v>
      </c>
      <c r="R158" s="24">
        <f t="shared" si="84"/>
        <v>8.9810605499696431E-4</v>
      </c>
      <c r="S158" s="54"/>
      <c r="T158" s="61"/>
      <c r="U158" s="24" t="e">
        <f t="shared" si="85"/>
        <v>#DIV/0!</v>
      </c>
      <c r="V158" s="54"/>
      <c r="W158" s="61"/>
      <c r="X158" s="24" t="e">
        <f t="shared" si="86"/>
        <v>#DIV/0!</v>
      </c>
      <c r="Y158" s="54"/>
      <c r="Z158" s="61"/>
      <c r="AA158" s="24" t="e">
        <f t="shared" si="87"/>
        <v>#DIV/0!</v>
      </c>
      <c r="AB158" s="54"/>
      <c r="AC158" s="61"/>
      <c r="AD158" s="24" t="e">
        <f t="shared" si="88"/>
        <v>#DIV/0!</v>
      </c>
      <c r="AE158" s="54"/>
      <c r="AF158" s="61"/>
      <c r="AG158" s="24" t="e">
        <f t="shared" si="91"/>
        <v>#DIV/0!</v>
      </c>
      <c r="AH158" s="54"/>
      <c r="AI158" s="61"/>
      <c r="AJ158" s="24" t="e">
        <f t="shared" si="92"/>
        <v>#DIV/0!</v>
      </c>
      <c r="AK158" s="54"/>
      <c r="AL158" s="61"/>
      <c r="AM158" s="24" t="e">
        <f t="shared" si="93"/>
        <v>#DIV/0!</v>
      </c>
      <c r="AN158" s="54"/>
      <c r="AO158" s="61">
        <f t="shared" si="95"/>
        <v>2.44719</v>
      </c>
      <c r="AP158" s="24">
        <f t="shared" si="90"/>
        <v>5.002616613039728E-3</v>
      </c>
    </row>
    <row r="159" spans="1:42" outlineLevel="1">
      <c r="A159" s="42" t="s">
        <v>47</v>
      </c>
      <c r="B159" s="60">
        <v>6666020201</v>
      </c>
      <c r="C159" t="s">
        <v>69</v>
      </c>
      <c r="E159" s="61">
        <v>1.142E-2</v>
      </c>
      <c r="F159" s="24">
        <f t="shared" si="80"/>
        <v>1.1699501080820809E-4</v>
      </c>
      <c r="H159" s="61">
        <v>8.7650000000000006E-2</v>
      </c>
      <c r="I159" s="24">
        <f t="shared" si="81"/>
        <v>8.2459969518505283E-4</v>
      </c>
      <c r="K159" s="61">
        <v>5.3E-3</v>
      </c>
      <c r="L159" s="24">
        <f t="shared" si="82"/>
        <v>4.9359260914915812E-5</v>
      </c>
      <c r="N159" s="61">
        <v>6.25E-2</v>
      </c>
      <c r="O159" s="24">
        <f t="shared" si="83"/>
        <v>5.6627706804385247E-4</v>
      </c>
      <c r="P159" s="54"/>
      <c r="Q159" s="61">
        <v>0.27435999999999999</v>
      </c>
      <c r="R159" s="24">
        <f t="shared" si="84"/>
        <v>4.0627267477158641E-3</v>
      </c>
      <c r="S159" s="54"/>
      <c r="T159" s="61"/>
      <c r="U159" s="24" t="e">
        <f t="shared" si="85"/>
        <v>#DIV/0!</v>
      </c>
      <c r="V159" s="54"/>
      <c r="W159" s="61"/>
      <c r="X159" s="24" t="e">
        <f t="shared" si="86"/>
        <v>#DIV/0!</v>
      </c>
      <c r="Y159" s="54"/>
      <c r="Z159" s="61"/>
      <c r="AA159" s="24" t="e">
        <f t="shared" si="87"/>
        <v>#DIV/0!</v>
      </c>
      <c r="AB159" s="54"/>
      <c r="AC159" s="61"/>
      <c r="AD159" s="24" t="e">
        <f t="shared" si="88"/>
        <v>#DIV/0!</v>
      </c>
      <c r="AE159" s="54"/>
      <c r="AF159" s="61"/>
      <c r="AG159" s="24" t="e">
        <f t="shared" si="91"/>
        <v>#DIV/0!</v>
      </c>
      <c r="AH159" s="54"/>
      <c r="AI159" s="61"/>
      <c r="AJ159" s="24" t="e">
        <f t="shared" si="92"/>
        <v>#DIV/0!</v>
      </c>
      <c r="AK159" s="54"/>
      <c r="AL159" s="61"/>
      <c r="AM159" s="24" t="e">
        <f t="shared" si="93"/>
        <v>#DIV/0!</v>
      </c>
      <c r="AN159" s="54"/>
      <c r="AO159" s="61">
        <f t="shared" si="95"/>
        <v>0.44123000000000001</v>
      </c>
      <c r="AP159" s="24">
        <f t="shared" si="90"/>
        <v>9.0197513399920687E-4</v>
      </c>
    </row>
    <row r="160" spans="1:42" outlineLevel="1">
      <c r="A160" s="42" t="s">
        <v>47</v>
      </c>
      <c r="B160" s="60">
        <v>6666020202</v>
      </c>
      <c r="C160" t="s">
        <v>70</v>
      </c>
      <c r="E160" s="61">
        <v>0</v>
      </c>
      <c r="F160" s="24">
        <f t="shared" si="80"/>
        <v>0</v>
      </c>
      <c r="H160" s="61">
        <v>0</v>
      </c>
      <c r="I160" s="24">
        <f t="shared" si="81"/>
        <v>0</v>
      </c>
      <c r="K160" s="61">
        <v>0</v>
      </c>
      <c r="L160" s="24">
        <f t="shared" si="82"/>
        <v>0</v>
      </c>
      <c r="N160" s="61">
        <v>0</v>
      </c>
      <c r="O160" s="24">
        <f t="shared" si="83"/>
        <v>0</v>
      </c>
      <c r="P160" s="54"/>
      <c r="Q160" s="61">
        <v>0</v>
      </c>
      <c r="R160" s="24">
        <f t="shared" si="84"/>
        <v>0</v>
      </c>
      <c r="S160" s="54"/>
      <c r="T160" s="61"/>
      <c r="U160" s="24"/>
      <c r="V160" s="54"/>
      <c r="W160" s="61"/>
      <c r="X160" s="24"/>
      <c r="Y160" s="54"/>
      <c r="Z160" s="61"/>
      <c r="AA160" s="24"/>
      <c r="AB160" s="54"/>
      <c r="AC160" s="61"/>
      <c r="AD160" s="24" t="e">
        <f t="shared" si="88"/>
        <v>#DIV/0!</v>
      </c>
      <c r="AE160" s="54"/>
      <c r="AF160" s="61"/>
      <c r="AG160" s="24" t="e">
        <f t="shared" si="91"/>
        <v>#DIV/0!</v>
      </c>
      <c r="AH160" s="54"/>
      <c r="AI160" s="61"/>
      <c r="AJ160" s="24" t="e">
        <f t="shared" si="92"/>
        <v>#DIV/0!</v>
      </c>
      <c r="AK160" s="54"/>
      <c r="AL160" s="61"/>
      <c r="AM160" s="24" t="e">
        <f t="shared" si="93"/>
        <v>#DIV/0!</v>
      </c>
      <c r="AN160" s="54"/>
      <c r="AO160" s="61">
        <f t="shared" si="95"/>
        <v>0</v>
      </c>
      <c r="AP160" s="24">
        <f t="shared" si="90"/>
        <v>0</v>
      </c>
    </row>
    <row r="161" spans="1:42" outlineLevel="1">
      <c r="A161" s="42" t="s">
        <v>47</v>
      </c>
      <c r="B161" s="60">
        <v>6666020204</v>
      </c>
      <c r="C161" t="s">
        <v>71</v>
      </c>
      <c r="E161" s="61">
        <v>0.12988999999999998</v>
      </c>
      <c r="F161" s="24">
        <f t="shared" si="80"/>
        <v>1.3306901886057923E-3</v>
      </c>
      <c r="H161" s="61">
        <v>1.6529500000000001</v>
      </c>
      <c r="I161" s="24">
        <f t="shared" si="81"/>
        <v>1.5550736636122454E-2</v>
      </c>
      <c r="K161" s="61">
        <v>-0.95596999999999999</v>
      </c>
      <c r="L161" s="24">
        <f t="shared" si="82"/>
        <v>-8.9030137088362393E-3</v>
      </c>
      <c r="N161" s="61">
        <v>4.4670000000000001E-2</v>
      </c>
      <c r="O161" s="24">
        <f t="shared" si="83"/>
        <v>4.0472954607230222E-4</v>
      </c>
      <c r="P161" s="54"/>
      <c r="Q161" s="61">
        <v>1.349E-2</v>
      </c>
      <c r="R161" s="24">
        <f t="shared" si="84"/>
        <v>1.9976011017162489E-4</v>
      </c>
      <c r="S161" s="54"/>
      <c r="T161" s="61"/>
      <c r="U161" s="24" t="e">
        <f t="shared" si="85"/>
        <v>#DIV/0!</v>
      </c>
      <c r="V161" s="54"/>
      <c r="W161" s="61"/>
      <c r="X161" s="24" t="e">
        <f t="shared" si="86"/>
        <v>#DIV/0!</v>
      </c>
      <c r="Y161" s="54"/>
      <c r="Z161" s="61"/>
      <c r="AA161" s="24" t="e">
        <f t="shared" si="87"/>
        <v>#DIV/0!</v>
      </c>
      <c r="AB161" s="54"/>
      <c r="AC161" s="61"/>
      <c r="AD161" s="24" t="e">
        <f t="shared" si="88"/>
        <v>#DIV/0!</v>
      </c>
      <c r="AE161" s="54"/>
      <c r="AF161" s="61"/>
      <c r="AG161" s="24" t="e">
        <f t="shared" si="91"/>
        <v>#DIV/0!</v>
      </c>
      <c r="AH161" s="54"/>
      <c r="AI161" s="61"/>
      <c r="AJ161" s="24" t="e">
        <f t="shared" si="92"/>
        <v>#DIV/0!</v>
      </c>
      <c r="AK161" s="54"/>
      <c r="AL161" s="61"/>
      <c r="AM161" s="24" t="e">
        <f t="shared" si="93"/>
        <v>#DIV/0!</v>
      </c>
      <c r="AN161" s="54"/>
      <c r="AO161" s="61">
        <f t="shared" si="95"/>
        <v>0.88503000000000021</v>
      </c>
      <c r="AP161" s="24">
        <f t="shared" si="90"/>
        <v>1.8092039363672421E-3</v>
      </c>
    </row>
    <row r="162" spans="1:42" outlineLevel="1">
      <c r="A162" s="42" t="s">
        <v>47</v>
      </c>
      <c r="B162" s="60">
        <v>6666020301</v>
      </c>
      <c r="C162" t="s">
        <v>159</v>
      </c>
      <c r="E162" s="61">
        <v>1.5769999999999999E-2</v>
      </c>
      <c r="F162" s="24">
        <f t="shared" si="80"/>
        <v>1.6155966028418928E-4</v>
      </c>
      <c r="H162" s="61">
        <v>6.1460000000000001E-2</v>
      </c>
      <c r="I162" s="24">
        <f t="shared" si="81"/>
        <v>5.7820761284738554E-4</v>
      </c>
      <c r="K162" s="61">
        <v>0.13957</v>
      </c>
      <c r="L162" s="24">
        <f t="shared" si="82"/>
        <v>1.2998249143197735E-3</v>
      </c>
      <c r="N162" s="61">
        <v>0.12806999999999999</v>
      </c>
      <c r="O162" s="24">
        <f t="shared" si="83"/>
        <v>1.1603696656700187E-3</v>
      </c>
      <c r="P162" s="54"/>
      <c r="Q162" s="61">
        <v>-5.5920000000000004E-2</v>
      </c>
      <c r="R162" s="24">
        <f t="shared" si="84"/>
        <v>-8.2806414831706923E-4</v>
      </c>
      <c r="S162" s="54"/>
      <c r="T162" s="61"/>
      <c r="U162" s="24" t="e">
        <f t="shared" si="85"/>
        <v>#DIV/0!</v>
      </c>
      <c r="V162" s="54"/>
      <c r="W162" s="61"/>
      <c r="X162" s="24" t="e">
        <f t="shared" si="86"/>
        <v>#DIV/0!</v>
      </c>
      <c r="Y162" s="54"/>
      <c r="Z162" s="61"/>
      <c r="AA162" s="24" t="e">
        <f t="shared" si="87"/>
        <v>#DIV/0!</v>
      </c>
      <c r="AB162" s="54"/>
      <c r="AC162" s="61"/>
      <c r="AD162" s="24" t="e">
        <f t="shared" si="88"/>
        <v>#DIV/0!</v>
      </c>
      <c r="AE162" s="54"/>
      <c r="AF162" s="61"/>
      <c r="AG162" s="24" t="e">
        <f t="shared" si="91"/>
        <v>#DIV/0!</v>
      </c>
      <c r="AH162" s="54"/>
      <c r="AI162" s="61"/>
      <c r="AJ162" s="24" t="e">
        <f t="shared" si="92"/>
        <v>#DIV/0!</v>
      </c>
      <c r="AK162" s="54"/>
      <c r="AL162" s="61"/>
      <c r="AM162" s="24" t="e">
        <f t="shared" si="93"/>
        <v>#DIV/0!</v>
      </c>
      <c r="AN162" s="54"/>
      <c r="AO162" s="61">
        <f t="shared" si="95"/>
        <v>0.28894999999999998</v>
      </c>
      <c r="AP162" s="24">
        <f t="shared" si="90"/>
        <v>5.9067995142912048E-4</v>
      </c>
    </row>
    <row r="163" spans="1:42" outlineLevel="1">
      <c r="A163" s="42" t="s">
        <v>47</v>
      </c>
      <c r="B163" s="60">
        <v>6666020403</v>
      </c>
      <c r="C163" t="s">
        <v>76</v>
      </c>
      <c r="E163" s="61">
        <v>0</v>
      </c>
      <c r="F163" s="24">
        <f t="shared" si="80"/>
        <v>0</v>
      </c>
      <c r="H163" s="61">
        <v>0</v>
      </c>
      <c r="I163" s="24">
        <f t="shared" si="81"/>
        <v>0</v>
      </c>
      <c r="K163" s="61">
        <v>0</v>
      </c>
      <c r="L163" s="24">
        <f t="shared" si="82"/>
        <v>0</v>
      </c>
      <c r="N163" s="61">
        <v>0</v>
      </c>
      <c r="O163" s="24">
        <f t="shared" si="83"/>
        <v>0</v>
      </c>
      <c r="P163" s="54"/>
      <c r="Q163" s="61">
        <v>0</v>
      </c>
      <c r="R163" s="24">
        <f t="shared" si="84"/>
        <v>0</v>
      </c>
      <c r="S163" s="54"/>
      <c r="T163" s="61"/>
      <c r="U163" s="24" t="e">
        <f t="shared" si="85"/>
        <v>#DIV/0!</v>
      </c>
      <c r="V163" s="54"/>
      <c r="W163" s="61"/>
      <c r="X163" s="24" t="e">
        <f t="shared" si="86"/>
        <v>#DIV/0!</v>
      </c>
      <c r="Y163" s="54"/>
      <c r="Z163" s="61"/>
      <c r="AA163" s="24" t="e">
        <f t="shared" si="87"/>
        <v>#DIV/0!</v>
      </c>
      <c r="AB163" s="54"/>
      <c r="AC163" s="61"/>
      <c r="AD163" s="24" t="e">
        <f t="shared" si="88"/>
        <v>#DIV/0!</v>
      </c>
      <c r="AE163" s="54"/>
      <c r="AF163" s="61"/>
      <c r="AG163" s="24" t="e">
        <f t="shared" si="91"/>
        <v>#DIV/0!</v>
      </c>
      <c r="AH163" s="54"/>
      <c r="AI163" s="61"/>
      <c r="AJ163" s="24" t="e">
        <f t="shared" si="92"/>
        <v>#DIV/0!</v>
      </c>
      <c r="AK163" s="54"/>
      <c r="AL163" s="61"/>
      <c r="AM163" s="24" t="e">
        <f t="shared" si="93"/>
        <v>#DIV/0!</v>
      </c>
      <c r="AN163" s="54"/>
      <c r="AO163" s="61">
        <f t="shared" si="95"/>
        <v>0</v>
      </c>
      <c r="AP163" s="24">
        <f t="shared" si="90"/>
        <v>0</v>
      </c>
    </row>
    <row r="164" spans="1:42" outlineLevel="1">
      <c r="A164" s="42" t="s">
        <v>47</v>
      </c>
      <c r="B164" s="60">
        <v>6666020504</v>
      </c>
      <c r="C164" s="43" t="s">
        <v>79</v>
      </c>
      <c r="E164" s="61">
        <v>0</v>
      </c>
      <c r="F164" s="24">
        <f t="shared" si="80"/>
        <v>0</v>
      </c>
      <c r="H164" s="61">
        <v>0</v>
      </c>
      <c r="I164" s="24">
        <f t="shared" si="81"/>
        <v>0</v>
      </c>
      <c r="K164" s="61">
        <v>0</v>
      </c>
      <c r="L164" s="24">
        <f t="shared" si="82"/>
        <v>0</v>
      </c>
      <c r="N164" s="61">
        <v>0</v>
      </c>
      <c r="O164" s="24">
        <f t="shared" si="83"/>
        <v>0</v>
      </c>
      <c r="P164" s="54"/>
      <c r="Q164" s="61">
        <v>0</v>
      </c>
      <c r="R164" s="24">
        <f t="shared" si="84"/>
        <v>0</v>
      </c>
      <c r="S164" s="54"/>
      <c r="T164" s="61"/>
      <c r="U164" s="24"/>
      <c r="V164" s="54"/>
      <c r="W164" s="61"/>
      <c r="X164" s="24"/>
      <c r="Y164" s="54"/>
      <c r="Z164" s="61"/>
      <c r="AA164" s="24"/>
      <c r="AB164" s="54"/>
      <c r="AC164" s="61"/>
      <c r="AD164" s="24" t="e">
        <f t="shared" si="88"/>
        <v>#DIV/0!</v>
      </c>
      <c r="AE164" s="54"/>
      <c r="AF164" s="61"/>
      <c r="AG164" s="24" t="e">
        <f t="shared" si="91"/>
        <v>#DIV/0!</v>
      </c>
      <c r="AH164" s="54"/>
      <c r="AI164" s="61"/>
      <c r="AJ164" s="24" t="e">
        <f t="shared" si="92"/>
        <v>#DIV/0!</v>
      </c>
      <c r="AK164" s="54"/>
      <c r="AL164" s="61"/>
      <c r="AM164" s="24" t="e">
        <f t="shared" si="93"/>
        <v>#DIV/0!</v>
      </c>
      <c r="AN164" s="54"/>
      <c r="AO164" s="61">
        <f t="shared" si="95"/>
        <v>0</v>
      </c>
      <c r="AP164" s="24">
        <f t="shared" si="90"/>
        <v>0</v>
      </c>
    </row>
    <row r="165" spans="1:42" outlineLevel="1">
      <c r="A165" s="42" t="s">
        <v>47</v>
      </c>
      <c r="B165" s="60">
        <v>6666020508</v>
      </c>
      <c r="C165" t="s">
        <v>80</v>
      </c>
      <c r="E165" s="61">
        <v>1.7850000000000001E-2</v>
      </c>
      <c r="F165" s="24">
        <f t="shared" si="80"/>
        <v>1.8286873405661249E-4</v>
      </c>
      <c r="H165" s="61">
        <v>6.2590000000000007E-2</v>
      </c>
      <c r="I165" s="24">
        <f t="shared" si="81"/>
        <v>5.8883850452518492E-4</v>
      </c>
      <c r="K165" s="61">
        <v>-1.047E-2</v>
      </c>
      <c r="L165" s="24">
        <f t="shared" si="82"/>
        <v>-9.7507822977201618E-5</v>
      </c>
      <c r="N165" s="61">
        <v>9.3140000000000001E-2</v>
      </c>
      <c r="O165" s="24">
        <f t="shared" si="83"/>
        <v>8.438887378816708E-4</v>
      </c>
      <c r="P165" s="54"/>
      <c r="Q165" s="61">
        <v>-1.3799999999999999E-3</v>
      </c>
      <c r="R165" s="24">
        <f t="shared" si="84"/>
        <v>-2.0435059454176601E-5</v>
      </c>
      <c r="S165" s="54"/>
      <c r="T165" s="61"/>
      <c r="U165" s="24" t="e">
        <f t="shared" si="85"/>
        <v>#DIV/0!</v>
      </c>
      <c r="V165" s="54"/>
      <c r="W165" s="61"/>
      <c r="X165" s="24" t="e">
        <f t="shared" si="86"/>
        <v>#DIV/0!</v>
      </c>
      <c r="Y165" s="54"/>
      <c r="Z165" s="61"/>
      <c r="AA165" s="24" t="e">
        <f t="shared" si="87"/>
        <v>#DIV/0!</v>
      </c>
      <c r="AB165" s="54"/>
      <c r="AC165" s="61"/>
      <c r="AD165" s="24" t="e">
        <f t="shared" si="88"/>
        <v>#DIV/0!</v>
      </c>
      <c r="AE165" s="54"/>
      <c r="AF165" s="61"/>
      <c r="AG165" s="24" t="e">
        <f t="shared" si="91"/>
        <v>#DIV/0!</v>
      </c>
      <c r="AH165" s="54"/>
      <c r="AI165" s="61"/>
      <c r="AJ165" s="24" t="e">
        <f t="shared" si="92"/>
        <v>#DIV/0!</v>
      </c>
      <c r="AK165" s="54"/>
      <c r="AL165" s="61"/>
      <c r="AM165" s="24" t="e">
        <f t="shared" si="93"/>
        <v>#DIV/0!</v>
      </c>
      <c r="AN165" s="54"/>
      <c r="AO165" s="61">
        <f t="shared" si="95"/>
        <v>0.16173000000000001</v>
      </c>
      <c r="AP165" s="24">
        <f t="shared" si="90"/>
        <v>3.3061314602744995E-4</v>
      </c>
    </row>
    <row r="166" spans="1:42" outlineLevel="1">
      <c r="A166" s="42" t="s">
        <v>47</v>
      </c>
      <c r="B166" s="60">
        <v>6666020602</v>
      </c>
      <c r="C166" t="s">
        <v>81</v>
      </c>
      <c r="E166" s="61">
        <v>-2.3399999999999997E-2</v>
      </c>
      <c r="F166" s="24">
        <f t="shared" si="80"/>
        <v>-2.3972707993976086E-4</v>
      </c>
      <c r="H166" s="61">
        <v>0</v>
      </c>
      <c r="I166" s="24">
        <f t="shared" si="81"/>
        <v>0</v>
      </c>
      <c r="K166" s="61">
        <v>0</v>
      </c>
      <c r="L166" s="24">
        <f t="shared" si="82"/>
        <v>0</v>
      </c>
      <c r="N166" s="61">
        <v>0</v>
      </c>
      <c r="O166" s="24">
        <f t="shared" si="83"/>
        <v>0</v>
      </c>
      <c r="P166" s="54"/>
      <c r="Q166" s="61">
        <v>0</v>
      </c>
      <c r="R166" s="24">
        <f t="shared" si="84"/>
        <v>0</v>
      </c>
      <c r="S166" s="54"/>
      <c r="T166" s="61"/>
      <c r="U166" s="24" t="e">
        <f t="shared" si="85"/>
        <v>#DIV/0!</v>
      </c>
      <c r="V166" s="54"/>
      <c r="W166" s="61"/>
      <c r="X166" s="24" t="e">
        <f t="shared" si="86"/>
        <v>#DIV/0!</v>
      </c>
      <c r="Y166" s="54"/>
      <c r="Z166" s="61"/>
      <c r="AA166" s="24" t="e">
        <f t="shared" si="87"/>
        <v>#DIV/0!</v>
      </c>
      <c r="AB166" s="54"/>
      <c r="AC166" s="61"/>
      <c r="AD166" s="24" t="e">
        <f t="shared" si="88"/>
        <v>#DIV/0!</v>
      </c>
      <c r="AE166" s="54"/>
      <c r="AF166" s="61"/>
      <c r="AG166" s="24" t="e">
        <f t="shared" si="91"/>
        <v>#DIV/0!</v>
      </c>
      <c r="AH166" s="54"/>
      <c r="AI166" s="61"/>
      <c r="AJ166" s="24" t="e">
        <f t="shared" si="92"/>
        <v>#DIV/0!</v>
      </c>
      <c r="AK166" s="54"/>
      <c r="AL166" s="61"/>
      <c r="AM166" s="24" t="e">
        <f t="shared" si="93"/>
        <v>#DIV/0!</v>
      </c>
      <c r="AN166" s="54"/>
      <c r="AO166" s="61">
        <f t="shared" si="95"/>
        <v>-2.3399999999999997E-2</v>
      </c>
      <c r="AP166" s="24">
        <f t="shared" si="90"/>
        <v>-4.783495713251918E-5</v>
      </c>
    </row>
    <row r="167" spans="1:42">
      <c r="A167" s="42" t="s">
        <v>47</v>
      </c>
      <c r="B167" s="60">
        <v>6666020701</v>
      </c>
      <c r="C167" t="s">
        <v>82</v>
      </c>
      <c r="E167" s="61">
        <v>20.137250000000002</v>
      </c>
      <c r="F167" s="24">
        <f t="shared" si="80"/>
        <v>0.20630103164602351</v>
      </c>
      <c r="H167" s="61">
        <v>20.227959999999999</v>
      </c>
      <c r="I167" s="24">
        <f t="shared" si="81"/>
        <v>0.19030199258659944</v>
      </c>
      <c r="K167" s="61">
        <v>20.18261</v>
      </c>
      <c r="L167" s="24">
        <f t="shared" si="82"/>
        <v>0.18796202130829981</v>
      </c>
      <c r="N167" s="61">
        <v>20.18262</v>
      </c>
      <c r="O167" s="24">
        <f t="shared" si="83"/>
        <v>0.18286327806469149</v>
      </c>
      <c r="P167" s="54"/>
      <c r="Q167" s="61">
        <v>20.18261</v>
      </c>
      <c r="R167" s="24">
        <f t="shared" si="84"/>
        <v>0.29886437339888344</v>
      </c>
      <c r="S167" s="54"/>
      <c r="T167" s="61"/>
      <c r="U167" s="24" t="e">
        <f t="shared" si="85"/>
        <v>#DIV/0!</v>
      </c>
      <c r="V167" s="54"/>
      <c r="W167" s="61"/>
      <c r="X167" s="24" t="e">
        <f t="shared" si="86"/>
        <v>#DIV/0!</v>
      </c>
      <c r="Y167" s="54"/>
      <c r="Z167" s="61"/>
      <c r="AA167" s="24" t="e">
        <f t="shared" si="87"/>
        <v>#DIV/0!</v>
      </c>
      <c r="AB167" s="54"/>
      <c r="AC167" s="61"/>
      <c r="AD167" s="24" t="e">
        <f t="shared" si="88"/>
        <v>#DIV/0!</v>
      </c>
      <c r="AE167" s="54"/>
      <c r="AF167" s="61"/>
      <c r="AG167" s="24" t="e">
        <f t="shared" si="91"/>
        <v>#DIV/0!</v>
      </c>
      <c r="AH167" s="54"/>
      <c r="AI167" s="61"/>
      <c r="AJ167" s="24" t="e">
        <f t="shared" si="92"/>
        <v>#DIV/0!</v>
      </c>
      <c r="AK167" s="54"/>
      <c r="AL167" s="61"/>
      <c r="AM167" s="24" t="e">
        <f t="shared" si="93"/>
        <v>#DIV/0!</v>
      </c>
      <c r="AN167" s="54"/>
      <c r="AO167" s="61">
        <f t="shared" si="95"/>
        <v>100.91305</v>
      </c>
      <c r="AP167" s="24">
        <f t="shared" si="90"/>
        <v>0.20628937695990449</v>
      </c>
    </row>
    <row r="168" spans="1:42">
      <c r="A168" s="42" t="s">
        <v>47</v>
      </c>
      <c r="B168" s="60">
        <v>6666020801</v>
      </c>
      <c r="C168" t="s">
        <v>160</v>
      </c>
      <c r="E168" s="61">
        <v>2.9079999999999998E-2</v>
      </c>
      <c r="F168" s="24">
        <f t="shared" si="80"/>
        <v>2.9791724293368573E-4</v>
      </c>
      <c r="H168" s="61">
        <v>0.44198000000000004</v>
      </c>
      <c r="I168" s="24">
        <f t="shared" si="81"/>
        <v>4.1580898263307436E-3</v>
      </c>
      <c r="K168" s="61">
        <v>-0.12487000000000001</v>
      </c>
      <c r="L168" s="24">
        <f t="shared" si="82"/>
        <v>-1.162922813291611E-3</v>
      </c>
      <c r="N168" s="61">
        <v>0</v>
      </c>
      <c r="O168" s="24">
        <f t="shared" si="83"/>
        <v>0</v>
      </c>
      <c r="P168" s="54"/>
      <c r="Q168" s="61">
        <v>0</v>
      </c>
      <c r="R168" s="24">
        <f t="shared" si="84"/>
        <v>0</v>
      </c>
      <c r="S168" s="54"/>
      <c r="T168" s="61"/>
      <c r="U168" s="24" t="e">
        <f t="shared" si="85"/>
        <v>#DIV/0!</v>
      </c>
      <c r="V168" s="54"/>
      <c r="W168" s="61"/>
      <c r="X168" s="24" t="e">
        <f t="shared" si="86"/>
        <v>#DIV/0!</v>
      </c>
      <c r="Y168" s="54"/>
      <c r="Z168" s="61"/>
      <c r="AA168" s="24" t="e">
        <f t="shared" si="87"/>
        <v>#DIV/0!</v>
      </c>
      <c r="AB168" s="54"/>
      <c r="AC168" s="61"/>
      <c r="AD168" s="24" t="e">
        <f t="shared" si="88"/>
        <v>#DIV/0!</v>
      </c>
      <c r="AE168" s="54"/>
      <c r="AF168" s="61"/>
      <c r="AG168" s="24" t="e">
        <f t="shared" si="91"/>
        <v>#DIV/0!</v>
      </c>
      <c r="AH168" s="54"/>
      <c r="AI168" s="61"/>
      <c r="AJ168" s="24" t="e">
        <f t="shared" si="92"/>
        <v>#DIV/0!</v>
      </c>
      <c r="AK168" s="54"/>
      <c r="AL168" s="61"/>
      <c r="AM168" s="24" t="e">
        <f t="shared" si="93"/>
        <v>#DIV/0!</v>
      </c>
      <c r="AN168" s="54"/>
      <c r="AO168" s="61">
        <f t="shared" si="95"/>
        <v>0.34619</v>
      </c>
      <c r="AP168" s="24">
        <f t="shared" si="90"/>
        <v>7.076916157994366E-4</v>
      </c>
    </row>
    <row r="169" spans="1:42" outlineLevel="3">
      <c r="A169" s="42" t="s">
        <v>47</v>
      </c>
      <c r="B169" s="60">
        <v>6666020803</v>
      </c>
      <c r="C169" t="s">
        <v>84</v>
      </c>
      <c r="E169" s="61">
        <v>0.67088999999999999</v>
      </c>
      <c r="F169" s="24">
        <f t="shared" si="80"/>
        <v>6.873098318837016E-3</v>
      </c>
      <c r="H169" s="61">
        <v>0.34622000000000003</v>
      </c>
      <c r="I169" s="24">
        <f t="shared" si="81"/>
        <v>3.2571923156528124E-3</v>
      </c>
      <c r="K169" s="61">
        <v>0.27733999999999998</v>
      </c>
      <c r="L169" s="24">
        <f t="shared" si="82"/>
        <v>2.5828863060646697E-3</v>
      </c>
      <c r="N169" s="61">
        <v>0.34755999999999998</v>
      </c>
      <c r="O169" s="24">
        <f t="shared" si="83"/>
        <v>3.1490441243091417E-3</v>
      </c>
      <c r="P169" s="54"/>
      <c r="Q169" s="61">
        <v>0.31614999999999999</v>
      </c>
      <c r="R169" s="24">
        <f t="shared" si="84"/>
        <v>4.6815536568390811E-3</v>
      </c>
      <c r="S169" s="54"/>
      <c r="T169" s="61"/>
      <c r="U169" s="24" t="e">
        <f t="shared" si="85"/>
        <v>#DIV/0!</v>
      </c>
      <c r="V169" s="54"/>
      <c r="W169" s="61"/>
      <c r="X169" s="24" t="e">
        <f t="shared" si="86"/>
        <v>#DIV/0!</v>
      </c>
      <c r="Y169" s="54"/>
      <c r="Z169" s="61"/>
      <c r="AA169" s="24" t="e">
        <f t="shared" si="87"/>
        <v>#DIV/0!</v>
      </c>
      <c r="AB169" s="54"/>
      <c r="AC169" s="61"/>
      <c r="AD169" s="24" t="e">
        <f t="shared" si="88"/>
        <v>#DIV/0!</v>
      </c>
      <c r="AE169" s="54"/>
      <c r="AF169" s="61"/>
      <c r="AG169" s="24" t="e">
        <f t="shared" si="91"/>
        <v>#DIV/0!</v>
      </c>
      <c r="AH169" s="54"/>
      <c r="AI169" s="61"/>
      <c r="AJ169" s="24" t="e">
        <f t="shared" si="92"/>
        <v>#DIV/0!</v>
      </c>
      <c r="AK169" s="54"/>
      <c r="AL169" s="61"/>
      <c r="AM169" s="24" t="e">
        <f t="shared" si="93"/>
        <v>#DIV/0!</v>
      </c>
      <c r="AN169" s="54"/>
      <c r="AO169" s="61">
        <f t="shared" si="95"/>
        <v>1.9581599999999999</v>
      </c>
      <c r="AP169" s="24">
        <f t="shared" si="90"/>
        <v>4.0029273358381948E-3</v>
      </c>
    </row>
    <row r="170" spans="1:42" outlineLevel="3">
      <c r="A170" s="42" t="s">
        <v>47</v>
      </c>
      <c r="B170" s="60">
        <v>6666021100</v>
      </c>
      <c r="C170" t="s">
        <v>85</v>
      </c>
      <c r="E170" s="61">
        <v>1.48725</v>
      </c>
      <c r="F170" s="24">
        <f t="shared" si="80"/>
        <v>1.5236499984632879E-2</v>
      </c>
      <c r="H170" s="61">
        <v>0.74254999999999993</v>
      </c>
      <c r="I170" s="24">
        <f t="shared" si="81"/>
        <v>6.9858129339379453E-3</v>
      </c>
      <c r="K170" s="61">
        <f>15.06642+0.0401999999999134</f>
        <v>15.106619999999914</v>
      </c>
      <c r="L170" s="24">
        <f t="shared" si="82"/>
        <v>0.14068898077782666</v>
      </c>
      <c r="N170" s="61">
        <v>3.0724999999999998</v>
      </c>
      <c r="O170" s="24">
        <f t="shared" si="83"/>
        <v>2.7838180665035787E-2</v>
      </c>
      <c r="P170" s="54"/>
      <c r="Q170" s="61">
        <v>2.4281899999999998</v>
      </c>
      <c r="R170" s="24">
        <f t="shared" si="84"/>
        <v>3.5956671750751505E-2</v>
      </c>
      <c r="S170" s="54"/>
      <c r="T170" s="61"/>
      <c r="U170" s="24" t="e">
        <f t="shared" si="85"/>
        <v>#DIV/0!</v>
      </c>
      <c r="V170" s="54"/>
      <c r="W170" s="61"/>
      <c r="X170" s="24" t="e">
        <f t="shared" si="86"/>
        <v>#DIV/0!</v>
      </c>
      <c r="Y170" s="54"/>
      <c r="Z170" s="61"/>
      <c r="AA170" s="24" t="e">
        <f t="shared" si="87"/>
        <v>#DIV/0!</v>
      </c>
      <c r="AB170" s="54"/>
      <c r="AC170" s="61"/>
      <c r="AD170" s="24" t="e">
        <f t="shared" si="88"/>
        <v>#DIV/0!</v>
      </c>
      <c r="AE170" s="54"/>
      <c r="AF170" s="61"/>
      <c r="AG170" s="24" t="e">
        <f t="shared" si="91"/>
        <v>#DIV/0!</v>
      </c>
      <c r="AH170" s="54"/>
      <c r="AI170" s="61"/>
      <c r="AJ170" s="24" t="e">
        <f t="shared" si="92"/>
        <v>#DIV/0!</v>
      </c>
      <c r="AK170" s="54"/>
      <c r="AL170" s="61"/>
      <c r="AM170" s="24" t="e">
        <f t="shared" si="93"/>
        <v>#DIV/0!</v>
      </c>
      <c r="AN170" s="54"/>
      <c r="AO170" s="61">
        <f t="shared" si="95"/>
        <v>22.837109999999917</v>
      </c>
      <c r="AP170" s="24">
        <f t="shared" si="90"/>
        <v>4.6684281106009459E-2</v>
      </c>
    </row>
    <row r="171" spans="1:42" outlineLevel="3">
      <c r="A171" s="42" t="s">
        <v>47</v>
      </c>
      <c r="B171" s="60">
        <v>6666021102</v>
      </c>
      <c r="C171" t="s">
        <v>161</v>
      </c>
      <c r="E171" s="61">
        <v>0.16977</v>
      </c>
      <c r="F171" s="24">
        <f t="shared" si="80"/>
        <v>1.739250699203983E-3</v>
      </c>
      <c r="H171" s="61">
        <v>3.4252699999999998</v>
      </c>
      <c r="I171" s="24">
        <f t="shared" si="81"/>
        <v>3.2224490563907651E-2</v>
      </c>
      <c r="K171" s="61">
        <v>-2.1780999999999997</v>
      </c>
      <c r="L171" s="24">
        <f t="shared" si="82"/>
        <v>-2.0284793622410962E-2</v>
      </c>
      <c r="N171" s="61">
        <v>1.85812</v>
      </c>
      <c r="O171" s="24">
        <f t="shared" si="83"/>
        <v>1.683537193077829E-2</v>
      </c>
      <c r="P171" s="54"/>
      <c r="Q171" s="61">
        <v>2.2715999999999998</v>
      </c>
      <c r="R171" s="24">
        <f t="shared" si="84"/>
        <v>3.3637884823266351E-2</v>
      </c>
      <c r="S171" s="54"/>
      <c r="T171" s="61"/>
      <c r="U171" s="24" t="e">
        <f t="shared" si="85"/>
        <v>#DIV/0!</v>
      </c>
      <c r="V171" s="54"/>
      <c r="W171" s="61"/>
      <c r="X171" s="24" t="e">
        <f t="shared" si="86"/>
        <v>#DIV/0!</v>
      </c>
      <c r="Y171" s="54"/>
      <c r="Z171" s="61"/>
      <c r="AA171" s="24" t="e">
        <f t="shared" si="87"/>
        <v>#DIV/0!</v>
      </c>
      <c r="AB171" s="54"/>
      <c r="AC171" s="61"/>
      <c r="AD171" s="24" t="e">
        <f t="shared" si="88"/>
        <v>#DIV/0!</v>
      </c>
      <c r="AE171" s="54"/>
      <c r="AF171" s="61"/>
      <c r="AG171" s="24" t="e">
        <f t="shared" si="91"/>
        <v>#DIV/0!</v>
      </c>
      <c r="AH171" s="54"/>
      <c r="AI171" s="61"/>
      <c r="AJ171" s="24" t="e">
        <f t="shared" si="92"/>
        <v>#DIV/0!</v>
      </c>
      <c r="AK171" s="54"/>
      <c r="AL171" s="61"/>
      <c r="AM171" s="24" t="e">
        <f t="shared" si="93"/>
        <v>#DIV/0!</v>
      </c>
      <c r="AN171" s="54"/>
      <c r="AO171" s="61">
        <f t="shared" si="95"/>
        <v>5.5466600000000001</v>
      </c>
      <c r="AP171" s="24">
        <f t="shared" si="90"/>
        <v>1.1338642877293114E-2</v>
      </c>
    </row>
    <row r="172" spans="1:42" outlineLevel="3">
      <c r="A172" s="42" t="s">
        <v>47</v>
      </c>
      <c r="B172" s="60">
        <v>6666021104</v>
      </c>
      <c r="C172" t="s">
        <v>86</v>
      </c>
      <c r="E172" s="61">
        <v>-1.6100000000000001E-3</v>
      </c>
      <c r="F172" s="24">
        <f t="shared" si="80"/>
        <v>-1.6494042679616028E-5</v>
      </c>
      <c r="H172" s="61">
        <v>0.12800999999999998</v>
      </c>
      <c r="I172" s="24">
        <f t="shared" si="81"/>
        <v>1.204301277588575E-3</v>
      </c>
      <c r="K172" s="61">
        <v>0.25716</v>
      </c>
      <c r="L172" s="24">
        <f t="shared" si="82"/>
        <v>2.3949485918641033E-3</v>
      </c>
      <c r="N172" s="61">
        <v>-1.158E-2</v>
      </c>
      <c r="O172" s="24">
        <f t="shared" si="83"/>
        <v>-1.0491981516716499E-4</v>
      </c>
      <c r="P172" s="54"/>
      <c r="Q172" s="61">
        <v>0.13489999999999999</v>
      </c>
      <c r="R172" s="24">
        <f t="shared" si="84"/>
        <v>1.9976011017162486E-3</v>
      </c>
      <c r="S172" s="54"/>
      <c r="T172" s="61"/>
      <c r="U172" s="24" t="e">
        <f t="shared" si="85"/>
        <v>#DIV/0!</v>
      </c>
      <c r="V172" s="54"/>
      <c r="W172" s="61"/>
      <c r="X172" s="24" t="e">
        <f t="shared" si="86"/>
        <v>#DIV/0!</v>
      </c>
      <c r="Y172" s="54"/>
      <c r="Z172" s="61"/>
      <c r="AA172" s="24" t="e">
        <f t="shared" si="87"/>
        <v>#DIV/0!</v>
      </c>
      <c r="AB172" s="54"/>
      <c r="AC172" s="61"/>
      <c r="AD172" s="24" t="e">
        <f t="shared" si="88"/>
        <v>#DIV/0!</v>
      </c>
      <c r="AE172" s="54"/>
      <c r="AF172" s="61"/>
      <c r="AG172" s="24" t="e">
        <f t="shared" si="91"/>
        <v>#DIV/0!</v>
      </c>
      <c r="AH172" s="54"/>
      <c r="AI172" s="61"/>
      <c r="AJ172" s="24" t="e">
        <f t="shared" si="92"/>
        <v>#DIV/0!</v>
      </c>
      <c r="AK172" s="54"/>
      <c r="AL172" s="61"/>
      <c r="AM172" s="24" t="e">
        <f t="shared" si="93"/>
        <v>#DIV/0!</v>
      </c>
      <c r="AN172" s="54"/>
      <c r="AO172" s="61">
        <f t="shared" si="95"/>
        <v>0.50688</v>
      </c>
      <c r="AP172" s="24">
        <f t="shared" si="90"/>
        <v>1.0361787637321077E-3</v>
      </c>
    </row>
    <row r="173" spans="1:42" outlineLevel="3">
      <c r="A173" s="42" t="s">
        <v>47</v>
      </c>
      <c r="B173" s="60">
        <v>6666021300</v>
      </c>
      <c r="C173" t="s">
        <v>162</v>
      </c>
      <c r="E173" s="61">
        <v>0.72305999999999993</v>
      </c>
      <c r="F173" s="24">
        <f t="shared" si="80"/>
        <v>7.4075667701386108E-3</v>
      </c>
      <c r="H173" s="61">
        <v>0.108</v>
      </c>
      <c r="I173" s="24">
        <f t="shared" si="81"/>
        <v>1.0160498240728546E-3</v>
      </c>
      <c r="K173" s="61">
        <v>0.11745999999999999</v>
      </c>
      <c r="L173" s="24">
        <f t="shared" si="82"/>
        <v>1.0939129786917002E-3</v>
      </c>
      <c r="N173" s="61">
        <v>0.32039999999999996</v>
      </c>
      <c r="O173" s="24">
        <f t="shared" si="83"/>
        <v>2.9029627616200052E-3</v>
      </c>
      <c r="P173" s="54"/>
      <c r="Q173" s="61">
        <v>0.91228999999999993</v>
      </c>
      <c r="R173" s="24">
        <f t="shared" si="84"/>
        <v>1.3509203180761428E-2</v>
      </c>
      <c r="S173" s="54"/>
      <c r="T173" s="61"/>
      <c r="U173" s="24" t="e">
        <f t="shared" si="85"/>
        <v>#DIV/0!</v>
      </c>
      <c r="V173" s="54"/>
      <c r="W173" s="61"/>
      <c r="X173" s="24" t="e">
        <f t="shared" si="86"/>
        <v>#DIV/0!</v>
      </c>
      <c r="Y173" s="54"/>
      <c r="Z173" s="61"/>
      <c r="AA173" s="24" t="e">
        <f t="shared" si="87"/>
        <v>#DIV/0!</v>
      </c>
      <c r="AB173" s="54"/>
      <c r="AC173" s="61"/>
      <c r="AD173" s="24" t="e">
        <f t="shared" si="88"/>
        <v>#DIV/0!</v>
      </c>
      <c r="AE173" s="54"/>
      <c r="AF173" s="61"/>
      <c r="AG173" s="24" t="e">
        <f t="shared" si="91"/>
        <v>#DIV/0!</v>
      </c>
      <c r="AH173" s="54"/>
      <c r="AI173" s="61"/>
      <c r="AJ173" s="24" t="e">
        <f t="shared" si="92"/>
        <v>#DIV/0!</v>
      </c>
      <c r="AK173" s="54"/>
      <c r="AL173" s="61"/>
      <c r="AM173" s="24" t="e">
        <f t="shared" si="93"/>
        <v>#DIV/0!</v>
      </c>
      <c r="AN173" s="54"/>
      <c r="AO173" s="61">
        <f t="shared" si="95"/>
        <v>2.1812099999999996</v>
      </c>
      <c r="AP173" s="24">
        <f t="shared" si="90"/>
        <v>4.4588926003000916E-3</v>
      </c>
    </row>
    <row r="174" spans="1:42" outlineLevel="3">
      <c r="A174" s="42" t="s">
        <v>47</v>
      </c>
      <c r="B174" s="60">
        <v>6666021902</v>
      </c>
      <c r="C174" t="s">
        <v>87</v>
      </c>
      <c r="E174" s="61">
        <v>8.2459999999999992E-2</v>
      </c>
      <c r="F174" s="24">
        <f t="shared" si="80"/>
        <v>8.4478183811250774E-4</v>
      </c>
      <c r="H174" s="61">
        <v>-8.2459999999999992E-2</v>
      </c>
      <c r="I174" s="24">
        <f t="shared" si="81"/>
        <v>-7.7577285641710725E-4</v>
      </c>
      <c r="K174" s="61">
        <v>0</v>
      </c>
      <c r="L174" s="24">
        <f t="shared" si="82"/>
        <v>0</v>
      </c>
      <c r="N174" s="61">
        <v>-2.9999999999999997E-5</v>
      </c>
      <c r="O174" s="24">
        <f t="shared" si="83"/>
        <v>-2.7181299266104918E-7</v>
      </c>
      <c r="P174" s="54"/>
      <c r="Q174" s="61">
        <v>1.0460000000000001E-2</v>
      </c>
      <c r="R174" s="24">
        <f t="shared" si="84"/>
        <v>1.5489182745701975E-4</v>
      </c>
      <c r="S174" s="54"/>
      <c r="T174" s="61"/>
      <c r="U174" s="24" t="e">
        <f t="shared" si="85"/>
        <v>#DIV/0!</v>
      </c>
      <c r="V174" s="54"/>
      <c r="W174" s="61"/>
      <c r="X174" s="24" t="e">
        <f t="shared" si="86"/>
        <v>#DIV/0!</v>
      </c>
      <c r="Y174" s="54"/>
      <c r="Z174" s="61"/>
      <c r="AA174" s="24" t="e">
        <f t="shared" si="87"/>
        <v>#DIV/0!</v>
      </c>
      <c r="AB174" s="54"/>
      <c r="AC174" s="61"/>
      <c r="AD174" s="24" t="e">
        <f t="shared" si="88"/>
        <v>#DIV/0!</v>
      </c>
      <c r="AE174" s="54"/>
      <c r="AF174" s="61"/>
      <c r="AG174" s="24" t="e">
        <f t="shared" si="91"/>
        <v>#DIV/0!</v>
      </c>
      <c r="AH174" s="54"/>
      <c r="AI174" s="61"/>
      <c r="AJ174" s="24" t="e">
        <f t="shared" si="92"/>
        <v>#DIV/0!</v>
      </c>
      <c r="AK174" s="54"/>
      <c r="AL174" s="61"/>
      <c r="AM174" s="24" t="e">
        <f t="shared" si="93"/>
        <v>#DIV/0!</v>
      </c>
      <c r="AN174" s="54"/>
      <c r="AO174" s="61">
        <f t="shared" si="95"/>
        <v>1.043E-2</v>
      </c>
      <c r="AP174" s="24">
        <f t="shared" si="90"/>
        <v>2.1321307815904918E-5</v>
      </c>
    </row>
    <row r="175" spans="1:42" outlineLevel="3">
      <c r="A175" s="42" t="s">
        <v>47</v>
      </c>
      <c r="B175" s="60">
        <v>6666022100</v>
      </c>
      <c r="C175" t="s">
        <v>88</v>
      </c>
      <c r="E175" s="61">
        <v>7.5400000000000009E-2</v>
      </c>
      <c r="F175" s="24">
        <f t="shared" si="80"/>
        <v>7.7245392425034074E-4</v>
      </c>
      <c r="H175" s="61">
        <v>-7.5400000000000009E-2</v>
      </c>
      <c r="I175" s="24">
        <f t="shared" si="81"/>
        <v>-7.0935330310271515E-4</v>
      </c>
      <c r="K175" s="61">
        <v>0</v>
      </c>
      <c r="L175" s="24">
        <f t="shared" si="82"/>
        <v>0</v>
      </c>
      <c r="N175" s="61">
        <v>0</v>
      </c>
      <c r="O175" s="24">
        <f t="shared" si="83"/>
        <v>0</v>
      </c>
      <c r="P175" s="54"/>
      <c r="Q175" s="61">
        <v>0</v>
      </c>
      <c r="R175" s="24">
        <f t="shared" si="84"/>
        <v>0</v>
      </c>
      <c r="S175" s="54"/>
      <c r="T175" s="61"/>
      <c r="U175" s="24" t="e">
        <f t="shared" si="85"/>
        <v>#DIV/0!</v>
      </c>
      <c r="V175" s="54"/>
      <c r="W175" s="61"/>
      <c r="X175" s="24" t="e">
        <f t="shared" si="86"/>
        <v>#DIV/0!</v>
      </c>
      <c r="Y175" s="54"/>
      <c r="Z175" s="61"/>
      <c r="AA175" s="24" t="e">
        <f t="shared" si="87"/>
        <v>#DIV/0!</v>
      </c>
      <c r="AB175" s="54"/>
      <c r="AC175" s="61"/>
      <c r="AD175" s="24" t="e">
        <f t="shared" si="88"/>
        <v>#DIV/0!</v>
      </c>
      <c r="AE175" s="54"/>
      <c r="AF175" s="61"/>
      <c r="AG175" s="24" t="e">
        <f t="shared" si="91"/>
        <v>#DIV/0!</v>
      </c>
      <c r="AH175" s="54"/>
      <c r="AI175" s="61"/>
      <c r="AJ175" s="24" t="e">
        <f t="shared" si="92"/>
        <v>#DIV/0!</v>
      </c>
      <c r="AK175" s="54"/>
      <c r="AL175" s="61"/>
      <c r="AM175" s="24" t="e">
        <f t="shared" si="93"/>
        <v>#DIV/0!</v>
      </c>
      <c r="AN175" s="54"/>
      <c r="AO175" s="61">
        <f t="shared" si="95"/>
        <v>0</v>
      </c>
      <c r="AP175" s="24">
        <f t="shared" si="90"/>
        <v>0</v>
      </c>
    </row>
    <row r="176" spans="1:42">
      <c r="A176" s="152" t="s">
        <v>26</v>
      </c>
      <c r="B176" s="60">
        <v>6666022300</v>
      </c>
      <c r="C176" t="s">
        <v>89</v>
      </c>
      <c r="E176" s="61">
        <v>4.9710200000000002</v>
      </c>
      <c r="F176" s="24">
        <f t="shared" si="80"/>
        <v>5.0926842261630356E-2</v>
      </c>
      <c r="H176" s="61">
        <v>2.4443800000000002</v>
      </c>
      <c r="I176" s="24">
        <f t="shared" si="81"/>
        <v>2.299640619414078E-2</v>
      </c>
      <c r="K176" s="61">
        <v>7.1922100000000002</v>
      </c>
      <c r="L176" s="24">
        <f t="shared" si="82"/>
        <v>6.6981541499031447E-2</v>
      </c>
      <c r="N176" s="61">
        <v>11.05664</v>
      </c>
      <c r="O176" s="24">
        <f t="shared" si="83"/>
        <v>0.1001779469058621</v>
      </c>
      <c r="P176" s="54"/>
      <c r="Q176" s="61">
        <v>13.55702</v>
      </c>
      <c r="R176" s="24">
        <f t="shared" si="84"/>
        <v>0.2007525432764212</v>
      </c>
      <c r="S176" s="54"/>
      <c r="T176" s="61"/>
      <c r="U176" s="24" t="e">
        <f t="shared" si="85"/>
        <v>#DIV/0!</v>
      </c>
      <c r="V176" s="54"/>
      <c r="W176" s="61"/>
      <c r="X176" s="24" t="e">
        <f t="shared" si="86"/>
        <v>#DIV/0!</v>
      </c>
      <c r="Y176" s="54"/>
      <c r="Z176" s="61"/>
      <c r="AA176" s="24" t="e">
        <f t="shared" si="87"/>
        <v>#DIV/0!</v>
      </c>
      <c r="AB176" s="54"/>
      <c r="AC176" s="61"/>
      <c r="AD176" s="24" t="e">
        <f t="shared" si="88"/>
        <v>#DIV/0!</v>
      </c>
      <c r="AE176" s="54"/>
      <c r="AF176" s="61"/>
      <c r="AG176" s="24" t="e">
        <f t="shared" si="91"/>
        <v>#DIV/0!</v>
      </c>
      <c r="AH176" s="54"/>
      <c r="AI176" s="61"/>
      <c r="AJ176" s="24" t="e">
        <f t="shared" si="92"/>
        <v>#DIV/0!</v>
      </c>
      <c r="AK176" s="54"/>
      <c r="AL176" s="61"/>
      <c r="AM176" s="24" t="e">
        <f t="shared" si="93"/>
        <v>#DIV/0!</v>
      </c>
      <c r="AN176" s="54"/>
      <c r="AO176" s="61">
        <f t="shared" si="95"/>
        <v>39.221270000000004</v>
      </c>
      <c r="AP176" s="24">
        <f t="shared" si="90"/>
        <v>8.0177255091152186E-2</v>
      </c>
    </row>
    <row r="177" spans="1:42">
      <c r="A177" s="42" t="s">
        <v>47</v>
      </c>
      <c r="B177" s="60">
        <v>6666029900</v>
      </c>
      <c r="C177" t="s">
        <v>91</v>
      </c>
      <c r="E177" s="61">
        <v>31.26699</v>
      </c>
      <c r="F177" s="24">
        <f t="shared" si="80"/>
        <v>0.32032240218827795</v>
      </c>
      <c r="H177" s="61">
        <v>1.7500000000000002E-2</v>
      </c>
      <c r="I177" s="24">
        <f t="shared" si="81"/>
        <v>1.6463770297476811E-4</v>
      </c>
      <c r="K177" s="61">
        <v>9.7019999999999995E-2</v>
      </c>
      <c r="L177" s="24">
        <f t="shared" si="82"/>
        <v>9.0355386678587384E-4</v>
      </c>
      <c r="N177" s="61">
        <v>0.19352</v>
      </c>
      <c r="O177" s="24">
        <f t="shared" si="83"/>
        <v>1.7533750113255414E-3</v>
      </c>
      <c r="P177" s="54"/>
      <c r="Q177" s="61">
        <v>1.4039999999999999E-2</v>
      </c>
      <c r="R177" s="24">
        <f t="shared" si="84"/>
        <v>2.0790451792510105E-4</v>
      </c>
      <c r="S177" s="54"/>
      <c r="T177" s="61"/>
      <c r="U177" s="24" t="e">
        <f t="shared" si="85"/>
        <v>#DIV/0!</v>
      </c>
      <c r="V177" s="54"/>
      <c r="W177" s="61"/>
      <c r="X177" s="24" t="e">
        <f t="shared" si="86"/>
        <v>#DIV/0!</v>
      </c>
      <c r="Y177" s="54"/>
      <c r="Z177" s="61"/>
      <c r="AA177" s="24" t="e">
        <f t="shared" si="87"/>
        <v>#DIV/0!</v>
      </c>
      <c r="AB177" s="54"/>
      <c r="AC177" s="61"/>
      <c r="AD177" s="24" t="e">
        <f t="shared" si="88"/>
        <v>#DIV/0!</v>
      </c>
      <c r="AE177" s="54"/>
      <c r="AF177" s="61"/>
      <c r="AG177" s="24" t="e">
        <f t="shared" si="91"/>
        <v>#DIV/0!</v>
      </c>
      <c r="AH177" s="54"/>
      <c r="AI177" s="61"/>
      <c r="AJ177" s="24" t="e">
        <f t="shared" si="92"/>
        <v>#DIV/0!</v>
      </c>
      <c r="AK177" s="54"/>
      <c r="AL177" s="61"/>
      <c r="AM177" s="24" t="e">
        <f t="shared" si="93"/>
        <v>#DIV/0!</v>
      </c>
      <c r="AN177" s="54"/>
      <c r="AO177" s="61">
        <f t="shared" si="95"/>
        <v>31.58907</v>
      </c>
      <c r="AP177" s="24">
        <f t="shared" si="90"/>
        <v>6.4575290995989229E-2</v>
      </c>
    </row>
    <row r="178" spans="1:42">
      <c r="A178" s="42" t="s">
        <v>47</v>
      </c>
      <c r="B178" s="60">
        <v>6666029997</v>
      </c>
      <c r="C178" t="s">
        <v>93</v>
      </c>
      <c r="E178" s="61">
        <v>0</v>
      </c>
      <c r="F178" s="24">
        <f t="shared" si="80"/>
        <v>0</v>
      </c>
      <c r="H178" s="61">
        <v>2.6049699999999998</v>
      </c>
      <c r="I178" s="24">
        <f t="shared" si="81"/>
        <v>2.4507215835324662E-2</v>
      </c>
      <c r="K178" s="61">
        <v>-1.33799</v>
      </c>
      <c r="L178" s="24">
        <f t="shared" si="82"/>
        <v>-1.2460791983310982E-2</v>
      </c>
      <c r="N178" s="61">
        <v>0</v>
      </c>
      <c r="O178" s="24">
        <f t="shared" si="83"/>
        <v>0</v>
      </c>
      <c r="P178" s="54"/>
      <c r="Q178" s="61">
        <v>0</v>
      </c>
      <c r="R178" s="24">
        <f t="shared" si="84"/>
        <v>0</v>
      </c>
      <c r="S178" s="54"/>
      <c r="T178" s="61"/>
      <c r="U178" s="24" t="e">
        <f t="shared" si="85"/>
        <v>#DIV/0!</v>
      </c>
      <c r="V178" s="54"/>
      <c r="W178" s="61"/>
      <c r="X178" s="24" t="e">
        <f t="shared" si="86"/>
        <v>#DIV/0!</v>
      </c>
      <c r="Y178" s="54"/>
      <c r="Z178" s="61"/>
      <c r="AA178" s="24" t="e">
        <f t="shared" si="87"/>
        <v>#DIV/0!</v>
      </c>
      <c r="AB178" s="54"/>
      <c r="AC178" s="61"/>
      <c r="AD178" s="24" t="e">
        <f t="shared" si="88"/>
        <v>#DIV/0!</v>
      </c>
      <c r="AE178" s="54"/>
      <c r="AF178" s="61"/>
      <c r="AG178" s="24" t="e">
        <f t="shared" si="91"/>
        <v>#DIV/0!</v>
      </c>
      <c r="AH178" s="54"/>
      <c r="AI178" s="61"/>
      <c r="AJ178" s="24" t="e">
        <f t="shared" si="92"/>
        <v>#DIV/0!</v>
      </c>
      <c r="AK178" s="54"/>
      <c r="AL178" s="61"/>
      <c r="AM178" s="24" t="e">
        <f t="shared" si="93"/>
        <v>#DIV/0!</v>
      </c>
      <c r="AN178" s="54"/>
      <c r="AO178" s="26">
        <f t="shared" si="95"/>
        <v>1.2669799999999998</v>
      </c>
      <c r="AP178" s="24">
        <f t="shared" si="90"/>
        <v>2.5899971789640659E-3</v>
      </c>
    </row>
    <row r="179" spans="1:42">
      <c r="A179" s="42" t="s">
        <v>47</v>
      </c>
      <c r="B179" s="60">
        <v>6666031100</v>
      </c>
      <c r="C179" s="43" t="s">
        <v>163</v>
      </c>
      <c r="E179" s="61">
        <v>0</v>
      </c>
      <c r="F179" s="24">
        <f t="shared" si="80"/>
        <v>0</v>
      </c>
      <c r="H179" s="61">
        <v>0</v>
      </c>
      <c r="I179" s="24">
        <f t="shared" si="81"/>
        <v>0</v>
      </c>
      <c r="K179" s="61">
        <v>0</v>
      </c>
      <c r="L179" s="24">
        <f t="shared" si="82"/>
        <v>0</v>
      </c>
      <c r="N179" s="61">
        <v>0</v>
      </c>
      <c r="O179" s="24">
        <f t="shared" si="83"/>
        <v>0</v>
      </c>
      <c r="P179" s="54"/>
      <c r="Q179" s="61">
        <v>0</v>
      </c>
      <c r="R179" s="24">
        <f t="shared" si="84"/>
        <v>0</v>
      </c>
      <c r="S179" s="54"/>
      <c r="T179" s="61"/>
      <c r="U179" s="24"/>
      <c r="V179" s="54"/>
      <c r="W179" s="61"/>
      <c r="X179" s="24"/>
      <c r="Y179" s="54"/>
      <c r="Z179" s="61"/>
      <c r="AA179" s="24"/>
      <c r="AB179" s="54"/>
      <c r="AC179" s="61"/>
      <c r="AD179" s="24" t="e">
        <f t="shared" si="88"/>
        <v>#DIV/0!</v>
      </c>
      <c r="AE179" s="54"/>
      <c r="AF179" s="61"/>
      <c r="AG179" s="24" t="e">
        <f t="shared" si="91"/>
        <v>#DIV/0!</v>
      </c>
      <c r="AH179" s="54"/>
      <c r="AI179" s="61"/>
      <c r="AJ179" s="24" t="e">
        <f t="shared" si="92"/>
        <v>#DIV/0!</v>
      </c>
      <c r="AK179" s="54"/>
      <c r="AL179" s="61"/>
      <c r="AM179" s="24" t="e">
        <f t="shared" si="93"/>
        <v>#DIV/0!</v>
      </c>
      <c r="AN179" s="54"/>
      <c r="AO179" s="26">
        <f t="shared" si="95"/>
        <v>0</v>
      </c>
      <c r="AP179" s="24">
        <f t="shared" si="90"/>
        <v>0</v>
      </c>
    </row>
    <row r="180" spans="1:42">
      <c r="A180" s="42" t="s">
        <v>47</v>
      </c>
      <c r="B180" s="60">
        <v>6666050107</v>
      </c>
      <c r="C180" t="s">
        <v>96</v>
      </c>
      <c r="E180" s="61">
        <v>0</v>
      </c>
      <c r="F180" s="24">
        <f t="shared" si="80"/>
        <v>0</v>
      </c>
      <c r="H180" s="61">
        <v>0</v>
      </c>
      <c r="I180" s="24">
        <f t="shared" si="81"/>
        <v>0</v>
      </c>
      <c r="K180" s="61">
        <v>0</v>
      </c>
      <c r="L180" s="24">
        <f t="shared" si="82"/>
        <v>0</v>
      </c>
      <c r="N180" s="61">
        <v>0</v>
      </c>
      <c r="O180" s="24">
        <f t="shared" si="83"/>
        <v>0</v>
      </c>
      <c r="P180" s="54"/>
      <c r="Q180" s="61">
        <v>0</v>
      </c>
      <c r="R180" s="24">
        <f t="shared" si="84"/>
        <v>0</v>
      </c>
      <c r="S180" s="54"/>
      <c r="T180" s="61"/>
      <c r="U180" s="24" t="e">
        <f t="shared" si="85"/>
        <v>#DIV/0!</v>
      </c>
      <c r="V180" s="54"/>
      <c r="W180" s="61"/>
      <c r="X180" s="24" t="e">
        <f t="shared" si="86"/>
        <v>#DIV/0!</v>
      </c>
      <c r="Y180" s="54"/>
      <c r="Z180" s="61"/>
      <c r="AA180" s="24" t="e">
        <f t="shared" si="87"/>
        <v>#DIV/0!</v>
      </c>
      <c r="AB180" s="54"/>
      <c r="AC180" s="61"/>
      <c r="AD180" s="24" t="e">
        <f t="shared" si="88"/>
        <v>#DIV/0!</v>
      </c>
      <c r="AE180" s="54"/>
      <c r="AF180" s="61"/>
      <c r="AG180" s="24" t="e">
        <f t="shared" si="91"/>
        <v>#DIV/0!</v>
      </c>
      <c r="AH180" s="54"/>
      <c r="AI180" s="61"/>
      <c r="AJ180" s="24" t="e">
        <f t="shared" si="92"/>
        <v>#DIV/0!</v>
      </c>
      <c r="AK180" s="54"/>
      <c r="AL180" s="61"/>
      <c r="AM180" s="24" t="e">
        <f t="shared" si="93"/>
        <v>#DIV/0!</v>
      </c>
      <c r="AN180" s="54"/>
      <c r="AO180" s="26">
        <f t="shared" si="95"/>
        <v>0</v>
      </c>
      <c r="AP180" s="24">
        <f t="shared" si="90"/>
        <v>0</v>
      </c>
    </row>
    <row r="181" spans="1:42">
      <c r="A181" s="42" t="s">
        <v>47</v>
      </c>
      <c r="B181" s="60">
        <v>6666079999</v>
      </c>
      <c r="C181" t="s">
        <v>164</v>
      </c>
      <c r="E181" s="61">
        <v>94.625190000000003</v>
      </c>
      <c r="F181" s="24">
        <f t="shared" si="80"/>
        <v>0.96941113194209672</v>
      </c>
      <c r="H181" s="61">
        <v>95.18383</v>
      </c>
      <c r="I181" s="24">
        <f t="shared" si="81"/>
        <v>0.89547697894518974</v>
      </c>
      <c r="K181" s="61">
        <v>95.18383</v>
      </c>
      <c r="L181" s="24">
        <f t="shared" si="82"/>
        <v>0.88645349053792277</v>
      </c>
      <c r="N181" s="61">
        <v>95.18383</v>
      </c>
      <c r="O181" s="24">
        <f t="shared" si="83"/>
        <v>0.86240672284135178</v>
      </c>
      <c r="P181" s="54"/>
      <c r="Q181" s="61">
        <v>95.18383</v>
      </c>
      <c r="R181" s="24">
        <f t="shared" si="84"/>
        <v>1.4094834964682885</v>
      </c>
      <c r="S181" s="54"/>
      <c r="T181" s="61"/>
      <c r="U181" s="24" t="e">
        <f t="shared" si="85"/>
        <v>#DIV/0!</v>
      </c>
      <c r="V181" s="54"/>
      <c r="W181" s="61"/>
      <c r="X181" s="24" t="e">
        <f t="shared" si="86"/>
        <v>#DIV/0!</v>
      </c>
      <c r="Y181" s="54"/>
      <c r="Z181" s="61"/>
      <c r="AA181" s="24" t="e">
        <f t="shared" si="87"/>
        <v>#DIV/0!</v>
      </c>
      <c r="AB181" s="54"/>
      <c r="AC181" s="61"/>
      <c r="AD181" s="24" t="e">
        <f t="shared" si="88"/>
        <v>#DIV/0!</v>
      </c>
      <c r="AE181" s="54"/>
      <c r="AF181" s="61"/>
      <c r="AG181" s="24" t="e">
        <f t="shared" si="91"/>
        <v>#DIV/0!</v>
      </c>
      <c r="AH181" s="54"/>
      <c r="AI181" s="61"/>
      <c r="AJ181" s="24" t="e">
        <f t="shared" si="92"/>
        <v>#DIV/0!</v>
      </c>
      <c r="AK181" s="54"/>
      <c r="AL181" s="61"/>
      <c r="AM181" s="24" t="e">
        <f t="shared" si="93"/>
        <v>#DIV/0!</v>
      </c>
      <c r="AN181" s="54"/>
      <c r="AO181" s="26">
        <f t="shared" si="95"/>
        <v>475.36050999999998</v>
      </c>
      <c r="AP181" s="24">
        <f t="shared" si="90"/>
        <v>0.9717457101855751</v>
      </c>
    </row>
    <row r="182" spans="1:42">
      <c r="A182" s="42" t="s">
        <v>47</v>
      </c>
      <c r="B182" s="60">
        <v>6666090100</v>
      </c>
      <c r="C182" t="s">
        <v>165</v>
      </c>
      <c r="E182" s="61">
        <v>0</v>
      </c>
      <c r="F182" s="24">
        <f t="shared" si="80"/>
        <v>0</v>
      </c>
      <c r="H182" s="61">
        <v>0</v>
      </c>
      <c r="I182" s="24">
        <f t="shared" si="81"/>
        <v>0</v>
      </c>
      <c r="K182" s="61">
        <v>0</v>
      </c>
      <c r="L182" s="24">
        <f t="shared" si="82"/>
        <v>0</v>
      </c>
      <c r="N182" s="61">
        <v>0</v>
      </c>
      <c r="O182" s="24">
        <f t="shared" si="83"/>
        <v>0</v>
      </c>
      <c r="P182" s="54"/>
      <c r="Q182" s="61">
        <v>0</v>
      </c>
      <c r="R182" s="24">
        <f t="shared" si="84"/>
        <v>0</v>
      </c>
      <c r="S182" s="54"/>
      <c r="T182" s="61"/>
      <c r="U182" s="24"/>
      <c r="V182" s="54"/>
      <c r="W182" s="61"/>
      <c r="X182" s="24"/>
      <c r="Y182" s="54"/>
      <c r="Z182" s="61"/>
      <c r="AA182" s="24"/>
      <c r="AB182" s="54"/>
      <c r="AC182" s="61"/>
      <c r="AD182" s="24" t="e">
        <f t="shared" si="88"/>
        <v>#DIV/0!</v>
      </c>
      <c r="AE182" s="54"/>
      <c r="AF182" s="61"/>
      <c r="AG182" s="24" t="e">
        <f t="shared" si="91"/>
        <v>#DIV/0!</v>
      </c>
      <c r="AH182" s="54"/>
      <c r="AI182" s="61"/>
      <c r="AJ182" s="24" t="e">
        <f t="shared" si="92"/>
        <v>#DIV/0!</v>
      </c>
      <c r="AK182" s="54"/>
      <c r="AL182" s="61"/>
      <c r="AM182" s="24" t="e">
        <f t="shared" si="93"/>
        <v>#DIV/0!</v>
      </c>
      <c r="AN182" s="54"/>
      <c r="AO182" s="26">
        <f t="shared" si="95"/>
        <v>0</v>
      </c>
      <c r="AP182" s="24">
        <f t="shared" si="90"/>
        <v>0</v>
      </c>
    </row>
    <row r="183" spans="1:42">
      <c r="A183" s="42" t="s">
        <v>47</v>
      </c>
      <c r="B183" s="60">
        <v>6666093800</v>
      </c>
      <c r="C183" t="s">
        <v>105</v>
      </c>
      <c r="E183" s="61">
        <v>0.13963999999999999</v>
      </c>
      <c r="F183" s="24">
        <f t="shared" si="80"/>
        <v>1.4305764719140259E-3</v>
      </c>
      <c r="H183" s="61">
        <v>7.9260000000000011E-2</v>
      </c>
      <c r="I183" s="24">
        <f t="shared" si="81"/>
        <v>7.4566767644457829E-4</v>
      </c>
      <c r="K183" s="61">
        <v>1.0412600000000001</v>
      </c>
      <c r="L183" s="24">
        <f t="shared" si="82"/>
        <v>9.6973252868424974E-3</v>
      </c>
      <c r="N183" s="61">
        <v>5.9880000000000003E-2</v>
      </c>
      <c r="O183" s="24">
        <f t="shared" si="83"/>
        <v>5.4253873335145418E-4</v>
      </c>
      <c r="P183" s="54"/>
      <c r="Q183" s="61">
        <v>3.039E-2</v>
      </c>
      <c r="R183" s="24">
        <f t="shared" si="84"/>
        <v>4.5001554841480208E-4</v>
      </c>
      <c r="S183" s="54"/>
      <c r="T183" s="61"/>
      <c r="U183" s="24" t="e">
        <f t="shared" si="85"/>
        <v>#DIV/0!</v>
      </c>
      <c r="V183" s="54"/>
      <c r="W183" s="61"/>
      <c r="X183" s="24" t="e">
        <f t="shared" si="86"/>
        <v>#DIV/0!</v>
      </c>
      <c r="Y183" s="54"/>
      <c r="Z183" s="61"/>
      <c r="AA183" s="24" t="e">
        <f t="shared" si="87"/>
        <v>#DIV/0!</v>
      </c>
      <c r="AB183" s="54"/>
      <c r="AC183" s="61"/>
      <c r="AD183" s="24" t="e">
        <f t="shared" si="88"/>
        <v>#DIV/0!</v>
      </c>
      <c r="AE183" s="54"/>
      <c r="AF183" s="61"/>
      <c r="AG183" s="24" t="e">
        <f t="shared" si="91"/>
        <v>#DIV/0!</v>
      </c>
      <c r="AH183" s="54"/>
      <c r="AI183" s="61"/>
      <c r="AJ183" s="24" t="e">
        <f t="shared" si="92"/>
        <v>#DIV/0!</v>
      </c>
      <c r="AK183" s="54"/>
      <c r="AL183" s="61"/>
      <c r="AM183" s="24" t="e">
        <f t="shared" si="93"/>
        <v>#DIV/0!</v>
      </c>
      <c r="AN183" s="54"/>
      <c r="AO183" s="26">
        <f t="shared" si="95"/>
        <v>1.3504299999999998</v>
      </c>
      <c r="AP183" s="24">
        <f t="shared" si="90"/>
        <v>2.7605880837806786E-3</v>
      </c>
    </row>
    <row r="184" spans="1:42">
      <c r="A184" s="42" t="s">
        <v>47</v>
      </c>
      <c r="B184" s="60">
        <v>5401050201</v>
      </c>
      <c r="C184" s="15" t="s">
        <v>166</v>
      </c>
      <c r="E184" s="61">
        <v>0</v>
      </c>
      <c r="F184" s="24">
        <f t="shared" si="80"/>
        <v>0</v>
      </c>
      <c r="H184" s="61">
        <v>0</v>
      </c>
      <c r="I184" s="24">
        <f t="shared" si="81"/>
        <v>0</v>
      </c>
      <c r="K184" s="61">
        <v>0</v>
      </c>
      <c r="L184" s="24">
        <f t="shared" si="82"/>
        <v>0</v>
      </c>
      <c r="N184" s="61">
        <v>0</v>
      </c>
      <c r="O184" s="24">
        <f t="shared" si="83"/>
        <v>0</v>
      </c>
      <c r="P184" s="54"/>
      <c r="Q184" s="61">
        <v>0</v>
      </c>
      <c r="R184" s="24">
        <f t="shared" si="84"/>
        <v>0</v>
      </c>
      <c r="S184" s="54"/>
      <c r="T184" s="61"/>
      <c r="U184" s="24"/>
      <c r="V184" s="54"/>
      <c r="W184" s="61"/>
      <c r="X184" s="24"/>
      <c r="Y184" s="54"/>
      <c r="Z184" s="61"/>
      <c r="AA184" s="24"/>
      <c r="AB184" s="54"/>
      <c r="AC184" s="61"/>
      <c r="AD184" s="24" t="e">
        <f t="shared" si="88"/>
        <v>#DIV/0!</v>
      </c>
      <c r="AE184" s="54"/>
      <c r="AF184" s="61"/>
      <c r="AG184" s="24" t="e">
        <f t="shared" si="91"/>
        <v>#DIV/0!</v>
      </c>
      <c r="AH184" s="54"/>
      <c r="AI184" s="61"/>
      <c r="AJ184" s="24" t="e">
        <f t="shared" si="92"/>
        <v>#DIV/0!</v>
      </c>
      <c r="AK184" s="54"/>
      <c r="AL184" s="61"/>
      <c r="AM184" s="24" t="e">
        <f t="shared" si="93"/>
        <v>#DIV/0!</v>
      </c>
      <c r="AN184" s="54"/>
      <c r="AO184" s="26">
        <f t="shared" si="95"/>
        <v>0</v>
      </c>
      <c r="AP184" s="24">
        <f t="shared" si="90"/>
        <v>0</v>
      </c>
    </row>
    <row r="185" spans="1:42">
      <c r="A185" s="42" t="s">
        <v>47</v>
      </c>
      <c r="B185" s="60">
        <v>5301070000</v>
      </c>
      <c r="C185" s="15" t="s">
        <v>115</v>
      </c>
      <c r="E185" s="61">
        <v>-1.9978199999999999</v>
      </c>
      <c r="F185" s="24">
        <f t="shared" si="80"/>
        <v>-2.0467160463472352E-2</v>
      </c>
      <c r="H185" s="61">
        <v>0</v>
      </c>
      <c r="I185" s="24">
        <f t="shared" si="81"/>
        <v>0</v>
      </c>
      <c r="K185" s="61">
        <v>43.534419999999997</v>
      </c>
      <c r="L185" s="24">
        <f t="shared" si="82"/>
        <v>0.40543901803009985</v>
      </c>
      <c r="N185" s="61">
        <v>0</v>
      </c>
      <c r="O185" s="24">
        <f t="shared" si="83"/>
        <v>0</v>
      </c>
      <c r="P185" s="54"/>
      <c r="Q185" s="61">
        <v>0</v>
      </c>
      <c r="R185" s="24">
        <f t="shared" si="84"/>
        <v>0</v>
      </c>
      <c r="S185" s="54"/>
      <c r="T185" s="61"/>
      <c r="U185" s="24"/>
      <c r="V185" s="54"/>
      <c r="W185" s="61"/>
      <c r="X185" s="24"/>
      <c r="Y185" s="54"/>
      <c r="Z185" s="61"/>
      <c r="AA185" s="24"/>
      <c r="AB185" s="54"/>
      <c r="AC185" s="61"/>
      <c r="AD185" s="24" t="e">
        <f t="shared" si="88"/>
        <v>#DIV/0!</v>
      </c>
      <c r="AE185" s="54"/>
      <c r="AF185" s="61"/>
      <c r="AG185" s="24" t="e">
        <f t="shared" si="91"/>
        <v>#DIV/0!</v>
      </c>
      <c r="AH185" s="54"/>
      <c r="AI185" s="61"/>
      <c r="AJ185" s="24" t="e">
        <f t="shared" si="92"/>
        <v>#DIV/0!</v>
      </c>
      <c r="AK185" s="54"/>
      <c r="AL185" s="61"/>
      <c r="AM185" s="24" t="e">
        <f t="shared" si="93"/>
        <v>#DIV/0!</v>
      </c>
      <c r="AN185" s="54"/>
      <c r="AO185" s="26">
        <f t="shared" si="95"/>
        <v>41.5366</v>
      </c>
      <c r="AP185" s="24">
        <f t="shared" si="90"/>
        <v>8.4910319676521212E-2</v>
      </c>
    </row>
    <row r="186" spans="1:42">
      <c r="A186" s="42" t="s">
        <v>47</v>
      </c>
      <c r="B186" s="60">
        <v>5207000011</v>
      </c>
      <c r="C186" s="15" t="s">
        <v>57</v>
      </c>
      <c r="E186" s="61">
        <v>0</v>
      </c>
      <c r="F186" s="24">
        <f t="shared" si="80"/>
        <v>0</v>
      </c>
      <c r="H186" s="61">
        <v>0</v>
      </c>
      <c r="I186" s="24">
        <f t="shared" si="81"/>
        <v>0</v>
      </c>
      <c r="K186" s="61">
        <v>0</v>
      </c>
      <c r="L186" s="24">
        <f t="shared" si="82"/>
        <v>0</v>
      </c>
      <c r="N186" s="61">
        <v>-6.6E-4</v>
      </c>
      <c r="O186" s="24">
        <f t="shared" si="83"/>
        <v>-5.9798858385430826E-6</v>
      </c>
      <c r="P186" s="54"/>
      <c r="Q186" s="61">
        <v>0</v>
      </c>
      <c r="R186" s="24">
        <f t="shared" si="84"/>
        <v>0</v>
      </c>
      <c r="S186" s="54"/>
      <c r="T186" s="61"/>
      <c r="U186" s="24"/>
      <c r="V186" s="54"/>
      <c r="W186" s="61"/>
      <c r="X186" s="24"/>
      <c r="Y186" s="54"/>
      <c r="Z186" s="61"/>
      <c r="AA186" s="24"/>
      <c r="AB186" s="54"/>
      <c r="AC186" s="61"/>
      <c r="AD186" s="24" t="e">
        <f t="shared" si="88"/>
        <v>#DIV/0!</v>
      </c>
      <c r="AE186" s="54"/>
      <c r="AF186" s="61"/>
      <c r="AG186" s="24" t="e">
        <f t="shared" si="91"/>
        <v>#DIV/0!</v>
      </c>
      <c r="AH186" s="54"/>
      <c r="AI186" s="61"/>
      <c r="AJ186" s="24" t="e">
        <f t="shared" si="92"/>
        <v>#DIV/0!</v>
      </c>
      <c r="AK186" s="54"/>
      <c r="AL186" s="61"/>
      <c r="AM186" s="24" t="e">
        <f t="shared" si="93"/>
        <v>#DIV/0!</v>
      </c>
      <c r="AN186" s="54"/>
      <c r="AO186" s="26">
        <f t="shared" si="95"/>
        <v>-6.6E-4</v>
      </c>
      <c r="AP186" s="24">
        <f t="shared" si="90"/>
        <v>-1.3491910986095154E-6</v>
      </c>
    </row>
    <row r="187" spans="1:42">
      <c r="A187" s="42" t="s">
        <v>47</v>
      </c>
      <c r="B187" s="60">
        <v>5102040894</v>
      </c>
      <c r="C187" s="15" t="s">
        <v>167</v>
      </c>
      <c r="E187" s="61">
        <v>0</v>
      </c>
      <c r="F187" s="24">
        <f t="shared" si="80"/>
        <v>0</v>
      </c>
      <c r="H187" s="61">
        <v>0</v>
      </c>
      <c r="I187" s="24">
        <f t="shared" si="81"/>
        <v>0</v>
      </c>
      <c r="K187" s="61">
        <v>0</v>
      </c>
      <c r="L187" s="24">
        <f t="shared" si="82"/>
        <v>0</v>
      </c>
      <c r="N187" s="61">
        <v>0</v>
      </c>
      <c r="O187" s="24">
        <f t="shared" si="83"/>
        <v>0</v>
      </c>
      <c r="P187" s="54"/>
      <c r="Q187" s="61">
        <v>0</v>
      </c>
      <c r="R187" s="24">
        <f t="shared" si="84"/>
        <v>0</v>
      </c>
      <c r="S187" s="54"/>
      <c r="T187" s="61"/>
      <c r="U187" s="24"/>
      <c r="V187" s="54"/>
      <c r="W187" s="61"/>
      <c r="X187" s="24"/>
      <c r="Y187" s="54"/>
      <c r="Z187" s="61"/>
      <c r="AA187" s="24"/>
      <c r="AB187" s="54"/>
      <c r="AC187" s="61"/>
      <c r="AD187" s="24" t="e">
        <f t="shared" si="88"/>
        <v>#DIV/0!</v>
      </c>
      <c r="AE187" s="54"/>
      <c r="AF187" s="61"/>
      <c r="AG187" s="24" t="e">
        <f t="shared" si="91"/>
        <v>#DIV/0!</v>
      </c>
      <c r="AH187" s="54"/>
      <c r="AI187" s="61"/>
      <c r="AJ187" s="24" t="e">
        <f t="shared" si="92"/>
        <v>#DIV/0!</v>
      </c>
      <c r="AK187" s="54"/>
      <c r="AL187" s="61"/>
      <c r="AM187" s="24" t="e">
        <f t="shared" si="93"/>
        <v>#DIV/0!</v>
      </c>
      <c r="AN187" s="54"/>
      <c r="AO187" s="26">
        <f t="shared" si="95"/>
        <v>0</v>
      </c>
      <c r="AP187" s="24">
        <f t="shared" si="90"/>
        <v>0</v>
      </c>
    </row>
    <row r="188" spans="1:42">
      <c r="A188" s="42" t="s">
        <v>47</v>
      </c>
      <c r="B188" s="60">
        <v>5207000012</v>
      </c>
      <c r="C188" s="15" t="s">
        <v>58</v>
      </c>
      <c r="E188" s="61">
        <v>0</v>
      </c>
      <c r="F188" s="24">
        <f t="shared" si="80"/>
        <v>0</v>
      </c>
      <c r="H188" s="61">
        <v>0</v>
      </c>
      <c r="I188" s="24">
        <f t="shared" si="81"/>
        <v>0</v>
      </c>
      <c r="K188" s="61">
        <v>0</v>
      </c>
      <c r="L188" s="24">
        <f t="shared" si="82"/>
        <v>0</v>
      </c>
      <c r="N188" s="61">
        <v>0</v>
      </c>
      <c r="O188" s="24">
        <f t="shared" si="83"/>
        <v>0</v>
      </c>
      <c r="P188" s="54"/>
      <c r="Q188" s="61">
        <v>0</v>
      </c>
      <c r="R188" s="24">
        <f t="shared" si="84"/>
        <v>0</v>
      </c>
      <c r="S188" s="54"/>
      <c r="T188" s="61"/>
      <c r="U188" s="24"/>
      <c r="V188" s="54"/>
      <c r="W188" s="61"/>
      <c r="X188" s="24"/>
      <c r="Y188" s="54"/>
      <c r="Z188" s="61"/>
      <c r="AA188" s="24"/>
      <c r="AB188" s="54"/>
      <c r="AC188" s="61"/>
      <c r="AD188" s="24" t="e">
        <f t="shared" ref="AD188:AD191" si="96">AC188/$AC$1*1000</f>
        <v>#DIV/0!</v>
      </c>
      <c r="AE188" s="54"/>
      <c r="AF188" s="61"/>
      <c r="AG188" s="24" t="e">
        <f t="shared" ref="AG188:AG191" si="97">AF188/$AF$1*1000</f>
        <v>#DIV/0!</v>
      </c>
      <c r="AH188" s="54"/>
      <c r="AI188" s="61"/>
      <c r="AJ188" s="24" t="e">
        <f t="shared" ref="AJ188:AJ191" si="98">AI188/$AF$1*1000</f>
        <v>#DIV/0!</v>
      </c>
      <c r="AK188" s="54"/>
      <c r="AL188" s="61"/>
      <c r="AM188" s="24" t="e">
        <f t="shared" ref="AM188:AM191" si="99">AL188/$AF$1*1000</f>
        <v>#DIV/0!</v>
      </c>
      <c r="AN188" s="54"/>
      <c r="AO188" s="26">
        <f t="shared" ref="AO188:AO191" si="100">H188+E188+K188+N188+Q188+T188+W188+Z188+AC188+AF188+AI188+AL188</f>
        <v>0</v>
      </c>
      <c r="AP188" s="24">
        <f t="shared" ref="AP188:AP191" si="101">AO188/$AO$1*1000</f>
        <v>0</v>
      </c>
    </row>
    <row r="189" spans="1:42">
      <c r="A189" s="42" t="s">
        <v>47</v>
      </c>
      <c r="B189" s="60">
        <v>5301999999</v>
      </c>
      <c r="C189" s="15" t="s">
        <v>61</v>
      </c>
      <c r="E189" s="61">
        <v>-0.31312000000000001</v>
      </c>
      <c r="F189" s="24">
        <f t="shared" si="80"/>
        <v>-3.207835182510168E-3</v>
      </c>
      <c r="H189" s="61">
        <v>0.28914000000000001</v>
      </c>
      <c r="I189" s="24">
        <f t="shared" si="81"/>
        <v>2.7201911678928258E-3</v>
      </c>
      <c r="K189" s="61">
        <v>-9.8760000000000001E-2</v>
      </c>
      <c r="L189" s="24">
        <f t="shared" si="82"/>
        <v>-9.1975860527492178E-4</v>
      </c>
      <c r="N189" s="61">
        <v>-5.8300000000000001E-3</v>
      </c>
      <c r="O189" s="24">
        <f t="shared" si="83"/>
        <v>-5.2822324907130561E-5</v>
      </c>
      <c r="P189" s="54"/>
      <c r="Q189" s="61">
        <v>-5.8200000000000005E-3</v>
      </c>
      <c r="R189" s="24">
        <f t="shared" si="84"/>
        <v>-8.6182642045875229E-5</v>
      </c>
      <c r="S189" s="54"/>
      <c r="T189" s="61"/>
      <c r="U189" s="24"/>
      <c r="V189" s="54"/>
      <c r="W189" s="61"/>
      <c r="X189" s="24"/>
      <c r="Y189" s="54"/>
      <c r="Z189" s="61"/>
      <c r="AA189" s="24"/>
      <c r="AB189" s="54"/>
      <c r="AC189" s="61"/>
      <c r="AD189" s="24" t="e">
        <f t="shared" si="96"/>
        <v>#DIV/0!</v>
      </c>
      <c r="AE189" s="54"/>
      <c r="AF189" s="61"/>
      <c r="AG189" s="24" t="e">
        <f t="shared" si="97"/>
        <v>#DIV/0!</v>
      </c>
      <c r="AH189" s="54"/>
      <c r="AI189" s="61"/>
      <c r="AJ189" s="24" t="e">
        <f t="shared" si="98"/>
        <v>#DIV/0!</v>
      </c>
      <c r="AK189" s="54"/>
      <c r="AL189" s="61"/>
      <c r="AM189" s="24" t="e">
        <f t="shared" si="99"/>
        <v>#DIV/0!</v>
      </c>
      <c r="AN189" s="54"/>
      <c r="AO189" s="26">
        <f t="shared" si="100"/>
        <v>-0.13438999999999998</v>
      </c>
      <c r="AP189" s="24">
        <f t="shared" si="101"/>
        <v>-2.7472392688201932E-4</v>
      </c>
    </row>
    <row r="190" spans="1:42">
      <c r="A190" s="42" t="s">
        <v>47</v>
      </c>
      <c r="B190" s="60">
        <v>6666070400</v>
      </c>
      <c r="C190" s="15" t="s">
        <v>99</v>
      </c>
      <c r="E190" s="61">
        <v>0</v>
      </c>
      <c r="F190" s="24">
        <f t="shared" si="80"/>
        <v>0</v>
      </c>
      <c r="H190" s="61">
        <v>5.7200000000000001E-2</v>
      </c>
      <c r="I190" s="24">
        <f t="shared" si="81"/>
        <v>5.3813009200895628E-4</v>
      </c>
      <c r="K190" s="61">
        <v>5.8259999999999999E-2</v>
      </c>
      <c r="L190" s="24">
        <f t="shared" si="82"/>
        <v>5.4257934734018771E-4</v>
      </c>
      <c r="N190" s="61">
        <v>5.7489999999999999E-2</v>
      </c>
      <c r="O190" s="24">
        <f t="shared" si="83"/>
        <v>5.208842982694572E-4</v>
      </c>
      <c r="P190" s="54"/>
      <c r="Q190" s="61">
        <v>5.8439999999999999E-2</v>
      </c>
      <c r="R190" s="24">
        <f t="shared" si="84"/>
        <v>8.653803438420873E-4</v>
      </c>
      <c r="S190" s="54"/>
      <c r="T190" s="61"/>
      <c r="U190" s="24"/>
      <c r="V190" s="54"/>
      <c r="W190" s="61"/>
      <c r="X190" s="24"/>
      <c r="Y190" s="54"/>
      <c r="Z190" s="61"/>
      <c r="AA190" s="24"/>
      <c r="AB190" s="54"/>
      <c r="AC190" s="61"/>
      <c r="AD190" s="24" t="e">
        <f t="shared" si="96"/>
        <v>#DIV/0!</v>
      </c>
      <c r="AE190" s="54"/>
      <c r="AF190" s="61"/>
      <c r="AG190" s="24" t="e">
        <f t="shared" si="97"/>
        <v>#DIV/0!</v>
      </c>
      <c r="AH190" s="54"/>
      <c r="AI190" s="61"/>
      <c r="AJ190" s="24" t="e">
        <f t="shared" si="98"/>
        <v>#DIV/0!</v>
      </c>
      <c r="AK190" s="54"/>
      <c r="AL190" s="61"/>
      <c r="AM190" s="24" t="e">
        <f t="shared" si="99"/>
        <v>#DIV/0!</v>
      </c>
      <c r="AN190" s="54"/>
      <c r="AO190" s="61">
        <f t="shared" si="100"/>
        <v>0.23138999999999998</v>
      </c>
      <c r="AP190" s="24">
        <f t="shared" si="101"/>
        <v>4.7301413379887238E-4</v>
      </c>
    </row>
    <row r="191" spans="1:42">
      <c r="A191" s="42" t="s">
        <v>47</v>
      </c>
      <c r="B191" s="60">
        <v>5801000041</v>
      </c>
      <c r="C191" s="15" t="s">
        <v>199</v>
      </c>
      <c r="E191" s="61">
        <v>1.1899999999999999E-3</v>
      </c>
      <c r="F191" s="24">
        <f t="shared" si="80"/>
        <v>1.2191248937107497E-5</v>
      </c>
      <c r="H191" s="61">
        <v>0</v>
      </c>
      <c r="I191" s="24">
        <f t="shared" si="81"/>
        <v>0</v>
      </c>
      <c r="K191" s="61">
        <v>0</v>
      </c>
      <c r="L191" s="24">
        <f t="shared" si="82"/>
        <v>0</v>
      </c>
      <c r="N191" s="61">
        <v>0</v>
      </c>
      <c r="O191" s="24">
        <f t="shared" si="83"/>
        <v>0</v>
      </c>
      <c r="P191" s="54"/>
      <c r="Q191" s="61">
        <v>0</v>
      </c>
      <c r="R191" s="24">
        <f t="shared" si="84"/>
        <v>0</v>
      </c>
      <c r="S191" s="54"/>
      <c r="T191" s="61"/>
      <c r="U191" s="24"/>
      <c r="V191" s="54"/>
      <c r="W191" s="61"/>
      <c r="X191" s="24"/>
      <c r="Y191" s="54"/>
      <c r="Z191" s="61"/>
      <c r="AA191" s="24"/>
      <c r="AB191" s="54"/>
      <c r="AC191" s="61"/>
      <c r="AD191" s="24" t="e">
        <f t="shared" si="96"/>
        <v>#DIV/0!</v>
      </c>
      <c r="AE191" s="54"/>
      <c r="AF191" s="61"/>
      <c r="AG191" s="24" t="e">
        <f t="shared" si="97"/>
        <v>#DIV/0!</v>
      </c>
      <c r="AH191" s="54"/>
      <c r="AI191" s="61"/>
      <c r="AJ191" s="24" t="e">
        <f t="shared" si="98"/>
        <v>#DIV/0!</v>
      </c>
      <c r="AK191" s="54"/>
      <c r="AL191" s="61"/>
      <c r="AM191" s="24" t="e">
        <f t="shared" si="99"/>
        <v>#DIV/0!</v>
      </c>
      <c r="AN191" s="54"/>
      <c r="AO191" s="61">
        <f t="shared" si="100"/>
        <v>1.1899999999999999E-3</v>
      </c>
      <c r="AP191" s="24">
        <f t="shared" si="101"/>
        <v>2.4326324353717016E-6</v>
      </c>
    </row>
    <row r="192" spans="1:42">
      <c r="A192" s="42" t="s">
        <v>47</v>
      </c>
      <c r="B192" s="60">
        <v>6666010380</v>
      </c>
      <c r="C192" s="15" t="s">
        <v>39</v>
      </c>
      <c r="E192" s="61">
        <v>0</v>
      </c>
      <c r="F192" s="24">
        <f t="shared" si="80"/>
        <v>0</v>
      </c>
      <c r="H192" s="61">
        <v>0</v>
      </c>
      <c r="I192" s="24">
        <f t="shared" si="81"/>
        <v>0</v>
      </c>
      <c r="K192" s="61">
        <v>0</v>
      </c>
      <c r="L192" s="24">
        <f t="shared" si="82"/>
        <v>0</v>
      </c>
      <c r="N192" s="61">
        <v>0</v>
      </c>
      <c r="O192" s="24">
        <f t="shared" si="83"/>
        <v>0</v>
      </c>
      <c r="P192" s="54"/>
      <c r="Q192" s="61">
        <v>0</v>
      </c>
      <c r="R192" s="24">
        <f t="shared" si="84"/>
        <v>0</v>
      </c>
      <c r="S192" s="54"/>
      <c r="T192" s="61"/>
      <c r="U192" s="24"/>
      <c r="V192" s="54"/>
      <c r="W192" s="61"/>
      <c r="X192" s="24"/>
      <c r="Y192" s="54"/>
      <c r="Z192" s="61"/>
      <c r="AA192" s="24"/>
      <c r="AB192" s="54"/>
      <c r="AC192" s="61"/>
      <c r="AD192" s="24" t="e">
        <f t="shared" ref="AD192" si="102">AC192/$AC$1*1000</f>
        <v>#DIV/0!</v>
      </c>
      <c r="AE192" s="54"/>
      <c r="AF192" s="61"/>
      <c r="AG192" s="24" t="e">
        <f t="shared" ref="AG192" si="103">AF192/$AF$1*1000</f>
        <v>#DIV/0!</v>
      </c>
      <c r="AH192" s="54"/>
      <c r="AI192" s="61"/>
      <c r="AJ192" s="24" t="e">
        <f t="shared" ref="AJ192" si="104">AI192/$AF$1*1000</f>
        <v>#DIV/0!</v>
      </c>
      <c r="AK192" s="54"/>
      <c r="AL192" s="61"/>
      <c r="AM192" s="24" t="e">
        <f t="shared" ref="AM192" si="105">AL192/$AF$1*1000</f>
        <v>#DIV/0!</v>
      </c>
      <c r="AN192" s="54"/>
      <c r="AO192" s="61">
        <f t="shared" ref="AO192" si="106">H192+E192+K192+N192+Q192+T192+W192+Z192+AC192+AF192+AI192+AL192</f>
        <v>0</v>
      </c>
      <c r="AP192" s="24">
        <f t="shared" ref="AP192" si="107">AO192/$AO$1*1000</f>
        <v>0</v>
      </c>
    </row>
    <row r="193" spans="1:42">
      <c r="A193" s="42" t="s">
        <v>47</v>
      </c>
      <c r="B193" s="60">
        <v>6666010315</v>
      </c>
      <c r="C193" s="15" t="s">
        <v>209</v>
      </c>
      <c r="E193" s="61"/>
      <c r="F193" s="24">
        <f t="shared" ref="F193:F197" si="108">E193/$E$1*1000</f>
        <v>0</v>
      </c>
      <c r="H193" s="61">
        <v>0.79379999999999995</v>
      </c>
      <c r="I193" s="24">
        <f t="shared" ref="I193:I197" si="109">H193/$H$1*1000</f>
        <v>7.4679662069354804E-3</v>
      </c>
      <c r="K193" s="61">
        <v>3.2140000000000002E-2</v>
      </c>
      <c r="L193" s="24">
        <f t="shared" si="82"/>
        <v>2.9932200864252721E-4</v>
      </c>
      <c r="N193" s="61">
        <v>1.814E-2</v>
      </c>
      <c r="O193" s="24">
        <f t="shared" si="83"/>
        <v>1.6435625622904774E-4</v>
      </c>
      <c r="P193" s="54"/>
      <c r="Q193" s="61">
        <v>5.4969999999999998E-2</v>
      </c>
      <c r="R193" s="24">
        <f t="shared" si="84"/>
        <v>8.139965349247012E-4</v>
      </c>
      <c r="S193" s="54"/>
      <c r="T193" s="61"/>
      <c r="U193" s="24"/>
      <c r="V193" s="54"/>
      <c r="W193" s="61"/>
      <c r="X193" s="24"/>
      <c r="Y193" s="54"/>
      <c r="Z193" s="61"/>
      <c r="AA193" s="24"/>
      <c r="AB193" s="54"/>
      <c r="AC193" s="61"/>
      <c r="AD193" s="24" t="e">
        <f t="shared" ref="AD193:AD197" si="110">AC193/$AC$1*1000</f>
        <v>#DIV/0!</v>
      </c>
      <c r="AE193" s="54"/>
      <c r="AF193" s="61"/>
      <c r="AG193" s="24" t="e">
        <f t="shared" ref="AG193:AG197" si="111">AF193/$AF$1*1000</f>
        <v>#DIV/0!</v>
      </c>
      <c r="AH193" s="54"/>
      <c r="AI193" s="61"/>
      <c r="AJ193" s="24" t="e">
        <f t="shared" ref="AJ193:AJ197" si="112">AI193/$AF$1*1000</f>
        <v>#DIV/0!</v>
      </c>
      <c r="AK193" s="54"/>
      <c r="AL193" s="61"/>
      <c r="AM193" s="24" t="e">
        <f t="shared" ref="AM193:AM197" si="113">AL193/$AF$1*1000</f>
        <v>#DIV/0!</v>
      </c>
      <c r="AN193" s="54"/>
      <c r="AO193" s="61">
        <f t="shared" ref="AO193:AO197" si="114">H193+E193+K193+N193+Q193+T193+W193+Z193+AC193+AF193+AI193+AL193</f>
        <v>0.8990499999999999</v>
      </c>
      <c r="AP193" s="24">
        <f t="shared" ref="AP193:AP197" si="115">AO193/$AO$1*1000</f>
        <v>1.8378640260680072E-3</v>
      </c>
    </row>
    <row r="194" spans="1:42">
      <c r="A194" s="42" t="s">
        <v>47</v>
      </c>
      <c r="B194" s="60">
        <v>6666021200</v>
      </c>
      <c r="C194" s="15" t="s">
        <v>210</v>
      </c>
      <c r="E194" s="61"/>
      <c r="F194" s="24">
        <f t="shared" si="108"/>
        <v>0</v>
      </c>
      <c r="H194" s="61">
        <v>2.4474999999999998</v>
      </c>
      <c r="I194" s="24">
        <f t="shared" si="109"/>
        <v>2.3025758744613992E-2</v>
      </c>
      <c r="K194" s="61">
        <v>2.4474999999999998</v>
      </c>
      <c r="L194" s="24">
        <f t="shared" si="82"/>
        <v>2.279373416778423E-2</v>
      </c>
      <c r="N194" s="61">
        <v>2.30999</v>
      </c>
      <c r="O194" s="24">
        <f t="shared" si="83"/>
        <v>2.09295098305699E-2</v>
      </c>
      <c r="P194" s="54"/>
      <c r="Q194" s="61">
        <v>-2.2639499999999999</v>
      </c>
      <c r="R194" s="24">
        <f t="shared" si="84"/>
        <v>-3.3524603515422545E-2</v>
      </c>
      <c r="S194" s="54"/>
      <c r="T194" s="61"/>
      <c r="U194" s="24"/>
      <c r="V194" s="54"/>
      <c r="W194" s="61"/>
      <c r="X194" s="24"/>
      <c r="Y194" s="54"/>
      <c r="Z194" s="61"/>
      <c r="AA194" s="24"/>
      <c r="AB194" s="54"/>
      <c r="AC194" s="61"/>
      <c r="AD194" s="24" t="e">
        <f t="shared" si="110"/>
        <v>#DIV/0!</v>
      </c>
      <c r="AE194" s="54"/>
      <c r="AF194" s="61"/>
      <c r="AG194" s="24" t="e">
        <f t="shared" si="111"/>
        <v>#DIV/0!</v>
      </c>
      <c r="AH194" s="54"/>
      <c r="AI194" s="61"/>
      <c r="AJ194" s="24" t="e">
        <f t="shared" si="112"/>
        <v>#DIV/0!</v>
      </c>
      <c r="AK194" s="54"/>
      <c r="AL194" s="61"/>
      <c r="AM194" s="24" t="e">
        <f t="shared" si="113"/>
        <v>#DIV/0!</v>
      </c>
      <c r="AN194" s="54"/>
      <c r="AO194" s="61">
        <f t="shared" si="114"/>
        <v>4.9410399999999992</v>
      </c>
      <c r="AP194" s="24">
        <f t="shared" si="115"/>
        <v>1.0100616948293272E-2</v>
      </c>
    </row>
    <row r="195" spans="1:42">
      <c r="A195" s="42" t="s">
        <v>47</v>
      </c>
      <c r="B195" s="60">
        <v>6666021602</v>
      </c>
      <c r="C195" s="15" t="s">
        <v>211</v>
      </c>
      <c r="E195" s="61"/>
      <c r="F195" s="24">
        <f t="shared" ref="F195:F196" si="116">E195/$E$1*1000</f>
        <v>0</v>
      </c>
      <c r="H195" s="61">
        <v>4.9400000000000008E-3</v>
      </c>
      <c r="I195" s="24">
        <f t="shared" ref="I195:I196" si="117">H195/$H$1*1000</f>
        <v>4.6474871582591692E-5</v>
      </c>
      <c r="K195" s="61">
        <v>1.0109999999999999E-2</v>
      </c>
      <c r="L195" s="24">
        <f t="shared" si="82"/>
        <v>9.4155118462226189E-5</v>
      </c>
      <c r="N195" s="61">
        <v>3.7859999999999998E-2</v>
      </c>
      <c r="O195" s="24">
        <f t="shared" si="83"/>
        <v>3.4302799673824406E-4</v>
      </c>
      <c r="P195" s="54"/>
      <c r="Q195" s="61">
        <v>1.5740000000000001E-2</v>
      </c>
      <c r="R195" s="24">
        <f t="shared" si="84"/>
        <v>2.3307814189039107E-4</v>
      </c>
      <c r="S195" s="54"/>
      <c r="T195" s="61"/>
      <c r="U195" s="24"/>
      <c r="V195" s="54"/>
      <c r="W195" s="61"/>
      <c r="X195" s="24"/>
      <c r="Y195" s="54"/>
      <c r="Z195" s="61"/>
      <c r="AA195" s="24"/>
      <c r="AB195" s="54"/>
      <c r="AC195" s="61"/>
      <c r="AD195" s="24" t="e">
        <f t="shared" ref="AD195:AD196" si="118">AC195/$AC$1*1000</f>
        <v>#DIV/0!</v>
      </c>
      <c r="AE195" s="54"/>
      <c r="AF195" s="61"/>
      <c r="AG195" s="24" t="e">
        <f t="shared" ref="AG195:AG196" si="119">AF195/$AF$1*1000</f>
        <v>#DIV/0!</v>
      </c>
      <c r="AH195" s="54"/>
      <c r="AI195" s="61"/>
      <c r="AJ195" s="24" t="e">
        <f t="shared" ref="AJ195:AJ196" si="120">AI195/$AF$1*1000</f>
        <v>#DIV/0!</v>
      </c>
      <c r="AK195" s="54"/>
      <c r="AL195" s="61"/>
      <c r="AM195" s="24" t="e">
        <f t="shared" ref="AM195:AM196" si="121">AL195/$AF$1*1000</f>
        <v>#DIV/0!</v>
      </c>
      <c r="AN195" s="54"/>
      <c r="AO195" s="61">
        <f t="shared" ref="AO195:AO196" si="122">H195+E195+K195+N195+Q195+T195+W195+Z195+AC195+AF195+AI195+AL195</f>
        <v>6.8650000000000003E-2</v>
      </c>
      <c r="AP195" s="24">
        <f t="shared" ref="AP195:AP196" si="123">AO195/$AO$1*1000</f>
        <v>1.4033631654476248E-4</v>
      </c>
    </row>
    <row r="196" spans="1:42">
      <c r="A196" s="42" t="s">
        <v>47</v>
      </c>
      <c r="B196" s="60">
        <v>6666029996</v>
      </c>
      <c r="C196" s="15" t="s">
        <v>212</v>
      </c>
      <c r="E196" s="61"/>
      <c r="F196" s="24">
        <f t="shared" si="116"/>
        <v>0</v>
      </c>
      <c r="H196" s="61">
        <v>-6.676E-2</v>
      </c>
      <c r="I196" s="24">
        <f t="shared" si="117"/>
        <v>-6.2806931717688684E-4</v>
      </c>
      <c r="K196" s="61">
        <v>0</v>
      </c>
      <c r="L196" s="24">
        <f t="shared" ref="L196" si="124">K196/$K$1*1000</f>
        <v>0</v>
      </c>
      <c r="N196" s="61">
        <v>4.3299999999999996E-3</v>
      </c>
      <c r="O196" s="24">
        <f t="shared" si="83"/>
        <v>3.9231675274078101E-5</v>
      </c>
      <c r="P196" s="54"/>
      <c r="Q196" s="61">
        <v>2.0670000000000001E-2</v>
      </c>
      <c r="R196" s="24">
        <f t="shared" si="84"/>
        <v>3.0608165138973212E-4</v>
      </c>
      <c r="S196" s="54"/>
      <c r="T196" s="61"/>
      <c r="U196" s="24"/>
      <c r="V196" s="54"/>
      <c r="W196" s="61"/>
      <c r="X196" s="24"/>
      <c r="Y196" s="54"/>
      <c r="Z196" s="61"/>
      <c r="AA196" s="24"/>
      <c r="AB196" s="54"/>
      <c r="AC196" s="61"/>
      <c r="AD196" s="24" t="e">
        <f t="shared" si="118"/>
        <v>#DIV/0!</v>
      </c>
      <c r="AE196" s="54"/>
      <c r="AF196" s="61"/>
      <c r="AG196" s="24" t="e">
        <f t="shared" si="119"/>
        <v>#DIV/0!</v>
      </c>
      <c r="AH196" s="54"/>
      <c r="AI196" s="61"/>
      <c r="AJ196" s="24" t="e">
        <f t="shared" si="120"/>
        <v>#DIV/0!</v>
      </c>
      <c r="AK196" s="54"/>
      <c r="AL196" s="61"/>
      <c r="AM196" s="24" t="e">
        <f t="shared" si="121"/>
        <v>#DIV/0!</v>
      </c>
      <c r="AN196" s="54"/>
      <c r="AO196" s="61">
        <f t="shared" si="122"/>
        <v>-4.1759999999999999E-2</v>
      </c>
      <c r="AP196" s="24">
        <f t="shared" si="123"/>
        <v>-8.5367000421111169E-5</v>
      </c>
    </row>
    <row r="197" spans="1:42">
      <c r="A197" s="42" t="s">
        <v>47</v>
      </c>
      <c r="B197" s="157">
        <v>6666020406</v>
      </c>
      <c r="C197" s="15" t="s">
        <v>219</v>
      </c>
      <c r="E197" s="61"/>
      <c r="F197" s="24">
        <f t="shared" si="108"/>
        <v>0</v>
      </c>
      <c r="H197" s="61"/>
      <c r="I197" s="24">
        <f t="shared" si="109"/>
        <v>0</v>
      </c>
      <c r="K197" s="61"/>
      <c r="L197" s="24">
        <f t="shared" si="82"/>
        <v>0</v>
      </c>
      <c r="N197" s="61">
        <v>0.33256000000000002</v>
      </c>
      <c r="O197" s="24">
        <f t="shared" si="83"/>
        <v>3.0131376279786178E-3</v>
      </c>
      <c r="P197" s="54"/>
      <c r="Q197" s="61">
        <v>0.60438000000000003</v>
      </c>
      <c r="R197" s="24">
        <f t="shared" si="84"/>
        <v>8.9496675600835175E-3</v>
      </c>
      <c r="S197" s="54"/>
      <c r="T197" s="61"/>
      <c r="U197" s="24"/>
      <c r="V197" s="54"/>
      <c r="W197" s="61"/>
      <c r="X197" s="24"/>
      <c r="Y197" s="54"/>
      <c r="Z197" s="61"/>
      <c r="AA197" s="24"/>
      <c r="AB197" s="54"/>
      <c r="AC197" s="61"/>
      <c r="AD197" s="24" t="e">
        <f t="shared" si="110"/>
        <v>#DIV/0!</v>
      </c>
      <c r="AE197" s="54"/>
      <c r="AF197" s="61"/>
      <c r="AG197" s="24" t="e">
        <f t="shared" si="111"/>
        <v>#DIV/0!</v>
      </c>
      <c r="AH197" s="54"/>
      <c r="AI197" s="61"/>
      <c r="AJ197" s="24" t="e">
        <f t="shared" si="112"/>
        <v>#DIV/0!</v>
      </c>
      <c r="AK197" s="54"/>
      <c r="AL197" s="61"/>
      <c r="AM197" s="24" t="e">
        <f t="shared" si="113"/>
        <v>#DIV/0!</v>
      </c>
      <c r="AN197" s="54"/>
      <c r="AO197" s="61">
        <f t="shared" si="114"/>
        <v>0.93694000000000011</v>
      </c>
      <c r="AP197" s="24">
        <f t="shared" si="115"/>
        <v>1.9153198605018176E-3</v>
      </c>
    </row>
    <row r="198" spans="1:42">
      <c r="A198" s="42"/>
      <c r="B198" s="28" t="s">
        <v>168</v>
      </c>
      <c r="C198" s="28" t="s">
        <v>54</v>
      </c>
      <c r="D198" s="29"/>
      <c r="E198" s="62">
        <f>SUM(E150:E192)</f>
        <v>243.87987000000001</v>
      </c>
      <c r="F198" s="63">
        <f t="shared" si="80"/>
        <v>2.4984875679995082</v>
      </c>
      <c r="H198" s="62">
        <f>SUM(H150:H197)</f>
        <v>158.73889000000003</v>
      </c>
      <c r="I198" s="63">
        <f t="shared" si="81"/>
        <v>1.4933946412779651</v>
      </c>
      <c r="K198" s="62">
        <f>SUM(K150:K197)</f>
        <v>215.95154999999986</v>
      </c>
      <c r="L198" s="63">
        <f t="shared" si="82"/>
        <v>2.0111714908359395</v>
      </c>
      <c r="N198" s="62">
        <f>SUM(N150:N197)</f>
        <v>127.20603000000025</v>
      </c>
      <c r="O198" s="63">
        <f t="shared" si="83"/>
        <v>1.1525417232943758</v>
      </c>
      <c r="P198" s="54"/>
      <c r="Q198" s="62">
        <f>SUM(Q150:Q197)</f>
        <v>283.27752999999996</v>
      </c>
      <c r="R198" s="63">
        <f t="shared" si="84"/>
        <v>4.1947776576683298</v>
      </c>
      <c r="S198" s="54"/>
      <c r="T198" s="62">
        <f>SUM(T150:T192)</f>
        <v>0</v>
      </c>
      <c r="U198" s="63" t="e">
        <f t="shared" si="85"/>
        <v>#DIV/0!</v>
      </c>
      <c r="V198" s="54"/>
      <c r="W198" s="62">
        <f>SUM(W150:W192)</f>
        <v>0</v>
      </c>
      <c r="X198" s="63" t="e">
        <f t="shared" si="86"/>
        <v>#DIV/0!</v>
      </c>
      <c r="Y198" s="54"/>
      <c r="Z198" s="62">
        <f>SUM(Z150:Z192)</f>
        <v>0</v>
      </c>
      <c r="AA198" s="63" t="e">
        <f t="shared" si="87"/>
        <v>#DIV/0!</v>
      </c>
      <c r="AB198" s="54"/>
      <c r="AC198" s="62">
        <f>SUM(AC150:AC192)</f>
        <v>0</v>
      </c>
      <c r="AD198" s="63" t="e">
        <f t="shared" si="88"/>
        <v>#DIV/0!</v>
      </c>
      <c r="AE198" s="54"/>
      <c r="AF198" s="62">
        <f>SUM(AF150:AF192)</f>
        <v>0</v>
      </c>
      <c r="AG198" s="63" t="e">
        <f t="shared" si="91"/>
        <v>#DIV/0!</v>
      </c>
      <c r="AH198" s="54"/>
      <c r="AI198" s="62">
        <f>SUM(AI150:AI192)</f>
        <v>0</v>
      </c>
      <c r="AJ198" s="63" t="e">
        <f t="shared" si="92"/>
        <v>#DIV/0!</v>
      </c>
      <c r="AK198" s="54"/>
      <c r="AL198" s="62">
        <f>SUM(AL150:AL192)</f>
        <v>0</v>
      </c>
      <c r="AM198" s="63" t="e">
        <f t="shared" si="93"/>
        <v>#DIV/0!</v>
      </c>
      <c r="AN198" s="54"/>
      <c r="AO198" s="62">
        <f>SUM(AO150:AO197)</f>
        <v>1029.05387</v>
      </c>
      <c r="AP198" s="63">
        <f t="shared" si="90"/>
        <v>2.1036216990813235</v>
      </c>
    </row>
    <row r="199" spans="1:42" outlineLevel="1">
      <c r="A199" s="42" t="s">
        <v>47</v>
      </c>
      <c r="B199" s="60">
        <v>5102040000</v>
      </c>
      <c r="C199" t="s">
        <v>110</v>
      </c>
      <c r="E199" s="61">
        <v>-5.978E-2</v>
      </c>
      <c r="F199" s="24">
        <f t="shared" si="80"/>
        <v>-6.1243097601704731E-4</v>
      </c>
      <c r="H199" s="61">
        <v>-2.2216900000000002</v>
      </c>
      <c r="I199" s="24">
        <f t="shared" si="81"/>
        <v>-2.0901367904115006E-2</v>
      </c>
      <c r="K199" s="61">
        <v>-0.16413999999999998</v>
      </c>
      <c r="L199" s="24">
        <f t="shared" si="82"/>
        <v>-1.5286469974668453E-3</v>
      </c>
      <c r="N199" s="61">
        <v>6.7800000000000004E-3</v>
      </c>
      <c r="O199" s="24">
        <f t="shared" si="83"/>
        <v>6.1429736341397128E-5</v>
      </c>
      <c r="P199" s="54"/>
      <c r="Q199" s="61">
        <v>-0.15368000000000001</v>
      </c>
      <c r="R199" s="24">
        <f t="shared" si="84"/>
        <v>-2.2756956064622176E-3</v>
      </c>
      <c r="S199" s="54"/>
      <c r="T199" s="61"/>
      <c r="U199" s="24" t="e">
        <f t="shared" si="85"/>
        <v>#DIV/0!</v>
      </c>
      <c r="V199" s="54"/>
      <c r="W199" s="61"/>
      <c r="X199" s="24" t="e">
        <f t="shared" si="86"/>
        <v>#DIV/0!</v>
      </c>
      <c r="Y199" s="54"/>
      <c r="Z199" s="61"/>
      <c r="AA199" s="24" t="e">
        <f t="shared" si="87"/>
        <v>#DIV/0!</v>
      </c>
      <c r="AB199" s="54"/>
      <c r="AC199" s="61"/>
      <c r="AD199" s="24" t="e">
        <f t="shared" si="88"/>
        <v>#DIV/0!</v>
      </c>
      <c r="AE199" s="54"/>
      <c r="AF199" s="61"/>
      <c r="AG199" s="24" t="e">
        <f t="shared" si="91"/>
        <v>#DIV/0!</v>
      </c>
      <c r="AH199" s="54"/>
      <c r="AI199" s="61"/>
      <c r="AJ199" s="24" t="e">
        <f t="shared" si="92"/>
        <v>#DIV/0!</v>
      </c>
      <c r="AK199" s="54"/>
      <c r="AL199" s="61"/>
      <c r="AM199" s="24" t="e">
        <f t="shared" si="93"/>
        <v>#DIV/0!</v>
      </c>
      <c r="AN199" s="54"/>
      <c r="AO199" s="61">
        <f>H199+E199+K199+N199+Q199+T199+W199+Z199+AC199+AF199+AI199+AL199</f>
        <v>-2.5925100000000003</v>
      </c>
      <c r="AP199" s="24">
        <f t="shared" si="90"/>
        <v>-5.2996839622062959E-3</v>
      </c>
    </row>
    <row r="200" spans="1:42">
      <c r="A200" s="42"/>
      <c r="B200" s="28" t="s">
        <v>169</v>
      </c>
      <c r="C200" s="28" t="s">
        <v>109</v>
      </c>
      <c r="D200" s="29"/>
      <c r="E200" s="62">
        <f>E199</f>
        <v>-5.978E-2</v>
      </c>
      <c r="F200" s="63">
        <f t="shared" si="80"/>
        <v>-6.1243097601704731E-4</v>
      </c>
      <c r="H200" s="62">
        <f>+H199</f>
        <v>-2.2216900000000002</v>
      </c>
      <c r="I200" s="63">
        <f t="shared" si="81"/>
        <v>-2.0901367904115006E-2</v>
      </c>
      <c r="K200" s="62">
        <f>+K199</f>
        <v>-0.16413999999999998</v>
      </c>
      <c r="L200" s="63">
        <f t="shared" si="82"/>
        <v>-1.5286469974668453E-3</v>
      </c>
      <c r="N200" s="62">
        <f>+N199</f>
        <v>6.7800000000000004E-3</v>
      </c>
      <c r="O200" s="63">
        <f t="shared" si="83"/>
        <v>6.1429736341397128E-5</v>
      </c>
      <c r="P200" s="54"/>
      <c r="Q200" s="62">
        <f>+Q199</f>
        <v>-0.15368000000000001</v>
      </c>
      <c r="R200" s="63">
        <f t="shared" si="84"/>
        <v>-2.2756956064622176E-3</v>
      </c>
      <c r="S200" s="54"/>
      <c r="T200" s="62">
        <f>+T199</f>
        <v>0</v>
      </c>
      <c r="U200" s="63" t="e">
        <f t="shared" si="85"/>
        <v>#DIV/0!</v>
      </c>
      <c r="V200" s="54"/>
      <c r="W200" s="62">
        <f>+W199</f>
        <v>0</v>
      </c>
      <c r="X200" s="63" t="e">
        <f t="shared" si="86"/>
        <v>#DIV/0!</v>
      </c>
      <c r="Y200" s="54"/>
      <c r="Z200" s="62">
        <f>+Z199</f>
        <v>0</v>
      </c>
      <c r="AA200" s="63" t="e">
        <f t="shared" si="87"/>
        <v>#DIV/0!</v>
      </c>
      <c r="AB200" s="54"/>
      <c r="AC200" s="62">
        <f>+AC199</f>
        <v>0</v>
      </c>
      <c r="AD200" s="63" t="e">
        <f t="shared" si="88"/>
        <v>#DIV/0!</v>
      </c>
      <c r="AE200" s="54"/>
      <c r="AF200" s="62">
        <f>+AF199</f>
        <v>0</v>
      </c>
      <c r="AG200" s="63" t="e">
        <f t="shared" si="91"/>
        <v>#DIV/0!</v>
      </c>
      <c r="AH200" s="54"/>
      <c r="AI200" s="62">
        <f>+AI199</f>
        <v>0</v>
      </c>
      <c r="AJ200" s="63" t="e">
        <f t="shared" si="92"/>
        <v>#DIV/0!</v>
      </c>
      <c r="AK200" s="54"/>
      <c r="AL200" s="62">
        <f>+AL199</f>
        <v>0</v>
      </c>
      <c r="AM200" s="63" t="e">
        <f t="shared" si="93"/>
        <v>#DIV/0!</v>
      </c>
      <c r="AN200" s="54"/>
      <c r="AO200" s="62">
        <f>+AO199</f>
        <v>-2.5925100000000003</v>
      </c>
      <c r="AP200" s="63">
        <f t="shared" si="90"/>
        <v>-5.2996839622062959E-3</v>
      </c>
    </row>
    <row r="201" spans="1:42" outlineLevel="1">
      <c r="A201" s="42" t="s">
        <v>47</v>
      </c>
      <c r="B201" s="60">
        <v>6666021600</v>
      </c>
      <c r="C201" t="s">
        <v>119</v>
      </c>
      <c r="E201" s="61">
        <v>-4.8129999999999999E-2</v>
      </c>
      <c r="F201" s="24">
        <f t="shared" si="80"/>
        <v>-4.9307967339746539E-4</v>
      </c>
      <c r="H201" s="61">
        <v>2.0102600000000002</v>
      </c>
      <c r="I201" s="24">
        <f t="shared" si="81"/>
        <v>1.891226221611756E-2</v>
      </c>
      <c r="K201" s="61">
        <v>1.70143</v>
      </c>
      <c r="L201" s="24">
        <f t="shared" si="82"/>
        <v>1.5845533452540608E-2</v>
      </c>
      <c r="N201" s="61">
        <v>1.6693399999999998</v>
      </c>
      <c r="O201" s="24">
        <f t="shared" si="83"/>
        <v>1.5124943372293193E-2</v>
      </c>
      <c r="P201" s="54"/>
      <c r="Q201" s="61">
        <v>0.38694000000000001</v>
      </c>
      <c r="R201" s="24">
        <f t="shared" si="84"/>
        <v>5.7298129747819521E-3</v>
      </c>
      <c r="S201" s="54"/>
      <c r="T201" s="61"/>
      <c r="U201" s="24" t="e">
        <f t="shared" si="85"/>
        <v>#DIV/0!</v>
      </c>
      <c r="V201" s="54"/>
      <c r="W201" s="61"/>
      <c r="X201" s="24" t="e">
        <f t="shared" si="86"/>
        <v>#DIV/0!</v>
      </c>
      <c r="Y201" s="54"/>
      <c r="Z201" s="61"/>
      <c r="AA201" s="24" t="e">
        <f t="shared" si="87"/>
        <v>#DIV/0!</v>
      </c>
      <c r="AB201" s="54"/>
      <c r="AC201" s="61"/>
      <c r="AD201" s="24" t="e">
        <f t="shared" si="88"/>
        <v>#DIV/0!</v>
      </c>
      <c r="AE201" s="54"/>
      <c r="AF201" s="61"/>
      <c r="AG201" s="24" t="e">
        <f t="shared" si="91"/>
        <v>#DIV/0!</v>
      </c>
      <c r="AH201" s="54"/>
      <c r="AI201" s="61"/>
      <c r="AJ201" s="24" t="e">
        <f t="shared" si="92"/>
        <v>#DIV/0!</v>
      </c>
      <c r="AK201" s="54"/>
      <c r="AL201" s="61"/>
      <c r="AM201" s="24" t="e">
        <f t="shared" si="93"/>
        <v>#DIV/0!</v>
      </c>
      <c r="AN201" s="54"/>
      <c r="AO201" s="61">
        <f t="shared" ref="AO201:AO202" si="125">H201+E201+K201+N201+Q201+T201+W201+Z201+AC201+AF201+AI201+AL201</f>
        <v>5.7198400000000005</v>
      </c>
      <c r="AP201" s="24">
        <f t="shared" si="90"/>
        <v>1.1692662444652502E-2</v>
      </c>
    </row>
    <row r="202" spans="1:42" outlineLevel="1">
      <c r="A202" s="42" t="s">
        <v>47</v>
      </c>
      <c r="B202" s="60">
        <v>6666021604</v>
      </c>
      <c r="C202" t="s">
        <v>122</v>
      </c>
      <c r="E202" s="61">
        <v>1.3799999999999999E-3</v>
      </c>
      <c r="F202" s="24">
        <f t="shared" si="80"/>
        <v>1.4137750868242309E-5</v>
      </c>
      <c r="H202" s="61">
        <v>0.41520000000000001</v>
      </c>
      <c r="I202" s="24">
        <f>H202/$H$1*1000</f>
        <v>3.9061471014356411E-3</v>
      </c>
      <c r="K202" s="61">
        <v>0.26321</v>
      </c>
      <c r="L202" s="24">
        <f t="shared" si="82"/>
        <v>2.4512926538518848E-3</v>
      </c>
      <c r="N202" s="61">
        <v>0.13879</v>
      </c>
      <c r="O202" s="24">
        <f t="shared" si="83"/>
        <v>1.2574975083809007E-3</v>
      </c>
      <c r="P202" s="54"/>
      <c r="Q202" s="61">
        <v>-0.13944999999999999</v>
      </c>
      <c r="R202" s="24">
        <f t="shared" si="84"/>
        <v>-2.0649775658586429E-3</v>
      </c>
      <c r="S202" s="54"/>
      <c r="T202" s="61"/>
      <c r="U202" s="24"/>
      <c r="V202" s="54"/>
      <c r="W202" s="61"/>
      <c r="X202" s="24" t="e">
        <f t="shared" si="86"/>
        <v>#DIV/0!</v>
      </c>
      <c r="Y202" s="54"/>
      <c r="Z202" s="61"/>
      <c r="AA202" s="24" t="e">
        <f t="shared" si="87"/>
        <v>#DIV/0!</v>
      </c>
      <c r="AB202" s="54"/>
      <c r="AC202" s="61"/>
      <c r="AD202" s="24" t="e">
        <f t="shared" si="88"/>
        <v>#DIV/0!</v>
      </c>
      <c r="AE202" s="54"/>
      <c r="AF202" s="61"/>
      <c r="AG202" s="24" t="e">
        <f t="shared" si="91"/>
        <v>#DIV/0!</v>
      </c>
      <c r="AH202" s="54"/>
      <c r="AI202" s="61"/>
      <c r="AJ202" s="24" t="e">
        <f t="shared" si="92"/>
        <v>#DIV/0!</v>
      </c>
      <c r="AK202" s="54"/>
      <c r="AL202" s="61"/>
      <c r="AM202" s="24" t="e">
        <f t="shared" si="93"/>
        <v>#DIV/0!</v>
      </c>
      <c r="AN202" s="54"/>
      <c r="AO202" s="61">
        <f t="shared" si="125"/>
        <v>0.67913000000000001</v>
      </c>
      <c r="AP202" s="24">
        <f t="shared" si="90"/>
        <v>1.3882971981798186E-3</v>
      </c>
    </row>
    <row r="203" spans="1:42">
      <c r="A203" s="42"/>
      <c r="B203" s="28" t="s">
        <v>169</v>
      </c>
      <c r="C203" s="28" t="s">
        <v>120</v>
      </c>
      <c r="D203" s="29"/>
      <c r="E203" s="62">
        <f>SUM(E201:E202)</f>
        <v>-4.675E-2</v>
      </c>
      <c r="F203" s="63">
        <f t="shared" si="80"/>
        <v>-4.7894192252922313E-4</v>
      </c>
      <c r="H203" s="62">
        <f>SUM(H201:H202)</f>
        <v>2.4254600000000002</v>
      </c>
      <c r="I203" s="63">
        <f t="shared" si="81"/>
        <v>2.2818409317553204E-2</v>
      </c>
      <c r="K203" s="62">
        <f>SUM(K201:K202)</f>
        <v>1.9646399999999999</v>
      </c>
      <c r="L203" s="63">
        <f t="shared" si="82"/>
        <v>1.8296826106392491E-2</v>
      </c>
      <c r="N203" s="62">
        <f>SUM(N201:N202)</f>
        <v>1.8081299999999998</v>
      </c>
      <c r="O203" s="63">
        <f t="shared" si="83"/>
        <v>1.6382440880674094E-2</v>
      </c>
      <c r="P203" s="54"/>
      <c r="Q203" s="62">
        <f>SUM(Q201:Q202)</f>
        <v>0.24749000000000002</v>
      </c>
      <c r="R203" s="63">
        <f t="shared" si="84"/>
        <v>3.6648354089233097E-3</v>
      </c>
      <c r="S203" s="54"/>
      <c r="T203" s="62">
        <f>+T201</f>
        <v>0</v>
      </c>
      <c r="U203" s="63" t="e">
        <f t="shared" si="85"/>
        <v>#DIV/0!</v>
      </c>
      <c r="V203" s="54"/>
      <c r="W203" s="62">
        <f>+SUM(W201:W202)</f>
        <v>0</v>
      </c>
      <c r="X203" s="63" t="e">
        <f t="shared" si="86"/>
        <v>#DIV/0!</v>
      </c>
      <c r="Y203" s="54"/>
      <c r="Z203" s="62">
        <f>+SUM(Z201:Z202)</f>
        <v>0</v>
      </c>
      <c r="AA203" s="63" t="e">
        <f t="shared" si="87"/>
        <v>#DIV/0!</v>
      </c>
      <c r="AB203" s="54"/>
      <c r="AC203" s="62">
        <f>+SUM(AC201:AC202)</f>
        <v>0</v>
      </c>
      <c r="AD203" s="63" t="e">
        <f t="shared" si="88"/>
        <v>#DIV/0!</v>
      </c>
      <c r="AE203" s="54"/>
      <c r="AF203" s="62">
        <f>+SUM(AF201:AF202)</f>
        <v>0</v>
      </c>
      <c r="AG203" s="63" t="e">
        <f t="shared" si="91"/>
        <v>#DIV/0!</v>
      </c>
      <c r="AH203" s="54"/>
      <c r="AI203" s="62">
        <f>+SUM(AI201:AI202)</f>
        <v>0</v>
      </c>
      <c r="AJ203" s="63" t="e">
        <f t="shared" si="92"/>
        <v>#DIV/0!</v>
      </c>
      <c r="AK203" s="54"/>
      <c r="AL203" s="62">
        <f>+SUM(AL201:AL202)</f>
        <v>0</v>
      </c>
      <c r="AM203" s="63" t="e">
        <f t="shared" si="93"/>
        <v>#DIV/0!</v>
      </c>
      <c r="AN203" s="54"/>
      <c r="AO203" s="62">
        <f>+SUM(AO201:AO202)</f>
        <v>6.3989700000000003</v>
      </c>
      <c r="AP203" s="63">
        <f t="shared" si="90"/>
        <v>1.3080959642832322E-2</v>
      </c>
    </row>
    <row r="204" spans="1:42" outlineLevel="2">
      <c r="A204" s="42" t="s">
        <v>47</v>
      </c>
      <c r="B204" s="60">
        <v>6666010012</v>
      </c>
      <c r="C204" t="s">
        <v>128</v>
      </c>
      <c r="E204" s="61">
        <v>0</v>
      </c>
      <c r="F204" s="24">
        <f t="shared" si="80"/>
        <v>0</v>
      </c>
      <c r="H204" s="61">
        <v>-2.3000000000000001E-4</v>
      </c>
      <c r="I204" s="24">
        <f t="shared" si="81"/>
        <v>-2.1638098105255235E-6</v>
      </c>
      <c r="K204" s="61">
        <v>-3.3399999999999997E-3</v>
      </c>
      <c r="L204" s="24">
        <f t="shared" si="82"/>
        <v>-3.110564744449411E-5</v>
      </c>
      <c r="N204" s="61">
        <v>0</v>
      </c>
      <c r="O204" s="24">
        <f t="shared" si="83"/>
        <v>0</v>
      </c>
      <c r="P204" s="54"/>
      <c r="Q204" s="61">
        <v>0</v>
      </c>
      <c r="R204" s="24">
        <f t="shared" si="84"/>
        <v>0</v>
      </c>
      <c r="S204" s="54"/>
      <c r="T204" s="61"/>
      <c r="U204" s="24" t="e">
        <f t="shared" si="85"/>
        <v>#DIV/0!</v>
      </c>
      <c r="V204" s="54"/>
      <c r="W204" s="61"/>
      <c r="X204" s="24" t="e">
        <f t="shared" si="86"/>
        <v>#DIV/0!</v>
      </c>
      <c r="Y204" s="54"/>
      <c r="Z204" s="61"/>
      <c r="AA204" s="24" t="e">
        <f t="shared" si="87"/>
        <v>#DIV/0!</v>
      </c>
      <c r="AB204" s="54"/>
      <c r="AC204" s="61"/>
      <c r="AD204" s="24" t="e">
        <f t="shared" si="88"/>
        <v>#DIV/0!</v>
      </c>
      <c r="AE204" s="54"/>
      <c r="AF204" s="61"/>
      <c r="AG204" s="24" t="e">
        <f t="shared" si="91"/>
        <v>#DIV/0!</v>
      </c>
      <c r="AH204" s="54"/>
      <c r="AI204" s="61"/>
      <c r="AJ204" s="24" t="e">
        <f t="shared" si="92"/>
        <v>#DIV/0!</v>
      </c>
      <c r="AK204" s="54"/>
      <c r="AL204" s="61"/>
      <c r="AM204" s="24" t="e">
        <f t="shared" si="93"/>
        <v>#DIV/0!</v>
      </c>
      <c r="AN204" s="54"/>
      <c r="AO204" s="61">
        <f t="shared" ref="AO204:AO205" si="126">H204+E204+K204+N204+Q204+T204+W204+Z204+AC204+AF204+AI204+AL204</f>
        <v>-3.5699999999999998E-3</v>
      </c>
      <c r="AP204" s="24">
        <f t="shared" si="90"/>
        <v>-7.2978973061151061E-6</v>
      </c>
    </row>
    <row r="205" spans="1:42" outlineLevel="2">
      <c r="A205" s="42" t="s">
        <v>47</v>
      </c>
      <c r="B205" s="60">
        <v>6666010102</v>
      </c>
      <c r="C205" t="s">
        <v>170</v>
      </c>
      <c r="E205" s="61">
        <v>5.0369999999999998E-2</v>
      </c>
      <c r="F205" s="24">
        <f t="shared" si="80"/>
        <v>5.1602790669084421E-4</v>
      </c>
      <c r="H205" s="61">
        <v>4.2750000000000003E-2</v>
      </c>
      <c r="I205" s="24">
        <f t="shared" si="81"/>
        <v>4.0218638869550494E-4</v>
      </c>
      <c r="K205" s="61">
        <v>8.0199999999999994E-3</v>
      </c>
      <c r="L205" s="24">
        <f t="shared" si="82"/>
        <v>7.4690806139174489E-5</v>
      </c>
      <c r="N205" s="61">
        <v>4.7780000000000003E-2</v>
      </c>
      <c r="O205" s="24">
        <f t="shared" si="83"/>
        <v>4.3290749297816437E-4</v>
      </c>
      <c r="P205" s="54"/>
      <c r="Q205" s="61">
        <v>4.8869999999999997E-2</v>
      </c>
      <c r="R205" s="24">
        <f t="shared" si="84"/>
        <v>7.2366764893160181E-4</v>
      </c>
      <c r="S205" s="54"/>
      <c r="T205" s="61"/>
      <c r="U205" s="24" t="e">
        <f t="shared" si="85"/>
        <v>#DIV/0!</v>
      </c>
      <c r="V205" s="54"/>
      <c r="W205" s="61"/>
      <c r="X205" s="24" t="e">
        <f t="shared" si="86"/>
        <v>#DIV/0!</v>
      </c>
      <c r="Y205" s="54"/>
      <c r="Z205" s="61"/>
      <c r="AA205" s="24" t="e">
        <f t="shared" si="87"/>
        <v>#DIV/0!</v>
      </c>
      <c r="AB205" s="54"/>
      <c r="AC205" s="61"/>
      <c r="AD205" s="24" t="e">
        <f t="shared" si="88"/>
        <v>#DIV/0!</v>
      </c>
      <c r="AE205" s="54"/>
      <c r="AF205" s="61"/>
      <c r="AG205" s="24" t="e">
        <f t="shared" si="91"/>
        <v>#DIV/0!</v>
      </c>
      <c r="AH205" s="54"/>
      <c r="AI205" s="61"/>
      <c r="AJ205" s="24" t="e">
        <f t="shared" si="92"/>
        <v>#DIV/0!</v>
      </c>
      <c r="AK205" s="54"/>
      <c r="AL205" s="61"/>
      <c r="AM205" s="24" t="e">
        <f t="shared" si="93"/>
        <v>#DIV/0!</v>
      </c>
      <c r="AN205" s="54"/>
      <c r="AO205" s="61">
        <f t="shared" si="126"/>
        <v>0.19778999999999999</v>
      </c>
      <c r="AP205" s="24">
        <f t="shared" si="90"/>
        <v>4.0432804150602433E-4</v>
      </c>
    </row>
    <row r="206" spans="1:42">
      <c r="A206" s="42"/>
      <c r="B206" s="28" t="s">
        <v>171</v>
      </c>
      <c r="C206" s="28" t="s">
        <v>124</v>
      </c>
      <c r="D206" s="29"/>
      <c r="E206" s="62">
        <f>SUM(E204:E205)</f>
        <v>5.0369999999999998E-2</v>
      </c>
      <c r="F206" s="63">
        <f t="shared" si="80"/>
        <v>5.1602790669084421E-4</v>
      </c>
      <c r="H206" s="62">
        <f>SUM(H204:H205)</f>
        <v>4.2520000000000002E-2</v>
      </c>
      <c r="I206" s="63">
        <f t="shared" si="81"/>
        <v>4.0002257888497943E-4</v>
      </c>
      <c r="K206" s="62">
        <f>SUM(K204:K205)</f>
        <v>4.6800000000000001E-3</v>
      </c>
      <c r="L206" s="63">
        <f t="shared" si="82"/>
        <v>4.3585158694680373E-5</v>
      </c>
      <c r="N206" s="62">
        <f>SUM(N204:N205)</f>
        <v>4.7780000000000003E-2</v>
      </c>
      <c r="O206" s="63">
        <f t="shared" ref="O206:O223" si="127">N206/$N$1*1000</f>
        <v>4.3290749297816437E-4</v>
      </c>
      <c r="P206" s="54"/>
      <c r="Q206" s="62">
        <f>SUM(Q204:Q205)</f>
        <v>4.8869999999999997E-2</v>
      </c>
      <c r="R206" s="63">
        <f t="shared" ref="R206:R223" si="128">Q206/$Q$1*1000</f>
        <v>7.2366764893160181E-4</v>
      </c>
      <c r="S206" s="54"/>
      <c r="T206" s="62">
        <f>SUM(T204:T205)</f>
        <v>0</v>
      </c>
      <c r="U206" s="63" t="e">
        <f t="shared" si="85"/>
        <v>#DIV/0!</v>
      </c>
      <c r="V206" s="54"/>
      <c r="W206" s="62">
        <f>SUM(W204:W205)</f>
        <v>0</v>
      </c>
      <c r="X206" s="63" t="e">
        <f t="shared" si="86"/>
        <v>#DIV/0!</v>
      </c>
      <c r="Y206" s="54"/>
      <c r="Z206" s="62">
        <f>SUM(Z204:Z205)</f>
        <v>0</v>
      </c>
      <c r="AA206" s="63" t="e">
        <f t="shared" si="87"/>
        <v>#DIV/0!</v>
      </c>
      <c r="AB206" s="54"/>
      <c r="AC206" s="62">
        <f>SUM(AC204:AC205)</f>
        <v>0</v>
      </c>
      <c r="AD206" s="63" t="e">
        <f t="shared" si="88"/>
        <v>#DIV/0!</v>
      </c>
      <c r="AE206" s="54"/>
      <c r="AF206" s="62">
        <f>SUM(AF204:AF205)</f>
        <v>0</v>
      </c>
      <c r="AG206" s="63" t="e">
        <f t="shared" si="91"/>
        <v>#DIV/0!</v>
      </c>
      <c r="AH206" s="54"/>
      <c r="AI206" s="62">
        <f>SUM(AI204:AI205)</f>
        <v>0</v>
      </c>
      <c r="AJ206" s="63" t="e">
        <f t="shared" si="92"/>
        <v>#DIV/0!</v>
      </c>
      <c r="AK206" s="54"/>
      <c r="AL206" s="62">
        <f>SUM(AL204:AL205)</f>
        <v>0</v>
      </c>
      <c r="AM206" s="63" t="e">
        <f t="shared" si="93"/>
        <v>#DIV/0!</v>
      </c>
      <c r="AN206" s="54"/>
      <c r="AO206" s="62">
        <f>+SUM(AO204:AO205)</f>
        <v>0.19422</v>
      </c>
      <c r="AP206" s="63">
        <f t="shared" si="90"/>
        <v>3.9703014419990927E-4</v>
      </c>
    </row>
    <row r="207" spans="1:42" outlineLevel="2">
      <c r="A207" s="42" t="s">
        <v>47</v>
      </c>
      <c r="B207" s="60">
        <v>6666010196</v>
      </c>
      <c r="C207" t="s">
        <v>132</v>
      </c>
      <c r="E207" s="61">
        <v>3.9744699999999997</v>
      </c>
      <c r="F207" s="24">
        <f t="shared" si="80"/>
        <v>4.071743963282827E-2</v>
      </c>
      <c r="H207" s="61">
        <v>2.5125900000000003</v>
      </c>
      <c r="I207" s="24">
        <f t="shared" si="81"/>
        <v>2.363811692099272E-2</v>
      </c>
      <c r="K207" s="61">
        <v>3.9249299999999998</v>
      </c>
      <c r="L207" s="24">
        <f t="shared" ref="L207:L223" si="129">K207/$K$1*1000</f>
        <v>3.6553140366562362E-2</v>
      </c>
      <c r="N207" s="61">
        <v>3.9153099999999998</v>
      </c>
      <c r="O207" s="24">
        <f t="shared" si="127"/>
        <v>3.5474404276524416E-2</v>
      </c>
      <c r="P207" s="54"/>
      <c r="Q207" s="61">
        <v>3.6837499999999999</v>
      </c>
      <c r="R207" s="24">
        <f t="shared" si="128"/>
        <v>5.4549021930668878E-2</v>
      </c>
      <c r="S207" s="54"/>
      <c r="T207" s="61"/>
      <c r="U207" s="24" t="e">
        <f t="shared" si="85"/>
        <v>#DIV/0!</v>
      </c>
      <c r="V207" s="54"/>
      <c r="W207" s="61"/>
      <c r="X207" s="24" t="e">
        <f t="shared" si="86"/>
        <v>#DIV/0!</v>
      </c>
      <c r="Y207" s="54"/>
      <c r="Z207" s="61"/>
      <c r="AA207" s="24" t="e">
        <f t="shared" si="87"/>
        <v>#DIV/0!</v>
      </c>
      <c r="AB207" s="54"/>
      <c r="AC207" s="61"/>
      <c r="AD207" s="24" t="e">
        <f t="shared" si="88"/>
        <v>#DIV/0!</v>
      </c>
      <c r="AE207" s="54"/>
      <c r="AF207" s="61"/>
      <c r="AG207" s="24" t="e">
        <f t="shared" si="91"/>
        <v>#DIV/0!</v>
      </c>
      <c r="AH207" s="54"/>
      <c r="AI207" s="61"/>
      <c r="AJ207" s="24" t="e">
        <f t="shared" si="92"/>
        <v>#DIV/0!</v>
      </c>
      <c r="AK207" s="54"/>
      <c r="AL207" s="61"/>
      <c r="AM207" s="24" t="e">
        <f t="shared" si="93"/>
        <v>#DIV/0!</v>
      </c>
      <c r="AN207" s="54"/>
      <c r="AO207" s="61">
        <f t="shared" ref="AO207:AO212" si="130">H207+E207+K207+N207+Q207+T207+W207+Z207+AC207+AF207+AI207+AL207</f>
        <v>18.011049999999997</v>
      </c>
      <c r="AP207" s="24">
        <f t="shared" si="90"/>
        <v>3.681870960092562E-2</v>
      </c>
    </row>
    <row r="208" spans="1:42" outlineLevel="2">
      <c r="A208" s="42" t="s">
        <v>47</v>
      </c>
      <c r="B208" s="60">
        <v>6666010101</v>
      </c>
      <c r="C208" t="s">
        <v>134</v>
      </c>
      <c r="E208" s="61">
        <v>22.252599999999997</v>
      </c>
      <c r="F208" s="24">
        <f t="shared" si="80"/>
        <v>0.2279722572251078</v>
      </c>
      <c r="H208" s="61">
        <v>46.720459999999996</v>
      </c>
      <c r="I208" s="24">
        <f t="shared" si="81"/>
        <v>0.43953995521854472</v>
      </c>
      <c r="K208" s="61">
        <v>22.205500000000001</v>
      </c>
      <c r="L208" s="24">
        <f t="shared" si="129"/>
        <v>0.20680133363135153</v>
      </c>
      <c r="N208" s="61">
        <v>46.080649999999999</v>
      </c>
      <c r="O208" s="24">
        <f t="shared" si="127"/>
        <v>0.41751064600887922</v>
      </c>
      <c r="P208" s="54"/>
      <c r="Q208" s="61">
        <v>21.978099999999998</v>
      </c>
      <c r="R208" s="24">
        <f t="shared" si="128"/>
        <v>0.32545201463031792</v>
      </c>
      <c r="S208" s="54"/>
      <c r="T208" s="61"/>
      <c r="U208" s="24" t="e">
        <f t="shared" si="85"/>
        <v>#DIV/0!</v>
      </c>
      <c r="V208" s="54"/>
      <c r="W208" s="61"/>
      <c r="X208" s="24" t="e">
        <f t="shared" si="86"/>
        <v>#DIV/0!</v>
      </c>
      <c r="Y208" s="54"/>
      <c r="Z208" s="61"/>
      <c r="AA208" s="24" t="e">
        <f t="shared" si="87"/>
        <v>#DIV/0!</v>
      </c>
      <c r="AB208" s="54"/>
      <c r="AC208" s="61"/>
      <c r="AD208" s="24" t="e">
        <f t="shared" si="88"/>
        <v>#DIV/0!</v>
      </c>
      <c r="AE208" s="54"/>
      <c r="AF208" s="61"/>
      <c r="AG208" s="24" t="e">
        <f t="shared" si="91"/>
        <v>#DIV/0!</v>
      </c>
      <c r="AH208" s="54"/>
      <c r="AI208" s="61"/>
      <c r="AJ208" s="24" t="e">
        <f t="shared" si="92"/>
        <v>#DIV/0!</v>
      </c>
      <c r="AK208" s="54"/>
      <c r="AL208" s="61"/>
      <c r="AM208" s="24" t="e">
        <f t="shared" si="93"/>
        <v>#DIV/0!</v>
      </c>
      <c r="AN208" s="54"/>
      <c r="AO208" s="61">
        <f t="shared" si="130"/>
        <v>159.23730999999998</v>
      </c>
      <c r="AP208" s="24">
        <f>AO208/$AO$1*1000</f>
        <v>0.32551751699776355</v>
      </c>
    </row>
    <row r="209" spans="1:43" outlineLevel="2">
      <c r="A209" s="42" t="s">
        <v>47</v>
      </c>
      <c r="B209" s="60">
        <v>6666010199</v>
      </c>
      <c r="C209" t="s">
        <v>135</v>
      </c>
      <c r="E209" s="61">
        <v>5.6896300000000002</v>
      </c>
      <c r="F209" s="24">
        <f t="shared" si="80"/>
        <v>5.8288819907592382E-2</v>
      </c>
      <c r="H209" s="61">
        <v>-25.877770000000002</v>
      </c>
      <c r="I209" s="24">
        <f t="shared" si="81"/>
        <v>-0.24345466348053513</v>
      </c>
      <c r="K209" s="61">
        <v>3.90598</v>
      </c>
      <c r="L209" s="24">
        <f t="shared" si="129"/>
        <v>3.6376657726121295E-2</v>
      </c>
      <c r="N209" s="61">
        <v>22.492560000000001</v>
      </c>
      <c r="O209" s="24">
        <f t="shared" si="127"/>
        <v>0.20379233487360696</v>
      </c>
      <c r="P209" s="54"/>
      <c r="Q209" s="61">
        <v>-1.91072</v>
      </c>
      <c r="R209" s="24">
        <f t="shared" si="128"/>
        <v>-2.82939686958582E-2</v>
      </c>
      <c r="S209" s="54"/>
      <c r="T209" s="61"/>
      <c r="U209" s="24" t="e">
        <f t="shared" si="85"/>
        <v>#DIV/0!</v>
      </c>
      <c r="V209" s="54"/>
      <c r="W209" s="61"/>
      <c r="X209" s="24" t="e">
        <f t="shared" si="86"/>
        <v>#DIV/0!</v>
      </c>
      <c r="Y209" s="54"/>
      <c r="Z209" s="61"/>
      <c r="AA209" s="24" t="e">
        <f t="shared" si="87"/>
        <v>#DIV/0!</v>
      </c>
      <c r="AB209" s="54"/>
      <c r="AC209" s="61"/>
      <c r="AD209" s="24" t="e">
        <f t="shared" si="88"/>
        <v>#DIV/0!</v>
      </c>
      <c r="AE209" s="54"/>
      <c r="AF209" s="61"/>
      <c r="AG209" s="24" t="e">
        <f t="shared" si="91"/>
        <v>#DIV/0!</v>
      </c>
      <c r="AH209" s="54"/>
      <c r="AI209" s="61"/>
      <c r="AJ209" s="24" t="e">
        <f t="shared" si="92"/>
        <v>#DIV/0!</v>
      </c>
      <c r="AK209" s="54"/>
      <c r="AL209" s="61"/>
      <c r="AM209" s="24" t="e">
        <f t="shared" si="93"/>
        <v>#DIV/0!</v>
      </c>
      <c r="AN209" s="54"/>
      <c r="AO209" s="61">
        <f t="shared" si="130"/>
        <v>4.2996800000000004</v>
      </c>
      <c r="AP209" s="24">
        <f t="shared" si="90"/>
        <v>8.7895302770747905E-3</v>
      </c>
    </row>
    <row r="210" spans="1:43" outlineLevel="2">
      <c r="A210" s="42" t="s">
        <v>47</v>
      </c>
      <c r="B210" s="60">
        <v>6666010207</v>
      </c>
      <c r="C210" t="s">
        <v>137</v>
      </c>
      <c r="E210" s="61">
        <v>0.37676999999999999</v>
      </c>
      <c r="F210" s="24">
        <f t="shared" si="80"/>
        <v>3.8599133294403296E-3</v>
      </c>
      <c r="H210" s="61">
        <v>0.24543999999999999</v>
      </c>
      <c r="I210" s="24">
        <f t="shared" si="81"/>
        <v>2.309067303892976E-3</v>
      </c>
      <c r="K210" s="61">
        <v>0.38039999999999996</v>
      </c>
      <c r="L210" s="24">
        <f t="shared" si="129"/>
        <v>3.542691104157353E-3</v>
      </c>
      <c r="N210" s="61">
        <v>0.38458999999999999</v>
      </c>
      <c r="O210" s="24">
        <f t="shared" si="127"/>
        <v>3.4845519615837634E-3</v>
      </c>
      <c r="P210" s="54"/>
      <c r="Q210" s="61">
        <v>0.35423000000000004</v>
      </c>
      <c r="R210" s="24">
        <f t="shared" si="128"/>
        <v>5.2454428336615785E-3</v>
      </c>
      <c r="S210" s="54"/>
      <c r="T210" s="61"/>
      <c r="U210" s="24" t="e">
        <f t="shared" si="85"/>
        <v>#DIV/0!</v>
      </c>
      <c r="V210" s="54"/>
      <c r="W210" s="61"/>
      <c r="X210" s="24" t="e">
        <f t="shared" si="86"/>
        <v>#DIV/0!</v>
      </c>
      <c r="Y210" s="54"/>
      <c r="Z210" s="61"/>
      <c r="AA210" s="24" t="e">
        <f t="shared" si="87"/>
        <v>#DIV/0!</v>
      </c>
      <c r="AB210" s="54"/>
      <c r="AC210" s="61"/>
      <c r="AD210" s="24" t="e">
        <f t="shared" si="88"/>
        <v>#DIV/0!</v>
      </c>
      <c r="AE210" s="54"/>
      <c r="AF210" s="61"/>
      <c r="AG210" s="24" t="e">
        <f t="shared" si="91"/>
        <v>#DIV/0!</v>
      </c>
      <c r="AH210" s="54"/>
      <c r="AI210" s="61"/>
      <c r="AJ210" s="24" t="e">
        <f t="shared" si="92"/>
        <v>#DIV/0!</v>
      </c>
      <c r="AK210" s="54"/>
      <c r="AL210" s="61"/>
      <c r="AM210" s="24" t="e">
        <f t="shared" si="93"/>
        <v>#DIV/0!</v>
      </c>
      <c r="AN210" s="54"/>
      <c r="AO210" s="61">
        <f t="shared" si="130"/>
        <v>1.7414299999999998</v>
      </c>
      <c r="AP210" s="24">
        <f t="shared" si="90"/>
        <v>3.559881598259952E-3</v>
      </c>
    </row>
    <row r="211" spans="1:43" outlineLevel="2">
      <c r="A211" s="42" t="s">
        <v>47</v>
      </c>
      <c r="B211" s="60">
        <v>6666010227</v>
      </c>
      <c r="C211" t="s">
        <v>172</v>
      </c>
      <c r="E211" s="61">
        <v>0.38571</v>
      </c>
      <c r="F211" s="24">
        <f t="shared" ref="F211" si="131">E211/$E$1*1000</f>
        <v>3.9515013676737253E-3</v>
      </c>
      <c r="H211" s="61">
        <v>0.31476999999999999</v>
      </c>
      <c r="I211" s="24">
        <f t="shared" ref="I211" si="132">H211/$H$1*1000</f>
        <v>2.9613148437353E-3</v>
      </c>
      <c r="K211" s="61">
        <v>0.34320999999999996</v>
      </c>
      <c r="L211" s="24">
        <f t="shared" si="129"/>
        <v>3.1963381016241986E-3</v>
      </c>
      <c r="N211" s="61">
        <v>0.35774</v>
      </c>
      <c r="O211" s="24">
        <f t="shared" si="127"/>
        <v>3.2412793331521245E-3</v>
      </c>
      <c r="P211" s="54"/>
      <c r="Q211" s="61">
        <v>0.39982000000000001</v>
      </c>
      <c r="R211" s="24">
        <f t="shared" si="128"/>
        <v>5.9205401963542672E-3</v>
      </c>
      <c r="S211" s="54"/>
      <c r="T211" s="61"/>
      <c r="U211" s="24" t="e">
        <f t="shared" ref="U211" si="133">T211/$T$1*1000</f>
        <v>#DIV/0!</v>
      </c>
      <c r="V211" s="54"/>
      <c r="W211" s="61"/>
      <c r="X211" s="24" t="e">
        <f t="shared" ref="X211" si="134">W211/$W$1*1000</f>
        <v>#DIV/0!</v>
      </c>
      <c r="Y211" s="54"/>
      <c r="Z211" s="61"/>
      <c r="AA211" s="24" t="e">
        <f t="shared" ref="AA211" si="135">Z211/$Z$1*1000</f>
        <v>#DIV/0!</v>
      </c>
      <c r="AB211" s="54"/>
      <c r="AC211" s="61"/>
      <c r="AD211" s="24" t="e">
        <f t="shared" ref="AD211" si="136">AC211/$AC$1*1000</f>
        <v>#DIV/0!</v>
      </c>
      <c r="AE211" s="54"/>
      <c r="AF211" s="61"/>
      <c r="AG211" s="24" t="e">
        <f t="shared" ref="AG211" si="137">AF211/$AF$1*1000</f>
        <v>#DIV/0!</v>
      </c>
      <c r="AH211" s="54"/>
      <c r="AI211" s="61"/>
      <c r="AJ211" s="24" t="e">
        <f t="shared" ref="AJ211" si="138">AI211/$AF$1*1000</f>
        <v>#DIV/0!</v>
      </c>
      <c r="AK211" s="54"/>
      <c r="AL211" s="61"/>
      <c r="AM211" s="24" t="e">
        <f t="shared" ref="AM211" si="139">AL211/$AF$1*1000</f>
        <v>#DIV/0!</v>
      </c>
      <c r="AN211" s="54"/>
      <c r="AO211" s="61">
        <f t="shared" ref="AO211" si="140">H211+E211+K211+N211+Q211+T211+W211+Z211+AC211+AF211+AI211+AL211</f>
        <v>1.80125</v>
      </c>
      <c r="AP211" s="24">
        <f t="shared" ref="AP211" si="141">AO211/$AO$1*1000</f>
        <v>3.6821673732884697E-3</v>
      </c>
    </row>
    <row r="212" spans="1:43" outlineLevel="2">
      <c r="A212" s="42" t="s">
        <v>47</v>
      </c>
      <c r="B212" s="60">
        <v>6666010185</v>
      </c>
      <c r="C212" t="s">
        <v>136</v>
      </c>
      <c r="E212" s="61"/>
      <c r="F212" s="24">
        <f t="shared" ref="F212:F223" si="142">E212/$E$1*1000</f>
        <v>0</v>
      </c>
      <c r="H212" s="61">
        <v>-2.0000000000000001E-4</v>
      </c>
      <c r="I212" s="24">
        <f t="shared" si="81"/>
        <v>-1.881573748283064E-6</v>
      </c>
      <c r="K212" s="61">
        <v>0</v>
      </c>
      <c r="L212" s="24">
        <f t="shared" si="129"/>
        <v>0</v>
      </c>
      <c r="N212" s="61">
        <v>0</v>
      </c>
      <c r="O212" s="24">
        <f t="shared" si="127"/>
        <v>0</v>
      </c>
      <c r="P212" s="54"/>
      <c r="Q212" s="61">
        <v>-0.10983</v>
      </c>
      <c r="R212" s="24">
        <f t="shared" si="128"/>
        <v>-1.6263641882987071E-3</v>
      </c>
      <c r="S212" s="54"/>
      <c r="T212" s="61"/>
      <c r="U212" s="24" t="e">
        <f t="shared" si="85"/>
        <v>#DIV/0!</v>
      </c>
      <c r="V212" s="54"/>
      <c r="W212" s="61"/>
      <c r="X212" s="24" t="e">
        <f t="shared" si="86"/>
        <v>#DIV/0!</v>
      </c>
      <c r="Y212" s="54"/>
      <c r="Z212" s="61"/>
      <c r="AA212" s="24" t="e">
        <f t="shared" si="87"/>
        <v>#DIV/0!</v>
      </c>
      <c r="AB212" s="54"/>
      <c r="AC212" s="61"/>
      <c r="AD212" s="24" t="e">
        <f t="shared" si="88"/>
        <v>#DIV/0!</v>
      </c>
      <c r="AE212" s="54"/>
      <c r="AF212" s="61"/>
      <c r="AG212" s="24" t="e">
        <f t="shared" si="91"/>
        <v>#DIV/0!</v>
      </c>
      <c r="AH212" s="54"/>
      <c r="AI212" s="61"/>
      <c r="AJ212" s="24" t="e">
        <f t="shared" si="92"/>
        <v>#DIV/0!</v>
      </c>
      <c r="AK212" s="54"/>
      <c r="AL212" s="61"/>
      <c r="AM212" s="24" t="e">
        <f t="shared" si="93"/>
        <v>#DIV/0!</v>
      </c>
      <c r="AN212" s="54"/>
      <c r="AO212" s="61">
        <f t="shared" si="130"/>
        <v>-0.11003</v>
      </c>
      <c r="AP212" s="24">
        <f t="shared" si="90"/>
        <v>-2.2492650996970453E-4</v>
      </c>
    </row>
    <row r="213" spans="1:43">
      <c r="A213" s="42"/>
      <c r="B213" s="28" t="s">
        <v>173</v>
      </c>
      <c r="C213" s="28" t="s">
        <v>133</v>
      </c>
      <c r="D213" s="29"/>
      <c r="E213" s="62">
        <f>SUM(E207:E212)</f>
        <v>32.679180000000002</v>
      </c>
      <c r="F213" s="63">
        <f t="shared" si="142"/>
        <v>0.33478993146264252</v>
      </c>
      <c r="H213" s="62">
        <f>SUM(H207:H212)</f>
        <v>23.915289999999995</v>
      </c>
      <c r="I213" s="63">
        <f t="shared" si="81"/>
        <v>0.22499190923288234</v>
      </c>
      <c r="K213" s="62">
        <f>SUM(K207:K212)</f>
        <v>30.760020000000001</v>
      </c>
      <c r="L213" s="63">
        <f t="shared" si="129"/>
        <v>0.2864701609298167</v>
      </c>
      <c r="N213" s="62">
        <f>SUM(N207:N212)</f>
        <v>73.230850000000004</v>
      </c>
      <c r="O213" s="63">
        <f t="shared" si="127"/>
        <v>0.66350321645374655</v>
      </c>
      <c r="P213" s="54"/>
      <c r="Q213" s="62">
        <f>SUM(Q207:Q212)</f>
        <v>24.395349999999997</v>
      </c>
      <c r="R213" s="63">
        <f t="shared" si="128"/>
        <v>0.36124668670684568</v>
      </c>
      <c r="S213" s="54"/>
      <c r="T213" s="62">
        <f>SUM(T207:T212)</f>
        <v>0</v>
      </c>
      <c r="U213" s="63" t="e">
        <f t="shared" si="85"/>
        <v>#DIV/0!</v>
      </c>
      <c r="V213" s="54"/>
      <c r="W213" s="62">
        <f>SUM(W207:W212)</f>
        <v>0</v>
      </c>
      <c r="X213" s="63" t="e">
        <f t="shared" si="86"/>
        <v>#DIV/0!</v>
      </c>
      <c r="Y213" s="54"/>
      <c r="Z213" s="62">
        <f>SUM(Z207:Z212)</f>
        <v>0</v>
      </c>
      <c r="AA213" s="63" t="e">
        <f t="shared" si="87"/>
        <v>#DIV/0!</v>
      </c>
      <c r="AB213" s="54"/>
      <c r="AC213" s="62">
        <f>SUM(AC207:AC212)</f>
        <v>0</v>
      </c>
      <c r="AD213" s="63" t="e">
        <f t="shared" si="88"/>
        <v>#DIV/0!</v>
      </c>
      <c r="AE213" s="54"/>
      <c r="AF213" s="62">
        <f>SUM(AF207:AF212)</f>
        <v>0</v>
      </c>
      <c r="AG213" s="63" t="e">
        <f t="shared" si="91"/>
        <v>#DIV/0!</v>
      </c>
      <c r="AH213" s="54"/>
      <c r="AI213" s="62">
        <f>SUM(AI207:AI212)</f>
        <v>0</v>
      </c>
      <c r="AJ213" s="63" t="e">
        <f t="shared" si="92"/>
        <v>#DIV/0!</v>
      </c>
      <c r="AK213" s="54"/>
      <c r="AL213" s="62">
        <f>SUM(AL207:AL212)</f>
        <v>0</v>
      </c>
      <c r="AM213" s="63" t="e">
        <f t="shared" si="93"/>
        <v>#DIV/0!</v>
      </c>
      <c r="AN213" s="54"/>
      <c r="AO213" s="62">
        <f>SUM(AO207:AO212)</f>
        <v>184.98069000000001</v>
      </c>
      <c r="AP213" s="63">
        <f t="shared" si="90"/>
        <v>0.37814287933734281</v>
      </c>
    </row>
    <row r="214" spans="1:43" outlineLevel="2">
      <c r="A214" s="42" t="s">
        <v>47</v>
      </c>
      <c r="B214" s="60">
        <v>6666010314</v>
      </c>
      <c r="C214" t="s">
        <v>142</v>
      </c>
      <c r="E214" s="61">
        <v>0.66295999999999999</v>
      </c>
      <c r="F214" s="24">
        <f t="shared" si="142"/>
        <v>6.7918574750796528E-3</v>
      </c>
      <c r="H214" s="61">
        <v>2.0196300000000003</v>
      </c>
      <c r="I214" s="24">
        <f t="shared" si="81"/>
        <v>1.9000413946224627E-2</v>
      </c>
      <c r="K214" s="61">
        <v>-5.8709999999999998E-2</v>
      </c>
      <c r="L214" s="24">
        <f t="shared" si="129"/>
        <v>-5.4677022798390706E-4</v>
      </c>
      <c r="N214" s="61">
        <v>0</v>
      </c>
      <c r="O214" s="24">
        <f t="shared" si="127"/>
        <v>0</v>
      </c>
      <c r="P214" s="54"/>
      <c r="Q214" s="61">
        <v>0</v>
      </c>
      <c r="R214" s="24">
        <f t="shared" si="128"/>
        <v>0</v>
      </c>
      <c r="S214" s="54"/>
      <c r="T214" s="61"/>
      <c r="U214" s="24" t="e">
        <f t="shared" si="85"/>
        <v>#DIV/0!</v>
      </c>
      <c r="V214" s="54"/>
      <c r="W214" s="61"/>
      <c r="X214" s="24" t="e">
        <f t="shared" si="86"/>
        <v>#DIV/0!</v>
      </c>
      <c r="Y214" s="54"/>
      <c r="Z214" s="61"/>
      <c r="AA214" s="24" t="e">
        <f t="shared" si="87"/>
        <v>#DIV/0!</v>
      </c>
      <c r="AB214" s="54"/>
      <c r="AC214" s="61"/>
      <c r="AD214" s="24" t="e">
        <f t="shared" si="88"/>
        <v>#DIV/0!</v>
      </c>
      <c r="AE214" s="54"/>
      <c r="AF214" s="61"/>
      <c r="AG214" s="24" t="e">
        <f t="shared" si="91"/>
        <v>#DIV/0!</v>
      </c>
      <c r="AH214" s="54"/>
      <c r="AI214" s="61"/>
      <c r="AJ214" s="24" t="e">
        <f t="shared" si="92"/>
        <v>#DIV/0!</v>
      </c>
      <c r="AK214" s="54"/>
      <c r="AL214" s="61"/>
      <c r="AM214" s="24" t="e">
        <f t="shared" si="93"/>
        <v>#DIV/0!</v>
      </c>
      <c r="AN214" s="54"/>
      <c r="AO214" s="61">
        <f t="shared" ref="AO214:AO221" si="143">H214+E214+K214+N214+Q214+T214+W214+Z214+AC214+AF214+AI214+AL214</f>
        <v>2.6238800000000002</v>
      </c>
      <c r="AP214" s="24">
        <f>AO214/$AO$1*1000</f>
        <v>5.363811423968994E-3</v>
      </c>
    </row>
    <row r="215" spans="1:43" outlineLevel="2">
      <c r="A215" s="42" t="s">
        <v>47</v>
      </c>
      <c r="B215" s="60">
        <v>6666020401</v>
      </c>
      <c r="C215" t="s">
        <v>143</v>
      </c>
      <c r="E215" s="61">
        <v>0</v>
      </c>
      <c r="F215" s="24">
        <f t="shared" si="142"/>
        <v>0</v>
      </c>
      <c r="H215" s="61">
        <v>0.19166000000000002</v>
      </c>
      <c r="I215" s="24">
        <f t="shared" si="81"/>
        <v>1.8031121229796605E-3</v>
      </c>
      <c r="K215" s="61">
        <v>9.290000000000001E-2</v>
      </c>
      <c r="L215" s="24">
        <f t="shared" si="129"/>
        <v>8.6518402622559989E-4</v>
      </c>
      <c r="N215" s="61">
        <v>0.12214</v>
      </c>
      <c r="O215" s="24">
        <f t="shared" si="127"/>
        <v>1.1066412974540182E-3</v>
      </c>
      <c r="P215" s="54"/>
      <c r="Q215" s="61">
        <v>9.6599999999999991E-2</v>
      </c>
      <c r="R215" s="24">
        <f t="shared" si="128"/>
        <v>1.4304541617923619E-3</v>
      </c>
      <c r="S215" s="54"/>
      <c r="T215" s="61"/>
      <c r="U215" s="24" t="e">
        <f t="shared" si="85"/>
        <v>#DIV/0!</v>
      </c>
      <c r="V215" s="54"/>
      <c r="W215" s="61"/>
      <c r="X215" s="24" t="e">
        <f t="shared" si="86"/>
        <v>#DIV/0!</v>
      </c>
      <c r="Y215" s="54"/>
      <c r="Z215" s="61"/>
      <c r="AA215" s="24" t="e">
        <f t="shared" si="87"/>
        <v>#DIV/0!</v>
      </c>
      <c r="AB215" s="54"/>
      <c r="AC215" s="61"/>
      <c r="AD215" s="24" t="e">
        <f t="shared" si="88"/>
        <v>#DIV/0!</v>
      </c>
      <c r="AE215" s="54"/>
      <c r="AF215" s="61"/>
      <c r="AG215" s="24" t="e">
        <f t="shared" si="91"/>
        <v>#DIV/0!</v>
      </c>
      <c r="AH215" s="54"/>
      <c r="AI215" s="61"/>
      <c r="AJ215" s="24" t="e">
        <f t="shared" si="92"/>
        <v>#DIV/0!</v>
      </c>
      <c r="AK215" s="54"/>
      <c r="AL215" s="61"/>
      <c r="AM215" s="24" t="e">
        <f t="shared" si="93"/>
        <v>#DIV/0!</v>
      </c>
      <c r="AN215" s="54"/>
      <c r="AO215" s="61">
        <f t="shared" si="143"/>
        <v>0.50330000000000008</v>
      </c>
      <c r="AP215" s="24">
        <f t="shared" si="90"/>
        <v>1.0288604241366201E-3</v>
      </c>
    </row>
    <row r="216" spans="1:43" outlineLevel="2">
      <c r="A216" s="42" t="s">
        <v>47</v>
      </c>
      <c r="B216" s="60">
        <v>6666020502</v>
      </c>
      <c r="C216" t="s">
        <v>145</v>
      </c>
      <c r="E216" s="61">
        <v>3.8490000000000003E-2</v>
      </c>
      <c r="F216" s="24">
        <f t="shared" si="142"/>
        <v>3.9432031225988877E-4</v>
      </c>
      <c r="H216" s="61">
        <v>0.75081000000000009</v>
      </c>
      <c r="I216" s="24">
        <f t="shared" si="81"/>
        <v>7.0635219297420365E-3</v>
      </c>
      <c r="K216" s="61">
        <v>-0.95128000000000001</v>
      </c>
      <c r="L216" s="24">
        <f t="shared" si="129"/>
        <v>-8.8593354194605872E-3</v>
      </c>
      <c r="N216" s="61">
        <v>0.59892000000000001</v>
      </c>
      <c r="O216" s="24">
        <f t="shared" si="127"/>
        <v>5.4264745854851861E-3</v>
      </c>
      <c r="P216" s="54"/>
      <c r="Q216" s="61">
        <v>0.89593</v>
      </c>
      <c r="R216" s="24">
        <f t="shared" si="128"/>
        <v>1.3266944070130756E-2</v>
      </c>
      <c r="S216" s="54"/>
      <c r="T216" s="61"/>
      <c r="U216" s="24" t="e">
        <f t="shared" si="85"/>
        <v>#DIV/0!</v>
      </c>
      <c r="V216" s="54"/>
      <c r="W216" s="61"/>
      <c r="X216" s="24" t="e">
        <f t="shared" si="86"/>
        <v>#DIV/0!</v>
      </c>
      <c r="Y216" s="54"/>
      <c r="Z216" s="61"/>
      <c r="AA216" s="24" t="e">
        <f t="shared" si="87"/>
        <v>#DIV/0!</v>
      </c>
      <c r="AB216" s="54"/>
      <c r="AC216" s="61"/>
      <c r="AD216" s="24" t="e">
        <f t="shared" si="88"/>
        <v>#DIV/0!</v>
      </c>
      <c r="AE216" s="54"/>
      <c r="AF216" s="61"/>
      <c r="AG216" s="24" t="e">
        <f t="shared" si="91"/>
        <v>#DIV/0!</v>
      </c>
      <c r="AH216" s="54"/>
      <c r="AI216" s="61"/>
      <c r="AJ216" s="24" t="e">
        <f t="shared" si="92"/>
        <v>#DIV/0!</v>
      </c>
      <c r="AK216" s="54"/>
      <c r="AL216" s="61"/>
      <c r="AM216" s="24" t="e">
        <f t="shared" si="93"/>
        <v>#DIV/0!</v>
      </c>
      <c r="AN216" s="54"/>
      <c r="AO216" s="61">
        <f t="shared" si="143"/>
        <v>1.3328700000000002</v>
      </c>
      <c r="AP216" s="24">
        <f t="shared" si="90"/>
        <v>2.7246914236419171E-3</v>
      </c>
    </row>
    <row r="217" spans="1:43" outlineLevel="2">
      <c r="A217" s="42" t="s">
        <v>47</v>
      </c>
      <c r="B217" s="60">
        <v>6666020503</v>
      </c>
      <c r="C217" t="s">
        <v>146</v>
      </c>
      <c r="E217" s="61">
        <v>0.19638999999999998</v>
      </c>
      <c r="F217" s="24">
        <f t="shared" si="142"/>
        <v>2.0119658645029758E-3</v>
      </c>
      <c r="H217" s="61">
        <v>2.9319999999999999E-2</v>
      </c>
      <c r="I217" s="24">
        <f t="shared" si="81"/>
        <v>2.7583871149829717E-4</v>
      </c>
      <c r="K217" s="61">
        <v>0</v>
      </c>
      <c r="L217" s="24">
        <f t="shared" si="129"/>
        <v>0</v>
      </c>
      <c r="N217" s="61">
        <v>7.4630000000000002E-2</v>
      </c>
      <c r="O217" s="24">
        <f t="shared" si="127"/>
        <v>6.761801214098034E-4</v>
      </c>
      <c r="P217" s="54"/>
      <c r="Q217" s="61">
        <v>5.2100000000000002E-3</v>
      </c>
      <c r="R217" s="24">
        <f t="shared" si="128"/>
        <v>7.7149753446565286E-5</v>
      </c>
      <c r="S217" s="54"/>
      <c r="T217" s="61"/>
      <c r="U217" s="24" t="e">
        <f t="shared" si="85"/>
        <v>#DIV/0!</v>
      </c>
      <c r="V217" s="54"/>
      <c r="W217" s="61"/>
      <c r="X217" s="24" t="e">
        <f t="shared" si="86"/>
        <v>#DIV/0!</v>
      </c>
      <c r="Y217" s="54"/>
      <c r="Z217" s="61"/>
      <c r="AA217" s="24" t="e">
        <f t="shared" si="87"/>
        <v>#DIV/0!</v>
      </c>
      <c r="AB217" s="54"/>
      <c r="AC217" s="61"/>
      <c r="AD217" s="24" t="e">
        <f t="shared" si="88"/>
        <v>#DIV/0!</v>
      </c>
      <c r="AE217" s="54"/>
      <c r="AF217" s="61"/>
      <c r="AG217" s="24" t="e">
        <f t="shared" si="91"/>
        <v>#DIV/0!</v>
      </c>
      <c r="AH217" s="54"/>
      <c r="AI217" s="61"/>
      <c r="AJ217" s="24" t="e">
        <f t="shared" si="92"/>
        <v>#DIV/0!</v>
      </c>
      <c r="AK217" s="54"/>
      <c r="AL217" s="61"/>
      <c r="AM217" s="24" t="e">
        <f t="shared" si="93"/>
        <v>#DIV/0!</v>
      </c>
      <c r="AN217" s="54"/>
      <c r="AO217" s="61">
        <f t="shared" si="143"/>
        <v>0.30554999999999993</v>
      </c>
      <c r="AP217" s="24">
        <f t="shared" si="90"/>
        <v>6.2461415178808688E-4</v>
      </c>
    </row>
    <row r="218" spans="1:43">
      <c r="A218" s="42" t="s">
        <v>47</v>
      </c>
      <c r="B218" s="60">
        <v>6666021504</v>
      </c>
      <c r="C218" s="15" t="s">
        <v>206</v>
      </c>
      <c r="E218" s="61">
        <v>0.10762999999999999</v>
      </c>
      <c r="F218" s="24">
        <f t="shared" si="142"/>
        <v>1.1026421202528403E-3</v>
      </c>
      <c r="H218" s="61">
        <v>0.24696000000000001</v>
      </c>
      <c r="I218" s="24">
        <f t="shared" si="81"/>
        <v>2.3233672643799275E-3</v>
      </c>
      <c r="K218" s="61">
        <v>0</v>
      </c>
      <c r="L218" s="24">
        <f t="shared" si="129"/>
        <v>0</v>
      </c>
      <c r="N218" s="61">
        <v>-0.10761</v>
      </c>
      <c r="O218" s="24">
        <f t="shared" si="127"/>
        <v>-9.7499320467518344E-4</v>
      </c>
      <c r="P218" s="54"/>
      <c r="Q218" s="61">
        <v>0</v>
      </c>
      <c r="R218" s="24">
        <f t="shared" si="128"/>
        <v>0</v>
      </c>
      <c r="S218" s="54"/>
      <c r="T218" s="61"/>
      <c r="U218" s="24"/>
      <c r="V218" s="54"/>
      <c r="W218" s="61"/>
      <c r="X218" s="24"/>
      <c r="Y218" s="54"/>
      <c r="Z218" s="61"/>
      <c r="AA218" s="24"/>
      <c r="AB218" s="54"/>
      <c r="AC218" s="61"/>
      <c r="AD218" s="24" t="e">
        <f>AC218/$AC$1*1000</f>
        <v>#DIV/0!</v>
      </c>
      <c r="AE218" s="54"/>
      <c r="AF218" s="61"/>
      <c r="AG218" s="24" t="e">
        <f>AF218/$AF$1*1000</f>
        <v>#DIV/0!</v>
      </c>
      <c r="AH218" s="54"/>
      <c r="AI218" s="61"/>
      <c r="AJ218" s="24" t="e">
        <f>AI218/$AF$1*1000</f>
        <v>#DIV/0!</v>
      </c>
      <c r="AK218" s="54"/>
      <c r="AL218" s="61"/>
      <c r="AM218" s="24" t="e">
        <f>AL218/$AF$1*1000</f>
        <v>#DIV/0!</v>
      </c>
      <c r="AN218" s="54"/>
      <c r="AO218" s="61">
        <f>H218+E218+K218+N218+Q218+T218+W218+Z218+AC218+AF218+AI218+AL218</f>
        <v>0.24698000000000003</v>
      </c>
      <c r="AP218" s="24">
        <f>AO218/$AO$1*1000</f>
        <v>5.0488366293117905E-4</v>
      </c>
    </row>
    <row r="219" spans="1:43" outlineLevel="2">
      <c r="A219" s="42" t="s">
        <v>47</v>
      </c>
      <c r="B219" s="60">
        <v>6666021502</v>
      </c>
      <c r="C219" t="s">
        <v>148</v>
      </c>
      <c r="E219" s="61">
        <v>-0.14171</v>
      </c>
      <c r="F219" s="24">
        <f t="shared" si="142"/>
        <v>-1.4517830982163896E-3</v>
      </c>
      <c r="H219" s="61">
        <v>0</v>
      </c>
      <c r="I219" s="24">
        <f t="shared" si="81"/>
        <v>0</v>
      </c>
      <c r="K219" s="61">
        <v>1.5509999999999999E-2</v>
      </c>
      <c r="L219" s="24">
        <f t="shared" si="129"/>
        <v>1.4444568618685741E-4</v>
      </c>
      <c r="N219" s="61">
        <v>5.74E-2</v>
      </c>
      <c r="O219" s="24">
        <f t="shared" si="127"/>
        <v>5.2006885929147407E-4</v>
      </c>
      <c r="P219" s="54"/>
      <c r="Q219" s="61">
        <v>2.0000000000000002E-5</v>
      </c>
      <c r="R219" s="24">
        <f t="shared" si="128"/>
        <v>2.9616028194458847E-7</v>
      </c>
      <c r="S219" s="54"/>
      <c r="T219" s="61"/>
      <c r="U219" s="24" t="e">
        <f t="shared" si="85"/>
        <v>#DIV/0!</v>
      </c>
      <c r="V219" s="54"/>
      <c r="W219" s="61"/>
      <c r="X219" s="24" t="e">
        <f t="shared" si="86"/>
        <v>#DIV/0!</v>
      </c>
      <c r="Y219" s="54"/>
      <c r="Z219" s="61"/>
      <c r="AA219" s="24" t="e">
        <f t="shared" si="87"/>
        <v>#DIV/0!</v>
      </c>
      <c r="AB219" s="54"/>
      <c r="AC219" s="61"/>
      <c r="AD219" s="24" t="e">
        <f t="shared" si="88"/>
        <v>#DIV/0!</v>
      </c>
      <c r="AE219" s="54"/>
      <c r="AF219" s="61"/>
      <c r="AG219" s="24" t="e">
        <f t="shared" si="91"/>
        <v>#DIV/0!</v>
      </c>
      <c r="AH219" s="54"/>
      <c r="AI219" s="61"/>
      <c r="AJ219" s="24" t="e">
        <f t="shared" si="92"/>
        <v>#DIV/0!</v>
      </c>
      <c r="AK219" s="54"/>
      <c r="AL219" s="61"/>
      <c r="AM219" s="24" t="e">
        <f t="shared" si="93"/>
        <v>#DIV/0!</v>
      </c>
      <c r="AN219" s="54"/>
      <c r="AO219" s="61">
        <f t="shared" si="143"/>
        <v>-6.8779999999999994E-2</v>
      </c>
      <c r="AP219" s="24">
        <f t="shared" si="90"/>
        <v>-1.4060206630660979E-4</v>
      </c>
    </row>
    <row r="220" spans="1:43" outlineLevel="2">
      <c r="A220" s="42" t="s">
        <v>47</v>
      </c>
      <c r="B220" s="60">
        <v>6666021505</v>
      </c>
      <c r="C220" t="s">
        <v>150</v>
      </c>
      <c r="E220" s="61">
        <v>0</v>
      </c>
      <c r="F220" s="24">
        <f t="shared" si="142"/>
        <v>0</v>
      </c>
      <c r="H220" s="61">
        <v>9.7999999999999997E-4</v>
      </c>
      <c r="I220" s="24">
        <f t="shared" si="81"/>
        <v>9.2197113665870141E-6</v>
      </c>
      <c r="K220" s="61">
        <v>0</v>
      </c>
      <c r="L220" s="24">
        <f t="shared" si="129"/>
        <v>0</v>
      </c>
      <c r="N220" s="61">
        <v>0</v>
      </c>
      <c r="O220" s="24">
        <f t="shared" si="127"/>
        <v>0</v>
      </c>
      <c r="P220" s="54"/>
      <c r="Q220" s="61">
        <v>0</v>
      </c>
      <c r="R220" s="24">
        <f t="shared" si="128"/>
        <v>0</v>
      </c>
      <c r="S220" s="54"/>
      <c r="T220" s="61"/>
      <c r="U220" s="24" t="e">
        <f t="shared" si="85"/>
        <v>#DIV/0!</v>
      </c>
      <c r="V220" s="54"/>
      <c r="W220" s="61"/>
      <c r="X220" s="24" t="e">
        <f t="shared" si="86"/>
        <v>#DIV/0!</v>
      </c>
      <c r="Y220" s="54"/>
      <c r="Z220" s="61"/>
      <c r="AA220" s="24" t="e">
        <f t="shared" si="87"/>
        <v>#DIV/0!</v>
      </c>
      <c r="AB220" s="54"/>
      <c r="AC220" s="61"/>
      <c r="AD220" s="24" t="e">
        <f t="shared" si="88"/>
        <v>#DIV/0!</v>
      </c>
      <c r="AE220" s="54"/>
      <c r="AF220" s="61"/>
      <c r="AG220" s="24" t="e">
        <f t="shared" si="91"/>
        <v>#DIV/0!</v>
      </c>
      <c r="AH220" s="54"/>
      <c r="AI220" s="61"/>
      <c r="AJ220" s="24" t="e">
        <f t="shared" si="92"/>
        <v>#DIV/0!</v>
      </c>
      <c r="AK220" s="54"/>
      <c r="AL220" s="61"/>
      <c r="AM220" s="24" t="e">
        <f t="shared" si="93"/>
        <v>#DIV/0!</v>
      </c>
      <c r="AN220" s="54"/>
      <c r="AO220" s="61">
        <f t="shared" si="143"/>
        <v>9.7999999999999997E-4</v>
      </c>
      <c r="AP220" s="24">
        <f t="shared" si="90"/>
        <v>2.0033443585414016E-6</v>
      </c>
    </row>
    <row r="221" spans="1:43" outlineLevel="2">
      <c r="A221" s="42" t="s">
        <v>47</v>
      </c>
      <c r="B221" s="60">
        <v>6666091600</v>
      </c>
      <c r="C221" t="s">
        <v>153</v>
      </c>
      <c r="E221" s="61">
        <v>1.8600000000000001E-3</v>
      </c>
      <c r="F221" s="24">
        <f t="shared" si="142"/>
        <v>1.9055229431109198E-5</v>
      </c>
      <c r="H221" s="61">
        <v>3.9939999999999996E-2</v>
      </c>
      <c r="I221" s="24">
        <f t="shared" si="81"/>
        <v>3.7575027753212781E-4</v>
      </c>
      <c r="K221" s="61">
        <v>0.26245999999999997</v>
      </c>
      <c r="L221" s="24">
        <f t="shared" si="129"/>
        <v>2.4443078527790194E-3</v>
      </c>
      <c r="N221" s="61">
        <v>5.7099999999999998E-3</v>
      </c>
      <c r="O221" s="24">
        <f t="shared" si="127"/>
        <v>5.1735072936486357E-5</v>
      </c>
      <c r="P221" s="54"/>
      <c r="Q221" s="61">
        <v>0</v>
      </c>
      <c r="R221" s="24">
        <f t="shared" si="128"/>
        <v>0</v>
      </c>
      <c r="S221" s="54"/>
      <c r="T221" s="61"/>
      <c r="U221" s="24" t="e">
        <f t="shared" si="85"/>
        <v>#DIV/0!</v>
      </c>
      <c r="V221" s="54"/>
      <c r="W221" s="61"/>
      <c r="X221" s="24" t="e">
        <f t="shared" si="86"/>
        <v>#DIV/0!</v>
      </c>
      <c r="Y221" s="54"/>
      <c r="Z221" s="61"/>
      <c r="AA221" s="24" t="e">
        <f t="shared" si="87"/>
        <v>#DIV/0!</v>
      </c>
      <c r="AB221" s="54"/>
      <c r="AC221" s="61"/>
      <c r="AD221" s="24" t="e">
        <f t="shared" si="88"/>
        <v>#DIV/0!</v>
      </c>
      <c r="AE221" s="54"/>
      <c r="AF221" s="61"/>
      <c r="AG221" s="24" t="e">
        <f t="shared" si="91"/>
        <v>#DIV/0!</v>
      </c>
      <c r="AH221" s="54"/>
      <c r="AI221" s="61"/>
      <c r="AJ221" s="24" t="e">
        <f t="shared" si="92"/>
        <v>#DIV/0!</v>
      </c>
      <c r="AK221" s="54"/>
      <c r="AL221" s="61"/>
      <c r="AM221" s="24" t="e">
        <f t="shared" si="93"/>
        <v>#DIV/0!</v>
      </c>
      <c r="AN221" s="54"/>
      <c r="AO221" s="61">
        <f t="shared" si="143"/>
        <v>0.30996999999999997</v>
      </c>
      <c r="AP221" s="24">
        <f t="shared" si="90"/>
        <v>6.3364964369089618E-4</v>
      </c>
    </row>
    <row r="222" spans="1:43">
      <c r="A222" s="42"/>
      <c r="B222" s="28" t="s">
        <v>174</v>
      </c>
      <c r="C222" s="28" t="s">
        <v>140</v>
      </c>
      <c r="D222" s="29"/>
      <c r="E222" s="62">
        <f>SUM(E214:E221)</f>
        <v>0.86561999999999983</v>
      </c>
      <c r="F222" s="63">
        <f t="shared" si="142"/>
        <v>8.8680579033100764E-3</v>
      </c>
      <c r="H222" s="62">
        <f>SUM(H214:H221)</f>
        <v>3.2793000000000005</v>
      </c>
      <c r="I222" s="63">
        <f t="shared" si="81"/>
        <v>3.0851223963723265E-2</v>
      </c>
      <c r="K222" s="62">
        <f>SUM(K214:K221)</f>
        <v>-0.63911999999999991</v>
      </c>
      <c r="L222" s="63">
        <f t="shared" si="129"/>
        <v>-5.9521680822530168E-3</v>
      </c>
      <c r="N222" s="62">
        <f>SUM(N214:N221)</f>
        <v>0.75119000000000002</v>
      </c>
      <c r="O222" s="63">
        <f t="shared" si="127"/>
        <v>6.806106731901785E-3</v>
      </c>
      <c r="P222" s="54"/>
      <c r="Q222" s="62">
        <f>SUM(Q214:Q221)</f>
        <v>0.99776000000000009</v>
      </c>
      <c r="R222" s="63">
        <f t="shared" si="128"/>
        <v>1.4774844145651628E-2</v>
      </c>
      <c r="S222" s="54"/>
      <c r="T222" s="62">
        <f>SUM(T214:T221)</f>
        <v>0</v>
      </c>
      <c r="U222" s="63" t="e">
        <f t="shared" si="85"/>
        <v>#DIV/0!</v>
      </c>
      <c r="V222" s="54"/>
      <c r="W222" s="62">
        <f>SUM(W214:W221)</f>
        <v>0</v>
      </c>
      <c r="X222" s="63" t="e">
        <f t="shared" si="86"/>
        <v>#DIV/0!</v>
      </c>
      <c r="Y222" s="54"/>
      <c r="Z222" s="62">
        <f>SUM(Z214:Z221)</f>
        <v>0</v>
      </c>
      <c r="AA222" s="63" t="e">
        <f t="shared" si="87"/>
        <v>#DIV/0!</v>
      </c>
      <c r="AB222" s="54"/>
      <c r="AC222" s="62">
        <f>SUM(AC214:AC221)</f>
        <v>0</v>
      </c>
      <c r="AD222" s="63" t="e">
        <f t="shared" si="88"/>
        <v>#DIV/0!</v>
      </c>
      <c r="AE222" s="54"/>
      <c r="AF222" s="62">
        <f>SUM(AF214:AF221)</f>
        <v>0</v>
      </c>
      <c r="AG222" s="63" t="e">
        <f t="shared" ref="AG222:AG223" si="144">AF222/$AF$1*1000</f>
        <v>#DIV/0!</v>
      </c>
      <c r="AH222" s="54"/>
      <c r="AI222" s="62">
        <f>SUM(AI214:AI221)</f>
        <v>0</v>
      </c>
      <c r="AJ222" s="63" t="e">
        <f t="shared" ref="AJ222:AJ223" si="145">AI222/$AF$1*1000</f>
        <v>#DIV/0!</v>
      </c>
      <c r="AK222" s="54"/>
      <c r="AL222" s="62">
        <f>SUM(AL214:AL221)</f>
        <v>0</v>
      </c>
      <c r="AM222" s="63" t="e">
        <f t="shared" ref="AM222:AM223" si="146">AL222/$AF$1*1000</f>
        <v>#DIV/0!</v>
      </c>
      <c r="AN222" s="54"/>
      <c r="AO222" s="62">
        <f>SUM(AO214:AO221)</f>
        <v>5.2547500000000005</v>
      </c>
      <c r="AP222" s="63">
        <f t="shared" si="90"/>
        <v>1.0741912008209623E-2</v>
      </c>
    </row>
    <row r="223" spans="1:43" s="52" customFormat="1">
      <c r="A223" s="42"/>
      <c r="B223" s="67"/>
      <c r="C223" s="68"/>
      <c r="D223" s="68" t="s">
        <v>175</v>
      </c>
      <c r="E223" s="69">
        <f>SUM(E222,E213,E206,E203,E200,E198,E149,E146)</f>
        <v>277.38785000000001</v>
      </c>
      <c r="F223" s="70">
        <f t="shared" si="142"/>
        <v>2.841768345780701</v>
      </c>
      <c r="G223" s="17"/>
      <c r="H223" s="69">
        <f>+H146+H149+H198+H200+H203+H206+H213+H222</f>
        <v>184.03627000000003</v>
      </c>
      <c r="I223" s="71">
        <f t="shared" si="81"/>
        <v>1.7313890718196703</v>
      </c>
      <c r="J223" s="17"/>
      <c r="K223" s="72">
        <f>+K146+K149+K198+K200+K203+K206+K213+K222</f>
        <v>243.48651999999987</v>
      </c>
      <c r="L223" s="71">
        <f t="shared" si="129"/>
        <v>2.2676065414990303</v>
      </c>
      <c r="M223" s="18"/>
      <c r="N223" s="72">
        <f>+N146+N149+N198+N200+N203+N206+N213+N222</f>
        <v>195.35993000000028</v>
      </c>
      <c r="O223" s="71">
        <f t="shared" si="127"/>
        <v>1.7700455739784386</v>
      </c>
      <c r="P223" s="73"/>
      <c r="Q223" s="72">
        <f>+Q146+Q149+Q198+Q200+Q203+Q206+Q213+Q222</f>
        <v>304.41425000000004</v>
      </c>
      <c r="R223" s="71">
        <f t="shared" si="128"/>
        <v>4.5077705053975219</v>
      </c>
      <c r="S223" s="73"/>
      <c r="T223" s="72">
        <f>+T146+T149+T198+T200+T203+T206+T213+T222</f>
        <v>0</v>
      </c>
      <c r="U223" s="71" t="e">
        <f t="shared" si="85"/>
        <v>#DIV/0!</v>
      </c>
      <c r="V223" s="73"/>
      <c r="W223" s="72">
        <f>+W146+W149+W198+W200+W203+W206+W213+W222</f>
        <v>0</v>
      </c>
      <c r="X223" s="71" t="e">
        <f t="shared" si="86"/>
        <v>#DIV/0!</v>
      </c>
      <c r="Y223" s="73"/>
      <c r="Z223" s="72">
        <f>+Z146+Z149+Z198+Z200+Z203+Z206+Z213+Z222</f>
        <v>0</v>
      </c>
      <c r="AA223" s="71" t="e">
        <f t="shared" si="87"/>
        <v>#DIV/0!</v>
      </c>
      <c r="AB223" s="73"/>
      <c r="AC223" s="72">
        <f>+AC146+AC149+AC198+AC200+AC203+AC206+AC213+AC222</f>
        <v>0</v>
      </c>
      <c r="AD223" s="71" t="e">
        <f t="shared" si="88"/>
        <v>#DIV/0!</v>
      </c>
      <c r="AE223" s="73"/>
      <c r="AF223" s="71">
        <f>+AF146+AF149+AF198+AF200+AF203+AF206+AF213+AF222</f>
        <v>0</v>
      </c>
      <c r="AG223" s="71" t="e">
        <f t="shared" si="144"/>
        <v>#DIV/0!</v>
      </c>
      <c r="AH223" s="73"/>
      <c r="AI223" s="71">
        <f>+AI146+AI149+AI198+AI200+AI203+AI206+AI213+AI222</f>
        <v>0</v>
      </c>
      <c r="AJ223" s="71" t="e">
        <f t="shared" si="145"/>
        <v>#DIV/0!</v>
      </c>
      <c r="AK223" s="73"/>
      <c r="AL223" s="71">
        <f>+AL146+AL149+AL198+AL200+AL203+AL206+AL213+AL222</f>
        <v>0</v>
      </c>
      <c r="AM223" s="71" t="e">
        <f t="shared" si="146"/>
        <v>#DIV/0!</v>
      </c>
      <c r="AN223" s="73"/>
      <c r="AO223" s="153">
        <f>+AO146+AO149+AO198+AO200+AO203+AO206+AO213+AO222</f>
        <v>1204.6848199999999</v>
      </c>
      <c r="AP223" s="71">
        <f t="shared" si="90"/>
        <v>2.4626515693545552</v>
      </c>
      <c r="AQ223"/>
    </row>
    <row r="224" spans="1:43">
      <c r="E224" s="78"/>
      <c r="F224" s="53"/>
      <c r="H224" s="55"/>
      <c r="I224" s="53"/>
      <c r="K224" s="55"/>
      <c r="L224" s="53"/>
      <c r="N224" s="55"/>
      <c r="O224" s="53"/>
      <c r="P224" s="54"/>
      <c r="Q224" s="55">
        <v>304414.25000000006</v>
      </c>
      <c r="R224" s="53"/>
      <c r="S224" s="54"/>
      <c r="T224" s="55"/>
      <c r="U224" s="53"/>
      <c r="V224" s="54"/>
      <c r="W224" s="55"/>
      <c r="X224" s="53"/>
      <c r="Y224" s="54"/>
      <c r="Z224" s="55"/>
      <c r="AA224" s="53"/>
      <c r="AB224" s="54"/>
      <c r="AC224" s="55"/>
      <c r="AD224" s="53"/>
      <c r="AE224" s="54"/>
      <c r="AF224" s="55"/>
      <c r="AG224" s="53"/>
      <c r="AH224" s="54"/>
      <c r="AI224" s="55"/>
      <c r="AJ224" s="53"/>
      <c r="AK224" s="54"/>
      <c r="AL224" s="55"/>
      <c r="AM224" s="53"/>
      <c r="AN224" s="54"/>
      <c r="AO224" s="55"/>
      <c r="AP224" s="53"/>
    </row>
    <row r="225" spans="1:43">
      <c r="E225" s="78"/>
      <c r="F225" s="53"/>
      <c r="H225" s="23"/>
      <c r="I225" s="53"/>
      <c r="K225" s="78"/>
      <c r="L225" s="53"/>
      <c r="N225" s="78"/>
      <c r="O225" s="53"/>
      <c r="P225" s="54"/>
      <c r="Q225" s="78">
        <f>Q224/1000-Q223</f>
        <v>0</v>
      </c>
      <c r="R225" s="53"/>
      <c r="S225" s="54"/>
      <c r="T225" s="23"/>
      <c r="U225" s="53"/>
      <c r="V225" s="54"/>
      <c r="W225" s="23"/>
      <c r="X225" s="53"/>
      <c r="Y225" s="54"/>
      <c r="Z225" s="23"/>
      <c r="AA225" s="53"/>
      <c r="AB225" s="54"/>
      <c r="AC225" s="23"/>
      <c r="AD225" s="53"/>
      <c r="AE225" s="54"/>
      <c r="AF225" s="23"/>
      <c r="AG225" s="53"/>
      <c r="AH225" s="54"/>
      <c r="AI225" s="23"/>
      <c r="AJ225" s="53"/>
      <c r="AK225" s="54"/>
      <c r="AL225" s="23"/>
      <c r="AM225" s="53"/>
      <c r="AN225" s="54"/>
      <c r="AO225" s="23"/>
      <c r="AP225" s="53"/>
    </row>
    <row r="226" spans="1:43">
      <c r="E226" s="23"/>
      <c r="F226" s="53"/>
      <c r="H226" s="23"/>
      <c r="I226" s="53"/>
      <c r="K226" s="23"/>
      <c r="L226" s="53"/>
      <c r="N226" s="23"/>
      <c r="O226" s="53"/>
      <c r="P226" s="54"/>
      <c r="Q226" s="23"/>
      <c r="R226" s="53"/>
      <c r="S226" s="54"/>
      <c r="T226" s="23"/>
      <c r="U226" s="53"/>
      <c r="V226" s="54"/>
      <c r="W226" s="23"/>
      <c r="X226" s="53"/>
      <c r="Y226" s="54"/>
      <c r="Z226" s="23"/>
      <c r="AA226" s="53"/>
      <c r="AB226" s="54"/>
      <c r="AC226" s="23"/>
      <c r="AD226" s="53"/>
      <c r="AE226" s="54"/>
      <c r="AF226" s="23"/>
      <c r="AG226" s="53"/>
      <c r="AH226" s="54"/>
      <c r="AI226" s="23"/>
      <c r="AJ226" s="53"/>
      <c r="AK226" s="54"/>
      <c r="AL226" s="23"/>
      <c r="AM226" s="53"/>
      <c r="AN226" s="54"/>
      <c r="AO226" s="23"/>
      <c r="AP226" s="53"/>
    </row>
    <row r="227" spans="1:43" s="52" customFormat="1">
      <c r="A227" s="42"/>
      <c r="B227" s="74"/>
      <c r="C227" s="74"/>
      <c r="D227" s="74" t="s">
        <v>176</v>
      </c>
      <c r="E227" s="72">
        <f>E223+E138</f>
        <v>2090.9262308124412</v>
      </c>
      <c r="F227" s="71">
        <f>E227/$E$1*1000</f>
        <v>21.421010242825513</v>
      </c>
      <c r="G227" s="75"/>
      <c r="H227" s="72">
        <f>H223+H138</f>
        <v>2101.2652553658631</v>
      </c>
      <c r="I227" s="71">
        <f>H227/$H$1*1000</f>
        <v>19.768427713378582</v>
      </c>
      <c r="J227" s="75"/>
      <c r="K227" s="72">
        <f>K223+K138</f>
        <v>2203.4826501991897</v>
      </c>
      <c r="L227" s="71">
        <f>K227/$K$1*1000</f>
        <v>20.521183972202259</v>
      </c>
      <c r="M227" s="76"/>
      <c r="N227" s="72">
        <f>N223+N138</f>
        <v>1857.0452839910422</v>
      </c>
      <c r="O227" s="71">
        <f>N227/$N$1*1000</f>
        <v>16.825634538289773</v>
      </c>
      <c r="P227" s="73"/>
      <c r="Q227" s="72">
        <f>Q223+Q138</f>
        <v>1952.5859876489105</v>
      </c>
      <c r="R227" s="71">
        <f>Q227/$Q$1*1000</f>
        <v>28.913920831157697</v>
      </c>
      <c r="S227" s="73"/>
      <c r="T227" s="72">
        <f>T223+T138</f>
        <v>0</v>
      </c>
      <c r="U227" s="51" t="e">
        <f t="shared" ref="U227" si="147">T227/$T$1*1000</f>
        <v>#DIV/0!</v>
      </c>
      <c r="V227" s="73"/>
      <c r="W227" s="72">
        <f>W223+W138</f>
        <v>0</v>
      </c>
      <c r="X227" s="51" t="e">
        <f t="shared" ref="X227" si="148">W227/$W$1*1000</f>
        <v>#DIV/0!</v>
      </c>
      <c r="Y227" s="73"/>
      <c r="Z227" s="72">
        <f>Z223+Z138</f>
        <v>0</v>
      </c>
      <c r="AA227" s="51" t="e">
        <f t="shared" ref="AA227" si="149">Z227/$Z$1*1000</f>
        <v>#DIV/0!</v>
      </c>
      <c r="AB227" s="73"/>
      <c r="AC227" s="72">
        <f>AC223+AC138</f>
        <v>0</v>
      </c>
      <c r="AD227" s="51" t="e">
        <f t="shared" ref="AD227" si="150">AC227/$AC$1*1000</f>
        <v>#DIV/0!</v>
      </c>
      <c r="AE227" s="73"/>
      <c r="AF227" s="71">
        <f>AF223+AF138</f>
        <v>0</v>
      </c>
      <c r="AG227" s="77" t="e">
        <f>AF227/$AF$1*1000</f>
        <v>#DIV/0!</v>
      </c>
      <c r="AH227" s="73"/>
      <c r="AI227" s="71">
        <f>AI223+AI138</f>
        <v>0</v>
      </c>
      <c r="AJ227" s="77" t="e">
        <f>AI227/$AF$1*1000</f>
        <v>#DIV/0!</v>
      </c>
      <c r="AK227" s="73"/>
      <c r="AL227" s="71">
        <f>AL223+AL138</f>
        <v>0</v>
      </c>
      <c r="AM227" s="77" t="e">
        <f>AL227/$AF$1*1000</f>
        <v>#DIV/0!</v>
      </c>
      <c r="AN227" s="73"/>
      <c r="AO227" s="71">
        <f>+E227+H227+K227+N227+Q227+T227+W227+Z227+AC227+AF227+AI227+AL227</f>
        <v>10205.305408017446</v>
      </c>
      <c r="AP227" s="51">
        <f>AO227/$AO$1*1000</f>
        <v>20.861980628922254</v>
      </c>
      <c r="AQ227"/>
    </row>
    <row r="228" spans="1:43">
      <c r="E228" s="127"/>
      <c r="F228" s="23"/>
      <c r="H228" s="23"/>
      <c r="I228" s="23"/>
      <c r="K228" s="23"/>
      <c r="L228" s="23"/>
      <c r="N228" s="23"/>
      <c r="O228" s="23"/>
      <c r="P228" s="54"/>
      <c r="Q228" s="23"/>
      <c r="R228" s="23"/>
      <c r="S228" s="54"/>
      <c r="T228" s="23"/>
      <c r="U228" s="23"/>
      <c r="V228" s="54"/>
      <c r="W228" s="23"/>
      <c r="X228" s="23"/>
      <c r="Y228" s="54"/>
      <c r="Z228" s="23"/>
      <c r="AA228" s="23"/>
      <c r="AB228" s="54"/>
      <c r="AC228" s="23"/>
      <c r="AD228" s="23"/>
      <c r="AE228" s="54"/>
      <c r="AF228" s="23"/>
      <c r="AG228" s="23"/>
      <c r="AH228" s="23"/>
      <c r="AI228" s="23"/>
      <c r="AJ228" s="23"/>
      <c r="AK228" s="54"/>
      <c r="AL228" s="23"/>
      <c r="AM228" s="23"/>
      <c r="AN228" s="54"/>
      <c r="AO228" s="23"/>
      <c r="AP228" s="23"/>
    </row>
    <row r="229" spans="1:43">
      <c r="E229" s="127"/>
      <c r="F229" s="78"/>
      <c r="H229" s="78"/>
      <c r="K229" s="55"/>
      <c r="N229" s="127"/>
      <c r="Q229" s="55"/>
      <c r="S229" s="54"/>
      <c r="T229" s="55"/>
      <c r="V229" s="54"/>
      <c r="W229" s="55"/>
      <c r="Y229" s="54"/>
      <c r="Z229" s="55"/>
      <c r="AB229" s="54"/>
      <c r="AC229" s="55"/>
      <c r="AE229" s="54"/>
      <c r="AF229" s="55"/>
      <c r="AH229" s="55"/>
      <c r="AI229" s="55"/>
      <c r="AK229" s="54"/>
      <c r="AL229" s="55"/>
      <c r="AN229" s="54"/>
      <c r="AO229" s="55"/>
    </row>
    <row r="230" spans="1:43">
      <c r="C230" s="79"/>
      <c r="E230" s="127"/>
      <c r="F230" s="55"/>
      <c r="H230" s="55"/>
      <c r="K230" s="55"/>
      <c r="N230" s="55"/>
      <c r="Q230" s="55"/>
      <c r="T230" s="55"/>
      <c r="W230" s="55"/>
      <c r="Z230" s="55"/>
      <c r="AC230" s="55"/>
      <c r="AF230" s="55"/>
      <c r="AH230" s="55"/>
      <c r="AI230" s="55"/>
      <c r="AL230" s="55"/>
      <c r="AO230" s="55"/>
    </row>
    <row r="231" spans="1:43">
      <c r="C231" s="79"/>
      <c r="E231" s="127"/>
      <c r="F231" s="55"/>
      <c r="H231" s="55"/>
      <c r="K231" s="55"/>
      <c r="N231" s="55"/>
      <c r="O231" s="55"/>
      <c r="Q231" s="55"/>
      <c r="R231" s="55"/>
      <c r="T231" s="55"/>
      <c r="U231" s="55"/>
      <c r="W231" s="55"/>
      <c r="X231" s="55"/>
      <c r="Z231" s="55"/>
      <c r="AA231" s="55"/>
      <c r="AC231" s="55"/>
      <c r="AD231" s="55"/>
      <c r="AF231" s="55"/>
      <c r="AG231" s="55"/>
      <c r="AI231" s="55"/>
      <c r="AJ231" s="55"/>
      <c r="AL231" s="55"/>
      <c r="AM231" s="55"/>
      <c r="AO231" s="55"/>
      <c r="AP231" s="55"/>
    </row>
    <row r="232" spans="1:43">
      <c r="E232" s="127"/>
    </row>
    <row r="233" spans="1:43" s="89" customFormat="1">
      <c r="A233" s="80"/>
      <c r="B233" s="81"/>
      <c r="C233" s="82"/>
      <c r="D233" s="83" t="s">
        <v>177</v>
      </c>
      <c r="E233" s="84" t="s">
        <v>178</v>
      </c>
      <c r="F233" s="85" t="s">
        <v>179</v>
      </c>
      <c r="G233" s="86"/>
      <c r="H233" s="84" t="s">
        <v>178</v>
      </c>
      <c r="I233" s="85" t="s">
        <v>179</v>
      </c>
      <c r="J233" s="86"/>
      <c r="K233" s="84" t="s">
        <v>178</v>
      </c>
      <c r="L233" s="85" t="s">
        <v>179</v>
      </c>
      <c r="M233" s="87"/>
      <c r="N233" s="84" t="s">
        <v>178</v>
      </c>
      <c r="O233" s="85" t="s">
        <v>179</v>
      </c>
      <c r="P233" s="88"/>
      <c r="Q233" s="84" t="s">
        <v>178</v>
      </c>
      <c r="R233" s="85" t="s">
        <v>179</v>
      </c>
      <c r="S233" s="88"/>
      <c r="T233" s="84" t="s">
        <v>178</v>
      </c>
      <c r="U233" s="85" t="s">
        <v>179</v>
      </c>
      <c r="V233" s="88"/>
      <c r="W233" s="84" t="s">
        <v>178</v>
      </c>
      <c r="X233" s="85" t="s">
        <v>179</v>
      </c>
      <c r="Y233" s="88"/>
      <c r="Z233" s="84" t="s">
        <v>178</v>
      </c>
      <c r="AA233" s="85" t="s">
        <v>179</v>
      </c>
      <c r="AB233" s="88"/>
      <c r="AC233" s="84" t="s">
        <v>178</v>
      </c>
      <c r="AD233" s="85" t="s">
        <v>179</v>
      </c>
      <c r="AE233" s="88"/>
      <c r="AF233" s="84" t="s">
        <v>178</v>
      </c>
      <c r="AG233" s="85" t="s">
        <v>179</v>
      </c>
      <c r="AH233" s="88"/>
      <c r="AI233" s="84" t="s">
        <v>178</v>
      </c>
      <c r="AJ233" s="85" t="s">
        <v>179</v>
      </c>
      <c r="AK233" s="88"/>
      <c r="AL233" s="84" t="s">
        <v>178</v>
      </c>
      <c r="AM233" s="85" t="s">
        <v>179</v>
      </c>
      <c r="AN233" s="88"/>
      <c r="AO233" s="84" t="s">
        <v>178</v>
      </c>
      <c r="AP233" s="85" t="s">
        <v>179</v>
      </c>
      <c r="AQ233"/>
    </row>
    <row r="234" spans="1:43" s="89" customFormat="1">
      <c r="A234" s="80"/>
      <c r="B234" s="81"/>
      <c r="C234" s="90"/>
      <c r="D234" s="91" t="s">
        <v>180</v>
      </c>
      <c r="E234" s="92">
        <f>E25</f>
        <v>590.41206999999997</v>
      </c>
      <c r="F234" s="93">
        <f>F25</f>
        <v>6.0486222864226367</v>
      </c>
      <c r="G234" s="94"/>
      <c r="H234" s="92">
        <f>H25</f>
        <v>617.89438000000007</v>
      </c>
      <c r="I234" s="93">
        <f>I25</f>
        <v>5.8130692230982</v>
      </c>
      <c r="J234" s="94"/>
      <c r="K234" s="92">
        <f>K25</f>
        <v>810.48808000000008</v>
      </c>
      <c r="L234" s="93">
        <f>L25</f>
        <v>7.5481306809715401</v>
      </c>
      <c r="M234" s="95"/>
      <c r="N234" s="92">
        <f>N25</f>
        <v>662.67459134498472</v>
      </c>
      <c r="O234" s="93">
        <f>O25</f>
        <v>6.0041187944639365</v>
      </c>
      <c r="P234" s="96"/>
      <c r="Q234" s="92">
        <f>Q25</f>
        <v>725.89490000000001</v>
      </c>
      <c r="R234" s="93">
        <f>R25</f>
        <v>10.74906191230694</v>
      </c>
      <c r="S234" s="96"/>
      <c r="T234" s="92">
        <f>T25</f>
        <v>0</v>
      </c>
      <c r="U234" s="93" t="e">
        <f>U25</f>
        <v>#DIV/0!</v>
      </c>
      <c r="V234" s="96"/>
      <c r="W234" s="92">
        <f>W25</f>
        <v>0</v>
      </c>
      <c r="X234" s="93" t="e">
        <f>X25</f>
        <v>#DIV/0!</v>
      </c>
      <c r="Y234" s="96"/>
      <c r="Z234" s="92">
        <f>Z25</f>
        <v>0</v>
      </c>
      <c r="AA234" s="93" t="e">
        <f>AA25</f>
        <v>#DIV/0!</v>
      </c>
      <c r="AB234" s="96"/>
      <c r="AC234" s="92">
        <f>AC25</f>
        <v>0</v>
      </c>
      <c r="AD234" s="93" t="e">
        <f>AD25</f>
        <v>#DIV/0!</v>
      </c>
      <c r="AE234" s="96"/>
      <c r="AF234" s="92">
        <f>AF25</f>
        <v>0</v>
      </c>
      <c r="AG234" s="93" t="e">
        <f>AG25</f>
        <v>#DIV/0!</v>
      </c>
      <c r="AH234" s="96"/>
      <c r="AI234" s="92">
        <f>AI25</f>
        <v>0</v>
      </c>
      <c r="AJ234" s="93" t="e">
        <f>AJ25</f>
        <v>#DIV/0!</v>
      </c>
      <c r="AK234" s="96"/>
      <c r="AL234" s="92">
        <f>AL25</f>
        <v>0</v>
      </c>
      <c r="AM234" s="93" t="e">
        <f>AM25</f>
        <v>#DIV/0!</v>
      </c>
      <c r="AN234" s="96"/>
      <c r="AO234" s="92">
        <f>AO25</f>
        <v>3407.3640213449848</v>
      </c>
      <c r="AP234" s="93">
        <f>AP25</f>
        <v>6.9654321323045103</v>
      </c>
      <c r="AQ234"/>
    </row>
    <row r="235" spans="1:43" s="89" customFormat="1">
      <c r="A235" s="80"/>
      <c r="B235" s="81"/>
      <c r="C235" s="81"/>
      <c r="D235" s="91" t="s">
        <v>181</v>
      </c>
      <c r="E235" s="92">
        <f>E30+E105+E95+E99</f>
        <v>29.35702999999998</v>
      </c>
      <c r="F235" s="93">
        <f>F30+F105+F95+F99</f>
        <v>0.30075534519675029</v>
      </c>
      <c r="G235" s="94"/>
      <c r="H235" s="92">
        <f>H30+H105+H95+H99</f>
        <v>40.08544999999998</v>
      </c>
      <c r="I235" s="93">
        <f>I30+I105+I95+I99</f>
        <v>0.37711865204056672</v>
      </c>
      <c r="J235" s="94"/>
      <c r="K235" s="92">
        <f>K30+K105+K95+K99</f>
        <v>7.7693000000000154</v>
      </c>
      <c r="L235" s="93">
        <f>L30+L105+L95+L99</f>
        <v>7.2356019967218077E-2</v>
      </c>
      <c r="M235" s="95"/>
      <c r="N235" s="92">
        <f>N30+N105+N95+N99</f>
        <v>21.17752999999999</v>
      </c>
      <c r="O235" s="93">
        <f>O30+O105+O95+O99</f>
        <v>0.1918775935489716</v>
      </c>
      <c r="P235" s="96"/>
      <c r="Q235" s="92">
        <f>Q30+Q105+Q95+Q99</f>
        <v>-14.830889999999982</v>
      </c>
      <c r="R235" s="93">
        <f>R30+R105+R95+R99</f>
        <v>-0.21961602819445858</v>
      </c>
      <c r="S235" s="96"/>
      <c r="T235" s="92">
        <f>T30+T105+T95+T99</f>
        <v>0</v>
      </c>
      <c r="U235" s="93" t="e">
        <f>U30+U105+U95+U99</f>
        <v>#DIV/0!</v>
      </c>
      <c r="V235" s="96"/>
      <c r="W235" s="92">
        <f>W30+W105+W95+W99</f>
        <v>0</v>
      </c>
      <c r="X235" s="93" t="e">
        <f>X30+X105+X95+X99</f>
        <v>#DIV/0!</v>
      </c>
      <c r="Y235" s="96"/>
      <c r="Z235" s="92">
        <f>Z30+Z105+Z95+Z99</f>
        <v>0</v>
      </c>
      <c r="AA235" s="93" t="e">
        <f>AA30+AA105+AA95+AA99</f>
        <v>#DIV/0!</v>
      </c>
      <c r="AB235" s="96"/>
      <c r="AC235" s="92">
        <f>AC30+AC105+AC95+AC99</f>
        <v>0</v>
      </c>
      <c r="AD235" s="93" t="e">
        <f>AD30+AD105+AD95+AD99</f>
        <v>#DIV/0!</v>
      </c>
      <c r="AE235" s="96"/>
      <c r="AF235" s="92">
        <f>AF30+AF105+AF95+AF99</f>
        <v>0</v>
      </c>
      <c r="AG235" s="93" t="e">
        <f>AG30+AG105+AG95+AG99</f>
        <v>#DIV/0!</v>
      </c>
      <c r="AH235" s="96"/>
      <c r="AI235" s="92">
        <f>AI30+AI105+AI95+AI99</f>
        <v>0</v>
      </c>
      <c r="AJ235" s="93" t="e">
        <f>AJ30+AJ105+AJ95+AJ99</f>
        <v>#DIV/0!</v>
      </c>
      <c r="AK235" s="96"/>
      <c r="AL235" s="92">
        <f>AL30+AL105+AL95+AL99</f>
        <v>0</v>
      </c>
      <c r="AM235" s="93" t="e">
        <f>AM30+AM105+AM95+AM99</f>
        <v>#DIV/0!</v>
      </c>
      <c r="AN235" s="96"/>
      <c r="AO235" s="92">
        <f>AO30+AO105+AO95+AO99</f>
        <v>83.558419999999956</v>
      </c>
      <c r="AP235" s="93">
        <f>AP30+AP105+AP95+AP99</f>
        <v>0.17081254011799285</v>
      </c>
      <c r="AQ235"/>
    </row>
    <row r="236" spans="1:43" s="89" customFormat="1">
      <c r="A236" s="80"/>
      <c r="B236" s="81"/>
      <c r="C236" s="81"/>
      <c r="D236" s="97" t="s">
        <v>182</v>
      </c>
      <c r="E236" s="98">
        <f>E113</f>
        <v>327.62547999999998</v>
      </c>
      <c r="F236" s="99">
        <f>F113</f>
        <v>3.3564401553103642</v>
      </c>
      <c r="G236" s="94"/>
      <c r="H236" s="98">
        <f>H113</f>
        <v>309.61297999999999</v>
      </c>
      <c r="I236" s="99">
        <f>I113</f>
        <v>2.9127982764784464</v>
      </c>
      <c r="J236" s="94"/>
      <c r="K236" s="98">
        <f>K113</f>
        <v>362.93039999999996</v>
      </c>
      <c r="L236" s="99">
        <f>L113</f>
        <v>3.3799955297273132</v>
      </c>
      <c r="M236" s="95"/>
      <c r="N236" s="98">
        <f>N113</f>
        <v>338.4941183586626</v>
      </c>
      <c r="O236" s="99">
        <f>O113</f>
        <v>3.0669033103077159</v>
      </c>
      <c r="P236" s="96"/>
      <c r="Q236" s="98">
        <f>Q113</f>
        <v>370.45465999999999</v>
      </c>
      <c r="R236" s="99">
        <f>R113</f>
        <v>5.4856978276643318</v>
      </c>
      <c r="S236" s="96"/>
      <c r="T236" s="98">
        <f>T113</f>
        <v>0</v>
      </c>
      <c r="U236" s="99" t="e">
        <f>U113</f>
        <v>#DIV/0!</v>
      </c>
      <c r="V236" s="96"/>
      <c r="W236" s="98">
        <f>W113</f>
        <v>0</v>
      </c>
      <c r="X236" s="99" t="e">
        <f>X113</f>
        <v>#DIV/0!</v>
      </c>
      <c r="Y236" s="96"/>
      <c r="Z236" s="98">
        <f>Z113</f>
        <v>0</v>
      </c>
      <c r="AA236" s="99" t="e">
        <f>AA113</f>
        <v>#DIV/0!</v>
      </c>
      <c r="AB236" s="96"/>
      <c r="AC236" s="98">
        <f>AC113</f>
        <v>0</v>
      </c>
      <c r="AD236" s="99" t="e">
        <f>AD113</f>
        <v>#DIV/0!</v>
      </c>
      <c r="AE236" s="96"/>
      <c r="AF236" s="98">
        <f>AF113</f>
        <v>0</v>
      </c>
      <c r="AG236" s="99" t="e">
        <f>AG113</f>
        <v>#DIV/0!</v>
      </c>
      <c r="AH236" s="96"/>
      <c r="AI236" s="98">
        <f>AI113</f>
        <v>0</v>
      </c>
      <c r="AJ236" s="99" t="e">
        <f>AJ113</f>
        <v>#DIV/0!</v>
      </c>
      <c r="AK236" s="96"/>
      <c r="AL236" s="98">
        <f>AL113</f>
        <v>0</v>
      </c>
      <c r="AM236" s="99" t="e">
        <f>AM113</f>
        <v>#DIV/0!</v>
      </c>
      <c r="AN236" s="96"/>
      <c r="AO236" s="98">
        <f>AO113</f>
        <v>1709.1176383586626</v>
      </c>
      <c r="AP236" s="99">
        <f>AP113</f>
        <v>3.4938277335606434</v>
      </c>
      <c r="AQ236"/>
    </row>
    <row r="237" spans="1:43" s="89" customFormat="1">
      <c r="A237" s="80"/>
      <c r="B237" s="81"/>
      <c r="C237" s="81"/>
      <c r="D237" s="97" t="s">
        <v>183</v>
      </c>
      <c r="E237" s="98">
        <f>E121</f>
        <v>170.39671000000001</v>
      </c>
      <c r="F237" s="99">
        <f>F121</f>
        <v>1.7456711846000963</v>
      </c>
      <c r="G237" s="94"/>
      <c r="H237" s="98">
        <f>H121</f>
        <v>155.42296999999996</v>
      </c>
      <c r="I237" s="99">
        <f>I121</f>
        <v>1.4621989011609307</v>
      </c>
      <c r="J237" s="94"/>
      <c r="K237" s="98">
        <f>K121</f>
        <v>158.56851</v>
      </c>
      <c r="L237" s="99">
        <f>L121</f>
        <v>1.4767593316942333</v>
      </c>
      <c r="M237" s="95"/>
      <c r="N237" s="98">
        <f>N121</f>
        <v>79.746340000000032</v>
      </c>
      <c r="O237" s="99">
        <f>O121</f>
        <v>0.72253637763885148</v>
      </c>
      <c r="P237" s="96"/>
      <c r="Q237" s="98">
        <f>Q121</f>
        <v>175.60941999999997</v>
      </c>
      <c r="R237" s="99">
        <f>R121</f>
        <v>2.6004267669662817</v>
      </c>
      <c r="S237" s="96"/>
      <c r="T237" s="98">
        <f>T121</f>
        <v>0</v>
      </c>
      <c r="U237" s="99" t="e">
        <f>U121</f>
        <v>#DIV/0!</v>
      </c>
      <c r="V237" s="96"/>
      <c r="W237" s="98">
        <f>W121</f>
        <v>0</v>
      </c>
      <c r="X237" s="99" t="e">
        <f>X121</f>
        <v>#DIV/0!</v>
      </c>
      <c r="Y237" s="96"/>
      <c r="Z237" s="98">
        <f>Z121</f>
        <v>0</v>
      </c>
      <c r="AA237" s="99" t="e">
        <f>AA121</f>
        <v>#DIV/0!</v>
      </c>
      <c r="AB237" s="96"/>
      <c r="AC237" s="98">
        <f>AC121</f>
        <v>0</v>
      </c>
      <c r="AD237" s="99" t="e">
        <f>AD121</f>
        <v>#DIV/0!</v>
      </c>
      <c r="AE237" s="96"/>
      <c r="AF237" s="98">
        <f>AF121</f>
        <v>0</v>
      </c>
      <c r="AG237" s="99" t="e">
        <f>AG121</f>
        <v>#DIV/0!</v>
      </c>
      <c r="AH237" s="96"/>
      <c r="AI237" s="98">
        <f>AI121</f>
        <v>0</v>
      </c>
      <c r="AJ237" s="99" t="e">
        <f>AJ121</f>
        <v>#DIV/0!</v>
      </c>
      <c r="AK237" s="96"/>
      <c r="AL237" s="98">
        <f>AL121</f>
        <v>0</v>
      </c>
      <c r="AM237" s="99" t="e">
        <f>AM121</f>
        <v>#DIV/0!</v>
      </c>
      <c r="AN237" s="96"/>
      <c r="AO237" s="98">
        <f>AO121</f>
        <v>739.74395000000015</v>
      </c>
      <c r="AP237" s="99">
        <f>AP121</f>
        <v>1.512205988773095</v>
      </c>
      <c r="AQ237"/>
    </row>
    <row r="238" spans="1:43" s="89" customFormat="1">
      <c r="A238" s="80"/>
      <c r="B238" s="81"/>
      <c r="C238" s="81"/>
      <c r="D238" s="97" t="s">
        <v>184</v>
      </c>
      <c r="E238" s="98">
        <f>E90+E137+E97+E101</f>
        <v>280.26870000000002</v>
      </c>
      <c r="F238" s="99">
        <f>F90+F137+F97+F101</f>
        <v>2.8712819251928572</v>
      </c>
      <c r="G238" s="94"/>
      <c r="H238" s="98">
        <f>H90+H137+H97+H101</f>
        <v>431.53815000000009</v>
      </c>
      <c r="I238" s="99">
        <f>I90+I137+I97+I101</f>
        <v>4.0598542721131965</v>
      </c>
      <c r="J238" s="94"/>
      <c r="K238" s="98">
        <f>K90+K137+K97+K101</f>
        <v>210.75239999999999</v>
      </c>
      <c r="L238" s="99">
        <f>L90+L137+L97+L101</f>
        <v>1.9627514528386232</v>
      </c>
      <c r="M238" s="95"/>
      <c r="N238" s="98">
        <f>N90+N137+N97+N101</f>
        <v>325.86421999999993</v>
      </c>
      <c r="O238" s="99">
        <f>O90+O137+O97+O101</f>
        <v>2.95247096131195</v>
      </c>
      <c r="P238" s="96"/>
      <c r="Q238" s="98">
        <f>Q90+Q137+Q97+Q101</f>
        <v>289.75917999999996</v>
      </c>
      <c r="R238" s="99">
        <f>R90+R137+R97+R101</f>
        <v>4.2907580222416364</v>
      </c>
      <c r="S238" s="96"/>
      <c r="T238" s="98">
        <f>T90+T137+T97+T101</f>
        <v>0</v>
      </c>
      <c r="U238" s="99" t="e">
        <f>U90+U137+U97+U101</f>
        <v>#DIV/0!</v>
      </c>
      <c r="V238" s="96"/>
      <c r="W238" s="98">
        <f>W90+W137+W97+W101</f>
        <v>0</v>
      </c>
      <c r="X238" s="99" t="e">
        <f>X90+X137+X97+X101</f>
        <v>#DIV/0!</v>
      </c>
      <c r="Y238" s="96"/>
      <c r="Z238" s="98">
        <f>Z90+Z137+Z97+Z101</f>
        <v>0</v>
      </c>
      <c r="AA238" s="99" t="e">
        <f>AA90+AA137+AA97+AA101</f>
        <v>#DIV/0!</v>
      </c>
      <c r="AB238" s="96"/>
      <c r="AC238" s="98">
        <f>AC90+AC137+AC97+AC101</f>
        <v>0</v>
      </c>
      <c r="AD238" s="99" t="e">
        <f>AD90+AD137+AD97+AD101</f>
        <v>#DIV/0!</v>
      </c>
      <c r="AE238" s="96"/>
      <c r="AF238" s="98">
        <f>AF90+AF137+AF97+AF101</f>
        <v>0</v>
      </c>
      <c r="AG238" s="99" t="e">
        <f>AG90+AG137+AG97+AG101</f>
        <v>#DIV/0!</v>
      </c>
      <c r="AH238" s="96"/>
      <c r="AI238" s="98">
        <f>AI90+AI137+AI97+AI101</f>
        <v>0</v>
      </c>
      <c r="AJ238" s="99" t="e">
        <f>AJ90+AJ137+AJ97+AJ101</f>
        <v>#DIV/0!</v>
      </c>
      <c r="AK238" s="96"/>
      <c r="AL238" s="98">
        <f>AL90+AL137+AL97+AL101</f>
        <v>0</v>
      </c>
      <c r="AM238" s="99" t="e">
        <f>AM90+AM137+AM97+AM101</f>
        <v>#DIV/0!</v>
      </c>
      <c r="AN238" s="96"/>
      <c r="AO238" s="98">
        <f>AO90+AO137+AO97+AO101</f>
        <v>1538.18265</v>
      </c>
      <c r="AP238" s="99">
        <f>AP90+AP137+AP97+AP101</f>
        <v>3.1443974839630235</v>
      </c>
      <c r="AQ238"/>
    </row>
    <row r="239" spans="1:43" s="89" customFormat="1">
      <c r="A239" s="80"/>
      <c r="B239" s="81"/>
      <c r="C239" s="81"/>
      <c r="D239" s="97" t="s">
        <v>216</v>
      </c>
      <c r="E239" s="98">
        <f>E16</f>
        <v>415.47839081244126</v>
      </c>
      <c r="F239" s="99">
        <f>F16</f>
        <v>4.256471000322108</v>
      </c>
      <c r="G239" s="94"/>
      <c r="H239" s="98">
        <f>H16</f>
        <v>362.67505536586282</v>
      </c>
      <c r="I239" s="99">
        <f>I16</f>
        <v>3.4119993166675711</v>
      </c>
      <c r="J239" s="94"/>
      <c r="K239" s="98">
        <f>K16</f>
        <v>409.4874401991899</v>
      </c>
      <c r="L239" s="99">
        <f>L16</f>
        <v>3.8135844155043017</v>
      </c>
      <c r="M239" s="95"/>
      <c r="N239" s="98">
        <f>N16</f>
        <v>233.72855428739459</v>
      </c>
      <c r="O239" s="99">
        <f>O16</f>
        <v>2.1176819270399077</v>
      </c>
      <c r="P239" s="96"/>
      <c r="Q239" s="98">
        <f>Q16</f>
        <v>101.28446764891065</v>
      </c>
      <c r="R239" s="99">
        <f>R16</f>
        <v>1.499821824775446</v>
      </c>
      <c r="S239" s="96"/>
      <c r="T239" s="98">
        <f>T16</f>
        <v>0</v>
      </c>
      <c r="U239" s="99" t="e">
        <f>U16</f>
        <v>#DIV/0!</v>
      </c>
      <c r="V239" s="96"/>
      <c r="W239" s="98">
        <f>W16</f>
        <v>0</v>
      </c>
      <c r="X239" s="99" t="e">
        <f>X16</f>
        <v>#DIV/0!</v>
      </c>
      <c r="Y239" s="96"/>
      <c r="Z239" s="98">
        <f>Z16</f>
        <v>0</v>
      </c>
      <c r="AA239" s="99" t="e">
        <f>AA16</f>
        <v>#DIV/0!</v>
      </c>
      <c r="AB239" s="96"/>
      <c r="AC239" s="98">
        <f>AC16</f>
        <v>0</v>
      </c>
      <c r="AD239" s="99" t="e">
        <f>AD16</f>
        <v>#DIV/0!</v>
      </c>
      <c r="AE239" s="96"/>
      <c r="AF239" s="98">
        <f>AF16</f>
        <v>0</v>
      </c>
      <c r="AG239" s="99" t="e">
        <f>AG16</f>
        <v>#DIV/0!</v>
      </c>
      <c r="AH239" s="96"/>
      <c r="AI239" s="98">
        <f>AI16</f>
        <v>0</v>
      </c>
      <c r="AJ239" s="99" t="e">
        <f>AJ16</f>
        <v>#DIV/0!</v>
      </c>
      <c r="AK239" s="96"/>
      <c r="AL239" s="98">
        <f>AL16</f>
        <v>0</v>
      </c>
      <c r="AM239" s="99" t="e">
        <f>AM16</f>
        <v>#DIV/0!</v>
      </c>
      <c r="AN239" s="96"/>
      <c r="AO239" s="98">
        <f>AO16</f>
        <v>1522.6539083137993</v>
      </c>
      <c r="AP239" s="99">
        <f>AP16</f>
        <v>3.1126531808484357</v>
      </c>
      <c r="AQ239"/>
    </row>
    <row r="240" spans="1:43" s="89" customFormat="1">
      <c r="A240" s="80"/>
      <c r="B240" s="81"/>
      <c r="C240" s="81"/>
      <c r="D240" s="100" t="s">
        <v>185</v>
      </c>
      <c r="E240" s="101">
        <f>E223</f>
        <v>277.38785000000001</v>
      </c>
      <c r="F240" s="102">
        <f>F223</f>
        <v>2.841768345780701</v>
      </c>
      <c r="G240" s="94"/>
      <c r="H240" s="101">
        <f>H223</f>
        <v>184.03627000000003</v>
      </c>
      <c r="I240" s="102">
        <f>I223</f>
        <v>1.7313890718196703</v>
      </c>
      <c r="J240" s="94"/>
      <c r="K240" s="101">
        <f>K223</f>
        <v>243.48651999999987</v>
      </c>
      <c r="L240" s="102">
        <f>L223</f>
        <v>2.2676065414990303</v>
      </c>
      <c r="M240" s="95"/>
      <c r="N240" s="101">
        <f>N223</f>
        <v>195.35993000000028</v>
      </c>
      <c r="O240" s="102">
        <f>O223</f>
        <v>1.7700455739784386</v>
      </c>
      <c r="P240" s="96"/>
      <c r="Q240" s="101">
        <f>Q223</f>
        <v>304.41425000000004</v>
      </c>
      <c r="R240" s="102">
        <f>R223</f>
        <v>4.5077705053975219</v>
      </c>
      <c r="S240" s="96"/>
      <c r="T240" s="101">
        <f>T223</f>
        <v>0</v>
      </c>
      <c r="U240" s="102" t="e">
        <f>U223</f>
        <v>#DIV/0!</v>
      </c>
      <c r="V240" s="96"/>
      <c r="W240" s="101">
        <f>W223</f>
        <v>0</v>
      </c>
      <c r="X240" s="102" t="e">
        <f>X223</f>
        <v>#DIV/0!</v>
      </c>
      <c r="Y240" s="96"/>
      <c r="Z240" s="101">
        <f>Z223</f>
        <v>0</v>
      </c>
      <c r="AA240" s="102" t="e">
        <f>AA223</f>
        <v>#DIV/0!</v>
      </c>
      <c r="AB240" s="96"/>
      <c r="AC240" s="101">
        <f>AC223</f>
        <v>0</v>
      </c>
      <c r="AD240" s="102" t="e">
        <f>AD223</f>
        <v>#DIV/0!</v>
      </c>
      <c r="AE240" s="96"/>
      <c r="AF240" s="101">
        <f>AF223</f>
        <v>0</v>
      </c>
      <c r="AG240" s="102" t="e">
        <f>AG223</f>
        <v>#DIV/0!</v>
      </c>
      <c r="AH240" s="96"/>
      <c r="AI240" s="101">
        <f>AI223</f>
        <v>0</v>
      </c>
      <c r="AJ240" s="102" t="e">
        <f>AJ223</f>
        <v>#DIV/0!</v>
      </c>
      <c r="AK240" s="96"/>
      <c r="AL240" s="101">
        <f>AL223</f>
        <v>0</v>
      </c>
      <c r="AM240" s="102" t="e">
        <f>AM223</f>
        <v>#DIV/0!</v>
      </c>
      <c r="AN240" s="96"/>
      <c r="AO240" s="101">
        <f>AO223</f>
        <v>1204.6848199999999</v>
      </c>
      <c r="AP240" s="102">
        <f>AP223</f>
        <v>2.4626515693545552</v>
      </c>
      <c r="AQ240"/>
    </row>
    <row r="241" spans="1:43" s="80" customFormat="1">
      <c r="B241" s="81"/>
      <c r="C241" s="81"/>
      <c r="D241" s="103" t="s">
        <v>186</v>
      </c>
      <c r="E241" s="104">
        <f>SUM(E234:E240)</f>
        <v>2090.9262308124412</v>
      </c>
      <c r="F241" s="105">
        <f>SUM(F234:F240)</f>
        <v>21.421010242825513</v>
      </c>
      <c r="G241" s="94"/>
      <c r="H241" s="104">
        <f>SUM(H234:H240)</f>
        <v>2101.2652553658627</v>
      </c>
      <c r="I241" s="105">
        <f>SUM(I234:I240)</f>
        <v>19.768427713378582</v>
      </c>
      <c r="J241" s="94"/>
      <c r="K241" s="106">
        <f>SUM(K234:K240)</f>
        <v>2203.4826501991902</v>
      </c>
      <c r="L241" s="105">
        <f>SUM(L234:L240)</f>
        <v>20.521183972202262</v>
      </c>
      <c r="M241" s="95"/>
      <c r="N241" s="106">
        <f>SUM(N234:N240)</f>
        <v>1857.0452839910422</v>
      </c>
      <c r="O241" s="105">
        <f>SUM(O234:O240)</f>
        <v>16.825634538289773</v>
      </c>
      <c r="P241" s="96"/>
      <c r="Q241" s="106">
        <f>SUM(Q234:Q240)</f>
        <v>1952.5859876489105</v>
      </c>
      <c r="R241" s="105">
        <f>SUM(R234:R240)</f>
        <v>28.913920831157704</v>
      </c>
      <c r="S241" s="96"/>
      <c r="T241" s="106">
        <f>SUM(T234:T240)</f>
        <v>0</v>
      </c>
      <c r="U241" s="105" t="e">
        <f>SUM(U234:U240)</f>
        <v>#DIV/0!</v>
      </c>
      <c r="V241" s="96"/>
      <c r="W241" s="106">
        <f>SUM(W234:W240)</f>
        <v>0</v>
      </c>
      <c r="X241" s="105" t="e">
        <f>SUM(X234:X240)</f>
        <v>#DIV/0!</v>
      </c>
      <c r="Y241" s="96"/>
      <c r="Z241" s="106">
        <f>SUM(Z234:Z240)</f>
        <v>0</v>
      </c>
      <c r="AA241" s="105" t="e">
        <f>SUM(AA234:AA240)</f>
        <v>#DIV/0!</v>
      </c>
      <c r="AB241" s="96"/>
      <c r="AC241" s="106">
        <f>SUM(AC234:AC240)</f>
        <v>0</v>
      </c>
      <c r="AD241" s="105" t="e">
        <f>SUM(AD234:AD240)</f>
        <v>#DIV/0!</v>
      </c>
      <c r="AE241" s="96"/>
      <c r="AF241" s="106">
        <f>SUM(AF234:AF240)</f>
        <v>0</v>
      </c>
      <c r="AG241" s="105" t="e">
        <f>SUM(AG234:AG240)</f>
        <v>#DIV/0!</v>
      </c>
      <c r="AH241" s="96"/>
      <c r="AI241" s="106">
        <f>SUM(AI234:AI240)</f>
        <v>0</v>
      </c>
      <c r="AJ241" s="105" t="e">
        <f>SUM(AJ234:AJ240)</f>
        <v>#DIV/0!</v>
      </c>
      <c r="AK241" s="96"/>
      <c r="AL241" s="106">
        <f>SUM(AL234:AL240)</f>
        <v>0</v>
      </c>
      <c r="AM241" s="105" t="e">
        <f>SUM(AM234:AM240)</f>
        <v>#DIV/0!</v>
      </c>
      <c r="AN241" s="96"/>
      <c r="AO241" s="106">
        <f>SUM(AO234:AO240)</f>
        <v>10205.305408017446</v>
      </c>
      <c r="AP241" s="105">
        <f>SUM(AP234:AP240)</f>
        <v>20.861980628922257</v>
      </c>
      <c r="AQ241"/>
    </row>
    <row r="242" spans="1:43">
      <c r="E242" s="23">
        <f t="shared" ref="E242:F242" si="151">SUM(E234:E240)-E241</f>
        <v>0</v>
      </c>
      <c r="F242" s="23">
        <f t="shared" si="151"/>
        <v>0</v>
      </c>
      <c r="H242" s="23">
        <f t="shared" ref="H242:I242" si="152">SUM(H234:H240)-H241</f>
        <v>0</v>
      </c>
      <c r="I242" s="23">
        <f t="shared" si="152"/>
        <v>0</v>
      </c>
      <c r="K242" s="23">
        <f t="shared" ref="K242:L242" si="153">SUM(K234:K240)-K241</f>
        <v>0</v>
      </c>
      <c r="L242" s="23">
        <f t="shared" si="153"/>
        <v>0</v>
      </c>
      <c r="N242" s="23">
        <f t="shared" ref="N242:O242" si="154">SUM(N234:N240)-N241</f>
        <v>0</v>
      </c>
      <c r="O242" s="23">
        <f t="shared" si="154"/>
        <v>0</v>
      </c>
      <c r="Q242" s="23">
        <f t="shared" ref="Q242:R242" si="155">SUM(Q234:Q240)-Q241</f>
        <v>0</v>
      </c>
      <c r="R242" s="23">
        <f t="shared" si="155"/>
        <v>0</v>
      </c>
      <c r="T242" s="23">
        <f t="shared" ref="T242:U242" si="156">SUM(T234:T240)-T241</f>
        <v>0</v>
      </c>
      <c r="U242" s="23" t="e">
        <f t="shared" si="156"/>
        <v>#DIV/0!</v>
      </c>
      <c r="W242" s="23">
        <f t="shared" ref="W242:X242" si="157">SUM(W234:W240)-W241</f>
        <v>0</v>
      </c>
      <c r="X242" s="23" t="e">
        <f t="shared" si="157"/>
        <v>#DIV/0!</v>
      </c>
      <c r="Z242" s="23">
        <f t="shared" ref="Z242:AA242" si="158">SUM(Z234:Z240)-Z241</f>
        <v>0</v>
      </c>
      <c r="AA242" s="23" t="e">
        <f t="shared" si="158"/>
        <v>#DIV/0!</v>
      </c>
      <c r="AC242" s="23">
        <f t="shared" ref="AC242:AD242" si="159">SUM(AC234:AC240)-AC241</f>
        <v>0</v>
      </c>
      <c r="AD242" s="23" t="e">
        <f t="shared" si="159"/>
        <v>#DIV/0!</v>
      </c>
      <c r="AF242" s="23">
        <f t="shared" ref="AF242:AG242" si="160">SUM(AF234:AF240)-AF241</f>
        <v>0</v>
      </c>
      <c r="AG242" s="23" t="e">
        <f t="shared" si="160"/>
        <v>#DIV/0!</v>
      </c>
      <c r="AI242" s="23">
        <f t="shared" ref="AI242:AJ242" si="161">SUM(AI234:AI240)-AI241</f>
        <v>0</v>
      </c>
      <c r="AJ242" s="23" t="e">
        <f t="shared" si="161"/>
        <v>#DIV/0!</v>
      </c>
      <c r="AL242" s="23">
        <f t="shared" ref="AL242:AM242" si="162">SUM(AL234:AL240)-AL241</f>
        <v>0</v>
      </c>
      <c r="AM242" s="23" t="e">
        <f t="shared" si="162"/>
        <v>#DIV/0!</v>
      </c>
      <c r="AO242" s="23">
        <f>SUM(AO234:AO240)-AO241</f>
        <v>0</v>
      </c>
      <c r="AP242" s="23">
        <f t="shared" ref="AP242" si="163">SUM(AP234:AP240)-AP241</f>
        <v>0</v>
      </c>
    </row>
    <row r="244" spans="1:43">
      <c r="D244" s="107"/>
      <c r="E244" s="108"/>
      <c r="F244" s="109"/>
      <c r="H244" s="108"/>
      <c r="I244" s="109"/>
      <c r="K244" s="108"/>
      <c r="L244" s="109"/>
      <c r="N244" s="108"/>
      <c r="O244" s="109"/>
      <c r="Q244" s="108"/>
      <c r="R244" s="109"/>
      <c r="T244" s="108"/>
      <c r="U244" s="109"/>
      <c r="W244" s="108"/>
      <c r="X244" s="109"/>
      <c r="Z244" s="108"/>
      <c r="AA244" s="109"/>
      <c r="AC244" s="108"/>
      <c r="AD244" s="109"/>
      <c r="AF244" s="108"/>
      <c r="AG244" s="109"/>
      <c r="AI244" s="108"/>
      <c r="AJ244" s="109"/>
      <c r="AL244" s="108"/>
      <c r="AM244" s="109"/>
      <c r="AO244" s="108"/>
      <c r="AP244" s="109"/>
    </row>
    <row r="245" spans="1:43">
      <c r="D245" s="110" t="s">
        <v>46</v>
      </c>
      <c r="E245" s="111">
        <f>E25+E30+E95+E99+E105</f>
        <v>619.76909999999987</v>
      </c>
      <c r="F245" s="112">
        <f>F25+F30+F95+F99+F105</f>
        <v>6.3493776316193875</v>
      </c>
      <c r="H245" s="111">
        <f>H25+H30+H95+H99+H105</f>
        <v>657.97983000000011</v>
      </c>
      <c r="I245" s="112">
        <f>I25+I30+I95+I99+I105</f>
        <v>6.1901878751387676</v>
      </c>
      <c r="K245" s="111">
        <f>K25+K30+K95+K99+K105</f>
        <v>818.25738000000013</v>
      </c>
      <c r="L245" s="112">
        <f>L25+L30+L95+L99+L105</f>
        <v>7.6204867009387591</v>
      </c>
      <c r="N245" s="111">
        <f>N25+N30+N95+N99+N105</f>
        <v>683.85212134498465</v>
      </c>
      <c r="O245" s="112">
        <f>O25+O30+O95+O99+O105</f>
        <v>6.195996388012909</v>
      </c>
      <c r="Q245" s="111">
        <f>Q25+Q30+Q95+Q99+Q105</f>
        <v>711.06400999999994</v>
      </c>
      <c r="R245" s="112">
        <f>R25+R30+R95+R99+R105</f>
        <v>10.529445884112482</v>
      </c>
      <c r="T245" s="111">
        <f>T25+T30+T95+T99+T105</f>
        <v>0</v>
      </c>
      <c r="U245" s="112" t="e">
        <f>U25+U30+U95+U99+U105</f>
        <v>#DIV/0!</v>
      </c>
      <c r="W245" s="111">
        <f>W25+W30+W95+W99+W105</f>
        <v>0</v>
      </c>
      <c r="X245" s="112" t="e">
        <f>X25+X30+X95+X99+X105</f>
        <v>#DIV/0!</v>
      </c>
      <c r="Z245" s="111">
        <f>Z25+Z30+Z95+Z99+Z105</f>
        <v>0</v>
      </c>
      <c r="AA245" s="112" t="e">
        <f>AA25+AA30+AA95+AA99+AA105</f>
        <v>#DIV/0!</v>
      </c>
      <c r="AC245" s="111">
        <f>AC25+AC30+AC95+AC99+AC105</f>
        <v>0</v>
      </c>
      <c r="AD245" s="112" t="e">
        <f>AD25+AD30+AD95+AD99+AD105</f>
        <v>#DIV/0!</v>
      </c>
      <c r="AF245" s="111">
        <f>AF25+AF30+AF95+AF99+AF105</f>
        <v>0</v>
      </c>
      <c r="AG245" s="112" t="e">
        <f>AG25+AG30+AG95+AG99+AG105</f>
        <v>#DIV/0!</v>
      </c>
      <c r="AI245" s="111">
        <f>AI25+AI30+AI95+AI99+AI105</f>
        <v>0</v>
      </c>
      <c r="AJ245" s="112" t="e">
        <f>AJ25+AJ30+AJ95+AJ99+AJ105</f>
        <v>#DIV/0!</v>
      </c>
      <c r="AL245" s="111">
        <f>AL25+AL30+AL95+AL99+AL105</f>
        <v>0</v>
      </c>
      <c r="AM245" s="112" t="e">
        <f>AM25+AM30+AM95+AM99+AM105</f>
        <v>#DIV/0!</v>
      </c>
      <c r="AO245" s="111">
        <f>AO25+AO30+AO95+AO99+AO105</f>
        <v>3490.9224413449847</v>
      </c>
      <c r="AP245" s="112">
        <f>AP25+AP30+AP95+AP99+AP105</f>
        <v>7.136244672422503</v>
      </c>
    </row>
    <row r="246" spans="1:43">
      <c r="D246" s="113" t="s">
        <v>36</v>
      </c>
      <c r="E246" s="114">
        <f>SUM(E16,E90,E97,E101,E113,E121,E137)</f>
        <v>1193.7692808124411</v>
      </c>
      <c r="F246" s="115">
        <f>SUM(F16,F90,F97,F101,F113,F121,F137)</f>
        <v>12.229864265425427</v>
      </c>
      <c r="H246" s="114">
        <f>SUM(H16,H90,H97,H101,H113,H121,H137)</f>
        <v>1259.2491553658629</v>
      </c>
      <c r="I246" s="115">
        <f>SUM(I16,I90,I97,I101,I113,I121,I137)</f>
        <v>11.846850766420145</v>
      </c>
      <c r="K246" s="114">
        <f>SUM(K16,K90,K97,K101,K113,K121,K137)</f>
        <v>1141.7387501991898</v>
      </c>
      <c r="L246" s="115">
        <f>SUM(L16,L90,L97,L101,L113,L121,L137)</f>
        <v>10.633090729764472</v>
      </c>
      <c r="N246" s="114">
        <f>SUM(N16,N90,N97,N101,N113,N121,N137)</f>
        <v>977.83323264605713</v>
      </c>
      <c r="O246" s="115">
        <f>SUM(O16,O90,O97,O101,O113,O121,O137)</f>
        <v>8.8595925762984251</v>
      </c>
      <c r="Q246" s="114">
        <f>SUM(Q16,Q90,Q97,Q101,Q113,Q121,Q137)</f>
        <v>937.10772764891067</v>
      </c>
      <c r="R246" s="115">
        <f>SUM(R16,R90,R97,R101,R113,R121,R137)</f>
        <v>13.876704441647695</v>
      </c>
      <c r="T246" s="114">
        <f>SUM(T16,T90,T97,T101,T113,T121,T137)</f>
        <v>0</v>
      </c>
      <c r="U246" s="115" t="e">
        <f>SUM(U16,U90,U97,U101,U113,U121,U137)</f>
        <v>#DIV/0!</v>
      </c>
      <c r="W246" s="114">
        <f>SUM(W16,W90,W97,W101,W113,W121,W137)</f>
        <v>0</v>
      </c>
      <c r="X246" s="115" t="e">
        <f>SUM(X16,X90,X97,X101,X113,X121,X137)</f>
        <v>#DIV/0!</v>
      </c>
      <c r="Z246" s="114">
        <f>SUM(Z16,Z90,Z97,Z101,Z113,Z121,Z137)</f>
        <v>0</v>
      </c>
      <c r="AA246" s="115" t="e">
        <f>SUM(AA16,AA90,AA97,AA101,AA113,AA121,AA137)</f>
        <v>#DIV/0!</v>
      </c>
      <c r="AC246" s="114">
        <f>SUM(AC16,AC90,AC97,AC101,AC113,AC121,AC137)</f>
        <v>0</v>
      </c>
      <c r="AD246" s="115" t="e">
        <f>SUM(AD16,AD90,AD97,AD101,AD113,AD121,AD137)</f>
        <v>#DIV/0!</v>
      </c>
      <c r="AF246" s="114">
        <f>SUM(AF16,AF90,AF97,AF101,AF113,AF121,AF137)</f>
        <v>0</v>
      </c>
      <c r="AG246" s="115" t="e">
        <f>SUM(AG16,AG90,AG97,AG101,AG113,AG121,AG137)</f>
        <v>#DIV/0!</v>
      </c>
      <c r="AI246" s="114">
        <f>SUM(AI16,AI90,AI97,AI101,AI113,AI121,AI137)</f>
        <v>0</v>
      </c>
      <c r="AJ246" s="115" t="e">
        <f>SUM(AJ16,AJ90,AJ97,AJ101,AJ113,AJ121,AJ137)</f>
        <v>#DIV/0!</v>
      </c>
      <c r="AL246" s="114">
        <f>SUM(AL16,AL90,AL97,AL101,AL113,AL121,AL137)</f>
        <v>0</v>
      </c>
      <c r="AM246" s="115" t="e">
        <f>SUM(AM16,AM90,AM97,AM101,AM113,AM121,AM137)</f>
        <v>#DIV/0!</v>
      </c>
      <c r="AO246" s="114">
        <f>SUM(AO16,AO90,AO97,AO101,AO113,AO121,AO137)</f>
        <v>5509.6981466724619</v>
      </c>
      <c r="AP246" s="115">
        <f>SUM(AP16,AP90,AP97,AP101,AP113,AP121,AP137)</f>
        <v>11.263084387145197</v>
      </c>
    </row>
    <row r="247" spans="1:43">
      <c r="D247" s="116" t="s">
        <v>187</v>
      </c>
      <c r="E247" s="117">
        <f>E240</f>
        <v>277.38785000000001</v>
      </c>
      <c r="F247" s="118">
        <f>F240</f>
        <v>2.841768345780701</v>
      </c>
      <c r="H247" s="117">
        <f>H240</f>
        <v>184.03627000000003</v>
      </c>
      <c r="I247" s="118">
        <f>I240</f>
        <v>1.7313890718196703</v>
      </c>
      <c r="K247" s="117">
        <f>K240</f>
        <v>243.48651999999987</v>
      </c>
      <c r="L247" s="118">
        <f>L240</f>
        <v>2.2676065414990303</v>
      </c>
      <c r="N247" s="117">
        <f>N240</f>
        <v>195.35993000000028</v>
      </c>
      <c r="O247" s="118">
        <f>O240</f>
        <v>1.7700455739784386</v>
      </c>
      <c r="Q247" s="117">
        <f>Q240</f>
        <v>304.41425000000004</v>
      </c>
      <c r="R247" s="118">
        <f>R240</f>
        <v>4.5077705053975219</v>
      </c>
      <c r="T247" s="117">
        <f>T240</f>
        <v>0</v>
      </c>
      <c r="U247" s="118" t="e">
        <f>U240</f>
        <v>#DIV/0!</v>
      </c>
      <c r="W247" s="117">
        <f>W240</f>
        <v>0</v>
      </c>
      <c r="X247" s="118" t="e">
        <f>X240</f>
        <v>#DIV/0!</v>
      </c>
      <c r="Z247" s="117">
        <f>Z240</f>
        <v>0</v>
      </c>
      <c r="AA247" s="118" t="e">
        <f>AA240</f>
        <v>#DIV/0!</v>
      </c>
      <c r="AC247" s="117">
        <f>AC240</f>
        <v>0</v>
      </c>
      <c r="AD247" s="118" t="e">
        <f>AD240</f>
        <v>#DIV/0!</v>
      </c>
      <c r="AF247" s="117">
        <f>AF240</f>
        <v>0</v>
      </c>
      <c r="AG247" s="118" t="e">
        <f>AG240</f>
        <v>#DIV/0!</v>
      </c>
      <c r="AI247" s="117">
        <f>AI240</f>
        <v>0</v>
      </c>
      <c r="AJ247" s="118" t="e">
        <f>AJ240</f>
        <v>#DIV/0!</v>
      </c>
      <c r="AL247" s="117">
        <f>AL240</f>
        <v>0</v>
      </c>
      <c r="AM247" s="118" t="e">
        <f>AM240</f>
        <v>#DIV/0!</v>
      </c>
      <c r="AO247" s="117">
        <f>AO240</f>
        <v>1204.6848199999999</v>
      </c>
      <c r="AP247" s="118">
        <f>AP240</f>
        <v>2.4626515693545552</v>
      </c>
    </row>
    <row r="248" spans="1:43">
      <c r="D248" s="119"/>
      <c r="E248" s="120"/>
      <c r="F248" s="121"/>
      <c r="H248" s="120"/>
      <c r="I248" s="121"/>
      <c r="K248" s="120"/>
      <c r="L248" s="121"/>
      <c r="N248" s="120"/>
      <c r="O248" s="121"/>
      <c r="Q248" s="120"/>
      <c r="R248" s="121"/>
      <c r="T248" s="120"/>
      <c r="U248" s="121"/>
      <c r="W248" s="120"/>
      <c r="X248" s="121"/>
      <c r="Z248" s="120"/>
      <c r="AA248" s="121"/>
      <c r="AC248" s="120"/>
      <c r="AD248" s="121"/>
      <c r="AF248" s="120"/>
      <c r="AG248" s="121"/>
      <c r="AI248" s="120"/>
      <c r="AJ248" s="121"/>
      <c r="AL248" s="120"/>
      <c r="AM248" s="121"/>
      <c r="AO248" s="120"/>
      <c r="AP248" s="121"/>
    </row>
    <row r="249" spans="1:43">
      <c r="D249" s="122" t="s">
        <v>188</v>
      </c>
      <c r="E249" s="123">
        <f>SUM(E244:E248)</f>
        <v>2090.9262308124412</v>
      </c>
      <c r="F249" s="124">
        <f>SUM(F244:F248)</f>
        <v>21.421010242825513</v>
      </c>
      <c r="H249" s="123">
        <f>SUM(H244:H248)</f>
        <v>2101.2652553658631</v>
      </c>
      <c r="I249" s="124">
        <f>SUM(I244:I248)</f>
        <v>19.768427713378582</v>
      </c>
      <c r="K249" s="123">
        <f>SUM(K244:K248)</f>
        <v>2203.4826501991897</v>
      </c>
      <c r="L249" s="124">
        <f>SUM(L244:L248)</f>
        <v>20.521183972202262</v>
      </c>
      <c r="N249" s="123">
        <f>SUM(N244:N248)</f>
        <v>1857.045283991042</v>
      </c>
      <c r="O249" s="124">
        <f>SUM(O244:O248)</f>
        <v>16.825634538289773</v>
      </c>
      <c r="Q249" s="123">
        <f>SUM(Q244:Q248)</f>
        <v>1952.5859876489105</v>
      </c>
      <c r="R249" s="124">
        <f>SUM(R244:R248)</f>
        <v>28.913920831157697</v>
      </c>
      <c r="T249" s="123">
        <f>SUM(T244:T248)</f>
        <v>0</v>
      </c>
      <c r="U249" s="125" t="e">
        <f>SUM(U244:U248)</f>
        <v>#DIV/0!</v>
      </c>
      <c r="W249" s="123">
        <f>SUM(W244:W248)</f>
        <v>0</v>
      </c>
      <c r="X249" s="125" t="e">
        <f>SUM(X244:X248)</f>
        <v>#DIV/0!</v>
      </c>
      <c r="Z249" s="123">
        <f>SUM(Z244:Z248)</f>
        <v>0</v>
      </c>
      <c r="AA249" s="125" t="e">
        <f>SUM(AA244:AA248)</f>
        <v>#DIV/0!</v>
      </c>
      <c r="AC249" s="123">
        <f>SUM(AC244:AC248)</f>
        <v>0</v>
      </c>
      <c r="AD249" s="125" t="e">
        <f>SUM(AD244:AD248)</f>
        <v>#DIV/0!</v>
      </c>
      <c r="AF249" s="123">
        <f>SUM(AF244:AF248)</f>
        <v>0</v>
      </c>
      <c r="AG249" s="125" t="e">
        <f>SUM(AG244:AG248)</f>
        <v>#DIV/0!</v>
      </c>
      <c r="AI249" s="123">
        <f>SUM(AI244:AI248)</f>
        <v>0</v>
      </c>
      <c r="AJ249" s="125" t="e">
        <f>SUM(AJ244:AJ248)</f>
        <v>#DIV/0!</v>
      </c>
      <c r="AL249" s="123">
        <f>SUM(AL244:AL248)</f>
        <v>0</v>
      </c>
      <c r="AM249" s="125" t="e">
        <f>SUM(AM244:AM248)</f>
        <v>#DIV/0!</v>
      </c>
      <c r="AO249" s="123">
        <f>SUM(AO244:AO248)</f>
        <v>10205.305408017446</v>
      </c>
      <c r="AP249" s="125">
        <f>SUM(AP244:AP248)</f>
        <v>20.861980628922254</v>
      </c>
    </row>
    <row r="250" spans="1:43">
      <c r="T250" s="55"/>
      <c r="W250" s="55"/>
      <c r="Z250" s="55"/>
      <c r="AC250" s="55"/>
      <c r="AF250" s="55"/>
      <c r="AI250" s="55"/>
      <c r="AL250" s="55"/>
      <c r="AO250" s="55"/>
    </row>
    <row r="251" spans="1:43" s="44" customFormat="1">
      <c r="A251" s="126"/>
      <c r="B251" s="79"/>
      <c r="C251" s="79"/>
      <c r="D251" t="s">
        <v>189</v>
      </c>
      <c r="E251" s="127">
        <f>+E249*1000</f>
        <v>2090926.2308124411</v>
      </c>
      <c r="F251" s="127"/>
      <c r="G251" s="128"/>
      <c r="H251" s="127">
        <f>+H249*1000</f>
        <v>2101265.255365863</v>
      </c>
      <c r="I251" s="127"/>
      <c r="J251" s="128"/>
      <c r="K251" s="127">
        <f>+K249*1000</f>
        <v>2203482.6501991898</v>
      </c>
      <c r="L251" s="127"/>
      <c r="M251" s="129"/>
      <c r="N251" s="127">
        <f>+N249*1000</f>
        <v>1857045.2839910421</v>
      </c>
      <c r="O251" s="127"/>
      <c r="P251" s="129"/>
      <c r="Q251" s="127">
        <v>2105640.5299999998</v>
      </c>
      <c r="R251" s="127"/>
      <c r="S251" s="129"/>
      <c r="T251" s="127">
        <f>+T249*1000</f>
        <v>0</v>
      </c>
      <c r="U251" s="127"/>
      <c r="V251" s="129"/>
      <c r="W251" s="127">
        <f>+W249*1000</f>
        <v>0</v>
      </c>
      <c r="X251" s="127"/>
      <c r="Y251" s="129"/>
      <c r="Z251" s="127">
        <f>+Z249*1000</f>
        <v>0</v>
      </c>
      <c r="AA251" s="127"/>
      <c r="AB251" s="129"/>
      <c r="AC251" s="127">
        <f>+AC249*1000</f>
        <v>0</v>
      </c>
      <c r="AD251" s="127"/>
      <c r="AE251" s="129"/>
      <c r="AF251" s="127">
        <f>+AF249*1000</f>
        <v>0</v>
      </c>
      <c r="AG251" s="55"/>
      <c r="AI251" s="127">
        <f>+AI249*1000</f>
        <v>0</v>
      </c>
      <c r="AJ251" s="55"/>
      <c r="AL251" s="127">
        <f>+AL249*1000</f>
        <v>0</v>
      </c>
      <c r="AM251" s="55"/>
      <c r="AO251" s="127">
        <f>+AO249*1000</f>
        <v>10205305.408017445</v>
      </c>
      <c r="AP251" s="55"/>
      <c r="AQ251"/>
    </row>
    <row r="252" spans="1:43">
      <c r="E252" s="127"/>
      <c r="F252" s="127"/>
      <c r="G252" s="128"/>
      <c r="H252" s="127"/>
      <c r="I252" s="127"/>
      <c r="J252" s="128"/>
      <c r="K252" s="127"/>
      <c r="L252" s="127"/>
      <c r="M252" s="129"/>
      <c r="N252" s="127"/>
      <c r="O252" s="127"/>
      <c r="P252" s="129"/>
      <c r="Q252" s="78"/>
      <c r="R252" s="127"/>
      <c r="S252" s="129"/>
      <c r="T252" s="127"/>
      <c r="U252" s="127"/>
      <c r="V252" s="129"/>
      <c r="W252" s="127"/>
      <c r="X252" s="127"/>
      <c r="Y252" s="129"/>
      <c r="Z252" s="127"/>
      <c r="AA252" s="127"/>
      <c r="AB252" s="129"/>
      <c r="AC252" s="127"/>
      <c r="AD252" s="127"/>
      <c r="AE252" s="129"/>
      <c r="AF252" s="127"/>
      <c r="AI252" s="127"/>
      <c r="AL252" s="127"/>
      <c r="AO252" s="127"/>
    </row>
    <row r="253" spans="1:43">
      <c r="E253" s="23"/>
      <c r="H253" s="55"/>
      <c r="I253" s="130"/>
      <c r="K253" s="55"/>
      <c r="L253" s="130"/>
      <c r="N253" s="78"/>
      <c r="O253" s="130"/>
      <c r="Q253" s="55"/>
      <c r="R253" s="130"/>
      <c r="T253" s="55"/>
      <c r="U253" s="130"/>
      <c r="W253" s="55"/>
      <c r="X253" s="130"/>
      <c r="Z253" s="55"/>
      <c r="AA253" s="130"/>
      <c r="AC253" s="55"/>
      <c r="AD253" s="130"/>
      <c r="AF253" s="55"/>
      <c r="AG253" s="130"/>
      <c r="AI253" s="55"/>
      <c r="AJ253" s="130"/>
      <c r="AL253" s="55"/>
      <c r="AM253" s="130"/>
      <c r="AO253" s="55"/>
      <c r="AP253" s="130"/>
    </row>
    <row r="254" spans="1:43">
      <c r="E254" s="131"/>
      <c r="F254" s="131"/>
      <c r="H254" s="131"/>
      <c r="I254" s="131"/>
      <c r="K254" s="131"/>
      <c r="N254" s="131"/>
      <c r="Q254" s="131"/>
      <c r="T254" s="131"/>
      <c r="W254" s="131"/>
      <c r="Z254" s="131"/>
      <c r="AC254" s="131"/>
      <c r="AF254" s="131"/>
      <c r="AI254" s="131"/>
      <c r="AL254" s="131"/>
      <c r="AO254" s="131"/>
    </row>
    <row r="255" spans="1:43">
      <c r="E255" s="132"/>
      <c r="H255" s="55"/>
      <c r="K255" s="55"/>
      <c r="N255" s="55"/>
      <c r="P255" s="18"/>
      <c r="Q255" s="55"/>
      <c r="T255" s="55"/>
      <c r="W255" s="55"/>
      <c r="Z255" s="55"/>
      <c r="AC255" s="55"/>
      <c r="AF255" s="55"/>
      <c r="AI255" s="55"/>
      <c r="AL255" s="55"/>
      <c r="AO255" s="55"/>
    </row>
    <row r="256" spans="1:43">
      <c r="E256" s="55"/>
    </row>
    <row r="257" spans="1:42">
      <c r="E257" s="131"/>
      <c r="H257" s="55"/>
      <c r="K257" s="55"/>
      <c r="N257" s="55"/>
      <c r="Q257" s="55"/>
      <c r="T257" s="55"/>
      <c r="W257" s="55"/>
      <c r="Z257" s="55"/>
      <c r="AC257" s="55"/>
      <c r="AF257" s="55"/>
      <c r="AI257" s="55"/>
      <c r="AL257" s="55"/>
      <c r="AO257" s="55"/>
    </row>
    <row r="258" spans="1:42">
      <c r="E258" s="55"/>
    </row>
    <row r="259" spans="1:42" ht="18">
      <c r="B259" s="156" t="s">
        <v>190</v>
      </c>
      <c r="C259" s="156"/>
      <c r="D259" s="156"/>
      <c r="E259" s="55"/>
    </row>
    <row r="260" spans="1:42">
      <c r="A260" s="42" t="s">
        <v>26</v>
      </c>
      <c r="B260" s="22">
        <v>6666110101</v>
      </c>
      <c r="C260" s="22" t="s">
        <v>27</v>
      </c>
      <c r="D260" s="22" t="s">
        <v>28</v>
      </c>
      <c r="E260" s="133">
        <v>40.496377289076143</v>
      </c>
      <c r="F260" s="149">
        <f>E260/E$1*1000</f>
        <v>0.41487513998500319</v>
      </c>
      <c r="H260" s="133">
        <v>30.627424930247692</v>
      </c>
      <c r="I260" s="149">
        <f>H260/H$1*1000</f>
        <v>0.28813879363132155</v>
      </c>
      <c r="K260" s="133">
        <f>(1023.85267281626+36424.3635878444)/1000</f>
        <v>37.448216260660658</v>
      </c>
      <c r="L260" s="149">
        <f>K260/K$1*1000</f>
        <v>0.34875778815247971</v>
      </c>
      <c r="N260" s="133">
        <v>37.791262478397428</v>
      </c>
      <c r="O260" s="149">
        <f>N260/N$1*1000</f>
        <v>0.34240520502308081</v>
      </c>
      <c r="Q260" s="133">
        <v>39.264919164097883</v>
      </c>
      <c r="R260" s="149">
        <f>Q260/Q$1*1000</f>
        <v>0.581435476508535</v>
      </c>
      <c r="T260" s="133"/>
      <c r="U260" s="149" t="e">
        <f>T260/T$1*1000</f>
        <v>#DIV/0!</v>
      </c>
      <c r="W260" s="133"/>
      <c r="X260" s="149" t="e">
        <f>W260/W$1*1000</f>
        <v>#DIV/0!</v>
      </c>
      <c r="Z260" s="133"/>
      <c r="AA260" s="149" t="e">
        <f>Z260/Z$1*1000</f>
        <v>#DIV/0!</v>
      </c>
      <c r="AC260" s="133"/>
      <c r="AD260" s="149" t="e">
        <f>AC260/AC$1*1000</f>
        <v>#DIV/0!</v>
      </c>
      <c r="AF260" s="133"/>
      <c r="AG260" s="149" t="e">
        <f>AF260/AF$1*1000</f>
        <v>#DIV/0!</v>
      </c>
      <c r="AI260" s="133"/>
      <c r="AJ260" s="149" t="e">
        <f>AI260/AI$1*1000</f>
        <v>#DIV/0!</v>
      </c>
      <c r="AL260" s="133"/>
      <c r="AM260" s="149" t="e">
        <f>AL260/AL$1*1000</f>
        <v>#DIV/0!</v>
      </c>
      <c r="AO260" s="133">
        <f t="shared" ref="AO260:AO268" si="164">H260+E260+K260+N260+Q260+T260+W260+Z260+AC260+AF260+AI260+AL260</f>
        <v>185.6282001224798</v>
      </c>
      <c r="AP260" s="146">
        <f>AO260/$AO$1*1000</f>
        <v>0.3794665382669023</v>
      </c>
    </row>
    <row r="261" spans="1:42">
      <c r="A261" s="42" t="s">
        <v>26</v>
      </c>
      <c r="B261" s="22">
        <v>6666110106</v>
      </c>
      <c r="C261" s="22" t="s">
        <v>29</v>
      </c>
      <c r="D261" s="22" t="s">
        <v>28</v>
      </c>
      <c r="E261" s="26">
        <v>0</v>
      </c>
      <c r="F261" s="150">
        <f t="shared" ref="F261:F268" si="165">E261/E$1*1000</f>
        <v>0</v>
      </c>
      <c r="H261" s="26">
        <v>0</v>
      </c>
      <c r="I261" s="150">
        <f t="shared" ref="I261:I268" si="166">H261/H$1*1000</f>
        <v>0</v>
      </c>
      <c r="K261" s="26">
        <v>0</v>
      </c>
      <c r="L261" s="150">
        <f t="shared" ref="L261:L268" si="167">K261/K$1*1000</f>
        <v>0</v>
      </c>
      <c r="N261" s="26">
        <v>0</v>
      </c>
      <c r="O261" s="150">
        <f t="shared" ref="O261:O268" si="168">N261/N$1*1000</f>
        <v>0</v>
      </c>
      <c r="Q261" s="26">
        <v>0</v>
      </c>
      <c r="R261" s="150">
        <f t="shared" ref="R261:R268" si="169">Q261/Q$1*1000</f>
        <v>0</v>
      </c>
      <c r="T261" s="26"/>
      <c r="U261" s="150" t="e">
        <f t="shared" ref="U261:U268" si="170">T261/T$1*1000</f>
        <v>#DIV/0!</v>
      </c>
      <c r="W261" s="26"/>
      <c r="X261" s="150" t="e">
        <f t="shared" ref="X261:X268" si="171">W261/W$1*1000</f>
        <v>#DIV/0!</v>
      </c>
      <c r="Z261" s="26"/>
      <c r="AA261" s="150" t="e">
        <f t="shared" ref="AA261:AA268" si="172">Z261/Z$1*1000</f>
        <v>#DIV/0!</v>
      </c>
      <c r="AC261" s="26"/>
      <c r="AD261" s="150" t="e">
        <f t="shared" ref="AD261:AD268" si="173">AC261/AC$1*1000</f>
        <v>#DIV/0!</v>
      </c>
      <c r="AF261" s="26"/>
      <c r="AG261" s="150" t="e">
        <f t="shared" ref="AG261:AG268" si="174">AF261/AF$1*1000</f>
        <v>#DIV/0!</v>
      </c>
      <c r="AI261" s="26"/>
      <c r="AJ261" s="150" t="e">
        <f t="shared" ref="AJ261:AJ268" si="175">AI261/AI$1*1000</f>
        <v>#DIV/0!</v>
      </c>
      <c r="AL261" s="26"/>
      <c r="AM261" s="150" t="e">
        <f t="shared" ref="AM261:AM268" si="176">AL261/AL$1*1000</f>
        <v>#DIV/0!</v>
      </c>
      <c r="AO261" s="26">
        <f t="shared" si="164"/>
        <v>0</v>
      </c>
      <c r="AP261" s="147">
        <f t="shared" ref="AP261:AP268" si="177">AO261/$AO$1*1000</f>
        <v>0</v>
      </c>
    </row>
    <row r="262" spans="1:42">
      <c r="A262" s="42" t="s">
        <v>26</v>
      </c>
      <c r="B262" s="22">
        <v>6666110107</v>
      </c>
      <c r="C262" s="22" t="s">
        <v>30</v>
      </c>
      <c r="D262" s="22" t="s">
        <v>28</v>
      </c>
      <c r="E262" s="26">
        <v>101.21827784305316</v>
      </c>
      <c r="F262" s="150">
        <f t="shared" si="165"/>
        <v>1.0369556488823304</v>
      </c>
      <c r="H262" s="26">
        <v>54.661349397610564</v>
      </c>
      <c r="I262" s="150">
        <f t="shared" si="166"/>
        <v>0.51424680036136161</v>
      </c>
      <c r="K262" s="26">
        <f>(212.313196581902+72392.4384013524)/1000</f>
        <v>72.604751597934296</v>
      </c>
      <c r="L262" s="150">
        <f t="shared" si="167"/>
        <v>0.67617299580850743</v>
      </c>
      <c r="N262" s="26">
        <v>75.309883011156288</v>
      </c>
      <c r="O262" s="150">
        <f t="shared" si="168"/>
        <v>0.68234015594052999</v>
      </c>
      <c r="Q262" s="26">
        <v>-45.683187253774562</v>
      </c>
      <c r="R262" s="150">
        <f t="shared" si="169"/>
        <v>-0.67647728086026515</v>
      </c>
      <c r="T262" s="26"/>
      <c r="U262" s="150" t="e">
        <f t="shared" si="170"/>
        <v>#DIV/0!</v>
      </c>
      <c r="W262" s="26"/>
      <c r="X262" s="150" t="e">
        <f t="shared" si="171"/>
        <v>#DIV/0!</v>
      </c>
      <c r="Z262" s="26"/>
      <c r="AA262" s="150" t="e">
        <f t="shared" si="172"/>
        <v>#DIV/0!</v>
      </c>
      <c r="AC262" s="26"/>
      <c r="AD262" s="150" t="e">
        <f t="shared" si="173"/>
        <v>#DIV/0!</v>
      </c>
      <c r="AF262" s="26"/>
      <c r="AG262" s="150" t="e">
        <f t="shared" si="174"/>
        <v>#DIV/0!</v>
      </c>
      <c r="AI262" s="26"/>
      <c r="AJ262" s="150" t="e">
        <f t="shared" si="175"/>
        <v>#DIV/0!</v>
      </c>
      <c r="AL262" s="26"/>
      <c r="AM262" s="150" t="e">
        <f t="shared" si="176"/>
        <v>#DIV/0!</v>
      </c>
      <c r="AO262" s="26">
        <f t="shared" si="164"/>
        <v>258.11107459597974</v>
      </c>
      <c r="AP262" s="147">
        <f t="shared" si="177"/>
        <v>0.52763812772338259</v>
      </c>
    </row>
    <row r="263" spans="1:42">
      <c r="A263" s="42" t="s">
        <v>26</v>
      </c>
      <c r="B263" s="22">
        <v>6666110110</v>
      </c>
      <c r="C263" s="22" t="s">
        <v>31</v>
      </c>
      <c r="D263" s="22" t="s">
        <v>28</v>
      </c>
      <c r="E263" s="26">
        <v>224.98255147082136</v>
      </c>
      <c r="F263" s="150">
        <f t="shared" si="165"/>
        <v>2.3048893205767929</v>
      </c>
      <c r="H263" s="26">
        <v>135.32344551336647</v>
      </c>
      <c r="I263" s="150">
        <f t="shared" si="166"/>
        <v>1.2731052130258196</v>
      </c>
      <c r="K263" s="26">
        <f>(34.313578074483+244364.097379677)/1000</f>
        <v>244.39841095775148</v>
      </c>
      <c r="L263" s="150">
        <f t="shared" si="167"/>
        <v>2.27609904408575</v>
      </c>
      <c r="N263" s="26">
        <v>87.869096334800545</v>
      </c>
      <c r="O263" s="150">
        <f t="shared" si="168"/>
        <v>0.79613206790613888</v>
      </c>
      <c r="Q263" s="26">
        <v>125.65945104615963</v>
      </c>
      <c r="R263" s="150">
        <f t="shared" si="169"/>
        <v>1.8607669225416421</v>
      </c>
      <c r="T263" s="26"/>
      <c r="U263" s="150" t="e">
        <f t="shared" si="170"/>
        <v>#DIV/0!</v>
      </c>
      <c r="W263" s="26"/>
      <c r="X263" s="150" t="e">
        <f t="shared" si="171"/>
        <v>#DIV/0!</v>
      </c>
      <c r="Z263" s="26"/>
      <c r="AA263" s="150" t="e">
        <f t="shared" si="172"/>
        <v>#DIV/0!</v>
      </c>
      <c r="AC263" s="26"/>
      <c r="AD263" s="150" t="e">
        <f t="shared" si="173"/>
        <v>#DIV/0!</v>
      </c>
      <c r="AF263" s="26"/>
      <c r="AG263" s="150" t="e">
        <f t="shared" si="174"/>
        <v>#DIV/0!</v>
      </c>
      <c r="AI263" s="26"/>
      <c r="AJ263" s="150" t="e">
        <f t="shared" si="175"/>
        <v>#DIV/0!</v>
      </c>
      <c r="AL263" s="26"/>
      <c r="AM263" s="150" t="e">
        <f t="shared" si="176"/>
        <v>#DIV/0!</v>
      </c>
      <c r="AO263" s="26">
        <f t="shared" si="164"/>
        <v>818.23295532289944</v>
      </c>
      <c r="AP263" s="147">
        <f t="shared" si="177"/>
        <v>1.6726554847130504</v>
      </c>
    </row>
    <row r="264" spans="1:42">
      <c r="A264" s="42" t="s">
        <v>26</v>
      </c>
      <c r="B264" s="22">
        <v>6666110112</v>
      </c>
      <c r="C264" s="22" t="s">
        <v>32</v>
      </c>
      <c r="D264" s="22" t="s">
        <v>28</v>
      </c>
      <c r="E264" s="26">
        <v>21.472497764977589</v>
      </c>
      <c r="F264" s="150">
        <f t="shared" si="165"/>
        <v>0.21998030718850939</v>
      </c>
      <c r="H264" s="26">
        <v>19.13025554476139</v>
      </c>
      <c r="I264" s="150">
        <f t="shared" si="166"/>
        <v>0.17997493315484778</v>
      </c>
      <c r="K264" s="26">
        <v>21.092126059045778</v>
      </c>
      <c r="L264" s="150">
        <f t="shared" si="167"/>
        <v>0.19643240630164821</v>
      </c>
      <c r="N264" s="26">
        <v>17.146074650075548</v>
      </c>
      <c r="O264" s="150">
        <f t="shared" si="168"/>
        <v>0.15535086210089288</v>
      </c>
      <c r="Q264" s="26">
        <v>18.756055543152975</v>
      </c>
      <c r="R264" s="150">
        <f t="shared" si="169"/>
        <v>0.27773993489142729</v>
      </c>
      <c r="T264" s="26"/>
      <c r="U264" s="150" t="e">
        <f t="shared" si="170"/>
        <v>#DIV/0!</v>
      </c>
      <c r="W264" s="26"/>
      <c r="X264" s="150" t="e">
        <f t="shared" si="171"/>
        <v>#DIV/0!</v>
      </c>
      <c r="Z264" s="26"/>
      <c r="AA264" s="150" t="e">
        <f t="shared" si="172"/>
        <v>#DIV/0!</v>
      </c>
      <c r="AC264" s="26"/>
      <c r="AD264" s="150" t="e">
        <f t="shared" si="173"/>
        <v>#DIV/0!</v>
      </c>
      <c r="AF264" s="26"/>
      <c r="AG264" s="150" t="e">
        <f t="shared" si="174"/>
        <v>#DIV/0!</v>
      </c>
      <c r="AI264" s="26"/>
      <c r="AJ264" s="150" t="e">
        <f t="shared" si="175"/>
        <v>#DIV/0!</v>
      </c>
      <c r="AL264" s="26"/>
      <c r="AM264" s="150" t="e">
        <f t="shared" si="176"/>
        <v>#DIV/0!</v>
      </c>
      <c r="AO264" s="26">
        <f t="shared" si="164"/>
        <v>97.597009562013284</v>
      </c>
      <c r="AP264" s="147">
        <f t="shared" si="177"/>
        <v>0.19951063113935771</v>
      </c>
    </row>
    <row r="265" spans="1:42">
      <c r="A265" s="42" t="s">
        <v>26</v>
      </c>
      <c r="B265" s="22">
        <v>6666110204</v>
      </c>
      <c r="C265" s="22" t="s">
        <v>33</v>
      </c>
      <c r="D265" s="22" t="s">
        <v>28</v>
      </c>
      <c r="E265" s="26">
        <v>0.90375189808811784</v>
      </c>
      <c r="F265" s="150">
        <f t="shared" si="165"/>
        <v>9.2587095520803783E-3</v>
      </c>
      <c r="H265" s="26">
        <v>0.93653660807976336</v>
      </c>
      <c r="I265" s="150">
        <f t="shared" si="166"/>
        <v>8.8108134803447369E-3</v>
      </c>
      <c r="K265" s="26">
        <v>0.91676376622928379</v>
      </c>
      <c r="L265" s="150">
        <f t="shared" si="167"/>
        <v>8.5378833838966224E-3</v>
      </c>
      <c r="N265" s="26">
        <v>0.98069495813767005</v>
      </c>
      <c r="O265" s="150">
        <f t="shared" si="168"/>
        <v>8.8855210486334154E-3</v>
      </c>
      <c r="Q265" s="26">
        <v>0.99969570596503432</v>
      </c>
      <c r="R265" s="150">
        <f t="shared" si="169"/>
        <v>1.4803508106869945E-2</v>
      </c>
      <c r="T265" s="26"/>
      <c r="U265" s="150" t="e">
        <f t="shared" si="170"/>
        <v>#DIV/0!</v>
      </c>
      <c r="W265" s="26"/>
      <c r="X265" s="150" t="e">
        <f t="shared" si="171"/>
        <v>#DIV/0!</v>
      </c>
      <c r="Z265" s="26"/>
      <c r="AA265" s="150" t="e">
        <f t="shared" si="172"/>
        <v>#DIV/0!</v>
      </c>
      <c r="AC265" s="26"/>
      <c r="AD265" s="150" t="e">
        <f t="shared" si="173"/>
        <v>#DIV/0!</v>
      </c>
      <c r="AF265" s="26"/>
      <c r="AG265" s="150" t="e">
        <f t="shared" si="174"/>
        <v>#DIV/0!</v>
      </c>
      <c r="AI265" s="26"/>
      <c r="AJ265" s="150" t="e">
        <f t="shared" si="175"/>
        <v>#DIV/0!</v>
      </c>
      <c r="AL265" s="26"/>
      <c r="AM265" s="150" t="e">
        <f t="shared" si="176"/>
        <v>#DIV/0!</v>
      </c>
      <c r="AO265" s="26">
        <f t="shared" si="164"/>
        <v>4.7374429364998694</v>
      </c>
      <c r="AP265" s="147">
        <f t="shared" si="177"/>
        <v>9.684417939539617E-3</v>
      </c>
    </row>
    <row r="266" spans="1:42">
      <c r="A266" s="42" t="s">
        <v>26</v>
      </c>
      <c r="B266" s="22">
        <v>6666110207</v>
      </c>
      <c r="C266" s="22" t="s">
        <v>34</v>
      </c>
      <c r="D266" s="22" t="s">
        <v>28</v>
      </c>
      <c r="E266" s="26">
        <v>11.118444154826605</v>
      </c>
      <c r="F266" s="150">
        <f t="shared" si="165"/>
        <v>0.1139056474662344</v>
      </c>
      <c r="H266" s="26">
        <v>12.423970439856914</v>
      </c>
      <c r="I266" s="150">
        <f t="shared" si="166"/>
        <v>0.1168830831453978</v>
      </c>
      <c r="K266" s="26">
        <v>12.651757070086235</v>
      </c>
      <c r="L266" s="150">
        <f t="shared" si="167"/>
        <v>0.11782667514236175</v>
      </c>
      <c r="N266" s="26">
        <v>13.842619603995788</v>
      </c>
      <c r="O266" s="150">
        <f t="shared" si="168"/>
        <v>0.12542012869435343</v>
      </c>
      <c r="Q266" s="26">
        <v>14.031495251330254</v>
      </c>
      <c r="R266" s="150">
        <f t="shared" si="169"/>
        <v>0.20777857948690606</v>
      </c>
      <c r="T266" s="26"/>
      <c r="U266" s="150" t="e">
        <f t="shared" si="170"/>
        <v>#DIV/0!</v>
      </c>
      <c r="W266" s="26"/>
      <c r="X266" s="150" t="e">
        <f t="shared" si="171"/>
        <v>#DIV/0!</v>
      </c>
      <c r="Z266" s="26"/>
      <c r="AA266" s="150" t="e">
        <f t="shared" si="172"/>
        <v>#DIV/0!</v>
      </c>
      <c r="AC266" s="26"/>
      <c r="AD266" s="150" t="e">
        <f t="shared" si="173"/>
        <v>#DIV/0!</v>
      </c>
      <c r="AF266" s="26"/>
      <c r="AG266" s="150" t="e">
        <f t="shared" si="174"/>
        <v>#DIV/0!</v>
      </c>
      <c r="AI266" s="26"/>
      <c r="AJ266" s="150" t="e">
        <f t="shared" si="175"/>
        <v>#DIV/0!</v>
      </c>
      <c r="AL266" s="26"/>
      <c r="AM266" s="150" t="e">
        <f t="shared" si="176"/>
        <v>#DIV/0!</v>
      </c>
      <c r="AO266" s="26">
        <f t="shared" si="164"/>
        <v>64.068286520095796</v>
      </c>
      <c r="AP266" s="147">
        <f t="shared" si="177"/>
        <v>0.13097024526678372</v>
      </c>
    </row>
    <row r="267" spans="1:42">
      <c r="A267" s="42" t="s">
        <v>26</v>
      </c>
      <c r="B267" s="22">
        <v>6666110506</v>
      </c>
      <c r="C267" s="22" t="s">
        <v>35</v>
      </c>
      <c r="D267" s="22" t="s">
        <v>28</v>
      </c>
      <c r="E267" s="26">
        <v>2.5994556678188143</v>
      </c>
      <c r="F267" s="150">
        <f t="shared" si="165"/>
        <v>2.663076567004553E-2</v>
      </c>
      <c r="H267" s="26">
        <v>-2.5838640685263394</v>
      </c>
      <c r="I267" s="150">
        <f t="shared" si="166"/>
        <v>-2.430865400235516E-2</v>
      </c>
      <c r="K267" s="26">
        <v>0</v>
      </c>
      <c r="L267" s="150">
        <f t="shared" si="167"/>
        <v>0</v>
      </c>
      <c r="N267" s="26">
        <v>0</v>
      </c>
      <c r="O267" s="150">
        <f t="shared" si="168"/>
        <v>0</v>
      </c>
      <c r="Q267" s="26">
        <v>0</v>
      </c>
      <c r="R267" s="150">
        <f t="shared" si="169"/>
        <v>0</v>
      </c>
      <c r="T267" s="26"/>
      <c r="U267" s="150" t="e">
        <f t="shared" si="170"/>
        <v>#DIV/0!</v>
      </c>
      <c r="W267" s="26"/>
      <c r="X267" s="150" t="e">
        <f t="shared" si="171"/>
        <v>#DIV/0!</v>
      </c>
      <c r="Z267" s="26"/>
      <c r="AA267" s="150" t="e">
        <f t="shared" si="172"/>
        <v>#DIV/0!</v>
      </c>
      <c r="AC267" s="26"/>
      <c r="AD267" s="150" t="e">
        <f t="shared" si="173"/>
        <v>#DIV/0!</v>
      </c>
      <c r="AF267" s="26"/>
      <c r="AG267" s="150" t="e">
        <f t="shared" si="174"/>
        <v>#DIV/0!</v>
      </c>
      <c r="AI267" s="26"/>
      <c r="AJ267" s="150" t="e">
        <f t="shared" si="175"/>
        <v>#DIV/0!</v>
      </c>
      <c r="AL267" s="26"/>
      <c r="AM267" s="150" t="e">
        <f t="shared" si="176"/>
        <v>#DIV/0!</v>
      </c>
      <c r="AO267" s="26">
        <f t="shared" si="164"/>
        <v>1.5591599292474889E-2</v>
      </c>
      <c r="AP267" s="147">
        <f t="shared" si="177"/>
        <v>3.1872798452262934E-5</v>
      </c>
    </row>
    <row r="268" spans="1:42">
      <c r="A268" s="42" t="s">
        <v>26</v>
      </c>
      <c r="B268" s="22">
        <v>6666110206</v>
      </c>
      <c r="C268" s="34" t="s">
        <v>197</v>
      </c>
      <c r="D268" s="22" t="s">
        <v>28</v>
      </c>
      <c r="E268" s="26">
        <v>6.2663098896854494E-2</v>
      </c>
      <c r="F268" s="150">
        <f t="shared" si="165"/>
        <v>6.4196759480852049E-4</v>
      </c>
      <c r="H268" s="26">
        <v>-3.8003731259453791E-2</v>
      </c>
      <c r="I268" s="150">
        <f t="shared" si="166"/>
        <v>-3.5753411537296358E-4</v>
      </c>
      <c r="K268" s="26">
        <v>2.4594089102415721E-2</v>
      </c>
      <c r="L268" s="150">
        <f t="shared" si="167"/>
        <v>2.2904642659826892E-4</v>
      </c>
      <c r="N268" s="26">
        <v>2.5764676042113861E-2</v>
      </c>
      <c r="O268" s="150">
        <f t="shared" si="168"/>
        <v>2.3343912333164684E-4</v>
      </c>
      <c r="Q268" s="26">
        <v>2.6112894158118044E-2</v>
      </c>
      <c r="R268" s="150">
        <f t="shared" si="169"/>
        <v>3.8668010481287174E-4</v>
      </c>
      <c r="T268" s="26"/>
      <c r="U268" s="150" t="e">
        <f t="shared" si="170"/>
        <v>#DIV/0!</v>
      </c>
      <c r="W268" s="26"/>
      <c r="X268" s="150" t="e">
        <f t="shared" si="171"/>
        <v>#DIV/0!</v>
      </c>
      <c r="Z268" s="26"/>
      <c r="AA268" s="150" t="e">
        <f t="shared" si="172"/>
        <v>#DIV/0!</v>
      </c>
      <c r="AC268" s="26"/>
      <c r="AD268" s="150" t="e">
        <f t="shared" si="173"/>
        <v>#DIV/0!</v>
      </c>
      <c r="AF268" s="26"/>
      <c r="AG268" s="150" t="e">
        <f t="shared" si="174"/>
        <v>#DIV/0!</v>
      </c>
      <c r="AI268" s="26"/>
      <c r="AJ268" s="150" t="e">
        <f t="shared" si="175"/>
        <v>#DIV/0!</v>
      </c>
      <c r="AL268" s="26"/>
      <c r="AM268" s="150" t="e">
        <f t="shared" si="176"/>
        <v>#DIV/0!</v>
      </c>
      <c r="AO268" s="26">
        <f t="shared" si="164"/>
        <v>0.10113102694004833</v>
      </c>
      <c r="AP268" s="147">
        <f t="shared" si="177"/>
        <v>2.0673497172841261E-4</v>
      </c>
    </row>
    <row r="269" spans="1:42">
      <c r="E269" s="62">
        <f>SUM(E260:E268)</f>
        <v>402.85401918755861</v>
      </c>
      <c r="F269" s="63">
        <f>E269/$E$1*1000</f>
        <v>4.1271375069158047</v>
      </c>
      <c r="H269" s="62">
        <f>SUM(H260:H268)</f>
        <v>250.48111463413696</v>
      </c>
      <c r="I269" s="63">
        <f>H269/$H$1*1000</f>
        <v>2.3564934486813645</v>
      </c>
      <c r="K269" s="62">
        <f>SUM(K260:K268)</f>
        <v>389.13661980081019</v>
      </c>
      <c r="L269" s="63">
        <f>K269/$K$1*1000</f>
        <v>3.6240558393012425</v>
      </c>
      <c r="N269" s="62">
        <f>SUM(N260:N268)</f>
        <v>232.96539571260539</v>
      </c>
      <c r="O269" s="63">
        <f>N269/$N$1*1000</f>
        <v>2.1107673798369611</v>
      </c>
      <c r="Q269" s="62">
        <f>SUM(Q260:Q268)</f>
        <v>153.05454235108934</v>
      </c>
      <c r="R269" s="63">
        <f>Q269/$Q$1*1000</f>
        <v>2.2664338207799286</v>
      </c>
      <c r="T269" s="62">
        <f>SUM(T260:T268)</f>
        <v>0</v>
      </c>
      <c r="U269" s="134" t="e">
        <f>T269/$T$1*1000</f>
        <v>#DIV/0!</v>
      </c>
      <c r="W269" s="62">
        <f>SUM(W260:W268)</f>
        <v>0</v>
      </c>
      <c r="X269" s="134" t="e">
        <f>W269/$W$1*1000</f>
        <v>#DIV/0!</v>
      </c>
      <c r="Z269" s="62">
        <f>SUM(Z260:Z268)</f>
        <v>0</v>
      </c>
      <c r="AA269" s="134" t="e">
        <f>Z269/$Z$1*1000</f>
        <v>#DIV/0!</v>
      </c>
      <c r="AC269" s="62">
        <f>SUM(AC260:AC268)</f>
        <v>0</v>
      </c>
      <c r="AD269" s="134" t="e">
        <f>AC269/$AC$1*1000</f>
        <v>#DIV/0!</v>
      </c>
      <c r="AF269" s="62">
        <f>SUM(AF260:AF268)</f>
        <v>0</v>
      </c>
      <c r="AG269" s="134" t="e">
        <f>AF269/$AF$1*1000</f>
        <v>#DIV/0!</v>
      </c>
      <c r="AI269" s="62">
        <f>SUM(AI260:AI268)</f>
        <v>0</v>
      </c>
      <c r="AJ269" s="134" t="e">
        <f>AI269/$AF$1*1000</f>
        <v>#DIV/0!</v>
      </c>
      <c r="AL269" s="62">
        <f>SUM(AL260:AL268)</f>
        <v>0</v>
      </c>
      <c r="AM269" s="134" t="e">
        <f>AL269/$AF$1*1000</f>
        <v>#DIV/0!</v>
      </c>
      <c r="AO269" s="62">
        <f>SUM(AO260:AO268)</f>
        <v>1428.4916916862007</v>
      </c>
      <c r="AP269" s="148">
        <f>AO269/$AO$1*1000</f>
        <v>2.9201640528191977</v>
      </c>
    </row>
    <row r="271" spans="1:42">
      <c r="E271" s="127"/>
      <c r="F271" s="127"/>
      <c r="G271" s="128"/>
      <c r="AF271" s="23"/>
      <c r="AI271" s="23"/>
      <c r="AL271" s="23"/>
      <c r="AO271" s="23"/>
    </row>
    <row r="274" spans="1:43">
      <c r="C274" s="135" t="s">
        <v>191</v>
      </c>
      <c r="D274" s="135" t="s">
        <v>26</v>
      </c>
      <c r="E274" s="136">
        <f>+SUMIF($A$7:$A$268,D274,E7:E269)</f>
        <v>2235.8977299999992</v>
      </c>
      <c r="F274" s="137">
        <f>+E274*1000/E$1</f>
        <v>22.90620657507862</v>
      </c>
      <c r="H274" s="136">
        <f>+SUMIF($A$7:$A$268,$D$274,H7:H269)</f>
        <v>2211.8891199999998</v>
      </c>
      <c r="I274" s="137">
        <f>+H274*1000/H$1</f>
        <v>20.809162511524637</v>
      </c>
      <c r="K274" s="136">
        <f>+SUMIF($A$7:$A$268,$D$274,K7:K269)</f>
        <v>2386.07366</v>
      </c>
      <c r="L274" s="137">
        <f>+K274*1000/K$1</f>
        <v>22.221666480405307</v>
      </c>
      <c r="N274" s="136">
        <f>+SUMIF($A$7:$A$268,$D$274,N7:N269)</f>
        <v>1918.1168097036475</v>
      </c>
      <c r="O274" s="137">
        <f>+N274*1000/N$1</f>
        <v>17.378969010633753</v>
      </c>
      <c r="Q274" s="136">
        <f>+SUMIF($A$7:$A$268,$D$274,Q7:Q269)</f>
        <v>1844.7345700000003</v>
      </c>
      <c r="R274" s="137">
        <f>+Q274*1000/Q$1</f>
        <v>27.316855518206459</v>
      </c>
      <c r="T274" s="136">
        <f>+SUMIF($A$7:$A$268,$D$274,T7:T269)</f>
        <v>0</v>
      </c>
      <c r="U274" s="137" t="e">
        <f>+T274*1000/T$1</f>
        <v>#DIV/0!</v>
      </c>
      <c r="W274" s="136">
        <f>+SUMIF($A$7:$A$268,$D$274,W7:W269)</f>
        <v>0</v>
      </c>
      <c r="X274" s="137" t="e">
        <f>+W274*1000/W$1</f>
        <v>#DIV/0!</v>
      </c>
      <c r="Z274" s="136">
        <f>+SUMIF($A$7:$A$268,$D$274,Z7:Z269)</f>
        <v>0</v>
      </c>
      <c r="AA274" s="137" t="e">
        <f>+Z274*1000/Z$1</f>
        <v>#DIV/0!</v>
      </c>
      <c r="AC274" s="136">
        <f>+SUMIF($A$7:$A$268,$D$274,AC7:AC269)</f>
        <v>0</v>
      </c>
      <c r="AD274" s="137" t="e">
        <f>+AC274*1000/AC$1</f>
        <v>#DIV/0!</v>
      </c>
      <c r="AF274" s="136">
        <f>+SUMIF($A$7:$A$268,$D$274,AF7:AF269)</f>
        <v>0</v>
      </c>
      <c r="AG274" s="137" t="e">
        <f>+AF274*1000/AF$1</f>
        <v>#DIV/0!</v>
      </c>
      <c r="AI274" s="136">
        <f>+SUMIF($A$7:$A$268,$D$274,AI7:AI269)</f>
        <v>0</v>
      </c>
      <c r="AJ274" s="137" t="e">
        <f>+AI274*1000/AI$1</f>
        <v>#DIV/0!</v>
      </c>
      <c r="AL274" s="136">
        <f>+SUMIF($A$7:$A$268,$D$274,AL7:AL269)</f>
        <v>0</v>
      </c>
      <c r="AM274" s="137" t="e">
        <f>+AL274*1000/AL$1</f>
        <v>#DIV/0!</v>
      </c>
      <c r="AO274" s="136">
        <f>H274+E274+K274+N274+Q274+T274+W274+Z274+AC274+AF274+AI274+AL274</f>
        <v>10596.711889703647</v>
      </c>
      <c r="AP274" s="137">
        <f>+AO274*1000/AO1</f>
        <v>21.662105085026937</v>
      </c>
    </row>
    <row r="275" spans="1:43">
      <c r="C275" s="135" t="s">
        <v>192</v>
      </c>
      <c r="D275" s="135" t="s">
        <v>47</v>
      </c>
      <c r="E275" s="138">
        <f>+SUMIF($A$7:$A$269,D275,E7:E270)</f>
        <v>257.88252000000011</v>
      </c>
      <c r="F275" s="139">
        <f>+E275*1000/E$1</f>
        <v>2.6419411746626928</v>
      </c>
      <c r="H275" s="138">
        <f>+SUMIF($A$7:$A$269,$D$275,H7:H270)</f>
        <v>139.85725000000005</v>
      </c>
      <c r="I275" s="139">
        <f>+H275*1000/H$1</f>
        <v>1.3157586505353083</v>
      </c>
      <c r="K275" s="138">
        <f>+SUMIF($A$7:$A$269,$D$275,K7:K270)</f>
        <v>206.54560999999987</v>
      </c>
      <c r="L275" s="139">
        <f>+K275*1000/K$1</f>
        <v>1.9235733310981957</v>
      </c>
      <c r="N275" s="138">
        <f>+SUMIF($A$7:$A$269,$D$275,N7:N270)</f>
        <v>171.89387000000028</v>
      </c>
      <c r="O275" s="139">
        <f>+N275*1000/N$1</f>
        <v>1.5574329074929807</v>
      </c>
      <c r="Q275" s="138">
        <f>+SUMIF($A$7:$A$269,$D$275,Q7:Q270)</f>
        <v>260.90595999999994</v>
      </c>
      <c r="R275" s="139">
        <f>+Q275*1000/Q$1</f>
        <v>3.8634991337311742</v>
      </c>
      <c r="T275" s="138">
        <f>+SUMIF($A$7:$A$269,$D$275,T7:T270)</f>
        <v>0</v>
      </c>
      <c r="U275" s="139" t="e">
        <f>+T275*1000/T$1</f>
        <v>#DIV/0!</v>
      </c>
      <c r="W275" s="138">
        <f>+SUMIF($A$7:$A$269,$D$275,W7:W270)</f>
        <v>0</v>
      </c>
      <c r="X275" s="139" t="e">
        <f>+W275*1000/W$1</f>
        <v>#DIV/0!</v>
      </c>
      <c r="Z275" s="138">
        <f>+SUMIF($A$7:$A$269,$D$275,Z7:Z270)</f>
        <v>0</v>
      </c>
      <c r="AA275" s="139" t="e">
        <f>+Z275*1000/Z$1</f>
        <v>#DIV/0!</v>
      </c>
      <c r="AC275" s="138">
        <f>+SUMIF($A$7:$A$269,$D$275,AC7:AC270)</f>
        <v>0</v>
      </c>
      <c r="AD275" s="139" t="e">
        <f>+AC275*1000/AC$1</f>
        <v>#DIV/0!</v>
      </c>
      <c r="AF275" s="138">
        <f>+SUMIF($A$7:$A$269,$D$275,AF7:AF270)</f>
        <v>0</v>
      </c>
      <c r="AG275" s="139" t="e">
        <f>+AF275*1000/AF$1</f>
        <v>#DIV/0!</v>
      </c>
      <c r="AI275" s="138">
        <f>+SUMIF($A$7:$A$269,$D$275,AI7:AI270)</f>
        <v>0</v>
      </c>
      <c r="AJ275" s="139" t="e">
        <f>+AI275*1000/AI$1</f>
        <v>#DIV/0!</v>
      </c>
      <c r="AL275" s="138">
        <f>+SUMIF($A$7:$A$269,$D$275,AL7:AL270)</f>
        <v>0</v>
      </c>
      <c r="AM275" s="139" t="e">
        <f>+AL275*1000/AL$1</f>
        <v>#DIV/0!</v>
      </c>
      <c r="AO275" s="138">
        <f>+E275+H275+K275+N275+Q275+T275+W275+Z275+AC275+AF275+AI275+AL275</f>
        <v>1037.0852100000002</v>
      </c>
      <c r="AP275" s="139">
        <f>+AO275*1000/AO1</f>
        <v>2.1200395967145158</v>
      </c>
    </row>
    <row r="276" spans="1:43">
      <c r="C276" s="135" t="s">
        <v>186</v>
      </c>
      <c r="E276" s="140">
        <f>+E275+E274</f>
        <v>2493.7802499999993</v>
      </c>
      <c r="F276" s="140">
        <f>+F275+F274</f>
        <v>25.548147749741315</v>
      </c>
      <c r="H276" s="140">
        <f>+H275+H274</f>
        <v>2351.7463699999998</v>
      </c>
      <c r="I276" s="140">
        <f>+I275+I274</f>
        <v>22.124921162059945</v>
      </c>
      <c r="K276" s="140">
        <f>+K275+K274</f>
        <v>2592.6192699999997</v>
      </c>
      <c r="L276" s="140">
        <f>+L275+L274</f>
        <v>24.145239811503505</v>
      </c>
      <c r="N276" s="140">
        <f>+N275+N274</f>
        <v>2090.0106797036478</v>
      </c>
      <c r="O276" s="140">
        <f>+O275+O274</f>
        <v>18.936401918126734</v>
      </c>
      <c r="P276" s="44"/>
      <c r="Q276" s="140">
        <f>+Q275+Q274</f>
        <v>2105.6405300000001</v>
      </c>
      <c r="R276" s="140">
        <f>+R275+R274</f>
        <v>31.180354651937634</v>
      </c>
      <c r="T276" s="140">
        <f>+T275+T274</f>
        <v>0</v>
      </c>
      <c r="U276" s="140" t="e">
        <f>+U275+U274</f>
        <v>#DIV/0!</v>
      </c>
      <c r="W276" s="140">
        <f>+W275+W274</f>
        <v>0</v>
      </c>
      <c r="X276" s="140" t="e">
        <f>+X275+X274</f>
        <v>#DIV/0!</v>
      </c>
      <c r="Z276" s="140">
        <f>+Z275+Z274</f>
        <v>0</v>
      </c>
      <c r="AA276" s="140" t="e">
        <f>+AA275+AA274</f>
        <v>#DIV/0!</v>
      </c>
      <c r="AC276" s="140">
        <f>+AC275+AC274</f>
        <v>0</v>
      </c>
      <c r="AD276" s="140" t="e">
        <f>+AD275+AD274</f>
        <v>#DIV/0!</v>
      </c>
      <c r="AE276" s="38"/>
      <c r="AF276" s="140">
        <f>+AF275+AF274</f>
        <v>0</v>
      </c>
      <c r="AG276" s="140" t="e">
        <f>+AG275+AG274</f>
        <v>#DIV/0!</v>
      </c>
      <c r="AH276" s="38"/>
      <c r="AI276" s="140">
        <f>+AI275+AI274</f>
        <v>0</v>
      </c>
      <c r="AJ276" s="140" t="e">
        <f>+AJ275+AJ274</f>
        <v>#DIV/0!</v>
      </c>
      <c r="AK276" s="38"/>
      <c r="AL276" s="140">
        <f>+AL275+AL274</f>
        <v>0</v>
      </c>
      <c r="AM276" s="140" t="e">
        <f>+AM275+AM274</f>
        <v>#DIV/0!</v>
      </c>
      <c r="AN276" s="38"/>
      <c r="AO276" s="140">
        <f>+AO275+AO274</f>
        <v>11633.797099703646</v>
      </c>
      <c r="AP276" s="140">
        <f>+AP275+AP274</f>
        <v>23.782144681741453</v>
      </c>
    </row>
    <row r="277" spans="1:43">
      <c r="H277" s="55"/>
      <c r="K277" s="55"/>
      <c r="N277" s="55"/>
      <c r="Q277" s="55"/>
      <c r="T277" s="55"/>
      <c r="W277" s="55"/>
      <c r="Z277" s="55"/>
      <c r="AC277" s="55"/>
      <c r="AF277" s="55"/>
      <c r="AI277" s="55"/>
      <c r="AL277" s="55"/>
      <c r="AO277" s="55"/>
    </row>
    <row r="278" spans="1:43" s="44" customFormat="1">
      <c r="A278" s="126"/>
      <c r="B278" s="79"/>
      <c r="C278" s="79"/>
      <c r="D278" s="141" t="s">
        <v>193</v>
      </c>
      <c r="E278" s="140">
        <f>+E249+E269</f>
        <v>2493.7802499999998</v>
      </c>
      <c r="F278" s="140">
        <f>+F249+F269</f>
        <v>25.548147749741318</v>
      </c>
      <c r="G278" s="17"/>
      <c r="H278" s="140">
        <f>+H249+H269</f>
        <v>2351.7463700000003</v>
      </c>
      <c r="I278" s="140">
        <f>+I249+I269</f>
        <v>22.124921162059948</v>
      </c>
      <c r="J278" s="17"/>
      <c r="K278" s="140">
        <f>+K249+K269</f>
        <v>2592.6192700000001</v>
      </c>
      <c r="L278" s="140">
        <f>+L249+L269</f>
        <v>24.145239811503505</v>
      </c>
      <c r="M278" s="18"/>
      <c r="N278" s="140">
        <f>+N249+N269</f>
        <v>2090.0106797036474</v>
      </c>
      <c r="O278" s="140">
        <f>+O249+O269</f>
        <v>18.936401918126734</v>
      </c>
      <c r="Q278" s="140">
        <f>+Q249+Q269</f>
        <v>2105.6405299999997</v>
      </c>
      <c r="R278" s="140">
        <f>+R249+R269</f>
        <v>31.180354651937627</v>
      </c>
      <c r="T278" s="140">
        <f>+T249+T269</f>
        <v>0</v>
      </c>
      <c r="U278" s="140" t="e">
        <f>+U249+U269</f>
        <v>#DIV/0!</v>
      </c>
      <c r="W278" s="140">
        <f>+W249+W269</f>
        <v>0</v>
      </c>
      <c r="X278" s="140" t="e">
        <f>+X249+X269</f>
        <v>#DIV/0!</v>
      </c>
      <c r="Z278" s="140">
        <f>+Z249+Z269</f>
        <v>0</v>
      </c>
      <c r="AA278" s="140" t="e">
        <f>+AA249+AA269</f>
        <v>#DIV/0!</v>
      </c>
      <c r="AC278" s="140">
        <f>+AC249+AC269</f>
        <v>0</v>
      </c>
      <c r="AD278" s="140" t="e">
        <f>+AD249+AD269</f>
        <v>#DIV/0!</v>
      </c>
      <c r="AF278" s="140">
        <f>+AF249+AF269</f>
        <v>0</v>
      </c>
      <c r="AG278" s="140" t="e">
        <f>+AG249+AG269</f>
        <v>#DIV/0!</v>
      </c>
      <c r="AI278" s="140">
        <f>+AI249+AI269</f>
        <v>0</v>
      </c>
      <c r="AJ278" s="140" t="e">
        <f>+AJ249+AJ269</f>
        <v>#DIV/0!</v>
      </c>
      <c r="AL278" s="140">
        <f>+AL249+AL269</f>
        <v>0</v>
      </c>
      <c r="AM278" s="140" t="e">
        <f>+AM249+AM269</f>
        <v>#DIV/0!</v>
      </c>
      <c r="AO278" s="140">
        <f>+AO249+AO269</f>
        <v>11633.797099703646</v>
      </c>
      <c r="AP278" s="140">
        <f>+AP249+AP269</f>
        <v>23.78214468174145</v>
      </c>
      <c r="AQ278"/>
    </row>
    <row r="279" spans="1:43">
      <c r="D279" s="15" t="s">
        <v>194</v>
      </c>
      <c r="E279" s="140">
        <f>+E278-E276</f>
        <v>0</v>
      </c>
      <c r="F279" s="140">
        <f>+F278-F276</f>
        <v>0</v>
      </c>
      <c r="H279" s="140">
        <f>+H278-H276</f>
        <v>0</v>
      </c>
      <c r="I279" s="140">
        <f>+I278-I276</f>
        <v>0</v>
      </c>
      <c r="K279" s="140">
        <f>+K278-K276</f>
        <v>0</v>
      </c>
      <c r="L279" s="140">
        <f>+L278-L276</f>
        <v>0</v>
      </c>
      <c r="N279" s="140">
        <f>+N278-N276</f>
        <v>0</v>
      </c>
      <c r="O279" s="140">
        <f>+O278-O276</f>
        <v>0</v>
      </c>
      <c r="Q279" s="140">
        <f>+Q278-Q276</f>
        <v>0</v>
      </c>
      <c r="R279" s="140">
        <f>+R278-R276</f>
        <v>0</v>
      </c>
      <c r="T279" s="140">
        <f>+T278-T276</f>
        <v>0</v>
      </c>
      <c r="U279" s="140" t="e">
        <f>+U278-U276</f>
        <v>#DIV/0!</v>
      </c>
      <c r="W279" s="140">
        <f>+W278-W276</f>
        <v>0</v>
      </c>
      <c r="X279" s="140" t="e">
        <f>+X278-X276</f>
        <v>#DIV/0!</v>
      </c>
      <c r="Z279" s="140">
        <f>+Z278-Z276</f>
        <v>0</v>
      </c>
      <c r="AA279" s="140" t="e">
        <f>+AA278-AA276</f>
        <v>#DIV/0!</v>
      </c>
      <c r="AC279" s="140">
        <f>+AC278-AC276</f>
        <v>0</v>
      </c>
      <c r="AD279" s="140" t="e">
        <f>+AD278-AD276</f>
        <v>#DIV/0!</v>
      </c>
      <c r="AF279" s="140">
        <f>+AF278-AF276</f>
        <v>0</v>
      </c>
      <c r="AG279" s="140" t="e">
        <f>+AG278-AG276</f>
        <v>#DIV/0!</v>
      </c>
      <c r="AI279" s="140">
        <f>+AI278-AI276</f>
        <v>0</v>
      </c>
      <c r="AJ279" s="140" t="e">
        <f>+AJ278-AJ276</f>
        <v>#DIV/0!</v>
      </c>
      <c r="AL279" s="140">
        <f>+AL278-AL276</f>
        <v>0</v>
      </c>
      <c r="AM279" s="140" t="e">
        <f>+AM278-AM276</f>
        <v>#DIV/0!</v>
      </c>
      <c r="AO279" s="140">
        <f>+AO278-AO276</f>
        <v>0</v>
      </c>
      <c r="AP279" s="140">
        <f>+AP278-AP276</f>
        <v>0</v>
      </c>
    </row>
    <row r="280" spans="1:43">
      <c r="B280" s="22"/>
      <c r="AO280" s="23"/>
    </row>
    <row r="281" spans="1:43">
      <c r="E281" s="78"/>
      <c r="H281" s="78"/>
      <c r="K281" s="78"/>
      <c r="N281" s="78"/>
      <c r="Q281" s="55"/>
      <c r="T281" s="55"/>
      <c r="W281" s="55"/>
      <c r="Z281" s="55"/>
      <c r="AC281" s="55"/>
      <c r="AF281" s="55"/>
      <c r="AI281" s="55"/>
      <c r="AL281" s="55"/>
      <c r="AO281" s="78"/>
    </row>
    <row r="282" spans="1:43" s="44" customFormat="1">
      <c r="A282" s="126"/>
      <c r="B282" s="79"/>
      <c r="C282" s="79"/>
      <c r="D282" s="79"/>
      <c r="E282" s="127"/>
      <c r="F282" s="127"/>
      <c r="G282" s="128"/>
      <c r="H282" s="127"/>
      <c r="I282" s="55"/>
      <c r="J282" s="17"/>
      <c r="K282" s="55"/>
      <c r="L282" s="55"/>
      <c r="M282" s="18"/>
      <c r="N282" s="55"/>
      <c r="O282" s="55"/>
      <c r="Q282" s="55"/>
      <c r="R282" s="55"/>
      <c r="T282" s="55"/>
      <c r="U282" s="55"/>
      <c r="W282" s="55"/>
      <c r="X282" s="55"/>
      <c r="Z282" s="55"/>
      <c r="AA282" s="55"/>
      <c r="AC282" s="55"/>
      <c r="AD282" s="55"/>
      <c r="AF282" s="55"/>
      <c r="AG282" s="55"/>
      <c r="AI282" s="55"/>
      <c r="AJ282" s="55"/>
      <c r="AL282" s="55"/>
      <c r="AM282" s="55"/>
      <c r="AO282" s="78"/>
      <c r="AP282" s="55"/>
      <c r="AQ282"/>
    </row>
    <row r="283" spans="1:43">
      <c r="B283" s="79"/>
      <c r="H283" s="55"/>
      <c r="K283" s="55"/>
      <c r="AO283" s="127"/>
    </row>
    <row r="284" spans="1:43">
      <c r="B284" s="79"/>
      <c r="E284" s="78"/>
      <c r="F284" s="78"/>
      <c r="H284" s="142"/>
      <c r="I284" s="78"/>
      <c r="K284" s="78"/>
      <c r="L284" s="78"/>
      <c r="N284" s="78"/>
      <c r="Q284" s="55"/>
      <c r="AO284" s="127"/>
    </row>
    <row r="285" spans="1:43">
      <c r="B285" s="79"/>
      <c r="E285" s="154"/>
      <c r="H285" s="55"/>
      <c r="K285" s="143"/>
      <c r="AO285" s="127"/>
    </row>
    <row r="286" spans="1:43">
      <c r="B286" s="79"/>
      <c r="E286" s="78"/>
      <c r="H286" s="78"/>
      <c r="K286" s="78"/>
      <c r="N286" s="78"/>
      <c r="AO286" s="127"/>
    </row>
    <row r="287" spans="1:43">
      <c r="B287" s="79"/>
      <c r="AO287" s="127"/>
    </row>
    <row r="288" spans="1:43">
      <c r="B288" s="79"/>
      <c r="E288" s="78"/>
    </row>
    <row r="289" spans="1:43">
      <c r="B289" s="79"/>
    </row>
    <row r="290" spans="1:43" s="16" customFormat="1">
      <c r="A290" s="14"/>
      <c r="B290" s="79"/>
      <c r="C290"/>
      <c r="D290"/>
      <c r="E290" s="143"/>
      <c r="G290" s="17"/>
      <c r="J290" s="17"/>
      <c r="M290" s="18"/>
      <c r="P290" s="19"/>
      <c r="S290" s="19"/>
      <c r="V290" s="19"/>
      <c r="Y290" s="19"/>
      <c r="AB290" s="19"/>
      <c r="AE290" s="19"/>
      <c r="AH290" s="19"/>
      <c r="AK290" s="19"/>
      <c r="AN290" s="19"/>
      <c r="AQ290"/>
    </row>
    <row r="291" spans="1:43">
      <c r="B291" s="79"/>
    </row>
    <row r="292" spans="1:43">
      <c r="B292" s="79"/>
    </row>
    <row r="293" spans="1:43">
      <c r="B293" s="79"/>
    </row>
    <row r="294" spans="1:43">
      <c r="B294" s="79"/>
    </row>
    <row r="295" spans="1:43">
      <c r="B295" s="79"/>
    </row>
    <row r="296" spans="1:43">
      <c r="B296" s="79"/>
    </row>
    <row r="297" spans="1:43">
      <c r="B297" s="79"/>
    </row>
  </sheetData>
  <autoFilter ref="A6:AQ290" xr:uid="{97592B09-C04C-4C3D-8721-A2E8C95DF8C9}"/>
  <mergeCells count="1">
    <mergeCell ref="B259:D25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 CK TOTAL_2026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Asefler</dc:creator>
  <cp:lastModifiedBy>Burak Asefler</cp:lastModifiedBy>
  <dcterms:created xsi:type="dcterms:W3CDTF">2025-12-08T10:20:39Z</dcterms:created>
  <dcterms:modified xsi:type="dcterms:W3CDTF">2026-06-11T11:06:43Z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