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740" firstSheet="1" activeTab="1"/>
  </bookViews>
  <sheets>
    <sheet name="CC" sheetId="29" state="hidden" r:id="rId1"/>
    <sheet name="4+8 DW 2026" sheetId="40" r:id="rId2"/>
    <sheet name="1+11 Renta DW _2026" sheetId="43" state="hidden" r:id="rId3"/>
    <sheet name="Renta DW _2025 " sheetId="27" state="hidden" r:id="rId4"/>
    <sheet name="Renta DW _2024 new format " sheetId="31" state="hidden" r:id="rId5"/>
    <sheet name="2024 by account " sheetId="32" state="hidden" r:id="rId6"/>
    <sheet name="2024_ACT@ACT FX old format " sheetId="33" state="hidden" r:id="rId7"/>
    <sheet name="2026_service fee" sheetId="42" state="hidden" r:id="rId8"/>
    <sheet name="2025_service fee" sheetId="41" state="hidden" r:id="rId9"/>
    <sheet name="Service fee recharge kırınım" sheetId="39" state="hidden" r:id="rId10"/>
    <sheet name="S_ALR " sheetId="28" state="hidden" r:id="rId11"/>
  </sheets>
  <definedNames>
    <definedName name="_xlnm._FilterDatabase" localSheetId="1" hidden="1">'4+8 DW 2026'!$A$1:$T$253</definedName>
    <definedName name="_xlnm._FilterDatabase" localSheetId="2" hidden="1">'1+11 Renta DW _2026'!$A$1:$T$253</definedName>
    <definedName name="_xlnm._FilterDatabase" localSheetId="3" hidden="1">'Renta DW _2025 '!$A$1:$AR$243</definedName>
    <definedName name="_xlnm._FilterDatabase" localSheetId="6" hidden="1">'2024_ACT@ACT FX old format '!$A$1:$AS$90</definedName>
    <definedName name="_xlnm._FilterDatabase" localSheetId="7" hidden="1">'2026_service fee'!$A$1:$D$58</definedName>
    <definedName name="_xlnm._FilterDatabase" localSheetId="8" hidden="1">'2025_service fee'!$A$1:$N$73</definedName>
    <definedName name="_xlnm._FilterDatabase" localSheetId="9" hidden="1">'Service fee recharge kırınım'!$D$3:$AI$78</definedName>
    <definedName name="_xlnm._FilterDatabase" localSheetId="10" hidden="1">'S_ALR '!$A$1:$U$230</definedName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tc={E484DB60-08CB-4888-819D-65AC30E7E0EB}</author>
  </authors>
  <commentList>
    <comment ref="D23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  </r>
      </text>
    </comment>
  </commentList>
</comments>
</file>

<file path=xl/comments2.xml><?xml version="1.0" encoding="utf-8"?>
<comments xmlns="http://schemas.openxmlformats.org/spreadsheetml/2006/main">
  <authors>
    <author>tc={859D1D25-FEA7-4D45-9916-054477FD1FD7}</author>
  </authors>
  <commentList>
    <comment ref="D23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  </r>
      </text>
    </comment>
  </commentList>
</comments>
</file>

<file path=xl/comments3.xml><?xml version="1.0" encoding="utf-8"?>
<comments xmlns="http://schemas.openxmlformats.org/spreadsheetml/2006/main">
  <authors>
    <author>tc={41A3A539-7F89-4437-9BAF-1ADC252DD0C4}</author>
    <author>tc={3E890676-41F4-42C6-9929-69D8A437AFE4}</author>
  </authors>
  <commentList>
    <comment ref="D22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  </r>
      </text>
    </comment>
    <comment ref="AF237" authorId="1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187 K€ amount asset write off in October. FC impact of these written-off assets(145 K) are also deleted from related accounts. (9 months impact seen in 1 month)
</t>
        </r>
      </text>
    </comment>
  </commentList>
</comments>
</file>

<file path=xl/sharedStrings.xml><?xml version="1.0" encoding="utf-8"?>
<sst xmlns="http://schemas.openxmlformats.org/spreadsheetml/2006/main" count="2949" uniqueCount="570">
  <si>
    <t xml:space="preserve">MFG </t>
  </si>
  <si>
    <t>PTK4M00WAB</t>
  </si>
  <si>
    <t>PTK4M00WAC</t>
  </si>
  <si>
    <t>PTK4M00WAD</t>
  </si>
  <si>
    <t>PTK4M00WAE</t>
  </si>
  <si>
    <t>PTK4M00WAF</t>
  </si>
  <si>
    <t>PTK4M00WAG</t>
  </si>
  <si>
    <t>PTK4M00WAH</t>
  </si>
  <si>
    <t>PTK4M00WAI</t>
  </si>
  <si>
    <t>PTK4M00WAJ</t>
  </si>
  <si>
    <t>PTK4M00WAK</t>
  </si>
  <si>
    <t>PTK4M00WYD</t>
  </si>
  <si>
    <t xml:space="preserve">Overhead </t>
  </si>
  <si>
    <t>PTK4Y00WYE</t>
  </si>
  <si>
    <t xml:space="preserve">Renta DW Cost Evolution </t>
  </si>
  <si>
    <t xml:space="preserve">Volume </t>
  </si>
  <si>
    <t>FX Rates_HQE</t>
  </si>
  <si>
    <t>FX Rates_weighted average (Act TL/Act EUR)</t>
  </si>
  <si>
    <t>HQD PERIMETER</t>
  </si>
  <si>
    <t xml:space="preserve">Jan K€ </t>
  </si>
  <si>
    <t xml:space="preserve">Feb K€ </t>
  </si>
  <si>
    <t xml:space="preserve">Mar K€ </t>
  </si>
  <si>
    <t xml:space="preserve">Apr K€ </t>
  </si>
  <si>
    <t xml:space="preserve">May K€ </t>
  </si>
  <si>
    <t xml:space="preserve">June K€ </t>
  </si>
  <si>
    <t xml:space="preserve">July K€ </t>
  </si>
  <si>
    <t xml:space="preserve">Aug K€ </t>
  </si>
  <si>
    <t xml:space="preserve">Sep K€ </t>
  </si>
  <si>
    <t xml:space="preserve">Oct K€ </t>
  </si>
  <si>
    <t xml:space="preserve">Nov K€ </t>
  </si>
  <si>
    <t xml:space="preserve">DEC K€ </t>
  </si>
  <si>
    <t xml:space="preserve"> YTD K€ </t>
  </si>
  <si>
    <t>YES</t>
  </si>
  <si>
    <t xml:space="preserve">    6666110101  Depreciation of buildings</t>
  </si>
  <si>
    <t>*   CS_Depreciation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</si>
  <si>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</si>
  <si>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</si>
  <si>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</si>
  <si>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</si>
  <si>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</si>
  <si>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</si>
  <si>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</si>
  <si>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 xml:space="preserve">FIX </t>
  </si>
  <si>
    <t xml:space="preserve">    5001010205  Unemployment Insurance -blue collar-Dire</t>
  </si>
  <si>
    <t>*   CS_Direct Labour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</si>
  <si>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</si>
  <si>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</si>
  <si>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</si>
  <si>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</si>
  <si>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</si>
  <si>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</si>
  <si>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</si>
  <si>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VAR </t>
  </si>
  <si>
    <t>NO</t>
  </si>
  <si>
    <t xml:space="preserve">    8701530201  Scrap-Raw Material - Managerial</t>
  </si>
  <si>
    <t>*   CS_SCRAP_VARIABLE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</si>
  <si>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</si>
  <si>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</si>
  <si>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</si>
  <si>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5102010151  Other Rev.-Interco-Epidemic problem comp</t>
  </si>
  <si>
    <t>*   CS_Fix Cost</t>
  </si>
  <si>
    <t xml:space="preserve">    5001010200  Cost of Manufacture - Raw Material</t>
  </si>
  <si>
    <t xml:space="preserve">    5001010201  Cost of Manufacture - Raw Material-Freig</t>
  </si>
  <si>
    <t xml:space="preserve">    5001010204  Cost of Manufacture - Finished Good</t>
  </si>
  <si>
    <t xml:space="preserve">    5207000011  Gain of tangible asset disposal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</si>
  <si>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</si>
  <si>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</si>
  <si>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</si>
  <si>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</si>
  <si>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</si>
  <si>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</si>
  <si>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</si>
  <si>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5102040893  Other revenue-Charge out-Test Expense</t>
  </si>
  <si>
    <t xml:space="preserve">   5801000041  Previous year Sundry cost</t>
  </si>
  <si>
    <t xml:space="preserve">    6666010322  fuel allowance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</si>
  <si>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</si>
  <si>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</si>
  <si>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</si>
  <si>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</si>
  <si>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</si>
  <si>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</si>
  <si>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</si>
  <si>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 xml:space="preserve">    6666020403  Company car expense</t>
  </si>
  <si>
    <t xml:space="preserve">    6666020405  Company car expense - maintenance fees</t>
  </si>
  <si>
    <t xml:space="preserve">    6666020495  Non-deductible expense-travel.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</si>
  <si>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</si>
  <si>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</si>
  <si>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</si>
  <si>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</si>
  <si>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6666020801  Housing rental cost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</si>
  <si>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</si>
  <si>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</si>
  <si>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</si>
  <si>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6666021104  Consulting expense-Technical</t>
  </si>
  <si>
    <t xml:space="preserve">    6666021200  Audit fee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</si>
  <si>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</si>
  <si>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</si>
  <si>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</si>
  <si>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6666029700  Service fee recharge</t>
  </si>
  <si>
    <t xml:space="preserve">    6666029900  Sundry Expenses</t>
  </si>
  <si>
    <t xml:space="preserve">    6666029996  Non-deductible expense-travel.</t>
  </si>
  <si>
    <t xml:space="preserve">    6666029997  restructure cost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</si>
  <si>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</si>
  <si>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</si>
  <si>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</si>
  <si>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6666050202  Custom clearance charge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</si>
  <si>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</si>
  <si>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</si>
  <si>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</si>
  <si>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5401050201  COGS-Special a</t>
  </si>
  <si>
    <t xml:space="preserve">    5401020212  Local Transpor</t>
  </si>
  <si>
    <t xml:space="preserve">    6666110203  Low value consumables</t>
  </si>
  <si>
    <t>*   CS_Variable Cost</t>
  </si>
  <si>
    <t xml:space="preserve">    5102040000  Other Revenue - Other</t>
  </si>
  <si>
    <t xml:space="preserve">    6666050307  Inventory count different-raw material</t>
  </si>
  <si>
    <t xml:space="preserve">    6666050312  Inventory count different- Semifinished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</si>
  <si>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</si>
  <si>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</si>
  <si>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</si>
  <si>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</si>
  <si>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</si>
  <si>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</si>
  <si>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6666021604  Oil &amp; Gas man. Adj in Reporting </t>
  </si>
  <si>
    <t xml:space="preserve">    6666021600  Energy and power cost</t>
  </si>
  <si>
    <t>*   CS_Variable Utilities</t>
  </si>
  <si>
    <t xml:space="preserve">    6666021603  Water</t>
  </si>
  <si>
    <t xml:space="preserve">    6666021604  Oil &amp; Gas</t>
  </si>
  <si>
    <t xml:space="preserve">    5001010206  Unemployment Insurance -blue collar-Indi</t>
  </si>
  <si>
    <t>*   CS_Indirect Labour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</si>
  <si>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</si>
  <si>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</si>
  <si>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</si>
  <si>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</si>
  <si>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</si>
  <si>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</si>
  <si>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FIX</t>
  </si>
  <si>
    <t xml:space="preserve">    6666010196  Payroll Taxes-White Collar Employee</t>
  </si>
  <si>
    <t>*   CS_Fixed Labour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</si>
  <si>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</si>
  <si>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</si>
  <si>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</si>
  <si>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</si>
  <si>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</si>
  <si>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 xml:space="preserve">    6666020903  Other materials</t>
  </si>
  <si>
    <t>*   CS_Semifix</t>
  </si>
  <si>
    <t xml:space="preserve">    6666010302  Medical expenses</t>
  </si>
  <si>
    <t xml:space="preserve">    6666010314  Work uniforms</t>
  </si>
  <si>
    <t xml:space="preserve">    6666010315  Social Aids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</si>
  <si>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</si>
  <si>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</si>
  <si>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</si>
  <si>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</si>
  <si>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</si>
  <si>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</si>
  <si>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</si>
  <si>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</si>
  <si>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</si>
  <si>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6666030300  Design and development fees</t>
  </si>
  <si>
    <t xml:space="preserve">    6666091600  Garbage disposal charge</t>
  </si>
  <si>
    <t>Manufacturing cost without Shares &amp; Out of Perimeter</t>
  </si>
  <si>
    <t>CS_Depreci</t>
  </si>
  <si>
    <t xml:space="preserve">    5102040406  Other revenue-Servic</t>
  </si>
  <si>
    <t xml:space="preserve">CS_Direct </t>
  </si>
  <si>
    <t xml:space="preserve">    5601080000  Non-operating expens</t>
  </si>
  <si>
    <t xml:space="preserve">    6666020301  Staff communication expense</t>
  </si>
  <si>
    <t xml:space="preserve">    6666021102  Consulting expense-tax</t>
  </si>
  <si>
    <t xml:space="preserve">    6666021103 Consulting expense-finance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</si>
  <si>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</si>
  <si>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</si>
  <si>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</si>
  <si>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6666090100  Stamp Duty</t>
  </si>
  <si>
    <t xml:space="preserve">    6666093800  Other Taxes-CIT Deductible</t>
  </si>
  <si>
    <t xml:space="preserve">    5401050201  COGS-Freight out-Special and sporadic fr</t>
  </si>
  <si>
    <t>CS_Fix Cos</t>
  </si>
  <si>
    <t>CS_Variabl</t>
  </si>
  <si>
    <t>CS_Fix Ut</t>
  </si>
  <si>
    <t xml:space="preserve">    6666010102  Salary-Blue collar i</t>
  </si>
  <si>
    <t>CS_Indirec</t>
  </si>
  <si>
    <t xml:space="preserve">    6666010227  Staff Leaving Indemn</t>
  </si>
  <si>
    <t>CS_Fixed L</t>
  </si>
  <si>
    <t xml:space="preserve">    6666010315  Other labor supplies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</si>
  <si>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</si>
  <si>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</si>
  <si>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</si>
  <si>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</si>
  <si>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</si>
  <si>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Direct Labour</t>
  </si>
  <si>
    <t>Direct Expences</t>
  </si>
  <si>
    <t>Indirect Labour</t>
  </si>
  <si>
    <t>Fixed Labour</t>
  </si>
  <si>
    <t>Fixed Expences</t>
  </si>
  <si>
    <t>Depreciation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</si>
  <si>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</si>
  <si>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</si>
  <si>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</si>
  <si>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</si>
  <si>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</si>
  <si>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COST CENTER TOTAL IN LOCAL CURRENCY</t>
  </si>
  <si>
    <t>AVG FX MONTHLY BASİS</t>
  </si>
  <si>
    <t>FUNCTIONAL CURRENCY IMPACT</t>
  </si>
  <si>
    <t>MFG PERIMETER (INCLUDING FC)</t>
  </si>
  <si>
    <t>OUT OF MFG PERIMETER</t>
  </si>
  <si>
    <t>REPORT DECLARED</t>
  </si>
  <si>
    <t>DIFF</t>
  </si>
  <si>
    <t xml:space="preserve">FX Rates </t>
  </si>
  <si>
    <t>Jan CPU € / pcs</t>
  </si>
  <si>
    <t>Feb CPU € / pcs</t>
  </si>
  <si>
    <t>Mar CPU € / pcs</t>
  </si>
  <si>
    <t>Apr CPU € / pcs</t>
  </si>
  <si>
    <t>May CPU € / pcs</t>
  </si>
  <si>
    <t>June CPU € / pcs</t>
  </si>
  <si>
    <t>July CPU € / pcs</t>
  </si>
  <si>
    <t>Aug CPU € / pcs</t>
  </si>
  <si>
    <t>Sep CPU € / pcs</t>
  </si>
  <si>
    <t>Oct CPU € / pcs</t>
  </si>
  <si>
    <t>Nov CPU € / pcs</t>
  </si>
  <si>
    <t>Dec CPU € / pcs</t>
  </si>
  <si>
    <t xml:space="preserve"> YTD DEC  CPU € / pcs</t>
  </si>
  <si>
    <t>CPU € / pcs</t>
  </si>
  <si>
    <t>Row Labels</t>
  </si>
  <si>
    <t>Jan KLC</t>
  </si>
  <si>
    <t xml:space="preserve">JAN K€ </t>
  </si>
  <si>
    <t>FEB  KLC</t>
  </si>
  <si>
    <t xml:space="preserve">FEB K€ </t>
  </si>
  <si>
    <t xml:space="preserve"> CPU € / pcs</t>
  </si>
  <si>
    <t>March   KLC</t>
  </si>
  <si>
    <t xml:space="preserve">March K€ </t>
  </si>
  <si>
    <t>Apr  KLC</t>
  </si>
  <si>
    <t>MAY   KLC</t>
  </si>
  <si>
    <t>June   KLC</t>
  </si>
  <si>
    <t xml:space="preserve">June  K€ </t>
  </si>
  <si>
    <t>July   KLC</t>
  </si>
  <si>
    <t>Aug KLC</t>
  </si>
  <si>
    <t xml:space="preserve">Aug  K€ </t>
  </si>
  <si>
    <t>Sept KLC</t>
  </si>
  <si>
    <t xml:space="preserve">Sept K€ </t>
  </si>
  <si>
    <t>Oct  KLC</t>
  </si>
  <si>
    <t xml:space="preserve">Oct  K€ </t>
  </si>
  <si>
    <t>Nov  KLC</t>
  </si>
  <si>
    <t>Dec KLC</t>
  </si>
  <si>
    <t xml:space="preserve">Dec K€ </t>
  </si>
  <si>
    <t>FY KLC</t>
  </si>
  <si>
    <t xml:space="preserve">FY K€ </t>
  </si>
  <si>
    <t>Grand Total</t>
  </si>
  <si>
    <t>5102020000 Other revenue-Lease</t>
  </si>
  <si>
    <t>5102040406 Other revenue-Service/Secondment agreeme</t>
  </si>
  <si>
    <t>5102040800 Other revenue-Recharge from Intercompany</t>
  </si>
  <si>
    <t>5102040898 Other revenue-Internal Charge out -Renta</t>
  </si>
  <si>
    <t>5301060000 Other Income-Subsidy income</t>
  </si>
  <si>
    <t>5801000041 Previous year Sundry cost</t>
  </si>
  <si>
    <t>6666010012 Payroll Taxes- Blue Collar Indirect</t>
  </si>
  <si>
    <t>6666010101 Salary - White collar employees</t>
  </si>
  <si>
    <t>6666010102 Salary-Blue collar indirect employees- A</t>
  </si>
  <si>
    <t>6666010196 Payroll Taxes-White Collar Employee</t>
  </si>
  <si>
    <t>6666010199 Salary-White collar employees -Accrued</t>
  </si>
  <si>
    <t>6666010207 Unemployment insurance companies to pay</t>
  </si>
  <si>
    <t>6666010226 Staff Leaving Indemnity - Blue Collar In</t>
  </si>
  <si>
    <t>6666010227 Staff Leaving Indemnity - White collar E</t>
  </si>
  <si>
    <t>6666010302 Medical expenses</t>
  </si>
  <si>
    <t>6666010314 Work uniforms</t>
  </si>
  <si>
    <t>6666010321 car allowance</t>
  </si>
  <si>
    <t>6666010322 fuel allowance</t>
  </si>
  <si>
    <t>6666020101 Entertainment</t>
  </si>
  <si>
    <t>6666020201 Domestic business travel</t>
  </si>
  <si>
    <t>6666020202 Overseas business travel</t>
  </si>
  <si>
    <t>6666020204 Travel expense pay to agency</t>
  </si>
  <si>
    <t>6666020301 Staff communication expense</t>
  </si>
  <si>
    <t>6666020401 local transportation - bus and taxi</t>
  </si>
  <si>
    <t>6666020403 Company car expense</t>
  </si>
  <si>
    <t>6666020405 Company car expense - maintenance fees</t>
  </si>
  <si>
    <t>6666020495 Non-deductible expense-travel.</t>
  </si>
  <si>
    <t>6666020502 Working meals</t>
  </si>
  <si>
    <t>6666020503 Office supplies</t>
  </si>
  <si>
    <t>6666020504 Newspaper and Periodicals expenditure</t>
  </si>
  <si>
    <t>6666020602 Training costs Outside the group</t>
  </si>
  <si>
    <t>6666020801 Housing rental cost</t>
  </si>
  <si>
    <t>6666020803 Car rental cost</t>
  </si>
  <si>
    <t>6666021100 Consulting fees</t>
  </si>
  <si>
    <t>6666021103 Consulting expense-finance</t>
  </si>
  <si>
    <t>6666021400 Recruitment expense</t>
  </si>
  <si>
    <t>6666021602 Electricity</t>
  </si>
  <si>
    <t>6666021902 Cleaning fees</t>
  </si>
  <si>
    <t>6666022100 Security</t>
  </si>
  <si>
    <t>6666022300 Association dues</t>
  </si>
  <si>
    <t>6666029700 Service fee recharge</t>
  </si>
  <si>
    <t>6666029996 Non-deductible expense-travel.</t>
  </si>
  <si>
    <t>6666020701  Enterprise Property Insurance</t>
  </si>
  <si>
    <t>6666029900  Sundry Expenses</t>
  </si>
  <si>
    <t>6666079999  IT Expense-Internal Charge Out</t>
  </si>
  <si>
    <t>SEASONALITY</t>
  </si>
  <si>
    <t xml:space="preserve">reported </t>
  </si>
  <si>
    <t xml:space="preserve">Sum of Jan </t>
  </si>
  <si>
    <t xml:space="preserve">Sum of FEB </t>
  </si>
  <si>
    <t>Sum of MAR</t>
  </si>
  <si>
    <t>Sum of APR</t>
  </si>
  <si>
    <t>Sum of MAY</t>
  </si>
  <si>
    <t>Sum of JUNE</t>
  </si>
  <si>
    <t>Sum of JULY</t>
  </si>
  <si>
    <t>Sum of AUG</t>
  </si>
  <si>
    <t>Sum of SEPT</t>
  </si>
  <si>
    <t>Sum of OCT</t>
  </si>
  <si>
    <t>Sum of NOV</t>
  </si>
  <si>
    <t xml:space="preserve">Sum of DEC </t>
  </si>
  <si>
    <t xml:space="preserve">FİXED LAB </t>
  </si>
  <si>
    <t xml:space="preserve">Ind lab </t>
  </si>
  <si>
    <t xml:space="preserve">DL lab </t>
  </si>
  <si>
    <t>Account Type</t>
  </si>
  <si>
    <t>Expense Type</t>
  </si>
  <si>
    <t xml:space="preserve">Reporting Cost Line </t>
  </si>
  <si>
    <t>DW (K TL)</t>
  </si>
  <si>
    <t>Jan</t>
  </si>
  <si>
    <t>Feb</t>
  </si>
  <si>
    <t>Mar</t>
  </si>
  <si>
    <t>Apr</t>
  </si>
  <si>
    <t>May</t>
  </si>
  <si>
    <t>Jun</t>
  </si>
  <si>
    <t>Jul</t>
  </si>
  <si>
    <t xml:space="preserve">Aug </t>
  </si>
  <si>
    <t>Sep</t>
  </si>
  <si>
    <t>Oct</t>
  </si>
  <si>
    <t xml:space="preserve">NOV </t>
  </si>
  <si>
    <t xml:space="preserve">DEC </t>
  </si>
  <si>
    <t>TOTAL (KTL)</t>
  </si>
  <si>
    <t>TOTAL (K €)</t>
  </si>
  <si>
    <t>Jan CPU</t>
  </si>
  <si>
    <t>Feb CPU</t>
  </si>
  <si>
    <t>Mar CPU</t>
  </si>
  <si>
    <t>Apr CPU</t>
  </si>
  <si>
    <t>May CPU</t>
  </si>
  <si>
    <t>Jun CPU</t>
  </si>
  <si>
    <t>Jul CPU</t>
  </si>
  <si>
    <t xml:space="preserve">Aug CPU </t>
  </si>
  <si>
    <t xml:space="preserve">Sep CPU </t>
  </si>
  <si>
    <t xml:space="preserve">Oct CPU </t>
  </si>
  <si>
    <t>NOV CPU</t>
  </si>
  <si>
    <t xml:space="preserve">DEC CPU </t>
  </si>
  <si>
    <t>TOTAL (CPU €)</t>
  </si>
  <si>
    <t xml:space="preserve">H1 CPU </t>
  </si>
  <si>
    <t xml:space="preserve">Q3 CPU </t>
  </si>
  <si>
    <t xml:space="preserve">Q4 CPU </t>
  </si>
  <si>
    <t xml:space="preserve">H2 CPU </t>
  </si>
  <si>
    <t>FX RATES (€)</t>
  </si>
  <si>
    <t>VOLUME</t>
  </si>
  <si>
    <t>COSTS ELEMENTS</t>
  </si>
  <si>
    <t>Direct Labor</t>
  </si>
  <si>
    <t>4000 Direct Labour STD</t>
  </si>
  <si>
    <t>TOT. LABOUR VARIAB. COSTS (Sal. &amp; Wages)</t>
  </si>
  <si>
    <t>Direct Expenses</t>
  </si>
  <si>
    <t>Variable Utilities</t>
  </si>
  <si>
    <t>4106 Electricy Factory direct Dept.</t>
  </si>
  <si>
    <t>4110 Gas</t>
  </si>
  <si>
    <t>Other Variable (Production Consumable, Inventory ADJ)</t>
  </si>
  <si>
    <t>4211 Direct material expenses</t>
  </si>
  <si>
    <t>Scrap</t>
  </si>
  <si>
    <t>4326 Scraps costs</t>
  </si>
  <si>
    <t>4820 Variance on raw mat.consumption</t>
  </si>
  <si>
    <t>Scrap Reselling</t>
  </si>
  <si>
    <t>4821 Scraps variables recovery costs</t>
  </si>
  <si>
    <t>Total Variable Expenses</t>
  </si>
  <si>
    <t>TOTAL VARIABLE COSTS</t>
  </si>
  <si>
    <t>4015 Indirect Labour STD</t>
  </si>
  <si>
    <t>4030 Salaries and Wages</t>
  </si>
  <si>
    <t>TOT. LABOUR FIXED COSTS  (Sal. &amp; Wages)</t>
  </si>
  <si>
    <t>Fixed Expenses</t>
  </si>
  <si>
    <t>Fixed Cost</t>
  </si>
  <si>
    <t>4050 Travel</t>
  </si>
  <si>
    <t>4051 Travel Airline Expenses</t>
  </si>
  <si>
    <t>4086 Training costs</t>
  </si>
  <si>
    <t>Semifixed</t>
  </si>
  <si>
    <t>4165 Canteen exp./tickets restaurant</t>
  </si>
  <si>
    <t>4170 Medical service</t>
  </si>
  <si>
    <t>4175 Publications/Periodicals</t>
  </si>
  <si>
    <t>4300 Staff commuting costs</t>
  </si>
  <si>
    <t>4305 Uniforms for factory workers</t>
  </si>
  <si>
    <t>4420 Redundancy costs</t>
  </si>
  <si>
    <t>4072 Car maintenance/repairing costs</t>
  </si>
  <si>
    <t>4074 Car renting costs</t>
  </si>
  <si>
    <t>4075 Car petrol</t>
  </si>
  <si>
    <t>4065 Maintenance Material</t>
  </si>
  <si>
    <t>4070 Maintenace services</t>
  </si>
  <si>
    <t>4100 Office cleaning</t>
  </si>
  <si>
    <t xml:space="preserve">Fixed Utilities </t>
  </si>
  <si>
    <t>4105 Electricity Indirect Dept</t>
  </si>
  <si>
    <t>4115 Heating</t>
  </si>
  <si>
    <t>4120 Water</t>
  </si>
  <si>
    <t>4145 Office &amp; Building security costs</t>
  </si>
  <si>
    <t>4220 Consulting fees</t>
  </si>
  <si>
    <t>4067 PC Maintenance</t>
  </si>
  <si>
    <t>4773 Mobile telephone exp.</t>
  </si>
  <si>
    <t>4127 Software Maintenace</t>
  </si>
  <si>
    <t>4141 Group insurances</t>
  </si>
  <si>
    <t>4066 Tooling maintenance</t>
  </si>
  <si>
    <t>4150 Entertainments</t>
  </si>
  <si>
    <t>4180 Express couriers costs</t>
  </si>
  <si>
    <t>4190 Associations</t>
  </si>
  <si>
    <t>4195 Other expenses</t>
  </si>
  <si>
    <t>4210 Indirect material expenses</t>
  </si>
  <si>
    <t>4270 Experimentals/tests expenses</t>
  </si>
  <si>
    <t>4295 Waste disposal expenses</t>
  </si>
  <si>
    <t>4310 Small equipments for office &amp; factory</t>
  </si>
  <si>
    <t>Obsolete</t>
  </si>
  <si>
    <t>4322 Consumption R.M./S.P. obsolete</t>
  </si>
  <si>
    <t>4324 Factory inventory Adj</t>
  </si>
  <si>
    <t>4410 Test expenses recharged</t>
  </si>
  <si>
    <t>4060 Lease &amp; Rent</t>
  </si>
  <si>
    <t>4155 Stationery &amp; Printing supplies</t>
  </si>
  <si>
    <t>4730 Contingent liabilities</t>
  </si>
  <si>
    <t>4745 Profit on assets sale - Thirds</t>
  </si>
  <si>
    <t>4750 Loss on assets sale - Thirds</t>
  </si>
  <si>
    <t>4775 Other expenses recovery</t>
  </si>
  <si>
    <t>Total Expenses</t>
  </si>
  <si>
    <t>4785 Depreciation tangible assets</t>
  </si>
  <si>
    <t>4786 Depreciation intangible assets</t>
  </si>
  <si>
    <t>TOT. FIXED ASSETS DEPRECIATIONS</t>
  </si>
  <si>
    <t>Total Fixed Refab</t>
  </si>
  <si>
    <t>4330 Share of G &amp; A</t>
  </si>
  <si>
    <t>TOT. SHARES</t>
  </si>
  <si>
    <t>TOTAL SHARE &amp; ALLOCATION</t>
  </si>
  <si>
    <t>TOTAL FIXED COSTS</t>
  </si>
  <si>
    <t>TOTAL COST CENTER</t>
  </si>
  <si>
    <t>Account</t>
  </si>
  <si>
    <t>Account Explanation</t>
  </si>
  <si>
    <t>January - k EUR</t>
  </si>
  <si>
    <t>February-  k EUR</t>
  </si>
  <si>
    <t>March-  k EUR</t>
  </si>
  <si>
    <t>Unemployment Insurance -blue collar-Indi</t>
  </si>
  <si>
    <t>Other Revenue - Other</t>
  </si>
  <si>
    <t>Other revenue-Service/Secondment agreeme</t>
  </si>
  <si>
    <t>Other revenue-Internal Charge out -Renta</t>
  </si>
  <si>
    <t>Other Income-Subsidy income</t>
  </si>
  <si>
    <t>Non-operation revenue-Other</t>
  </si>
  <si>
    <t>Other cost-others</t>
  </si>
  <si>
    <t>Non-operation Expense-Others</t>
  </si>
  <si>
    <t>Non-operating expense-VAT non-deductible</t>
  </si>
  <si>
    <t>Previous year Sundry cost</t>
  </si>
  <si>
    <t>Payroll Taxes- Blue Collar Indirect</t>
  </si>
  <si>
    <t>Salary - White collar employees</t>
  </si>
  <si>
    <t>Salary-Blue collar indirect employees- A</t>
  </si>
  <si>
    <t>Payroll Taxes-White Collar Employee</t>
  </si>
  <si>
    <t>Salary-White collar employees -Accrued</t>
  </si>
  <si>
    <t>Unemployment insurance companies to pay</t>
  </si>
  <si>
    <t>Staff Leaving Indemnity - White collar E</t>
  </si>
  <si>
    <t>Work uniforms</t>
  </si>
  <si>
    <t>Other labor supplies</t>
  </si>
  <si>
    <t>fuel allowance</t>
  </si>
  <si>
    <t>Entertainment</t>
  </si>
  <si>
    <t>Domestic business travel</t>
  </si>
  <si>
    <t>Overseas business travel</t>
  </si>
  <si>
    <t>Travel expense pay to agency</t>
  </si>
  <si>
    <t>Staff communication expense</t>
  </si>
  <si>
    <t>local transportation - bus and taxi</t>
  </si>
  <si>
    <t>Non-deductible expense-travel.</t>
  </si>
  <si>
    <t>Working meals</t>
  </si>
  <si>
    <t>Operating Expenses-Office expenses-Offic</t>
  </si>
  <si>
    <t>Postage</t>
  </si>
  <si>
    <t>Enterprise Property Insurance</t>
  </si>
  <si>
    <t>Credit Insurance</t>
  </si>
  <si>
    <t>Housing rental cost</t>
  </si>
  <si>
    <t>Car rental cost</t>
  </si>
  <si>
    <t>Car rental cost-short-term</t>
  </si>
  <si>
    <t>Consulting fees</t>
  </si>
  <si>
    <t>Consulting expense-tax</t>
  </si>
  <si>
    <t>Legal fees</t>
  </si>
  <si>
    <t>Recruitment expense</t>
  </si>
  <si>
    <t>Repair &amp; Maintain - Building&amp;office</t>
  </si>
  <si>
    <t>Repair &amp; Maintain - Tooling &amp; Equipments</t>
  </si>
  <si>
    <t>Repairs &amp; Maintenance - Vehicles</t>
  </si>
  <si>
    <t>Electricity</t>
  </si>
  <si>
    <t>Cleaning fees</t>
  </si>
  <si>
    <t>Security</t>
  </si>
  <si>
    <t>Association dues</t>
  </si>
  <si>
    <t>Service fee recharge</t>
  </si>
  <si>
    <t>IT Expense-Internal Charge Out</t>
  </si>
  <si>
    <t>Other Taxes-CIT Deductible</t>
  </si>
  <si>
    <t>Depreciation of buildings</t>
  </si>
  <si>
    <t>Depreciation-Plant &amp; Machinery</t>
  </si>
  <si>
    <t>Depreciation of Furniture &amp; Fixture</t>
  </si>
  <si>
    <t>Amortization of Software</t>
  </si>
  <si>
    <t>Depreciation-Right of use asset-Vehicle</t>
  </si>
  <si>
    <t>Amortization-Leasehold Improvement</t>
  </si>
  <si>
    <t>Total</t>
  </si>
  <si>
    <t>February - k EUR</t>
  </si>
  <si>
    <t>March - k EUR</t>
  </si>
  <si>
    <t>April - k EUR</t>
  </si>
  <si>
    <t>May - k EUR</t>
  </si>
  <si>
    <t>June - k EUR</t>
  </si>
  <si>
    <t>July - k EUR</t>
  </si>
  <si>
    <t>Aug - k EUR</t>
  </si>
  <si>
    <t>Sept - k EUR</t>
  </si>
  <si>
    <t>Oct- k EUR</t>
  </si>
  <si>
    <t>Nov- k EUR</t>
  </si>
  <si>
    <t>Dec- k EUR</t>
  </si>
  <si>
    <t>Other revenue-Lease</t>
  </si>
  <si>
    <t>Other revenue-Internal Charge out -Trans</t>
  </si>
  <si>
    <t>Non-Operating Expense - Penalty</t>
  </si>
  <si>
    <t>Salary&amp;Additional Incentive-White Collar</t>
  </si>
  <si>
    <t>Medical expenses</t>
  </si>
  <si>
    <t>car allowance</t>
  </si>
  <si>
    <t>Company car expense</t>
  </si>
  <si>
    <t>Company car expense - maintenance fees</t>
  </si>
  <si>
    <t>Newspaper and Periodicals expenditure</t>
  </si>
  <si>
    <t>Training costs Outside the group</t>
  </si>
  <si>
    <t>Other Lease Expense (NOT IFRS16)</t>
  </si>
  <si>
    <t>Consulting expense-Technical</t>
  </si>
  <si>
    <t>Audit fee</t>
  </si>
  <si>
    <t>Energy and power cost</t>
  </si>
  <si>
    <t>Oil &amp; Gas</t>
  </si>
  <si>
    <t>Sundry Expenses</t>
  </si>
  <si>
    <t>restructure cost</t>
  </si>
  <si>
    <t>Special distribution costs</t>
  </si>
  <si>
    <t>Garbage disposal charge</t>
  </si>
  <si>
    <t>Incentive</t>
  </si>
  <si>
    <t>Technical Documentation</t>
  </si>
  <si>
    <t>Stamp Duty</t>
  </si>
  <si>
    <t>IT maint. &amp; repairs hardware</t>
  </si>
  <si>
    <t>January - EUR</t>
  </si>
  <si>
    <t>February - EUR</t>
  </si>
  <si>
    <t>March - EUR</t>
  </si>
  <si>
    <t>April - EUR</t>
  </si>
  <si>
    <t>May - EUR</t>
  </si>
  <si>
    <t>June - EUR</t>
  </si>
  <si>
    <t>July - EUR</t>
  </si>
  <si>
    <t>Aug - EUR</t>
  </si>
  <si>
    <t>Sept - EUR</t>
  </si>
  <si>
    <t>Oct- EUR</t>
  </si>
  <si>
    <t>Nov- EUR</t>
  </si>
  <si>
    <t>Dec- EUR</t>
  </si>
  <si>
    <t>Cycle</t>
  </si>
  <si>
    <t>SAP</t>
  </si>
  <si>
    <t>k€</t>
  </si>
  <si>
    <t>SAP - k€</t>
  </si>
  <si>
    <t>Jan'25</t>
  </si>
  <si>
    <t>Account number</t>
  </si>
  <si>
    <t>January - TRY</t>
  </si>
  <si>
    <t>Service Fee Recharge</t>
  </si>
  <si>
    <t>February - TRY</t>
  </si>
  <si>
    <t>March - TRY</t>
  </si>
  <si>
    <t>April - TRY</t>
  </si>
  <si>
    <t>May - TRY</t>
  </si>
  <si>
    <t>June - TRY</t>
  </si>
  <si>
    <t>July- EUR</t>
  </si>
  <si>
    <t>Aug- EUR</t>
  </si>
  <si>
    <t>Sept- EUR</t>
  </si>
  <si>
    <t>Dec - EUR</t>
  </si>
  <si>
    <t>Feb'25</t>
  </si>
  <si>
    <t>Mar'25</t>
  </si>
  <si>
    <t>Apr'25</t>
  </si>
  <si>
    <t>May'25</t>
  </si>
  <si>
    <t>Jun'25</t>
  </si>
  <si>
    <t>SAP ile Fark</t>
  </si>
  <si>
    <t>Cost Elements</t>
  </si>
  <si>
    <t xml:space="preserve">  Act. Costs</t>
  </si>
  <si>
    <t xml:space="preserve">    5001010205  Cost of Manufacture</t>
  </si>
  <si>
    <t xml:space="preserve">    6666010229  Staff Leaving Indemn</t>
  </si>
  <si>
    <t xml:space="preserve">    6666010115  Salary-Blue collar d</t>
  </si>
  <si>
    <t xml:space="preserve">    8701530201  Scrap-Raw&amp;#160;Material - Managerial</t>
  </si>
  <si>
    <t xml:space="preserve">    5102010151  Other Rev.-Interco-E</t>
  </si>
  <si>
    <t xml:space="preserve">    5001010201  Cost of Manufacture</t>
  </si>
  <si>
    <t xml:space="preserve">    6666100203  Provision for invent</t>
  </si>
  <si>
    <t xml:space="preserve">    5001010206  Cost of Manufacture</t>
  </si>
  <si>
    <t xml:space="preserve">    6666010184  Salary&amp;Additional In</t>
  </si>
  <si>
    <t xml:space="preserve">    6666010226  Staff Leaving Indemn</t>
  </si>
  <si>
    <t xml:space="preserve">    6666010185  Salary&amp;Additional In</t>
  </si>
  <si>
    <t xml:space="preserve">    6666021503  Repair &amp; Maintain -</t>
  </si>
  <si>
    <t xml:space="preserve">    6666021506  Repairs &amp; Maintenanc</t>
  </si>
  <si>
    <t xml:space="preserve">    600006      OVH Administrative</t>
  </si>
  <si>
    <t>*   CS_OVH_ADM</t>
  </si>
  <si>
    <t>**  Debit</t>
  </si>
  <si>
    <t>**  Credit</t>
  </si>
  <si>
    <t>*** Over/Underabsorption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</si>
</sst>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(* #,##0.00_);_(* \(#,##0.00\);_(* &quot;-&quot;??_);_(@_)"/>
    <numFmt numFmtId="178" formatCode="_-* #,##0.00\ _€_-;\-* #,##0.00\ _€_-;_-* &quot;-&quot;??\ _€_-;_-@_-"/>
    <numFmt numFmtId="179" formatCode="_-[$€]\ * #,##0.0000_-;\-[$€]\ * #,##0.0000_-;_-[$€]\ * &quot;-&quot;??_-;_-@_-"/>
    <numFmt numFmtId="180" formatCode="_-[$€-2]\ * #,##0_-;\-[$€-2]\ * #,##0_-;_-[$€-2]\ * &quot;-&quot;??_-;_-@_-"/>
    <numFmt numFmtId="181" formatCode="_-[$₺-41F]* #,##0.00_-;\-[$₺-41F]* #,##0.00_-;_-[$₺-41F]* &quot;-&quot;??_-;_-@_-"/>
    <numFmt numFmtId="182" formatCode="_-[$₺-41F]* #,##0_-;\-[$₺-41F]* #,##0_-;_-[$₺-41F]* &quot;-&quot;??_-;_-@_-"/>
    <numFmt numFmtId="183" formatCode="_-[$€-2]\ * #,##0.00_-;\-[$€-2]\ * #,##0.00_-;_-[$€-2]\ * &quot;-&quot;??_-;_-@_-"/>
    <numFmt numFmtId="184" formatCode="_-[$€-2]\ * #,##0.0_-;\-[$€-2]\ * #,##0.0_-;_-[$€-2]\ * &quot;-&quot;??_-;_-@_-"/>
    <numFmt numFmtId="185" formatCode="#,##0.0000"/>
    <numFmt numFmtId="186" formatCode="#,##0.0"/>
    <numFmt numFmtId="187" formatCode="0.0"/>
    <numFmt numFmtId="188" formatCode="_-* #,##0_-;\-* #,##0_-;_-* &quot;-&quot;??_-;_-@_-"/>
    <numFmt numFmtId="189" formatCode="0.000_ "/>
  </numFmts>
  <fonts count="56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0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Aptos Narrow"/>
      <charset val="162"/>
    </font>
    <font>
      <b/>
      <sz val="8"/>
      <color theme="1"/>
      <name val="Aptos Narrow"/>
      <charset val="162"/>
    </font>
    <font>
      <b/>
      <sz val="9"/>
      <color theme="1"/>
      <name val="宋体"/>
      <charset val="134"/>
      <scheme val="minor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sz val="11"/>
      <color rgb="FF003366"/>
      <name val="Calibri"/>
      <charset val="134"/>
    </font>
    <font>
      <b/>
      <u/>
      <sz val="9"/>
      <color theme="1"/>
      <name val="Calibri"/>
      <charset val="134"/>
    </font>
    <font>
      <sz val="9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0"/>
      <name val="Segoe UI"/>
      <charset val="134"/>
    </font>
    <font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b/>
      <sz val="11"/>
      <color theme="0"/>
      <name val="Arial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sz val="11"/>
      <name val="宋体"/>
      <charset val="134"/>
      <scheme val="minor"/>
    </font>
    <font>
      <sz val="11"/>
      <name val="Calibri"/>
      <charset val="134"/>
    </font>
    <font>
      <b/>
      <sz val="14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0">
    <xf numFmtId="0" fontId="0" fillId="0" borderId="0">
      <alignment vertical="center"/>
    </xf>
    <xf numFmtId="176" fontId="15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32" borderId="2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3" borderId="29" applyNumberFormat="0" applyAlignment="0" applyProtection="0">
      <alignment vertical="center"/>
    </xf>
    <xf numFmtId="0" fontId="39" fillId="34" borderId="30" applyNumberFormat="0" applyAlignment="0" applyProtection="0">
      <alignment vertical="center"/>
    </xf>
    <xf numFmtId="0" fontId="40" fillId="34" borderId="29" applyNumberFormat="0" applyAlignment="0" applyProtection="0">
      <alignment vertical="center"/>
    </xf>
    <xf numFmtId="0" fontId="41" fillId="35" borderId="31" applyNumberFormat="0" applyAlignment="0" applyProtection="0">
      <alignment vertical="center"/>
    </xf>
    <xf numFmtId="0" fontId="42" fillId="0" borderId="32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6" fontId="4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0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2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21" fillId="0" borderId="0"/>
    <xf numFmtId="0" fontId="15" fillId="0" borderId="0"/>
    <xf numFmtId="0" fontId="50" fillId="0" borderId="0"/>
    <xf numFmtId="0" fontId="21" fillId="0" borderId="0"/>
    <xf numFmtId="0" fontId="49" fillId="0" borderId="0"/>
    <xf numFmtId="0" fontId="15" fillId="0" borderId="0">
      <alignment vertical="center"/>
    </xf>
    <xf numFmtId="0" fontId="15" fillId="0" borderId="0">
      <alignment vertical="center"/>
    </xf>
    <xf numFmtId="0" fontId="2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9" fontId="49" fillId="0" borderId="0"/>
    <xf numFmtId="9" fontId="1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1" fillId="0" borderId="0">
      <alignment vertical="center"/>
    </xf>
    <xf numFmtId="176" fontId="51" fillId="0" borderId="0" applyFont="0" applyFill="0" applyBorder="0" applyAlignment="0" applyProtection="0"/>
    <xf numFmtId="43" fontId="52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176" fontId="51" fillId="0" borderId="0" applyFont="0" applyFill="0" applyBorder="0" applyAlignment="0" applyProtection="0"/>
    <xf numFmtId="43" fontId="51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1" fillId="0" borderId="0">
      <alignment vertical="center"/>
    </xf>
    <xf numFmtId="0" fontId="52" fillId="0" borderId="0"/>
    <xf numFmtId="0" fontId="51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4" fillId="0" borderId="0">
      <alignment vertical="center"/>
    </xf>
    <xf numFmtId="0" fontId="51" fillId="0" borderId="0"/>
    <xf numFmtId="0" fontId="51" fillId="0" borderId="0">
      <alignment vertical="center"/>
    </xf>
    <xf numFmtId="0" fontId="51" fillId="0" borderId="0"/>
    <xf numFmtId="9" fontId="5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</cellStyleXfs>
  <cellXfs count="37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0" borderId="0" xfId="0" applyAlignment="1"/>
    <xf numFmtId="4" fontId="0" fillId="0" borderId="0" xfId="0" applyNumberFormat="1" applyAlignment="1"/>
    <xf numFmtId="0" fontId="1" fillId="0" borderId="0" xfId="0" applyFont="1" applyAlignment="1">
      <alignment horizontal="center"/>
    </xf>
    <xf numFmtId="4" fontId="1" fillId="0" borderId="0" xfId="67" applyNumberFormat="1" applyFont="1" applyAlignment="1">
      <alignment horizontal="left"/>
    </xf>
    <xf numFmtId="176" fontId="1" fillId="0" borderId="0" xfId="1" applyFont="1" applyAlignment="1">
      <alignment horizontal="center"/>
    </xf>
    <xf numFmtId="0" fontId="2" fillId="0" borderId="0" xfId="0" applyFont="1" applyAlignment="1"/>
    <xf numFmtId="0" fontId="1" fillId="0" borderId="0" xfId="67" applyFont="1"/>
    <xf numFmtId="4" fontId="1" fillId="0" borderId="0" xfId="0" applyNumberFormat="1" applyFont="1" applyAlignment="1">
      <alignment horizontal="center"/>
    </xf>
    <xf numFmtId="0" fontId="3" fillId="3" borderId="0" xfId="67" applyFont="1" applyFill="1" applyAlignment="1">
      <alignment horizontal="center"/>
    </xf>
    <xf numFmtId="0" fontId="4" fillId="0" borderId="0" xfId="67" applyFont="1" applyAlignment="1">
      <alignment horizontal="center"/>
    </xf>
    <xf numFmtId="0" fontId="5" fillId="0" borderId="0" xfId="0" applyFont="1" applyAlignment="1">
      <alignment horizontal="center"/>
    </xf>
    <xf numFmtId="0" fontId="4" fillId="4" borderId="0" xfId="67" applyFont="1" applyFill="1" applyAlignment="1">
      <alignment horizontal="center"/>
    </xf>
    <xf numFmtId="0" fontId="4" fillId="5" borderId="0" xfId="67" applyFont="1" applyFill="1" applyAlignment="1">
      <alignment horizontal="center"/>
    </xf>
    <xf numFmtId="0" fontId="4" fillId="6" borderId="0" xfId="67" applyFont="1" applyFill="1" applyAlignment="1">
      <alignment horizontal="center"/>
    </xf>
    <xf numFmtId="0" fontId="4" fillId="0" borderId="0" xfId="67" applyFont="1"/>
    <xf numFmtId="0" fontId="1" fillId="0" borderId="0" xfId="67" applyFont="1" applyAlignment="1">
      <alignment horizontal="left"/>
    </xf>
    <xf numFmtId="2" fontId="1" fillId="0" borderId="0" xfId="67" applyNumberFormat="1" applyFont="1" applyAlignment="1">
      <alignment horizontal="left"/>
    </xf>
    <xf numFmtId="0" fontId="1" fillId="7" borderId="0" xfId="67" applyFont="1" applyFill="1" applyAlignment="1">
      <alignment horizontal="left"/>
    </xf>
    <xf numFmtId="4" fontId="1" fillId="7" borderId="0" xfId="67" applyNumberFormat="1" applyFont="1" applyFill="1" applyAlignment="1">
      <alignment horizontal="left"/>
    </xf>
    <xf numFmtId="0" fontId="1" fillId="8" borderId="0" xfId="67" applyFont="1" applyFill="1" applyAlignment="1">
      <alignment horizontal="left"/>
    </xf>
    <xf numFmtId="4" fontId="1" fillId="8" borderId="0" xfId="67" applyNumberFormat="1" applyFont="1" applyFill="1" applyAlignment="1">
      <alignment horizontal="left"/>
    </xf>
    <xf numFmtId="2" fontId="1" fillId="8" borderId="0" xfId="67" applyNumberFormat="1" applyFont="1" applyFill="1" applyAlignment="1">
      <alignment horizontal="left"/>
    </xf>
    <xf numFmtId="4" fontId="4" fillId="0" borderId="0" xfId="67" applyNumberFormat="1" applyFont="1" applyAlignment="1">
      <alignment horizontal="left"/>
    </xf>
    <xf numFmtId="4" fontId="4" fillId="9" borderId="0" xfId="67" applyNumberFormat="1" applyFont="1" applyFill="1" applyAlignment="1">
      <alignment horizontal="left"/>
    </xf>
    <xf numFmtId="4" fontId="4" fillId="6" borderId="0" xfId="67" applyNumberFormat="1" applyFont="1" applyFill="1" applyAlignment="1">
      <alignment horizontal="left"/>
    </xf>
    <xf numFmtId="4" fontId="1" fillId="10" borderId="0" xfId="67" applyNumberFormat="1" applyFont="1" applyFill="1" applyAlignment="1">
      <alignment horizontal="left"/>
    </xf>
    <xf numFmtId="3" fontId="1" fillId="10" borderId="0" xfId="67" applyNumberFormat="1" applyFont="1" applyFill="1" applyAlignment="1">
      <alignment horizontal="left"/>
    </xf>
    <xf numFmtId="3" fontId="1" fillId="10" borderId="0" xfId="67" applyNumberFormat="1" applyFont="1" applyFill="1"/>
    <xf numFmtId="0" fontId="1" fillId="10" borderId="0" xfId="67" applyFont="1" applyFill="1"/>
    <xf numFmtId="4" fontId="1" fillId="0" borderId="0" xfId="67" applyNumberFormat="1" applyFont="1"/>
    <xf numFmtId="176" fontId="6" fillId="0" borderId="0" xfId="1" applyFont="1" applyAlignment="1">
      <alignment horizontal="center"/>
    </xf>
    <xf numFmtId="0" fontId="4" fillId="0" borderId="0" xfId="0" applyFont="1" applyAlignment="1"/>
    <xf numFmtId="4" fontId="2" fillId="0" borderId="0" xfId="0" applyNumberFormat="1" applyFont="1" applyAlignment="1">
      <alignment horizontal="left"/>
    </xf>
    <xf numFmtId="176" fontId="2" fillId="0" borderId="0" xfId="1" applyFont="1" applyAlignment="1">
      <alignment horizontal="right"/>
    </xf>
    <xf numFmtId="0" fontId="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57" applyFont="1" applyAlignment="1">
      <alignment horizontal="center" vertical="center"/>
    </xf>
    <xf numFmtId="176" fontId="2" fillId="0" borderId="0" xfId="57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76" fontId="7" fillId="0" borderId="0" xfId="57" applyFont="1" applyAlignme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57" applyFont="1" applyAlignment="1">
      <alignment horizontal="right" vertical="center"/>
    </xf>
    <xf numFmtId="4" fontId="1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57" applyFont="1" applyAlignment="1">
      <alignment horizontal="center" vertical="center"/>
    </xf>
    <xf numFmtId="176" fontId="4" fillId="0" borderId="0" xfId="57" applyFont="1" applyAlignment="1">
      <alignment horizontal="right" vertical="center"/>
    </xf>
    <xf numFmtId="4" fontId="4" fillId="0" borderId="0" xfId="57" applyNumberFormat="1" applyFont="1" applyAlignment="1">
      <alignment horizontal="right" vertical="center"/>
    </xf>
    <xf numFmtId="176" fontId="1" fillId="0" borderId="0" xfId="57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76" fontId="1" fillId="0" borderId="0" xfId="57" applyFont="1" applyAlignment="1">
      <alignment horizontal="right" vertical="top"/>
    </xf>
    <xf numFmtId="176" fontId="4" fillId="0" borderId="0" xfId="0" applyNumberFormat="1" applyFont="1">
      <alignment vertical="center"/>
    </xf>
    <xf numFmtId="0" fontId="8" fillId="0" borderId="0" xfId="65" applyFont="1"/>
    <xf numFmtId="180" fontId="8" fillId="0" borderId="0" xfId="65" applyNumberFormat="1" applyFont="1"/>
    <xf numFmtId="0" fontId="9" fillId="11" borderId="1" xfId="65" applyFont="1" applyFill="1" applyBorder="1" applyAlignment="1">
      <alignment horizontal="center" vertical="center" wrapText="1"/>
    </xf>
    <xf numFmtId="0" fontId="9" fillId="11" borderId="2" xfId="65" applyFont="1" applyFill="1" applyBorder="1" applyAlignment="1">
      <alignment horizontal="center" vertical="center" wrapText="1"/>
    </xf>
    <xf numFmtId="0" fontId="9" fillId="11" borderId="3" xfId="65" applyFont="1" applyFill="1" applyBorder="1" applyAlignment="1">
      <alignment horizontal="center" vertical="center" wrapText="1"/>
    </xf>
    <xf numFmtId="0" fontId="8" fillId="12" borderId="0" xfId="65" applyFont="1" applyFill="1"/>
    <xf numFmtId="180" fontId="9" fillId="11" borderId="4" xfId="65" applyNumberFormat="1" applyFont="1" applyFill="1" applyBorder="1" applyAlignment="1">
      <alignment horizontal="center" vertical="center" wrapText="1"/>
    </xf>
    <xf numFmtId="180" fontId="8" fillId="12" borderId="0" xfId="65" applyNumberFormat="1" applyFont="1" applyFill="1"/>
    <xf numFmtId="0" fontId="8" fillId="0" borderId="1" xfId="65" applyFont="1" applyBorder="1"/>
    <xf numFmtId="0" fontId="8" fillId="0" borderId="5" xfId="65" applyFont="1" applyBorder="1" applyAlignment="1">
      <alignment vertical="center"/>
    </xf>
    <xf numFmtId="181" fontId="8" fillId="0" borderId="1" xfId="54" applyNumberFormat="1" applyFont="1" applyFill="1" applyBorder="1" applyAlignment="1">
      <alignment horizontal="center" vertical="center" wrapText="1"/>
    </xf>
    <xf numFmtId="181" fontId="10" fillId="0" borderId="0" xfId="65" applyNumberFormat="1" applyFont="1" applyAlignment="1">
      <alignment horizontal="center" vertical="center"/>
    </xf>
    <xf numFmtId="0" fontId="8" fillId="0" borderId="1" xfId="65" applyFont="1" applyBorder="1" applyAlignment="1">
      <alignment horizontal="center" vertical="center" wrapText="1"/>
    </xf>
    <xf numFmtId="180" fontId="8" fillId="0" borderId="1" xfId="65" applyNumberFormat="1" applyFont="1" applyBorder="1" applyAlignment="1">
      <alignment horizontal="center" vertical="center" wrapText="1"/>
    </xf>
    <xf numFmtId="0" fontId="11" fillId="13" borderId="2" xfId="65" applyFont="1" applyFill="1" applyBorder="1" applyAlignment="1">
      <alignment horizontal="left" wrapText="1"/>
    </xf>
    <xf numFmtId="3" fontId="11" fillId="13" borderId="6" xfId="65" applyNumberFormat="1" applyFont="1" applyFill="1" applyBorder="1" applyAlignment="1">
      <alignment horizontal="right" wrapText="1"/>
    </xf>
    <xf numFmtId="180" fontId="8" fillId="14" borderId="6" xfId="65" applyNumberFormat="1" applyFont="1" applyFill="1" applyBorder="1" applyAlignment="1">
      <alignment horizontal="right" wrapText="1"/>
    </xf>
    <xf numFmtId="0" fontId="11" fillId="14" borderId="7" xfId="65" applyFont="1" applyFill="1" applyBorder="1" applyAlignment="1">
      <alignment horizontal="left" wrapText="1"/>
    </xf>
    <xf numFmtId="0" fontId="8" fillId="14" borderId="3" xfId="65" applyFont="1" applyFill="1" applyBorder="1" applyAlignment="1">
      <alignment horizontal="right" wrapText="1"/>
    </xf>
    <xf numFmtId="180" fontId="8" fillId="14" borderId="3" xfId="65" applyNumberFormat="1" applyFont="1" applyFill="1" applyBorder="1" applyAlignment="1">
      <alignment horizontal="right" wrapText="1"/>
    </xf>
    <xf numFmtId="0" fontId="12" fillId="0" borderId="1" xfId="65" applyFont="1" applyBorder="1"/>
    <xf numFmtId="0" fontId="8" fillId="14" borderId="2" xfId="65" applyFont="1" applyFill="1" applyBorder="1" applyAlignment="1">
      <alignment horizontal="left" wrapText="1"/>
    </xf>
    <xf numFmtId="182" fontId="8" fillId="14" borderId="6" xfId="65" applyNumberFormat="1" applyFont="1" applyFill="1" applyBorder="1" applyAlignment="1">
      <alignment horizontal="right" wrapText="1"/>
    </xf>
    <xf numFmtId="183" fontId="8" fillId="14" borderId="6" xfId="65" applyNumberFormat="1" applyFont="1" applyFill="1" applyBorder="1" applyAlignment="1">
      <alignment horizontal="right" wrapText="1"/>
    </xf>
    <xf numFmtId="0" fontId="9" fillId="15" borderId="8" xfId="65" applyFont="1" applyFill="1" applyBorder="1" applyAlignment="1">
      <alignment horizontal="left" wrapText="1"/>
    </xf>
    <xf numFmtId="182" fontId="9" fillId="15" borderId="9" xfId="65" applyNumberFormat="1" applyFont="1" applyFill="1" applyBorder="1" applyAlignment="1">
      <alignment horizontal="right" wrapText="1"/>
    </xf>
    <xf numFmtId="180" fontId="9" fillId="15" borderId="9" xfId="65" applyNumberFormat="1" applyFont="1" applyFill="1" applyBorder="1" applyAlignment="1">
      <alignment horizontal="right" wrapText="1"/>
    </xf>
    <xf numFmtId="183" fontId="9" fillId="15" borderId="9" xfId="65" applyNumberFormat="1" applyFont="1" applyFill="1" applyBorder="1" applyAlignment="1">
      <alignment horizontal="right" wrapText="1"/>
    </xf>
    <xf numFmtId="0" fontId="9" fillId="15" borderId="10" xfId="65" applyFont="1" applyFill="1" applyBorder="1" applyAlignment="1">
      <alignment horizontal="left" wrapText="1"/>
    </xf>
    <xf numFmtId="182" fontId="9" fillId="15" borderId="11" xfId="65" applyNumberFormat="1" applyFont="1" applyFill="1" applyBorder="1" applyAlignment="1">
      <alignment horizontal="right" wrapText="1"/>
    </xf>
    <xf numFmtId="180" fontId="9" fillId="15" borderId="11" xfId="65" applyNumberFormat="1" applyFont="1" applyFill="1" applyBorder="1" applyAlignment="1">
      <alignment horizontal="right" wrapText="1"/>
    </xf>
    <xf numFmtId="183" fontId="9" fillId="15" borderId="11" xfId="65" applyNumberFormat="1" applyFont="1" applyFill="1" applyBorder="1" applyAlignment="1">
      <alignment horizontal="right" wrapText="1"/>
    </xf>
    <xf numFmtId="0" fontId="9" fillId="11" borderId="12" xfId="65" applyFont="1" applyFill="1" applyBorder="1" applyAlignment="1">
      <alignment horizontal="left" wrapText="1"/>
    </xf>
    <xf numFmtId="182" fontId="9" fillId="11" borderId="4" xfId="65" applyNumberFormat="1" applyFont="1" applyFill="1" applyBorder="1" applyAlignment="1">
      <alignment horizontal="right" wrapText="1"/>
    </xf>
    <xf numFmtId="180" fontId="9" fillId="11" borderId="4" xfId="65" applyNumberFormat="1" applyFont="1" applyFill="1" applyBorder="1" applyAlignment="1">
      <alignment horizontal="right" wrapText="1"/>
    </xf>
    <xf numFmtId="183" fontId="9" fillId="11" borderId="4" xfId="65" applyNumberFormat="1" applyFont="1" applyFill="1" applyBorder="1" applyAlignment="1">
      <alignment horizontal="right" wrapText="1"/>
    </xf>
    <xf numFmtId="0" fontId="9" fillId="11" borderId="8" xfId="65" applyFont="1" applyFill="1" applyBorder="1" applyAlignment="1">
      <alignment horizontal="left" wrapText="1"/>
    </xf>
    <xf numFmtId="182" fontId="9" fillId="11" borderId="9" xfId="65" applyNumberFormat="1" applyFont="1" applyFill="1" applyBorder="1" applyAlignment="1">
      <alignment horizontal="right" wrapText="1"/>
    </xf>
    <xf numFmtId="180" fontId="9" fillId="11" borderId="9" xfId="65" applyNumberFormat="1" applyFont="1" applyFill="1" applyBorder="1" applyAlignment="1">
      <alignment horizontal="right" wrapText="1"/>
    </xf>
    <xf numFmtId="183" fontId="9" fillId="11" borderId="9" xfId="65" applyNumberFormat="1" applyFont="1" applyFill="1" applyBorder="1" applyAlignment="1">
      <alignment horizontal="right" wrapText="1"/>
    </xf>
    <xf numFmtId="183" fontId="8" fillId="0" borderId="0" xfId="65" applyNumberFormat="1" applyFont="1"/>
    <xf numFmtId="0" fontId="9" fillId="16" borderId="0" xfId="65" applyFont="1" applyFill="1"/>
    <xf numFmtId="182" fontId="8" fillId="16" borderId="0" xfId="65" applyNumberFormat="1" applyFont="1" applyFill="1"/>
    <xf numFmtId="180" fontId="8" fillId="16" borderId="0" xfId="65" applyNumberFormat="1" applyFont="1" applyFill="1"/>
    <xf numFmtId="184" fontId="8" fillId="16" borderId="0" xfId="65" applyNumberFormat="1" applyFont="1" applyFill="1"/>
    <xf numFmtId="0" fontId="9" fillId="17" borderId="0" xfId="65" applyFont="1" applyFill="1"/>
    <xf numFmtId="182" fontId="8" fillId="17" borderId="0" xfId="65" applyNumberFormat="1" applyFont="1" applyFill="1"/>
    <xf numFmtId="180" fontId="8" fillId="17" borderId="0" xfId="65" applyNumberFormat="1" applyFont="1" applyFill="1"/>
    <xf numFmtId="184" fontId="8" fillId="17" borderId="0" xfId="65" applyNumberFormat="1" applyFont="1" applyFill="1"/>
    <xf numFmtId="0" fontId="9" fillId="9" borderId="0" xfId="65" applyFont="1" applyFill="1"/>
    <xf numFmtId="182" fontId="8" fillId="9" borderId="0" xfId="65" applyNumberFormat="1" applyFont="1" applyFill="1"/>
    <xf numFmtId="180" fontId="8" fillId="9" borderId="0" xfId="65" applyNumberFormat="1" applyFont="1" applyFill="1"/>
    <xf numFmtId="184" fontId="8" fillId="9" borderId="0" xfId="65" applyNumberFormat="1" applyFont="1" applyFill="1"/>
    <xf numFmtId="182" fontId="8" fillId="0" borderId="0" xfId="65" applyNumberFormat="1" applyFont="1"/>
    <xf numFmtId="184" fontId="8" fillId="0" borderId="0" xfId="65" applyNumberFormat="1" applyFont="1"/>
    <xf numFmtId="0" fontId="12" fillId="16" borderId="1" xfId="65" applyFont="1" applyFill="1" applyBorder="1"/>
    <xf numFmtId="182" fontId="12" fillId="16" borderId="0" xfId="65" applyNumberFormat="1" applyFont="1" applyFill="1"/>
    <xf numFmtId="184" fontId="12" fillId="16" borderId="0" xfId="65" applyNumberFormat="1" applyFont="1" applyFill="1"/>
    <xf numFmtId="0" fontId="8" fillId="17" borderId="1" xfId="65" applyFont="1" applyFill="1" applyBorder="1"/>
    <xf numFmtId="0" fontId="8" fillId="9" borderId="1" xfId="65" applyFont="1" applyFill="1" applyBorder="1"/>
    <xf numFmtId="0" fontId="0" fillId="18" borderId="0" xfId="0" applyFill="1" applyAlignment="1"/>
    <xf numFmtId="0" fontId="0" fillId="17" borderId="0" xfId="0" applyFill="1" applyAlignment="1"/>
    <xf numFmtId="0" fontId="13" fillId="19" borderId="0" xfId="0" applyFont="1" applyFill="1">
      <alignment vertical="center"/>
    </xf>
    <xf numFmtId="0" fontId="14" fillId="19" borderId="0" xfId="0" applyFont="1" applyFill="1">
      <alignment vertical="center"/>
    </xf>
    <xf numFmtId="0" fontId="15" fillId="0" borderId="0" xfId="0" applyFont="1">
      <alignment vertical="center"/>
    </xf>
    <xf numFmtId="0" fontId="16" fillId="19" borderId="0" xfId="0" applyFont="1" applyFill="1">
      <alignment vertical="center"/>
    </xf>
    <xf numFmtId="0" fontId="17" fillId="19" borderId="0" xfId="0" applyFont="1" applyFill="1">
      <alignment vertical="center"/>
    </xf>
    <xf numFmtId="0" fontId="15" fillId="19" borderId="0" xfId="60" applyFont="1" applyFill="1"/>
    <xf numFmtId="0" fontId="15" fillId="19" borderId="0" xfId="6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19" borderId="0" xfId="0" applyFont="1" applyFill="1">
      <alignment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60" applyFont="1"/>
    <xf numFmtId="4" fontId="13" fillId="0" borderId="0" xfId="0" applyNumberFormat="1" applyFont="1" applyAlignment="1">
      <alignment horizontal="center" vertical="center"/>
    </xf>
    <xf numFmtId="3" fontId="14" fillId="20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3" fontId="13" fillId="21" borderId="0" xfId="0" applyNumberFormat="1" applyFont="1" applyFill="1" applyAlignment="1">
      <alignment horizontal="center" vertical="center"/>
    </xf>
    <xf numFmtId="4" fontId="13" fillId="19" borderId="0" xfId="0" applyNumberFormat="1" applyFont="1" applyFill="1">
      <alignment vertical="center"/>
    </xf>
    <xf numFmtId="185" fontId="13" fillId="0" borderId="0" xfId="0" applyNumberFormat="1" applyFont="1" applyAlignment="1">
      <alignment horizontal="center" vertical="center"/>
    </xf>
    <xf numFmtId="2" fontId="13" fillId="19" borderId="0" xfId="0" applyNumberFormat="1" applyFont="1" applyFill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186" fontId="15" fillId="0" borderId="13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0" fontId="15" fillId="0" borderId="15" xfId="0" applyFont="1" applyBorder="1">
      <alignment vertical="center"/>
    </xf>
    <xf numFmtId="3" fontId="15" fillId="0" borderId="16" xfId="0" applyNumberFormat="1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center" vertical="center"/>
    </xf>
    <xf numFmtId="186" fontId="15" fillId="0" borderId="18" xfId="0" applyNumberFormat="1" applyFont="1" applyBorder="1" applyAlignment="1">
      <alignment horizontal="center" vertical="center"/>
    </xf>
    <xf numFmtId="0" fontId="14" fillId="19" borderId="19" xfId="0" applyFont="1" applyFill="1" applyBorder="1">
      <alignment vertical="center"/>
    </xf>
    <xf numFmtId="0" fontId="14" fillId="19" borderId="20" xfId="0" applyFont="1" applyFill="1" applyBorder="1">
      <alignment vertical="center"/>
    </xf>
    <xf numFmtId="0" fontId="14" fillId="19" borderId="5" xfId="0" applyFont="1" applyFill="1" applyBorder="1">
      <alignment vertical="center"/>
    </xf>
    <xf numFmtId="3" fontId="14" fillId="0" borderId="1" xfId="0" applyNumberFormat="1" applyFont="1" applyBorder="1" applyAlignment="1">
      <alignment horizontal="center" vertical="center"/>
    </xf>
    <xf numFmtId="186" fontId="14" fillId="0" borderId="1" xfId="0" applyNumberFormat="1" applyFont="1" applyBorder="1" applyAlignment="1">
      <alignment horizontal="center" vertical="center"/>
    </xf>
    <xf numFmtId="0" fontId="14" fillId="0" borderId="15" xfId="0" applyFont="1" applyBorder="1">
      <alignment vertical="center"/>
    </xf>
    <xf numFmtId="3" fontId="14" fillId="0" borderId="5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15" xfId="0" applyFont="1" applyBorder="1">
      <alignment vertical="center"/>
    </xf>
    <xf numFmtId="0" fontId="16" fillId="0" borderId="0" xfId="0" applyFont="1">
      <alignment vertical="center"/>
    </xf>
    <xf numFmtId="0" fontId="13" fillId="0" borderId="15" xfId="0" applyFont="1" applyBorder="1">
      <alignment vertical="center"/>
    </xf>
    <xf numFmtId="0" fontId="15" fillId="19" borderId="0" xfId="0" applyFont="1" applyFill="1" applyAlignment="1">
      <alignment horizontal="left" vertical="center"/>
    </xf>
    <xf numFmtId="0" fontId="17" fillId="22" borderId="0" xfId="0" applyFont="1" applyFill="1" applyAlignment="1">
      <alignment horizontal="left" vertical="center"/>
    </xf>
    <xf numFmtId="3" fontId="17" fillId="22" borderId="21" xfId="0" applyNumberFormat="1" applyFont="1" applyFill="1" applyBorder="1" applyAlignment="1">
      <alignment horizontal="center" vertical="center"/>
    </xf>
    <xf numFmtId="186" fontId="17" fillId="22" borderId="21" xfId="0" applyNumberFormat="1" applyFont="1" applyFill="1" applyBorder="1" applyAlignment="1">
      <alignment horizontal="center" vertical="center"/>
    </xf>
    <xf numFmtId="186" fontId="17" fillId="22" borderId="22" xfId="0" applyNumberFormat="1" applyFont="1" applyFill="1" applyBorder="1" applyAlignment="1">
      <alignment horizontal="center" vertical="center"/>
    </xf>
    <xf numFmtId="0" fontId="17" fillId="19" borderId="15" xfId="0" applyFont="1" applyFill="1" applyBorder="1">
      <alignment vertical="center"/>
    </xf>
    <xf numFmtId="3" fontId="17" fillId="22" borderId="23" xfId="0" applyNumberFormat="1" applyFont="1" applyFill="1" applyBorder="1" applyAlignment="1">
      <alignment horizontal="center" vertical="center"/>
    </xf>
    <xf numFmtId="186" fontId="15" fillId="0" borderId="0" xfId="0" applyNumberFormat="1" applyFont="1" applyAlignment="1">
      <alignment horizontal="center" vertical="center"/>
    </xf>
    <xf numFmtId="3" fontId="15" fillId="19" borderId="0" xfId="0" applyNumberFormat="1" applyFont="1" applyFill="1">
      <alignment vertical="center"/>
    </xf>
    <xf numFmtId="0" fontId="15" fillId="0" borderId="0" xfId="66"/>
    <xf numFmtId="187" fontId="15" fillId="0" borderId="16" xfId="1" applyNumberFormat="1" applyFont="1" applyBorder="1"/>
    <xf numFmtId="188" fontId="15" fillId="0" borderId="17" xfId="1" applyNumberFormat="1" applyFont="1" applyBorder="1" applyAlignment="1">
      <alignment horizontal="center" vertical="center"/>
    </xf>
    <xf numFmtId="188" fontId="15" fillId="0" borderId="18" xfId="1" applyNumberFormat="1" applyFont="1" applyBorder="1" applyAlignment="1">
      <alignment horizontal="center" vertical="center"/>
    </xf>
    <xf numFmtId="187" fontId="15" fillId="19" borderId="0" xfId="0" applyNumberFormat="1" applyFont="1" applyFill="1">
      <alignment vertical="center"/>
    </xf>
    <xf numFmtId="187" fontId="15" fillId="0" borderId="16" xfId="66" applyNumberFormat="1" applyBorder="1"/>
    <xf numFmtId="188" fontId="15" fillId="0" borderId="16" xfId="66" applyNumberFormat="1" applyBorder="1"/>
    <xf numFmtId="188" fontId="15" fillId="19" borderId="0" xfId="0" applyNumberFormat="1" applyFont="1" applyFill="1">
      <alignment vertical="center"/>
    </xf>
    <xf numFmtId="187" fontId="15" fillId="0" borderId="14" xfId="1" applyNumberFormat="1" applyFont="1" applyBorder="1"/>
    <xf numFmtId="188" fontId="15" fillId="0" borderId="0" xfId="1" applyNumberFormat="1" applyFont="1" applyBorder="1" applyAlignment="1">
      <alignment horizontal="center" vertical="center"/>
    </xf>
    <xf numFmtId="188" fontId="15" fillId="0" borderId="13" xfId="1" applyNumberFormat="1" applyFont="1" applyBorder="1" applyAlignment="1">
      <alignment horizontal="center" vertical="center"/>
    </xf>
    <xf numFmtId="187" fontId="15" fillId="0" borderId="14" xfId="66" applyNumberFormat="1" applyBorder="1"/>
    <xf numFmtId="188" fontId="15" fillId="0" borderId="14" xfId="66" applyNumberFormat="1" applyBorder="1"/>
    <xf numFmtId="187" fontId="15" fillId="0" borderId="14" xfId="55" applyNumberFormat="1" applyFont="1" applyBorder="1"/>
    <xf numFmtId="188" fontId="15" fillId="0" borderId="14" xfId="55" applyNumberFormat="1" applyFont="1" applyBorder="1"/>
    <xf numFmtId="188" fontId="15" fillId="0" borderId="21" xfId="55" applyNumberFormat="1" applyFont="1" applyBorder="1"/>
    <xf numFmtId="188" fontId="15" fillId="0" borderId="23" xfId="1" applyNumberFormat="1" applyFont="1" applyBorder="1" applyAlignment="1">
      <alignment horizontal="center" vertical="center"/>
    </xf>
    <xf numFmtId="188" fontId="15" fillId="0" borderId="24" xfId="1" applyNumberFormat="1" applyFont="1" applyBorder="1" applyAlignment="1">
      <alignment horizontal="center" vertical="center"/>
    </xf>
    <xf numFmtId="187" fontId="15" fillId="0" borderId="21" xfId="1" applyNumberFormat="1" applyFont="1" applyBorder="1"/>
    <xf numFmtId="187" fontId="15" fillId="0" borderId="21" xfId="66" applyNumberFormat="1" applyBorder="1"/>
    <xf numFmtId="0" fontId="15" fillId="0" borderId="21" xfId="66" applyBorder="1"/>
    <xf numFmtId="3" fontId="15" fillId="0" borderId="23" xfId="0" applyNumberFormat="1" applyFont="1" applyBorder="1" applyAlignment="1">
      <alignment horizontal="center" vertical="center"/>
    </xf>
    <xf numFmtId="186" fontId="15" fillId="0" borderId="24" xfId="0" applyNumberFormat="1" applyFont="1" applyBorder="1" applyAlignment="1">
      <alignment horizontal="center" vertical="center"/>
    </xf>
    <xf numFmtId="0" fontId="15" fillId="0" borderId="23" xfId="66" applyBorder="1"/>
    <xf numFmtId="0" fontId="15" fillId="0" borderId="24" xfId="66" applyBorder="1"/>
    <xf numFmtId="3" fontId="15" fillId="0" borderId="21" xfId="0" applyNumberFormat="1" applyFont="1" applyBorder="1" applyAlignment="1">
      <alignment horizontal="center" vertical="center"/>
    </xf>
    <xf numFmtId="0" fontId="17" fillId="22" borderId="0" xfId="0" applyFont="1" applyFill="1">
      <alignment vertical="center"/>
    </xf>
    <xf numFmtId="0" fontId="17" fillId="22" borderId="21" xfId="0" applyFont="1" applyFill="1" applyBorder="1">
      <alignment vertical="center"/>
    </xf>
    <xf numFmtId="0" fontId="17" fillId="22" borderId="23" xfId="0" applyFont="1" applyFill="1" applyBorder="1">
      <alignment vertical="center"/>
    </xf>
    <xf numFmtId="186" fontId="17" fillId="22" borderId="24" xfId="0" applyNumberFormat="1" applyFont="1" applyFill="1" applyBorder="1" applyAlignment="1">
      <alignment horizontal="center" vertical="center"/>
    </xf>
    <xf numFmtId="3" fontId="17" fillId="19" borderId="0" xfId="0" applyNumberFormat="1" applyFont="1" applyFill="1">
      <alignment vertical="center"/>
    </xf>
    <xf numFmtId="0" fontId="15" fillId="0" borderId="14" xfId="0" applyFont="1" applyBorder="1">
      <alignment vertical="center"/>
    </xf>
    <xf numFmtId="3" fontId="15" fillId="19" borderId="16" xfId="0" applyNumberFormat="1" applyFont="1" applyFill="1" applyBorder="1" applyAlignment="1">
      <alignment horizontal="center" vertical="center"/>
    </xf>
    <xf numFmtId="3" fontId="15" fillId="19" borderId="17" xfId="0" applyNumberFormat="1" applyFont="1" applyFill="1" applyBorder="1" applyAlignment="1">
      <alignment horizontal="center" vertical="center"/>
    </xf>
    <xf numFmtId="3" fontId="15" fillId="19" borderId="0" xfId="0" applyNumberFormat="1" applyFont="1" applyFill="1" applyAlignment="1">
      <alignment horizontal="center" vertical="center"/>
    </xf>
    <xf numFmtId="3" fontId="15" fillId="19" borderId="14" xfId="0" applyNumberFormat="1" applyFont="1" applyFill="1" applyBorder="1" applyAlignment="1">
      <alignment horizontal="center" vertical="center"/>
    </xf>
    <xf numFmtId="3" fontId="17" fillId="22" borderId="0" xfId="0" applyNumberFormat="1" applyFont="1" applyFill="1" applyAlignment="1">
      <alignment horizontal="center" vertical="center"/>
    </xf>
    <xf numFmtId="4" fontId="17" fillId="22" borderId="0" xfId="0" applyNumberFormat="1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7" fillId="22" borderId="16" xfId="60" applyFont="1" applyFill="1" applyBorder="1"/>
    <xf numFmtId="0" fontId="17" fillId="23" borderId="17" xfId="60" applyFont="1" applyFill="1" applyBorder="1" applyAlignment="1">
      <alignment horizontal="center"/>
    </xf>
    <xf numFmtId="0" fontId="17" fillId="23" borderId="18" xfId="60" applyFont="1" applyFill="1" applyBorder="1" applyAlignment="1">
      <alignment horizontal="center"/>
    </xf>
    <xf numFmtId="0" fontId="15" fillId="0" borderId="0" xfId="60" applyFont="1"/>
    <xf numFmtId="0" fontId="14" fillId="24" borderId="14" xfId="102" applyFont="1" applyFill="1" applyBorder="1"/>
    <xf numFmtId="3" fontId="15" fillId="25" borderId="0" xfId="60" applyNumberFormat="1" applyFont="1" applyFill="1" applyAlignment="1">
      <alignment horizontal="center"/>
    </xf>
    <xf numFmtId="4" fontId="15" fillId="25" borderId="13" xfId="60" applyNumberFormat="1" applyFont="1" applyFill="1" applyBorder="1" applyAlignment="1">
      <alignment horizontal="center"/>
    </xf>
    <xf numFmtId="0" fontId="15" fillId="0" borderId="0" xfId="60" applyFont="1" applyAlignment="1">
      <alignment horizontal="center"/>
    </xf>
    <xf numFmtId="0" fontId="14" fillId="26" borderId="14" xfId="102" applyFont="1" applyFill="1" applyBorder="1"/>
    <xf numFmtId="3" fontId="15" fillId="5" borderId="0" xfId="60" applyNumberFormat="1" applyFont="1" applyFill="1" applyAlignment="1">
      <alignment horizontal="center"/>
    </xf>
    <xf numFmtId="4" fontId="15" fillId="5" borderId="13" xfId="60" applyNumberFormat="1" applyFont="1" applyFill="1" applyBorder="1" applyAlignment="1">
      <alignment horizontal="center"/>
    </xf>
    <xf numFmtId="0" fontId="14" fillId="27" borderId="14" xfId="102" applyFont="1" applyFill="1" applyBorder="1"/>
    <xf numFmtId="3" fontId="15" fillId="7" borderId="0" xfId="60" applyNumberFormat="1" applyFont="1" applyFill="1" applyAlignment="1">
      <alignment horizontal="center"/>
    </xf>
    <xf numFmtId="4" fontId="15" fillId="7" borderId="13" xfId="60" applyNumberFormat="1" applyFont="1" applyFill="1" applyBorder="1" applyAlignment="1">
      <alignment horizontal="center"/>
    </xf>
    <xf numFmtId="0" fontId="17" fillId="22" borderId="21" xfId="102" applyFont="1" applyFill="1" applyBorder="1" applyAlignment="1">
      <alignment horizontal="left"/>
    </xf>
    <xf numFmtId="4" fontId="19" fillId="22" borderId="23" xfId="60" applyNumberFormat="1" applyFont="1" applyFill="1" applyBorder="1" applyAlignment="1">
      <alignment horizontal="center"/>
    </xf>
    <xf numFmtId="4" fontId="19" fillId="22" borderId="24" xfId="60" applyNumberFormat="1" applyFont="1" applyFill="1" applyBorder="1" applyAlignment="1">
      <alignment horizontal="center"/>
    </xf>
    <xf numFmtId="0" fontId="16" fillId="0" borderId="16" xfId="102" applyFont="1" applyBorder="1"/>
    <xf numFmtId="0" fontId="16" fillId="0" borderId="17" xfId="102" applyFont="1" applyBorder="1"/>
    <xf numFmtId="0" fontId="15" fillId="0" borderId="18" xfId="0" applyFont="1" applyBorder="1" applyAlignment="1">
      <alignment horizontal="center" vertical="center"/>
    </xf>
    <xf numFmtId="0" fontId="16" fillId="24" borderId="14" xfId="102" applyFont="1" applyFill="1" applyBorder="1"/>
    <xf numFmtId="3" fontId="16" fillId="24" borderId="0" xfId="102" applyNumberFormat="1" applyFont="1" applyFill="1" applyAlignment="1">
      <alignment horizontal="center"/>
    </xf>
    <xf numFmtId="3" fontId="16" fillId="24" borderId="13" xfId="102" applyNumberFormat="1" applyFont="1" applyFill="1" applyBorder="1" applyAlignment="1">
      <alignment horizontal="center"/>
    </xf>
    <xf numFmtId="0" fontId="16" fillId="26" borderId="14" xfId="102" applyFont="1" applyFill="1" applyBorder="1"/>
    <xf numFmtId="3" fontId="16" fillId="26" borderId="0" xfId="102" applyNumberFormat="1" applyFont="1" applyFill="1" applyAlignment="1">
      <alignment horizontal="center"/>
    </xf>
    <xf numFmtId="3" fontId="16" fillId="26" borderId="13" xfId="102" applyNumberFormat="1" applyFont="1" applyFill="1" applyBorder="1" applyAlignment="1">
      <alignment horizontal="center"/>
    </xf>
    <xf numFmtId="0" fontId="16" fillId="27" borderId="14" xfId="102" applyFont="1" applyFill="1" applyBorder="1"/>
    <xf numFmtId="3" fontId="16" fillId="27" borderId="0" xfId="102" applyNumberFormat="1" applyFont="1" applyFill="1" applyAlignment="1">
      <alignment horizontal="center"/>
    </xf>
    <xf numFmtId="3" fontId="16" fillId="27" borderId="13" xfId="102" applyNumberFormat="1" applyFont="1" applyFill="1" applyBorder="1" applyAlignment="1">
      <alignment horizontal="center"/>
    </xf>
    <xf numFmtId="0" fontId="16" fillId="0" borderId="14" xfId="102" applyFont="1" applyBorder="1"/>
    <xf numFmtId="0" fontId="16" fillId="0" borderId="0" xfId="102" applyFont="1" applyAlignment="1">
      <alignment horizontal="center"/>
    </xf>
    <xf numFmtId="0" fontId="16" fillId="0" borderId="13" xfId="102" applyFont="1" applyBorder="1" applyAlignment="1">
      <alignment horizontal="center"/>
    </xf>
    <xf numFmtId="0" fontId="14" fillId="28" borderId="21" xfId="102" applyFont="1" applyFill="1" applyBorder="1"/>
    <xf numFmtId="1" fontId="14" fillId="28" borderId="23" xfId="102" applyNumberFormat="1" applyFont="1" applyFill="1" applyBorder="1" applyAlignment="1">
      <alignment horizontal="center"/>
    </xf>
    <xf numFmtId="2" fontId="14" fillId="28" borderId="24" xfId="102" applyNumberFormat="1" applyFont="1" applyFill="1" applyBorder="1" applyAlignment="1">
      <alignment horizontal="center"/>
    </xf>
    <xf numFmtId="0" fontId="15" fillId="19" borderId="0" xfId="60" applyFill="1"/>
    <xf numFmtId="0" fontId="15" fillId="19" borderId="0" xfId="60" applyFill="1" applyAlignment="1">
      <alignment horizontal="center"/>
    </xf>
    <xf numFmtId="4" fontId="0" fillId="19" borderId="0" xfId="0" applyNumberFormat="1" applyFill="1">
      <alignment vertical="center"/>
    </xf>
    <xf numFmtId="0" fontId="0" fillId="1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1" applyFont="1" applyFill="1" applyAlignment="1">
      <alignment vertical="center"/>
    </xf>
    <xf numFmtId="176" fontId="0" fillId="19" borderId="0" xfId="1" applyFont="1" applyFill="1" applyAlignment="1">
      <alignment vertical="center"/>
    </xf>
    <xf numFmtId="0" fontId="0" fillId="19" borderId="0" xfId="0" applyFill="1">
      <alignment vertical="center"/>
    </xf>
    <xf numFmtId="3" fontId="20" fillId="20" borderId="0" xfId="0" applyNumberFormat="1" applyFont="1" applyFill="1" applyAlignment="1">
      <alignment horizontal="center" vertical="center"/>
    </xf>
    <xf numFmtId="176" fontId="13" fillId="0" borderId="0" xfId="1" applyFont="1" applyFill="1" applyAlignment="1">
      <alignment horizontal="center" vertical="center"/>
    </xf>
    <xf numFmtId="176" fontId="13" fillId="19" borderId="0" xfId="1" applyFont="1" applyFill="1" applyAlignment="1">
      <alignment horizontal="center" vertical="center"/>
    </xf>
    <xf numFmtId="176" fontId="13" fillId="0" borderId="0" xfId="1" applyFont="1" applyFill="1" applyAlignment="1">
      <alignment vertical="center"/>
    </xf>
    <xf numFmtId="176" fontId="13" fillId="19" borderId="0" xfId="1" applyFont="1" applyFill="1" applyAlignment="1">
      <alignment vertical="center"/>
    </xf>
    <xf numFmtId="0" fontId="17" fillId="2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86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86" fontId="0" fillId="0" borderId="15" xfId="0" applyNumberFormat="1" applyBorder="1" applyAlignment="1">
      <alignment horizontal="center" vertical="center"/>
    </xf>
    <xf numFmtId="3" fontId="14" fillId="19" borderId="0" xfId="0" applyNumberFormat="1" applyFont="1" applyFill="1">
      <alignment vertical="center"/>
    </xf>
    <xf numFmtId="3" fontId="14" fillId="0" borderId="20" xfId="0" applyNumberFormat="1" applyFont="1" applyBorder="1" applyAlignment="1">
      <alignment horizontal="center" vertical="center"/>
    </xf>
    <xf numFmtId="176" fontId="15" fillId="0" borderId="0" xfId="1" applyFont="1" applyFill="1" applyAlignment="1">
      <alignment vertical="center"/>
    </xf>
    <xf numFmtId="186" fontId="15" fillId="0" borderId="15" xfId="0" applyNumberFormat="1" applyFont="1" applyBorder="1" applyAlignment="1">
      <alignment horizontal="center" vertical="center"/>
    </xf>
    <xf numFmtId="176" fontId="15" fillId="19" borderId="0" xfId="1" applyFont="1" applyFill="1" applyAlignment="1">
      <alignment vertical="center"/>
    </xf>
    <xf numFmtId="49" fontId="21" fillId="0" borderId="15" xfId="68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4" fontId="0" fillId="19" borderId="0" xfId="1" applyNumberFormat="1" applyFont="1" applyFill="1" applyAlignment="1">
      <alignment vertical="center"/>
    </xf>
    <xf numFmtId="0" fontId="15" fillId="19" borderId="0" xfId="0" applyFont="1" applyFill="1" applyAlignment="1">
      <alignment horizontal="center" vertical="center"/>
    </xf>
    <xf numFmtId="49" fontId="15" fillId="0" borderId="0" xfId="0" applyNumberFormat="1" applyFont="1" applyAlignment="1">
      <alignment horizontal="left"/>
    </xf>
    <xf numFmtId="0" fontId="16" fillId="19" borderId="0" xfId="0" applyFont="1" applyFill="1" applyAlignment="1">
      <alignment horizontal="center" vertical="center"/>
    </xf>
    <xf numFmtId="186" fontId="0" fillId="0" borderId="25" xfId="0" applyNumberFormat="1" applyBorder="1" applyAlignment="1">
      <alignment horizontal="center" vertical="center"/>
    </xf>
    <xf numFmtId="186" fontId="0" fillId="0" borderId="22" xfId="0" applyNumberFormat="1" applyBorder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7" fillId="19" borderId="0" xfId="0" applyFont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3" fontId="0" fillId="19" borderId="0" xfId="0" applyNumberFormat="1" applyFill="1">
      <alignment vertical="center"/>
    </xf>
    <xf numFmtId="4" fontId="0" fillId="0" borderId="0" xfId="0" applyNumberFormat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19" borderId="17" xfId="0" applyNumberFormat="1" applyFill="1" applyBorder="1" applyAlignment="1">
      <alignment horizontal="center" vertical="center"/>
    </xf>
    <xf numFmtId="186" fontId="0" fillId="0" borderId="18" xfId="0" applyNumberFormat="1" applyBorder="1" applyAlignment="1">
      <alignment horizontal="center" vertical="center"/>
    </xf>
    <xf numFmtId="3" fontId="0" fillId="19" borderId="16" xfId="0" applyNumberFormat="1" applyFill="1" applyBorder="1" applyAlignment="1">
      <alignment horizontal="center" vertical="center"/>
    </xf>
    <xf numFmtId="0" fontId="0" fillId="0" borderId="14" xfId="0" applyBorder="1">
      <alignment vertical="center"/>
    </xf>
    <xf numFmtId="3" fontId="0" fillId="19" borderId="0" xfId="0" applyNumberFormat="1" applyFill="1" applyAlignment="1">
      <alignment horizontal="center" vertical="center"/>
    </xf>
    <xf numFmtId="3" fontId="0" fillId="19" borderId="14" xfId="0" applyNumberFormat="1" applyFill="1" applyBorder="1" applyAlignment="1">
      <alignment horizontal="center" vertical="center"/>
    </xf>
    <xf numFmtId="186" fontId="0" fillId="0" borderId="24" xfId="0" applyNumberFormat="1" applyBorder="1" applyAlignment="1">
      <alignment horizontal="center" vertical="center"/>
    </xf>
    <xf numFmtId="3" fontId="14" fillId="19" borderId="1" xfId="0" applyNumberFormat="1" applyFont="1" applyFill="1" applyBorder="1" applyAlignment="1">
      <alignment horizontal="center" vertical="center"/>
    </xf>
    <xf numFmtId="186" fontId="14" fillId="19" borderId="1" xfId="0" applyNumberFormat="1" applyFont="1" applyFill="1" applyBorder="1" applyAlignment="1">
      <alignment horizontal="center" vertical="center"/>
    </xf>
    <xf numFmtId="0" fontId="16" fillId="19" borderId="14" xfId="0" applyFont="1" applyFill="1" applyBorder="1">
      <alignment vertical="center"/>
    </xf>
    <xf numFmtId="3" fontId="14" fillId="19" borderId="0" xfId="0" applyNumberFormat="1" applyFont="1" applyFill="1" applyAlignment="1">
      <alignment horizontal="center" vertical="center"/>
    </xf>
    <xf numFmtId="186" fontId="14" fillId="19" borderId="13" xfId="0" applyNumberFormat="1" applyFont="1" applyFill="1" applyBorder="1" applyAlignment="1">
      <alignment horizontal="center" vertical="center"/>
    </xf>
    <xf numFmtId="3" fontId="14" fillId="19" borderId="14" xfId="0" applyNumberFormat="1" applyFont="1" applyFill="1" applyBorder="1" applyAlignment="1">
      <alignment horizontal="center" vertical="center"/>
    </xf>
    <xf numFmtId="176" fontId="17" fillId="19" borderId="0" xfId="1" applyFont="1" applyFill="1" applyAlignment="1">
      <alignment vertical="center"/>
    </xf>
    <xf numFmtId="176" fontId="17" fillId="0" borderId="0" xfId="1" applyFont="1" applyFill="1" applyAlignment="1">
      <alignment vertical="center"/>
    </xf>
    <xf numFmtId="4" fontId="17" fillId="22" borderId="21" xfId="0" applyNumberFormat="1" applyFont="1" applyFill="1" applyBorder="1" applyAlignment="1">
      <alignment horizontal="center" vertical="center"/>
    </xf>
    <xf numFmtId="176" fontId="0" fillId="0" borderId="0" xfId="1" applyFont="1" applyAlignment="1">
      <alignment horizontal="center" vertical="center"/>
    </xf>
    <xf numFmtId="4" fontId="0" fillId="0" borderId="0" xfId="0" applyNumberFormat="1">
      <alignment vertical="center"/>
    </xf>
    <xf numFmtId="0" fontId="22" fillId="19" borderId="0" xfId="60" applyFont="1" applyFill="1" applyAlignment="1">
      <alignment horizontal="center"/>
    </xf>
    <xf numFmtId="176" fontId="22" fillId="19" borderId="0" xfId="1" applyFont="1" applyFill="1" applyAlignment="1">
      <alignment horizontal="center"/>
    </xf>
    <xf numFmtId="0" fontId="23" fillId="23" borderId="17" xfId="60" applyFont="1" applyFill="1" applyBorder="1" applyAlignment="1">
      <alignment horizontal="center"/>
    </xf>
    <xf numFmtId="0" fontId="23" fillId="23" borderId="18" xfId="60" applyFont="1" applyFill="1" applyBorder="1" applyAlignment="1">
      <alignment horizontal="center"/>
    </xf>
    <xf numFmtId="176" fontId="15" fillId="0" borderId="0" xfId="1" applyFont="1" applyFill="1"/>
    <xf numFmtId="176" fontId="15" fillId="0" borderId="0" xfId="1" applyFont="1"/>
    <xf numFmtId="0" fontId="15" fillId="0" borderId="0" xfId="60"/>
    <xf numFmtId="4" fontId="22" fillId="19" borderId="0" xfId="60" applyNumberFormat="1" applyFont="1" applyFill="1" applyAlignment="1">
      <alignment horizontal="center"/>
    </xf>
    <xf numFmtId="0" fontId="24" fillId="24" borderId="14" xfId="102" applyFont="1" applyFill="1" applyBorder="1"/>
    <xf numFmtId="3" fontId="15" fillId="25" borderId="0" xfId="60" applyNumberFormat="1" applyFill="1" applyAlignment="1">
      <alignment horizontal="center"/>
    </xf>
    <xf numFmtId="4" fontId="15" fillId="25" borderId="13" xfId="60" applyNumberFormat="1" applyFill="1" applyBorder="1" applyAlignment="1">
      <alignment horizontal="center"/>
    </xf>
    <xf numFmtId="176" fontId="15" fillId="0" borderId="0" xfId="1" applyFont="1" applyFill="1" applyAlignment="1">
      <alignment horizontal="center"/>
    </xf>
    <xf numFmtId="176" fontId="15" fillId="0" borderId="0" xfId="1" applyFont="1" applyAlignment="1">
      <alignment horizontal="center"/>
    </xf>
    <xf numFmtId="0" fontId="15" fillId="0" borderId="0" xfId="60" applyAlignment="1">
      <alignment horizontal="center"/>
    </xf>
    <xf numFmtId="0" fontId="24" fillId="26" borderId="14" xfId="102" applyFont="1" applyFill="1" applyBorder="1"/>
    <xf numFmtId="3" fontId="15" fillId="5" borderId="0" xfId="60" applyNumberFormat="1" applyFill="1" applyAlignment="1">
      <alignment horizontal="center"/>
    </xf>
    <xf numFmtId="4" fontId="15" fillId="5" borderId="13" xfId="60" applyNumberFormat="1" applyFill="1" applyBorder="1" applyAlignment="1">
      <alignment horizontal="center"/>
    </xf>
    <xf numFmtId="0" fontId="24" fillId="27" borderId="14" xfId="102" applyFont="1" applyFill="1" applyBorder="1"/>
    <xf numFmtId="3" fontId="15" fillId="7" borderId="0" xfId="60" applyNumberFormat="1" applyFill="1" applyAlignment="1">
      <alignment horizontal="center"/>
    </xf>
    <xf numFmtId="4" fontId="15" fillId="7" borderId="13" xfId="60" applyNumberFormat="1" applyFill="1" applyBorder="1" applyAlignment="1">
      <alignment horizontal="center"/>
    </xf>
    <xf numFmtId="0" fontId="25" fillId="22" borderId="21" xfId="102" applyFont="1" applyFill="1" applyBorder="1" applyAlignment="1">
      <alignment horizontal="left"/>
    </xf>
    <xf numFmtId="3" fontId="19" fillId="22" borderId="23" xfId="60" applyNumberFormat="1" applyFont="1" applyFill="1" applyBorder="1" applyAlignment="1">
      <alignment horizontal="center"/>
    </xf>
    <xf numFmtId="0" fontId="26" fillId="0" borderId="16" xfId="102" applyFont="1" applyBorder="1"/>
    <xf numFmtId="0" fontId="26" fillId="0" borderId="17" xfId="102" applyFont="1" applyBorder="1"/>
    <xf numFmtId="0" fontId="0" fillId="0" borderId="18" xfId="0" applyBorder="1" applyAlignment="1">
      <alignment horizontal="center" vertical="center"/>
    </xf>
    <xf numFmtId="0" fontId="27" fillId="24" borderId="14" xfId="102" applyFont="1" applyFill="1" applyBorder="1"/>
    <xf numFmtId="3" fontId="27" fillId="24" borderId="0" xfId="102" applyNumberFormat="1" applyFont="1" applyFill="1" applyAlignment="1">
      <alignment horizontal="center"/>
    </xf>
    <xf numFmtId="3" fontId="27" fillId="24" borderId="13" xfId="102" applyNumberFormat="1" applyFont="1" applyFill="1" applyBorder="1" applyAlignment="1">
      <alignment horizontal="center"/>
    </xf>
    <xf numFmtId="0" fontId="27" fillId="26" borderId="14" xfId="102" applyFont="1" applyFill="1" applyBorder="1"/>
    <xf numFmtId="3" fontId="27" fillId="26" borderId="0" xfId="102" applyNumberFormat="1" applyFont="1" applyFill="1" applyAlignment="1">
      <alignment horizontal="center"/>
    </xf>
    <xf numFmtId="3" fontId="27" fillId="26" borderId="13" xfId="102" applyNumberFormat="1" applyFont="1" applyFill="1" applyBorder="1" applyAlignment="1">
      <alignment horizontal="center"/>
    </xf>
    <xf numFmtId="0" fontId="26" fillId="27" borderId="14" xfId="102" applyFont="1" applyFill="1" applyBorder="1"/>
    <xf numFmtId="3" fontId="26" fillId="27" borderId="0" xfId="102" applyNumberFormat="1" applyFont="1" applyFill="1" applyAlignment="1">
      <alignment horizontal="center"/>
    </xf>
    <xf numFmtId="3" fontId="26" fillId="27" borderId="13" xfId="102" applyNumberFormat="1" applyFont="1" applyFill="1" applyBorder="1" applyAlignment="1">
      <alignment horizontal="center"/>
    </xf>
    <xf numFmtId="0" fontId="26" fillId="0" borderId="14" xfId="102" applyFont="1" applyBorder="1"/>
    <xf numFmtId="0" fontId="26" fillId="0" borderId="0" xfId="102" applyFont="1" applyAlignment="1">
      <alignment horizontal="center"/>
    </xf>
    <xf numFmtId="0" fontId="26" fillId="0" borderId="13" xfId="102" applyFont="1" applyBorder="1" applyAlignment="1">
      <alignment horizontal="center"/>
    </xf>
    <xf numFmtId="0" fontId="24" fillId="28" borderId="21" xfId="102" applyFont="1" applyFill="1" applyBorder="1"/>
    <xf numFmtId="1" fontId="24" fillId="28" borderId="23" xfId="102" applyNumberFormat="1" applyFont="1" applyFill="1" applyBorder="1" applyAlignment="1">
      <alignment horizontal="center"/>
    </xf>
    <xf numFmtId="2" fontId="24" fillId="28" borderId="24" xfId="102" applyNumberFormat="1" applyFont="1" applyFill="1" applyBorder="1" applyAlignment="1">
      <alignment horizontal="center"/>
    </xf>
    <xf numFmtId="4" fontId="24" fillId="28" borderId="24" xfId="102" applyNumberFormat="1" applyFont="1" applyFill="1" applyBorder="1" applyAlignment="1">
      <alignment horizontal="center"/>
    </xf>
    <xf numFmtId="4" fontId="0" fillId="19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1" fontId="0" fillId="0" borderId="0" xfId="1" applyNumberFormat="1" applyFont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30" borderId="14" xfId="0" applyNumberFormat="1" applyFill="1" applyBorder="1" applyAlignment="1">
      <alignment horizontal="center" vertical="center"/>
    </xf>
    <xf numFmtId="176" fontId="14" fillId="19" borderId="1" xfId="1" applyFont="1" applyFill="1" applyBorder="1" applyAlignment="1">
      <alignment horizontal="center" vertical="center"/>
    </xf>
    <xf numFmtId="4" fontId="14" fillId="19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0" fillId="0" borderId="25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15" fillId="0" borderId="0" xfId="0" applyNumberFormat="1" applyFont="1">
      <alignment vertical="center"/>
    </xf>
    <xf numFmtId="4" fontId="0" fillId="0" borderId="0" xfId="1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13" fillId="31" borderId="0" xfId="0" applyNumberFormat="1" applyFont="1" applyFill="1" applyAlignment="1">
      <alignment horizontal="center" vertical="center"/>
    </xf>
    <xf numFmtId="3" fontId="20" fillId="20" borderId="0" xfId="1" applyNumberFormat="1" applyFont="1" applyFill="1" applyAlignment="1">
      <alignment horizontal="center" vertical="center"/>
    </xf>
    <xf numFmtId="188" fontId="14" fillId="19" borderId="1" xfId="1" applyNumberFormat="1" applyFont="1" applyFill="1" applyBorder="1" applyAlignment="1">
      <alignment horizontal="center" vertical="center"/>
    </xf>
    <xf numFmtId="4" fontId="13" fillId="31" borderId="0" xfId="0" applyNumberFormat="1" applyFont="1" applyFill="1" applyAlignment="1">
      <alignment horizontal="center" vertical="center"/>
    </xf>
    <xf numFmtId="176" fontId="20" fillId="20" borderId="0" xfId="1" applyFont="1" applyFill="1" applyAlignment="1">
      <alignment horizontal="center" vertical="center"/>
    </xf>
    <xf numFmtId="4" fontId="14" fillId="11" borderId="20" xfId="0" applyNumberFormat="1" applyFont="1" applyFill="1" applyBorder="1" applyAlignment="1">
      <alignment horizontal="center" vertical="center"/>
    </xf>
    <xf numFmtId="3" fontId="14" fillId="11" borderId="20" xfId="0" applyNumberFormat="1" applyFont="1" applyFill="1" applyBorder="1" applyAlignment="1">
      <alignment horizontal="center" vertical="center"/>
    </xf>
    <xf numFmtId="189" fontId="0" fillId="19" borderId="0" xfId="0" applyNumberFormat="1" applyFill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/>
  </cellXfs>
  <cellStyles count="11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2" xfId="50"/>
    <cellStyle name="Comma 3" xfId="51"/>
    <cellStyle name="Comma 4" xfId="52"/>
    <cellStyle name="Comma 5" xfId="53"/>
    <cellStyle name="Comma 6" xfId="54"/>
    <cellStyle name="Comma 7" xfId="55"/>
    <cellStyle name="Comma 8" xfId="56"/>
    <cellStyle name="Comma 9" xfId="57"/>
    <cellStyle name="Normal 10" xfId="58"/>
    <cellStyle name="Normal 11" xfId="59"/>
    <cellStyle name="Normal 12" xfId="60"/>
    <cellStyle name="Normal 13" xfId="61"/>
    <cellStyle name="Normal 13 2" xfId="62"/>
    <cellStyle name="Normal 14" xfId="63"/>
    <cellStyle name="Normal 15" xfId="64"/>
    <cellStyle name="Normal 16" xfId="65"/>
    <cellStyle name="Normal 17" xfId="66"/>
    <cellStyle name="Normal 18" xfId="67"/>
    <cellStyle name="Normal 2" xfId="68"/>
    <cellStyle name="Normal 2 2" xfId="69"/>
    <cellStyle name="Normal 3" xfId="70"/>
    <cellStyle name="Normal 3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Normale 2" xfId="79"/>
    <cellStyle name="Percent 2" xfId="80"/>
    <cellStyle name="Percent 2 2" xfId="81"/>
    <cellStyle name="Percent 3" xfId="82"/>
    <cellStyle name="RowLevel_8 2" xfId="83"/>
    <cellStyle name="千位分隔 2" xfId="84"/>
    <cellStyle name="千位分隔 2 10" xfId="85"/>
    <cellStyle name="千位分隔 2 2" xfId="86"/>
    <cellStyle name="千位分隔 3" xfId="87"/>
    <cellStyle name="千位分隔 4" xfId="88"/>
    <cellStyle name="千位分隔 5" xfId="89"/>
    <cellStyle name="千位分隔 6" xfId="90"/>
    <cellStyle name="千位分隔 8" xfId="91"/>
    <cellStyle name="常规 2" xfId="92"/>
    <cellStyle name="常规 2 2" xfId="93"/>
    <cellStyle name="常规 2 2 10" xfId="94"/>
    <cellStyle name="常规 2 2 2" xfId="95"/>
    <cellStyle name="常规 2 3" xfId="96"/>
    <cellStyle name="常规 2 4" xfId="97"/>
    <cellStyle name="常规 3" xfId="98"/>
    <cellStyle name="常规 4" xfId="99"/>
    <cellStyle name="常规 5" xfId="100"/>
    <cellStyle name="常规 6" xfId="101"/>
    <cellStyle name="常规 7" xfId="102"/>
    <cellStyle name="常规 9" xfId="103"/>
    <cellStyle name="样式 1" xfId="104"/>
    <cellStyle name="百分比 2" xfId="105"/>
    <cellStyle name="百分比 2 10" xfId="106"/>
    <cellStyle name="百分比 2 2" xfId="107"/>
    <cellStyle name="百分比 2 36" xfId="108"/>
    <cellStyle name="百分比 3" xfId="10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workbookViewId="0">
      <selection activeCell="C2" sqref="C2:C12"/>
    </sheetView>
  </sheetViews>
  <sheetFormatPr defaultColWidth="9" defaultRowHeight="14.4" outlineLevelCol="6"/>
  <cols>
    <col min="3" max="3" width="12.8888888888889" customWidth="1"/>
    <col min="7" max="7" width="12.3333333333333" customWidth="1"/>
  </cols>
  <sheetData>
    <row r="2" spans="2:3">
      <c r="B2" s="370" t="s">
        <v>0</v>
      </c>
      <c r="C2" s="371" t="s">
        <v>1</v>
      </c>
    </row>
    <row r="3" spans="2:3">
      <c r="B3" s="370"/>
      <c r="C3" s="371" t="s">
        <v>2</v>
      </c>
    </row>
    <row r="4" spans="2:3">
      <c r="B4" s="370"/>
      <c r="C4" s="371" t="s">
        <v>3</v>
      </c>
    </row>
    <row r="5" spans="2:3">
      <c r="B5" s="370"/>
      <c r="C5" s="371" t="s">
        <v>4</v>
      </c>
    </row>
    <row r="6" spans="2:3">
      <c r="B6" s="370"/>
      <c r="C6" s="371" t="s">
        <v>5</v>
      </c>
    </row>
    <row r="7" spans="2:3">
      <c r="B7" s="370"/>
      <c r="C7" s="371" t="s">
        <v>6</v>
      </c>
    </row>
    <row r="8" spans="2:3">
      <c r="B8" s="370"/>
      <c r="C8" s="371" t="s">
        <v>7</v>
      </c>
    </row>
    <row r="9" spans="2:3">
      <c r="B9" s="370"/>
      <c r="C9" s="371" t="s">
        <v>8</v>
      </c>
    </row>
    <row r="10" spans="2:3">
      <c r="B10" s="370"/>
      <c r="C10" s="371" t="s">
        <v>9</v>
      </c>
    </row>
    <row r="11" spans="2:3">
      <c r="B11" s="370"/>
      <c r="C11" s="371" t="s">
        <v>10</v>
      </c>
    </row>
    <row r="12" spans="2:3">
      <c r="B12" s="370"/>
      <c r="C12" s="371" t="s">
        <v>11</v>
      </c>
    </row>
    <row r="13" spans="2:3">
      <c r="B13" s="371" t="s">
        <v>12</v>
      </c>
      <c r="C13" s="371" t="s">
        <v>13</v>
      </c>
    </row>
    <row r="23" spans="7:7">
      <c r="G23" s="298"/>
    </row>
    <row r="24" spans="7:7">
      <c r="G24" s="298"/>
    </row>
    <row r="25" spans="7:7">
      <c r="G25" s="298"/>
    </row>
  </sheetData>
  <mergeCells count="1">
    <mergeCell ref="B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U274"/>
  <sheetViews>
    <sheetView showGridLines="0" tabSelected="1" zoomScale="55" zoomScaleNormal="55" workbookViewId="0">
      <pane xSplit="4" ySplit="5" topLeftCell="E91" activePane="bottomRight" state="frozen"/>
      <selection/>
      <selection pane="topRight"/>
      <selection pane="bottomLeft"/>
      <selection pane="bottomRight" activeCell="U132" sqref="U132"/>
    </sheetView>
  </sheetViews>
  <sheetFormatPr defaultColWidth="8.77777777777778" defaultRowHeight="14.4"/>
  <cols>
    <col min="1" max="1" width="12.2222222222222" style="245" customWidth="1"/>
    <col min="2" max="2" width="13.8888888888889" customWidth="1"/>
    <col min="3" max="3" width="51.8888888888889" customWidth="1"/>
    <col min="4" max="4" width="50" customWidth="1"/>
    <col min="5" max="5" width="18.3333333333333" style="246" customWidth="1"/>
    <col min="6" max="7" width="13.8888888888889" style="246" customWidth="1"/>
    <col min="8" max="8" width="21.7777777777778" style="246" customWidth="1"/>
    <col min="9" max="9" width="16.1111111111111" style="246" customWidth="1"/>
    <col min="10" max="17" width="13.8888888888889" style="246" hidden="1" customWidth="1"/>
    <col min="18" max="18" width="19.6666666666667" style="246" customWidth="1"/>
    <col min="19" max="19" width="8.77777777777778" style="249"/>
    <col min="20" max="20" width="9.66666666666667" style="249"/>
    <col min="21" max="21" width="11.7777777777778" style="249"/>
    <col min="22" max="16384" width="8.77777777777778" style="249"/>
  </cols>
  <sheetData>
    <row r="1" s="119" customFormat="1" ht="15" spans="1:19">
      <c r="A1" s="134"/>
      <c r="B1" s="129" t="s">
        <v>14</v>
      </c>
      <c r="C1" s="128"/>
      <c r="D1" s="130" t="s">
        <v>15</v>
      </c>
      <c r="E1" s="250">
        <v>47357</v>
      </c>
      <c r="F1" s="250">
        <v>42593</v>
      </c>
      <c r="G1" s="250">
        <v>23002</v>
      </c>
      <c r="H1" s="250">
        <v>44096</v>
      </c>
      <c r="I1" s="250">
        <v>33043</v>
      </c>
      <c r="J1" s="250">
        <v>54500.001</v>
      </c>
      <c r="K1" s="250">
        <v>41500</v>
      </c>
      <c r="L1" s="250">
        <v>39000.001</v>
      </c>
      <c r="M1" s="250">
        <v>54085</v>
      </c>
      <c r="N1" s="250">
        <v>49968</v>
      </c>
      <c r="O1" s="250">
        <v>51936</v>
      </c>
      <c r="P1" s="250">
        <v>42190</v>
      </c>
      <c r="Q1" s="250">
        <f>+E1+F1+G1+H1+I1+J1+K1+L1+M1+N1+O1+P1</f>
        <v>523270.002</v>
      </c>
      <c r="R1" s="133"/>
    </row>
    <row r="2" s="119" customFormat="1" ht="15" spans="1:19">
      <c r="A2" s="134"/>
      <c r="B2" s="129"/>
      <c r="C2" s="128"/>
      <c r="D2" s="130" t="s">
        <v>16</v>
      </c>
      <c r="E2" s="365">
        <v>50.7457761904762</v>
      </c>
      <c r="F2" s="365">
        <v>51.6327750566894</v>
      </c>
      <c r="G2" s="365">
        <v>51.0938090909091</v>
      </c>
      <c r="H2" s="366">
        <v>52.45</v>
      </c>
      <c r="I2" s="366">
        <v>53.158395</v>
      </c>
      <c r="J2" s="366">
        <v>53.82</v>
      </c>
      <c r="K2" s="366">
        <v>54.7216666666667</v>
      </c>
      <c r="L2" s="366">
        <v>55.6233333333333</v>
      </c>
      <c r="M2" s="366">
        <v>56.525</v>
      </c>
      <c r="N2" s="366">
        <v>57.2833333333333</v>
      </c>
      <c r="O2" s="366">
        <v>58.0416666666667</v>
      </c>
      <c r="P2" s="366">
        <v>58.8</v>
      </c>
      <c r="Q2" s="250"/>
      <c r="R2" s="133"/>
    </row>
    <row r="3" s="119" customFormat="1" spans="1:19">
      <c r="A3" s="134"/>
      <c r="B3" s="128"/>
      <c r="C3" s="128"/>
      <c r="D3" s="130" t="s">
        <v>17</v>
      </c>
      <c r="E3" s="131">
        <f t="shared" ref="E3:Q3" si="0">+E239</f>
        <v>55.4151964212502</v>
      </c>
      <c r="F3" s="131">
        <f t="shared" si="0"/>
        <v>52.908683391224</v>
      </c>
      <c r="G3" s="131">
        <f t="shared" si="0"/>
        <v>52.4781149783839</v>
      </c>
      <c r="H3" s="131">
        <f t="shared" si="0"/>
        <v>0</v>
      </c>
      <c r="I3" s="131">
        <f t="shared" si="0"/>
        <v>0</v>
      </c>
      <c r="J3" s="131">
        <f t="shared" si="0"/>
        <v>0</v>
      </c>
      <c r="K3" s="131">
        <f t="shared" si="0"/>
        <v>0</v>
      </c>
      <c r="L3" s="131">
        <f t="shared" si="0"/>
        <v>0</v>
      </c>
      <c r="M3" s="131">
        <f t="shared" si="0"/>
        <v>0</v>
      </c>
      <c r="N3" s="131">
        <f t="shared" si="0"/>
        <v>0</v>
      </c>
      <c r="O3" s="131">
        <f t="shared" si="0"/>
        <v>0</v>
      </c>
      <c r="P3" s="131">
        <f t="shared" si="0"/>
        <v>0</v>
      </c>
      <c r="Q3" s="131">
        <f t="shared" si="0"/>
        <v>0</v>
      </c>
      <c r="R3" s="131"/>
    </row>
    <row r="5" ht="28.8" spans="1:19">
      <c r="A5" s="255" t="s">
        <v>18</v>
      </c>
      <c r="E5" s="139" t="s">
        <v>19</v>
      </c>
      <c r="F5" s="139" t="s">
        <v>20</v>
      </c>
      <c r="G5" s="139" t="s">
        <v>21</v>
      </c>
      <c r="H5" s="139" t="s">
        <v>22</v>
      </c>
      <c r="I5" s="139" t="s">
        <v>23</v>
      </c>
      <c r="J5" s="139" t="s">
        <v>24</v>
      </c>
      <c r="K5" s="139" t="s">
        <v>25</v>
      </c>
      <c r="L5" s="139" t="s">
        <v>26</v>
      </c>
      <c r="M5" s="139" t="s">
        <v>27</v>
      </c>
      <c r="N5" s="139" t="s">
        <v>28</v>
      </c>
      <c r="O5" s="139" t="s">
        <v>29</v>
      </c>
      <c r="P5" s="139" t="s">
        <v>30</v>
      </c>
      <c r="Q5" s="139" t="s">
        <v>31</v>
      </c>
      <c r="R5" s="139"/>
    </row>
    <row r="6" outlineLevel="1" spans="1:19">
      <c r="A6" s="245" t="s">
        <v>32</v>
      </c>
      <c r="B6" s="256">
        <v>6666110101</v>
      </c>
      <c r="C6" s="256" t="s">
        <v>33</v>
      </c>
      <c r="D6" s="256" t="s">
        <v>34</v>
      </c>
      <c r="E6" s="257">
        <f>32.52614-E245</f>
        <v>9.58876010747688</v>
      </c>
      <c r="F6" s="259">
        <v>8.61357833363354</v>
      </c>
      <c r="G6" s="259">
        <f>32.53747-G245</f>
        <v>9.54964378772983</v>
      </c>
      <c r="H6" s="259">
        <v>7.57712859370183</v>
      </c>
      <c r="I6" s="259">
        <v>13.8075337039999</v>
      </c>
      <c r="J6" s="259">
        <v>424.10076541995</v>
      </c>
      <c r="K6" s="259">
        <v>450.874963488443</v>
      </c>
      <c r="L6" s="259">
        <v>451.0717536527</v>
      </c>
      <c r="M6" s="259">
        <v>441.193453432009</v>
      </c>
      <c r="N6" s="259">
        <v>453.168177399007</v>
      </c>
      <c r="O6" s="259">
        <v>446.776734999792</v>
      </c>
      <c r="P6" s="259">
        <v>459.370427259374</v>
      </c>
      <c r="Q6" s="259">
        <f t="shared" ref="Q6:Q13" si="1">F6+E6+G6+H6+I6+J6+K6+L6+M6+N6+O6+P6</f>
        <v>3175.69292017782</v>
      </c>
      <c r="R6" s="260"/>
      <c r="S6" s="261"/>
    </row>
    <row r="7" outlineLevel="1" spans="1:19">
      <c r="A7" s="245" t="s">
        <v>32</v>
      </c>
      <c r="B7" s="256">
        <v>6666110106</v>
      </c>
      <c r="C7" s="256" t="s">
        <v>35</v>
      </c>
      <c r="D7" s="256" t="s">
        <v>34</v>
      </c>
      <c r="E7" s="257">
        <f>0-E246</f>
        <v>0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259">
        <v>0</v>
      </c>
      <c r="N7" s="259">
        <v>0</v>
      </c>
      <c r="O7" s="259">
        <v>0</v>
      </c>
      <c r="P7" s="259">
        <v>0</v>
      </c>
      <c r="Q7" s="259">
        <f t="shared" si="1"/>
        <v>0</v>
      </c>
      <c r="R7" s="260"/>
      <c r="S7" s="261"/>
    </row>
    <row r="8" outlineLevel="1" spans="1:19">
      <c r="A8" s="245" t="s">
        <v>32</v>
      </c>
      <c r="B8" s="256">
        <v>6666110107</v>
      </c>
      <c r="C8" s="256" t="s">
        <v>36</v>
      </c>
      <c r="D8" s="256" t="s">
        <v>34</v>
      </c>
      <c r="E8" s="257">
        <f>224.42191-E247</f>
        <v>92.4624160029007</v>
      </c>
      <c r="F8" s="259">
        <v>87.5828157349898</v>
      </c>
      <c r="G8" s="259">
        <f>224.82728-G247</f>
        <v>92.2308155106499</v>
      </c>
      <c r="H8" s="259">
        <v>-28.5323371605483</v>
      </c>
      <c r="I8" s="259">
        <v>57.9795781939778</v>
      </c>
      <c r="J8" s="259">
        <v>-103.661025291186</v>
      </c>
      <c r="K8" s="259">
        <v>-105.833790570326</v>
      </c>
      <c r="L8" s="259">
        <v>-106.946863846179</v>
      </c>
      <c r="M8" s="259">
        <v>-107.167189503776</v>
      </c>
      <c r="N8" s="259">
        <v>-109.111713401529</v>
      </c>
      <c r="O8" s="259">
        <v>-108.984446815046</v>
      </c>
      <c r="P8" s="259">
        <v>-144.12936325473</v>
      </c>
      <c r="Q8" s="259">
        <f t="shared" si="1"/>
        <v>-484.111104400803</v>
      </c>
      <c r="R8" s="260"/>
      <c r="S8" s="261"/>
    </row>
    <row r="9" outlineLevel="1" spans="1:19">
      <c r="A9" s="245" t="s">
        <v>32</v>
      </c>
      <c r="B9" s="256">
        <v>6666110110</v>
      </c>
      <c r="C9" s="256" t="s">
        <v>37</v>
      </c>
      <c r="D9" s="256" t="s">
        <v>34</v>
      </c>
      <c r="E9" s="257">
        <f>295.75794-E248</f>
        <v>63.7490813777297</v>
      </c>
      <c r="F9" s="259">
        <v>57.0499720834472</v>
      </c>
      <c r="G9" s="259">
        <f>296.41246-G248</f>
        <v>63.8767271039243</v>
      </c>
      <c r="H9" s="259">
        <v>17.5892126250811</v>
      </c>
      <c r="I9" s="259">
        <v>50.464631012529</v>
      </c>
      <c r="J9" s="259">
        <v>-172.444416448341</v>
      </c>
      <c r="K9" s="259">
        <v>-179.171574089627</v>
      </c>
      <c r="L9" s="259">
        <v>-179.725697735763</v>
      </c>
      <c r="M9" s="259">
        <v>-174.320484393793</v>
      </c>
      <c r="N9" s="259">
        <v>-180.83946792702</v>
      </c>
      <c r="O9" s="259">
        <v>-175.045772801959</v>
      </c>
      <c r="P9" s="259">
        <v>-237.552344431741</v>
      </c>
      <c r="Q9" s="259">
        <f t="shared" si="1"/>
        <v>-1046.37013362553</v>
      </c>
      <c r="R9" s="260"/>
      <c r="S9" s="261"/>
    </row>
    <row r="10" outlineLevel="1" spans="1:19">
      <c r="A10" s="245" t="s">
        <v>32</v>
      </c>
      <c r="B10" s="256">
        <v>6666110112</v>
      </c>
      <c r="C10" s="256" t="s">
        <v>38</v>
      </c>
      <c r="D10" s="256" t="s">
        <v>34</v>
      </c>
      <c r="E10" s="257">
        <f>8.94279-E249</f>
        <v>4.24738775595222</v>
      </c>
      <c r="F10" s="259">
        <v>3.51206252909494</v>
      </c>
      <c r="G10" s="259">
        <f>8.80315-G249</f>
        <v>4.08025725983525</v>
      </c>
      <c r="H10" s="259">
        <v>-1.85383289902545</v>
      </c>
      <c r="I10" s="259">
        <v>1.41990622266901</v>
      </c>
      <c r="J10" s="259">
        <v>-0.394056502395594</v>
      </c>
      <c r="K10" s="259">
        <v>-0.47769519502478</v>
      </c>
      <c r="L10" s="259">
        <v>-0.467731175221702</v>
      </c>
      <c r="M10" s="259">
        <v>-0.467345580874413</v>
      </c>
      <c r="N10" s="259">
        <v>-0.620492315073433</v>
      </c>
      <c r="O10" s="259">
        <v>-0.525963660590157</v>
      </c>
      <c r="P10" s="259">
        <v>-1.36584225199931</v>
      </c>
      <c r="Q10" s="259">
        <f t="shared" si="1"/>
        <v>7.08665418734657</v>
      </c>
      <c r="R10" s="260"/>
      <c r="S10" s="261"/>
    </row>
    <row r="11" outlineLevel="1" spans="1:19">
      <c r="A11" s="245" t="s">
        <v>32</v>
      </c>
      <c r="B11" s="256">
        <v>6666110204</v>
      </c>
      <c r="C11" s="256" t="s">
        <v>39</v>
      </c>
      <c r="D11" s="256" t="s">
        <v>34</v>
      </c>
      <c r="E11" s="257">
        <f>0.25252-E250</f>
        <v>0.174120813939282</v>
      </c>
      <c r="F11" s="259">
        <v>0.171129923478726</v>
      </c>
      <c r="G11" s="259">
        <f>0.25252-G250</f>
        <v>0.172934845869069</v>
      </c>
      <c r="H11" s="259">
        <v>-0.300792613620245</v>
      </c>
      <c r="I11" s="259">
        <v>0.00902222436851406</v>
      </c>
      <c r="J11" s="259">
        <v>1.62753360002016</v>
      </c>
      <c r="K11" s="259">
        <v>1.68214632534169</v>
      </c>
      <c r="L11" s="259">
        <v>1.62320687503209</v>
      </c>
      <c r="M11" s="259">
        <v>1.67694469736253</v>
      </c>
      <c r="N11" s="259">
        <v>1.67534357593467</v>
      </c>
      <c r="O11" s="259">
        <v>1.61625085304588</v>
      </c>
      <c r="P11" s="259">
        <v>1.649286054777</v>
      </c>
      <c r="Q11" s="259">
        <f t="shared" si="1"/>
        <v>11.7771271755494</v>
      </c>
      <c r="R11" s="260"/>
      <c r="S11" s="261"/>
    </row>
    <row r="12" outlineLevel="1" spans="1:19">
      <c r="A12" s="245" t="s">
        <v>32</v>
      </c>
      <c r="B12" s="256">
        <v>6666110207</v>
      </c>
      <c r="C12" s="256" t="s">
        <v>40</v>
      </c>
      <c r="D12" s="256" t="s">
        <v>34</v>
      </c>
      <c r="E12" s="257">
        <f>2.34991-E251</f>
        <v>1.12646386498981</v>
      </c>
      <c r="F12" s="259">
        <v>1.10668859075741</v>
      </c>
      <c r="G12" s="259">
        <f>2.34993-G251</f>
        <v>1.11879131771702</v>
      </c>
      <c r="H12" s="259">
        <v>-1.57730015867402</v>
      </c>
      <c r="I12" s="259">
        <v>-0.0641772104772795</v>
      </c>
      <c r="J12" s="259">
        <v>-1.02133804877056</v>
      </c>
      <c r="K12" s="259">
        <v>-1.03022325088362</v>
      </c>
      <c r="L12" s="259">
        <v>-1.14282641531512</v>
      </c>
      <c r="M12" s="259">
        <v>-0.755934962462457</v>
      </c>
      <c r="N12" s="259">
        <v>-0.921212311338919</v>
      </c>
      <c r="O12" s="259">
        <v>-0.971256972398642</v>
      </c>
      <c r="P12" s="259">
        <v>-1.27467599786837</v>
      </c>
      <c r="Q12" s="259">
        <f t="shared" si="1"/>
        <v>-5.40700155472475</v>
      </c>
      <c r="R12" s="260"/>
      <c r="S12" s="261"/>
    </row>
    <row r="13" outlineLevel="1" spans="1:19">
      <c r="A13" s="245" t="s">
        <v>32</v>
      </c>
      <c r="B13" s="256">
        <v>6666110506</v>
      </c>
      <c r="C13" s="256" t="s">
        <v>41</v>
      </c>
      <c r="D13" s="256" t="s">
        <v>34</v>
      </c>
      <c r="E13" s="257">
        <f>0-E252</f>
        <v>0</v>
      </c>
      <c r="F13" s="259">
        <v>0</v>
      </c>
      <c r="G13" s="259">
        <v>0</v>
      </c>
      <c r="H13" s="259">
        <v>0</v>
      </c>
      <c r="I13" s="259">
        <v>0</v>
      </c>
      <c r="J13" s="259">
        <v>0</v>
      </c>
      <c r="K13" s="259">
        <v>0</v>
      </c>
      <c r="L13" s="259">
        <v>0</v>
      </c>
      <c r="M13" s="259">
        <v>0</v>
      </c>
      <c r="N13" s="259">
        <v>0</v>
      </c>
      <c r="O13" s="259">
        <v>0</v>
      </c>
      <c r="P13" s="259">
        <v>0</v>
      </c>
      <c r="Q13" s="259">
        <f t="shared" si="1"/>
        <v>0</v>
      </c>
      <c r="R13" s="260"/>
      <c r="S13" s="261"/>
    </row>
    <row r="14" s="120" customFormat="1" spans="1:19">
      <c r="A14" s="245"/>
      <c r="B14" s="148" t="s">
        <v>42</v>
      </c>
      <c r="C14" s="149" t="s">
        <v>34</v>
      </c>
      <c r="D14" s="150"/>
      <c r="E14" s="151">
        <f>SUM(E6:E13)</f>
        <v>171.348229922989</v>
      </c>
      <c r="F14" s="262">
        <f>SUM(F6:F13)</f>
        <v>158.036247195402</v>
      </c>
      <c r="G14" s="262">
        <f>SUM(G6:G13)</f>
        <v>171.029169825725</v>
      </c>
      <c r="H14" s="262">
        <f>SUM(H6:H13)</f>
        <v>-7.09792161308507</v>
      </c>
      <c r="I14" s="262">
        <f>SUM(I6:I13)</f>
        <v>123.616494147067</v>
      </c>
      <c r="J14" s="262">
        <f t="shared" ref="J14:Q14" si="2">SUM(J6:J13)</f>
        <v>148.207462729277</v>
      </c>
      <c r="K14" s="262">
        <f t="shared" si="2"/>
        <v>166.043826707922</v>
      </c>
      <c r="L14" s="262">
        <f t="shared" si="2"/>
        <v>164.411841355254</v>
      </c>
      <c r="M14" s="262">
        <f t="shared" si="2"/>
        <v>160.159443688465</v>
      </c>
      <c r="N14" s="262">
        <f t="shared" si="2"/>
        <v>163.35063501998</v>
      </c>
      <c r="O14" s="262">
        <f t="shared" si="2"/>
        <v>162.865545602844</v>
      </c>
      <c r="P14" s="262">
        <f t="shared" si="2"/>
        <v>76.6974873778135</v>
      </c>
      <c r="Q14" s="262">
        <f t="shared" si="2"/>
        <v>1658.66846195965</v>
      </c>
      <c r="R14" s="152"/>
      <c r="S14" s="261"/>
    </row>
    <row r="15" outlineLevel="1" spans="1:19">
      <c r="A15" s="245" t="s">
        <v>32</v>
      </c>
      <c r="B15" s="256">
        <v>5001010205</v>
      </c>
      <c r="C15" s="256" t="s">
        <v>43</v>
      </c>
      <c r="D15" s="256" t="s">
        <v>44</v>
      </c>
      <c r="E15" s="257">
        <v>7.61607</v>
      </c>
      <c r="F15" s="259">
        <v>6.3086</v>
      </c>
      <c r="G15" s="259">
        <v>6.05422</v>
      </c>
      <c r="H15" s="259">
        <v>5.84027986735254</v>
      </c>
      <c r="I15" s="259">
        <v>7.13997938346159</v>
      </c>
      <c r="J15" s="259">
        <v>0</v>
      </c>
      <c r="K15" s="259">
        <v>0</v>
      </c>
      <c r="L15" s="259">
        <v>0</v>
      </c>
      <c r="M15" s="259">
        <v>0</v>
      </c>
      <c r="N15" s="259">
        <v>0</v>
      </c>
      <c r="O15" s="259">
        <v>0</v>
      </c>
      <c r="P15" s="259">
        <v>0</v>
      </c>
      <c r="Q15" s="259">
        <f t="shared" ref="Q15:Q22" si="3">F15+E15+G15+H15+I15+J15+K15+L15+M15+N15+O15+P15</f>
        <v>32.9591492508141</v>
      </c>
      <c r="R15" s="260"/>
      <c r="S15" s="261"/>
    </row>
    <row r="16" outlineLevel="1" spans="1:19">
      <c r="A16" s="245" t="s">
        <v>32</v>
      </c>
      <c r="B16" s="256">
        <v>6666010380</v>
      </c>
      <c r="C16" s="256" t="s">
        <v>45</v>
      </c>
      <c r="D16" s="256" t="s">
        <v>44</v>
      </c>
      <c r="E16" s="257">
        <v>-1.8209</v>
      </c>
      <c r="F16" s="259">
        <v>-1.58476</v>
      </c>
      <c r="G16" s="259">
        <v>0.192</v>
      </c>
      <c r="H16" s="259">
        <v>-0.63535</v>
      </c>
      <c r="I16" s="259">
        <v>-3.83977</v>
      </c>
      <c r="J16" s="259">
        <v>0</v>
      </c>
      <c r="K16" s="259">
        <v>0</v>
      </c>
      <c r="L16" s="259">
        <v>0</v>
      </c>
      <c r="M16" s="259">
        <v>0</v>
      </c>
      <c r="N16" s="259">
        <v>0</v>
      </c>
      <c r="O16" s="259">
        <v>0</v>
      </c>
      <c r="P16" s="259">
        <v>0</v>
      </c>
      <c r="Q16" s="259">
        <f t="shared" si="3"/>
        <v>-7.68878</v>
      </c>
      <c r="R16" s="260"/>
      <c r="S16" s="261"/>
    </row>
    <row r="17" outlineLevel="1" spans="1:19">
      <c r="A17" s="245" t="s">
        <v>32</v>
      </c>
      <c r="B17" s="256">
        <v>6666010019</v>
      </c>
      <c r="C17" s="256" t="s">
        <v>46</v>
      </c>
      <c r="D17" s="256" t="s">
        <v>44</v>
      </c>
      <c r="E17" s="257">
        <v>64.67305</v>
      </c>
      <c r="F17" s="259">
        <v>53.75998</v>
      </c>
      <c r="G17" s="259">
        <v>50.63986</v>
      </c>
      <c r="H17" s="259">
        <v>49.6659345692044</v>
      </c>
      <c r="I17" s="259">
        <v>61.0797336364321</v>
      </c>
      <c r="J17" s="259">
        <v>393.771146713815</v>
      </c>
      <c r="K17" s="259">
        <v>355.329564476754</v>
      </c>
      <c r="L17" s="259">
        <v>355.480857550826</v>
      </c>
      <c r="M17" s="259">
        <v>485.593372605147</v>
      </c>
      <c r="N17" s="259">
        <v>492.473782046273</v>
      </c>
      <c r="O17" s="259">
        <v>476.668577221576</v>
      </c>
      <c r="P17" s="259">
        <v>480.283531818605</v>
      </c>
      <c r="Q17" s="259">
        <f t="shared" si="3"/>
        <v>3319.41939063863</v>
      </c>
      <c r="R17" s="260"/>
      <c r="S17" s="261"/>
    </row>
    <row r="18" outlineLevel="1" spans="1:19">
      <c r="A18" s="245" t="s">
        <v>32</v>
      </c>
      <c r="B18" s="256">
        <v>6666010183</v>
      </c>
      <c r="C18" s="256" t="s">
        <v>47</v>
      </c>
      <c r="D18" s="256" t="s">
        <v>44</v>
      </c>
      <c r="E18" s="257">
        <v>10.50135</v>
      </c>
      <c r="F18" s="259">
        <v>13.3775</v>
      </c>
      <c r="G18" s="259">
        <v>-9.43515</v>
      </c>
      <c r="H18" s="259">
        <v>21.2499286385162</v>
      </c>
      <c r="I18" s="259">
        <v>16.5545524154029</v>
      </c>
      <c r="J18" s="259">
        <v>0</v>
      </c>
      <c r="K18" s="259">
        <v>0</v>
      </c>
      <c r="L18" s="259">
        <v>0</v>
      </c>
      <c r="M18" s="259">
        <v>0</v>
      </c>
      <c r="N18" s="259">
        <v>0</v>
      </c>
      <c r="O18" s="259">
        <v>0</v>
      </c>
      <c r="P18" s="259">
        <v>0</v>
      </c>
      <c r="Q18" s="259">
        <f t="shared" si="3"/>
        <v>52.2481810539191</v>
      </c>
      <c r="R18" s="260"/>
      <c r="S18" s="261"/>
    </row>
    <row r="19" outlineLevel="1" spans="1:19">
      <c r="A19" s="245" t="s">
        <v>32</v>
      </c>
      <c r="B19" s="256">
        <v>6666010229</v>
      </c>
      <c r="C19" s="256" t="s">
        <v>48</v>
      </c>
      <c r="D19" s="256" t="s">
        <v>44</v>
      </c>
      <c r="E19" s="257">
        <v>16.69101</v>
      </c>
      <c r="F19" s="259">
        <v>107.23839</v>
      </c>
      <c r="G19" s="259">
        <v>-345.16488</v>
      </c>
      <c r="H19" s="259">
        <v>9.97066</v>
      </c>
      <c r="I19" s="259">
        <v>10.4602</v>
      </c>
      <c r="J19" s="259">
        <v>0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f t="shared" si="3"/>
        <v>-200.80462</v>
      </c>
      <c r="R19" s="260"/>
      <c r="S19" s="261"/>
    </row>
    <row r="20" outlineLevel="1" spans="1:19">
      <c r="A20" s="245" t="s">
        <v>32</v>
      </c>
      <c r="B20" s="256">
        <v>6666010188</v>
      </c>
      <c r="C20" s="256" t="s">
        <v>49</v>
      </c>
      <c r="D20" s="256" t="s">
        <v>44</v>
      </c>
      <c r="E20" s="257">
        <v>357.71936</v>
      </c>
      <c r="F20" s="259">
        <v>277.99859</v>
      </c>
      <c r="G20" s="259">
        <v>573.04631</v>
      </c>
      <c r="H20" s="259">
        <v>277.012909552745</v>
      </c>
      <c r="I20" s="259">
        <v>381.567379551376</v>
      </c>
      <c r="J20" s="259">
        <v>0</v>
      </c>
      <c r="K20" s="259">
        <v>0</v>
      </c>
      <c r="L20" s="259">
        <v>0</v>
      </c>
      <c r="M20" s="259">
        <v>0</v>
      </c>
      <c r="N20" s="259">
        <v>0</v>
      </c>
      <c r="O20" s="259">
        <v>0</v>
      </c>
      <c r="P20" s="259">
        <v>0</v>
      </c>
      <c r="Q20" s="259">
        <f t="shared" si="3"/>
        <v>1867.34454910412</v>
      </c>
      <c r="R20" s="260"/>
      <c r="S20" s="261"/>
    </row>
    <row r="21" s="121" customFormat="1" outlineLevel="1" spans="1:19">
      <c r="A21" s="245" t="s">
        <v>32</v>
      </c>
      <c r="B21" s="140">
        <v>5102040406</v>
      </c>
      <c r="C21" s="140" t="s">
        <v>50</v>
      </c>
      <c r="D21" s="140" t="s">
        <v>44</v>
      </c>
      <c r="E21" s="257">
        <v>0</v>
      </c>
      <c r="F21" s="259">
        <v>0</v>
      </c>
      <c r="G21" s="259">
        <v>0</v>
      </c>
      <c r="H21" s="259">
        <v>0</v>
      </c>
      <c r="I21" s="259">
        <v>0</v>
      </c>
      <c r="J21" s="259">
        <v>0</v>
      </c>
      <c r="K21" s="259">
        <v>0</v>
      </c>
      <c r="L21" s="259">
        <v>0</v>
      </c>
      <c r="M21" s="259">
        <v>0</v>
      </c>
      <c r="N21" s="259">
        <v>0</v>
      </c>
      <c r="O21" s="259">
        <v>0</v>
      </c>
      <c r="P21" s="259">
        <v>0</v>
      </c>
      <c r="Q21" s="259">
        <f t="shared" si="3"/>
        <v>0</v>
      </c>
      <c r="R21" s="264"/>
      <c r="S21" s="261"/>
    </row>
    <row r="22" outlineLevel="1" spans="1:19">
      <c r="A22" s="245" t="s">
        <v>32</v>
      </c>
      <c r="B22" s="256">
        <v>6666010115</v>
      </c>
      <c r="C22" s="256" t="s">
        <v>51</v>
      </c>
      <c r="D22" s="256" t="s">
        <v>44</v>
      </c>
      <c r="E22" s="257">
        <v>-4.2657</v>
      </c>
      <c r="F22" s="259">
        <v>0.68853</v>
      </c>
      <c r="G22" s="259">
        <v>0.63223</v>
      </c>
      <c r="H22" s="259">
        <v>0.63007</v>
      </c>
      <c r="I22" s="259">
        <v>5.6858</v>
      </c>
      <c r="J22" s="259">
        <v>0</v>
      </c>
      <c r="K22" s="259">
        <v>0</v>
      </c>
      <c r="L22" s="259">
        <v>0</v>
      </c>
      <c r="M22" s="259">
        <v>0</v>
      </c>
      <c r="N22" s="259">
        <v>0</v>
      </c>
      <c r="O22" s="259">
        <v>0</v>
      </c>
      <c r="P22" s="259">
        <v>0</v>
      </c>
      <c r="Q22" s="259">
        <f t="shared" si="3"/>
        <v>3.37093</v>
      </c>
      <c r="R22" s="260"/>
      <c r="S22" s="261"/>
    </row>
    <row r="23" s="122" customFormat="1" spans="1:19">
      <c r="A23" s="245"/>
      <c r="B23" s="148" t="s">
        <v>52</v>
      </c>
      <c r="C23" s="149" t="s">
        <v>44</v>
      </c>
      <c r="D23" s="150"/>
      <c r="E23" s="151">
        <f>SUM(E15:E22)</f>
        <v>451.11424</v>
      </c>
      <c r="F23" s="262">
        <f>SUM(F15:F22)</f>
        <v>457.78683</v>
      </c>
      <c r="G23" s="262">
        <f>SUM(G15:G22)</f>
        <v>275.96459</v>
      </c>
      <c r="H23" s="262">
        <f>SUM(H15:H22)</f>
        <v>363.734432627818</v>
      </c>
      <c r="I23" s="367">
        <f>SUM(I15:I22)</f>
        <v>478.647874986672</v>
      </c>
      <c r="J23" s="368">
        <f t="shared" ref="J23:Q23" si="4">SUM(J15:J22)</f>
        <v>393.771146713815</v>
      </c>
      <c r="K23" s="368">
        <f t="shared" si="4"/>
        <v>355.329564476754</v>
      </c>
      <c r="L23" s="368">
        <f t="shared" si="4"/>
        <v>355.480857550826</v>
      </c>
      <c r="M23" s="368">
        <f t="shared" si="4"/>
        <v>485.593372605147</v>
      </c>
      <c r="N23" s="368">
        <f t="shared" si="4"/>
        <v>492.473782046273</v>
      </c>
      <c r="O23" s="368">
        <f t="shared" si="4"/>
        <v>476.668577221576</v>
      </c>
      <c r="P23" s="368">
        <f t="shared" si="4"/>
        <v>480.283531818605</v>
      </c>
      <c r="Q23" s="262">
        <f t="shared" si="4"/>
        <v>5066.84880004749</v>
      </c>
      <c r="R23" s="152"/>
      <c r="S23" s="261"/>
    </row>
    <row r="24" outlineLevel="2" spans="1:19">
      <c r="A24" s="245" t="s">
        <v>53</v>
      </c>
      <c r="B24" s="256">
        <v>8701530201</v>
      </c>
      <c r="C24" s="256" t="s">
        <v>54</v>
      </c>
      <c r="D24" s="256" t="s">
        <v>55</v>
      </c>
      <c r="E24" s="257">
        <v>0</v>
      </c>
      <c r="F24" s="259">
        <v>0</v>
      </c>
      <c r="G24" s="259">
        <v>0</v>
      </c>
      <c r="H24" s="259">
        <v>0</v>
      </c>
      <c r="I24" s="259">
        <v>0</v>
      </c>
      <c r="J24" s="25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f>F24+E24+G24+H24+I24+J24+K24+L24+M24+N24+O24+P24</f>
        <v>0</v>
      </c>
      <c r="R24" s="260"/>
      <c r="S24" s="261"/>
    </row>
    <row r="25" outlineLevel="2" spans="1:19">
      <c r="A25" s="245" t="s">
        <v>53</v>
      </c>
      <c r="B25" s="256">
        <v>6666050309</v>
      </c>
      <c r="C25" s="256" t="s">
        <v>56</v>
      </c>
      <c r="D25" s="256" t="s">
        <v>55</v>
      </c>
      <c r="E25" s="257">
        <v>6.0635</v>
      </c>
      <c r="F25" s="259">
        <v>6.05671</v>
      </c>
      <c r="G25" s="259">
        <v>5.52431</v>
      </c>
      <c r="H25" s="259">
        <v>4.28283</v>
      </c>
      <c r="I25" s="259">
        <v>3.73302</v>
      </c>
      <c r="J25" s="259">
        <v>23.30592</v>
      </c>
      <c r="K25" s="259">
        <v>17.86224</v>
      </c>
      <c r="L25" s="259">
        <v>17.5076</v>
      </c>
      <c r="M25" s="259">
        <v>24.15908</v>
      </c>
      <c r="N25" s="259">
        <v>21.98592</v>
      </c>
      <c r="O25" s="259">
        <v>22.85184</v>
      </c>
      <c r="P25" s="259">
        <v>18.5636</v>
      </c>
      <c r="Q25" s="259">
        <f>F25+E25+G25+H25+I25+J25+K25+L25+M25+N25+O25+P25</f>
        <v>171.89657</v>
      </c>
      <c r="R25" s="260"/>
      <c r="S25" s="261"/>
    </row>
    <row r="26" outlineLevel="2" spans="1:19">
      <c r="A26" s="245" t="s">
        <v>53</v>
      </c>
      <c r="B26" s="256">
        <v>6666050308</v>
      </c>
      <c r="C26" s="256" t="s">
        <v>57</v>
      </c>
      <c r="D26" s="256" t="s">
        <v>55</v>
      </c>
      <c r="E26" s="257">
        <v>11.57396</v>
      </c>
      <c r="F26" s="259">
        <v>7.72351</v>
      </c>
      <c r="G26" s="259">
        <v>2.51955</v>
      </c>
      <c r="H26" s="259">
        <v>44.86048</v>
      </c>
      <c r="I26" s="259">
        <v>11.78646</v>
      </c>
      <c r="J26" s="259">
        <v>0</v>
      </c>
      <c r="K26" s="259">
        <v>0</v>
      </c>
      <c r="L26" s="259">
        <v>0</v>
      </c>
      <c r="M26" s="259">
        <v>0</v>
      </c>
      <c r="N26" s="259">
        <v>0</v>
      </c>
      <c r="O26" s="259">
        <v>0</v>
      </c>
      <c r="P26" s="259">
        <v>0</v>
      </c>
      <c r="Q26" s="259">
        <f>F26+E26+G26+H26+I26+J26+K26+L26+M26+N26+O26+P26</f>
        <v>78.46396</v>
      </c>
      <c r="R26" s="260"/>
      <c r="S26" s="261"/>
    </row>
    <row r="27" outlineLevel="2" spans="1:19">
      <c r="A27" s="245" t="s">
        <v>53</v>
      </c>
      <c r="B27" s="256">
        <v>6666050306</v>
      </c>
      <c r="C27" s="256" t="s">
        <v>58</v>
      </c>
      <c r="D27" s="256" t="s">
        <v>55</v>
      </c>
      <c r="E27" s="257">
        <v>0.58819</v>
      </c>
      <c r="F27" s="259">
        <v>0.55747</v>
      </c>
      <c r="G27" s="259">
        <v>1.51094</v>
      </c>
      <c r="H27" s="259">
        <v>1.3141</v>
      </c>
      <c r="I27" s="259">
        <v>0.56572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f>F27+E27+G27+H27+I27+J27+K27+L27+M27+N27+O27+P27</f>
        <v>4.53642</v>
      </c>
      <c r="R27" s="260"/>
      <c r="S27" s="261"/>
    </row>
    <row r="28" s="120" customFormat="1" spans="1:19">
      <c r="A28" s="245"/>
      <c r="B28" s="148" t="s">
        <v>52</v>
      </c>
      <c r="C28" s="149" t="s">
        <v>55</v>
      </c>
      <c r="D28" s="150"/>
      <c r="E28" s="151">
        <f>SUM(E24:E27)</f>
        <v>18.22565</v>
      </c>
      <c r="F28" s="262">
        <f>SUM(F24:F27)</f>
        <v>14.33769</v>
      </c>
      <c r="G28" s="262">
        <f>SUM(G24:G27)</f>
        <v>9.5548</v>
      </c>
      <c r="H28" s="262">
        <f>SUM(H24:H27)</f>
        <v>50.45741</v>
      </c>
      <c r="I28" s="368">
        <f>SUM(I24:I27)</f>
        <v>16.0852</v>
      </c>
      <c r="J28" s="368">
        <f t="shared" ref="J28:Q28" si="5">SUM(J24:J27)</f>
        <v>23.30592</v>
      </c>
      <c r="K28" s="368">
        <f t="shared" si="5"/>
        <v>17.86224</v>
      </c>
      <c r="L28" s="368">
        <f t="shared" si="5"/>
        <v>17.5076</v>
      </c>
      <c r="M28" s="368">
        <f t="shared" si="5"/>
        <v>24.15908</v>
      </c>
      <c r="N28" s="368">
        <f t="shared" si="5"/>
        <v>21.98592</v>
      </c>
      <c r="O28" s="368">
        <f t="shared" si="5"/>
        <v>22.85184</v>
      </c>
      <c r="P28" s="368">
        <f t="shared" si="5"/>
        <v>18.5636</v>
      </c>
      <c r="Q28" s="262">
        <f t="shared" si="5"/>
        <v>254.89695</v>
      </c>
      <c r="R28" s="152"/>
      <c r="S28" s="261"/>
    </row>
    <row r="29" outlineLevel="2" spans="1:19">
      <c r="A29" s="245" t="s">
        <v>32</v>
      </c>
      <c r="B29" s="256">
        <v>5102010151</v>
      </c>
      <c r="C29" s="256" t="s">
        <v>59</v>
      </c>
      <c r="D29" s="256" t="s">
        <v>60</v>
      </c>
      <c r="E29" s="257">
        <v>0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f>F29+E29+G29+H29+I29+J29+K29+L29+M29+N29+O29+P29</f>
        <v>0</v>
      </c>
      <c r="R29" s="260"/>
      <c r="S29" s="261"/>
    </row>
    <row r="30" outlineLevel="2" spans="1:19">
      <c r="A30" s="245" t="s">
        <v>32</v>
      </c>
      <c r="B30" s="256">
        <v>5001010200</v>
      </c>
      <c r="C30" s="256" t="s">
        <v>61</v>
      </c>
      <c r="D30" s="256" t="s">
        <v>60</v>
      </c>
      <c r="E30" s="257">
        <v>0</v>
      </c>
      <c r="F30" s="259">
        <v>0.00046</v>
      </c>
      <c r="G30" s="259">
        <v>-1.38193</v>
      </c>
      <c r="H30" s="259">
        <v>0</v>
      </c>
      <c r="I30" s="259">
        <v>0</v>
      </c>
      <c r="J30" s="259">
        <v>0</v>
      </c>
      <c r="K30" s="259">
        <v>0</v>
      </c>
      <c r="L30" s="259">
        <v>0</v>
      </c>
      <c r="M30" s="259">
        <v>0</v>
      </c>
      <c r="N30" s="259">
        <v>0</v>
      </c>
      <c r="O30" s="259">
        <v>0</v>
      </c>
      <c r="P30" s="259">
        <v>0</v>
      </c>
      <c r="Q30" s="259">
        <f>F30+E30+G30+H30+I30+J30+K30+L30+M30+N30+O30+P30</f>
        <v>-1.38147</v>
      </c>
      <c r="R30" s="260"/>
      <c r="S30" s="261"/>
    </row>
    <row r="31" outlineLevel="2" spans="1:19">
      <c r="A31" s="245" t="s">
        <v>32</v>
      </c>
      <c r="B31" s="256">
        <v>5001010201</v>
      </c>
      <c r="C31" s="256" t="s">
        <v>62</v>
      </c>
      <c r="D31" s="256" t="s">
        <v>60</v>
      </c>
      <c r="E31" s="257">
        <v>0</v>
      </c>
      <c r="F31" s="259">
        <v>0</v>
      </c>
      <c r="G31" s="259">
        <v>0</v>
      </c>
      <c r="H31" s="259">
        <v>0</v>
      </c>
      <c r="I31" s="259">
        <v>0</v>
      </c>
      <c r="J31" s="259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f>F31+E31+G31+H31+I31+J31+K31+L31+M31+N31+O31+P31</f>
        <v>0</v>
      </c>
      <c r="R31" s="260"/>
      <c r="S31" s="261"/>
    </row>
    <row r="32" outlineLevel="2" spans="1:19">
      <c r="A32" s="245" t="s">
        <v>32</v>
      </c>
      <c r="B32" s="256">
        <v>5001010204</v>
      </c>
      <c r="C32" s="267" t="s">
        <v>63</v>
      </c>
      <c r="D32" s="256" t="s">
        <v>60</v>
      </c>
      <c r="E32" s="257">
        <v>0</v>
      </c>
      <c r="F32" s="259">
        <v>0</v>
      </c>
      <c r="G32" s="259">
        <v>0.51622</v>
      </c>
      <c r="H32" s="259">
        <v>0</v>
      </c>
      <c r="I32" s="259">
        <v>0</v>
      </c>
      <c r="J32" s="259">
        <v>0</v>
      </c>
      <c r="K32" s="259">
        <v>0</v>
      </c>
      <c r="L32" s="259">
        <v>0</v>
      </c>
      <c r="M32" s="259">
        <v>0</v>
      </c>
      <c r="N32" s="259">
        <v>0</v>
      </c>
      <c r="O32" s="259">
        <v>0</v>
      </c>
      <c r="P32" s="259">
        <v>0</v>
      </c>
      <c r="Q32" s="259"/>
      <c r="R32" s="260"/>
      <c r="S32" s="261"/>
    </row>
    <row r="33" outlineLevel="2" spans="1:19">
      <c r="A33" s="245" t="s">
        <v>32</v>
      </c>
      <c r="B33" s="256">
        <v>5207000011</v>
      </c>
      <c r="C33" s="256" t="s">
        <v>64</v>
      </c>
      <c r="D33" s="256" t="s">
        <v>60</v>
      </c>
      <c r="E33" s="257">
        <v>0</v>
      </c>
      <c r="F33" s="259">
        <v>0</v>
      </c>
      <c r="G33" s="259">
        <v>0</v>
      </c>
      <c r="H33" s="259">
        <v>-0.01625</v>
      </c>
      <c r="I33" s="259">
        <v>0</v>
      </c>
      <c r="J33" s="259">
        <v>1.5</v>
      </c>
      <c r="K33" s="259">
        <v>1.5</v>
      </c>
      <c r="L33" s="259">
        <v>1.5</v>
      </c>
      <c r="M33" s="259">
        <v>1.5</v>
      </c>
      <c r="N33" s="259">
        <v>1.5</v>
      </c>
      <c r="O33" s="259">
        <v>1.5</v>
      </c>
      <c r="P33" s="259">
        <v>1.5</v>
      </c>
      <c r="Q33" s="259">
        <f t="shared" ref="Q33:Q79" si="6">F33+E33+G33+H33+I33+J33+K33+L33+M33+N33+O33+P33</f>
        <v>10.48375</v>
      </c>
      <c r="R33" s="260"/>
      <c r="S33" s="261"/>
    </row>
    <row r="34" outlineLevel="2" spans="1:19">
      <c r="A34" s="245" t="s">
        <v>32</v>
      </c>
      <c r="B34" s="256">
        <v>5207000012</v>
      </c>
      <c r="C34" s="256" t="s">
        <v>65</v>
      </c>
      <c r="D34" s="256" t="s">
        <v>60</v>
      </c>
      <c r="E34" s="257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9">
        <f t="shared" si="6"/>
        <v>0</v>
      </c>
      <c r="R34" s="260"/>
      <c r="S34" s="261"/>
    </row>
    <row r="35" outlineLevel="2" spans="1:19">
      <c r="A35" s="245" t="s">
        <v>32</v>
      </c>
      <c r="B35" s="256">
        <v>5207000022</v>
      </c>
      <c r="C35" s="256" t="s">
        <v>66</v>
      </c>
      <c r="D35" s="256" t="s">
        <v>60</v>
      </c>
      <c r="E35" s="257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f t="shared" si="6"/>
        <v>0</v>
      </c>
      <c r="R35" s="260"/>
      <c r="S35" s="261"/>
    </row>
    <row r="36" outlineLevel="2" spans="1:19">
      <c r="A36" s="245" t="s">
        <v>32</v>
      </c>
      <c r="B36" s="256">
        <v>5301060000</v>
      </c>
      <c r="C36" s="256" t="s">
        <v>67</v>
      </c>
      <c r="D36" s="256" t="s">
        <v>60</v>
      </c>
      <c r="E36" s="257">
        <v>0</v>
      </c>
      <c r="F36" s="259">
        <v>0</v>
      </c>
      <c r="G36" s="259">
        <v>0</v>
      </c>
      <c r="H36" s="259">
        <v>-0.14585</v>
      </c>
      <c r="I36" s="259">
        <v>-0.0285</v>
      </c>
      <c r="J36" s="259">
        <v>0</v>
      </c>
      <c r="K36" s="259">
        <v>0</v>
      </c>
      <c r="L36" s="259">
        <v>0</v>
      </c>
      <c r="M36" s="259">
        <v>0</v>
      </c>
      <c r="N36" s="259">
        <v>0</v>
      </c>
      <c r="O36" s="259">
        <v>0</v>
      </c>
      <c r="P36" s="259">
        <v>0</v>
      </c>
      <c r="Q36" s="259">
        <f t="shared" si="6"/>
        <v>-0.17435</v>
      </c>
      <c r="R36" s="260"/>
      <c r="S36" s="261"/>
    </row>
    <row r="37" outlineLevel="2" spans="1:19">
      <c r="A37" s="245" t="s">
        <v>32</v>
      </c>
      <c r="B37" s="256">
        <v>5301999999</v>
      </c>
      <c r="C37" s="256" t="s">
        <v>68</v>
      </c>
      <c r="D37" s="256" t="s">
        <v>60</v>
      </c>
      <c r="E37" s="257">
        <v>0</v>
      </c>
      <c r="F37" s="259">
        <v>-0.00545</v>
      </c>
      <c r="G37" s="259">
        <v>-0.09966</v>
      </c>
      <c r="H37" s="259">
        <v>-0.41552</v>
      </c>
      <c r="I37" s="259">
        <v>-0.39233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59">
        <v>0</v>
      </c>
      <c r="Q37" s="259">
        <f t="shared" si="6"/>
        <v>-0.91296</v>
      </c>
      <c r="R37" s="260"/>
      <c r="S37" s="261"/>
    </row>
    <row r="38" outlineLevel="2" spans="1:19">
      <c r="A38" s="245" t="s">
        <v>32</v>
      </c>
      <c r="B38" s="256">
        <v>5405030000</v>
      </c>
      <c r="C38" s="256" t="s">
        <v>69</v>
      </c>
      <c r="D38" s="256" t="s">
        <v>60</v>
      </c>
      <c r="E38" s="257">
        <v>0</v>
      </c>
      <c r="F38" s="259">
        <v>0</v>
      </c>
      <c r="G38" s="259">
        <v>0</v>
      </c>
      <c r="H38" s="259">
        <v>0</v>
      </c>
      <c r="I38" s="259">
        <v>0</v>
      </c>
      <c r="J38" s="259">
        <v>0</v>
      </c>
      <c r="K38" s="259">
        <v>0</v>
      </c>
      <c r="L38" s="259">
        <v>0</v>
      </c>
      <c r="M38" s="259">
        <v>0</v>
      </c>
      <c r="N38" s="259">
        <v>0</v>
      </c>
      <c r="O38" s="259">
        <v>0</v>
      </c>
      <c r="P38" s="259">
        <v>0</v>
      </c>
      <c r="Q38" s="259">
        <f t="shared" si="6"/>
        <v>0</v>
      </c>
      <c r="R38" s="260"/>
      <c r="S38" s="261"/>
    </row>
    <row r="39" outlineLevel="2" spans="1:19">
      <c r="A39" s="245" t="s">
        <v>32</v>
      </c>
      <c r="B39" s="256">
        <v>5601050000</v>
      </c>
      <c r="C39" s="256" t="s">
        <v>70</v>
      </c>
      <c r="D39" s="256" t="s">
        <v>60</v>
      </c>
      <c r="E39" s="257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59">
        <v>0</v>
      </c>
      <c r="Q39" s="259">
        <f t="shared" si="6"/>
        <v>0</v>
      </c>
      <c r="R39" s="260"/>
      <c r="S39" s="261"/>
    </row>
    <row r="40" outlineLevel="2" spans="1:19">
      <c r="A40" s="245" t="s">
        <v>32</v>
      </c>
      <c r="B40" s="256">
        <v>5601050100</v>
      </c>
      <c r="C40" s="256" t="s">
        <v>71</v>
      </c>
      <c r="D40" s="256" t="s">
        <v>60</v>
      </c>
      <c r="E40" s="257">
        <v>0</v>
      </c>
      <c r="F40" s="259">
        <v>0</v>
      </c>
      <c r="G40" s="259">
        <v>0</v>
      </c>
      <c r="H40" s="259">
        <v>0.128</v>
      </c>
      <c r="I40" s="259">
        <v>0.2642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0</v>
      </c>
      <c r="P40" s="259">
        <v>0</v>
      </c>
      <c r="Q40" s="259">
        <f t="shared" si="6"/>
        <v>0.3922</v>
      </c>
      <c r="R40" s="260"/>
      <c r="S40" s="261"/>
    </row>
    <row r="41" outlineLevel="2" spans="1:19">
      <c r="A41" s="245" t="s">
        <v>32</v>
      </c>
      <c r="B41" s="256">
        <v>5102040893</v>
      </c>
      <c r="C41" s="266" t="s">
        <v>72</v>
      </c>
      <c r="D41" s="256" t="s">
        <v>60</v>
      </c>
      <c r="E41" s="257">
        <v>0</v>
      </c>
      <c r="F41" s="259">
        <v>0</v>
      </c>
      <c r="G41" s="259">
        <v>-0.25953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f t="shared" si="6"/>
        <v>-0.25953</v>
      </c>
      <c r="R41" s="260"/>
      <c r="S41" s="261"/>
    </row>
    <row r="42" outlineLevel="2" spans="1:19">
      <c r="A42" s="245" t="s">
        <v>32</v>
      </c>
      <c r="B42" s="256">
        <v>5801000041</v>
      </c>
      <c r="C42" s="256" t="s">
        <v>73</v>
      </c>
      <c r="D42" s="256" t="s">
        <v>60</v>
      </c>
      <c r="E42" s="257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0</v>
      </c>
      <c r="P42" s="259">
        <v>0</v>
      </c>
      <c r="Q42" s="259">
        <f t="shared" si="6"/>
        <v>0</v>
      </c>
      <c r="R42" s="260"/>
      <c r="S42" s="261"/>
    </row>
    <row r="43" outlineLevel="2" spans="1:19">
      <c r="A43" s="245" t="s">
        <v>32</v>
      </c>
      <c r="B43" s="256">
        <v>6666010322</v>
      </c>
      <c r="C43" s="256" t="s">
        <v>74</v>
      </c>
      <c r="D43" s="256" t="s">
        <v>60</v>
      </c>
      <c r="E43" s="257">
        <v>1.46012</v>
      </c>
      <c r="F43" s="259">
        <v>0.36786</v>
      </c>
      <c r="G43" s="259">
        <v>1.18031</v>
      </c>
      <c r="H43" s="259">
        <v>-1.53204</v>
      </c>
      <c r="I43" s="259">
        <v>-0.58441</v>
      </c>
      <c r="J43" s="259">
        <v>1.86721368481431</v>
      </c>
      <c r="K43" s="259">
        <v>1.85239452858563</v>
      </c>
      <c r="L43" s="259">
        <v>1.83769298470796</v>
      </c>
      <c r="M43" s="259">
        <v>1.82310811974997</v>
      </c>
      <c r="N43" s="259">
        <v>1.79175245184272</v>
      </c>
      <c r="O43" s="259">
        <v>1.76093607060709</v>
      </c>
      <c r="P43" s="259">
        <v>1.73064970084235</v>
      </c>
      <c r="Q43" s="259">
        <f t="shared" si="6"/>
        <v>13.55558754115</v>
      </c>
      <c r="R43" s="260"/>
      <c r="S43" s="261"/>
    </row>
    <row r="44" outlineLevel="2" spans="1:19">
      <c r="A44" s="245" t="s">
        <v>32</v>
      </c>
      <c r="B44" s="256">
        <v>6666020101</v>
      </c>
      <c r="C44" s="256" t="s">
        <v>75</v>
      </c>
      <c r="D44" s="256" t="s">
        <v>60</v>
      </c>
      <c r="E44" s="257">
        <v>4.70552</v>
      </c>
      <c r="F44" s="259">
        <v>4.61778</v>
      </c>
      <c r="G44" s="259">
        <v>4.55447</v>
      </c>
      <c r="H44" s="259">
        <v>-13.31884</v>
      </c>
      <c r="I44" s="259">
        <v>1.25782</v>
      </c>
      <c r="J44" s="259">
        <v>7.29780518509058</v>
      </c>
      <c r="K44" s="259">
        <v>0</v>
      </c>
      <c r="L44" s="259">
        <v>0</v>
      </c>
      <c r="M44" s="259">
        <v>0</v>
      </c>
      <c r="N44" s="259">
        <v>7.831</v>
      </c>
      <c r="O44" s="259">
        <v>7.831</v>
      </c>
      <c r="P44" s="259">
        <v>7.831</v>
      </c>
      <c r="Q44" s="259">
        <f t="shared" si="6"/>
        <v>32.6075551850906</v>
      </c>
      <c r="R44" s="260"/>
      <c r="S44" s="261"/>
    </row>
    <row r="45" outlineLevel="2" spans="1:19">
      <c r="A45" s="245" t="s">
        <v>32</v>
      </c>
      <c r="B45" s="256">
        <v>6666020201</v>
      </c>
      <c r="C45" s="256" t="s">
        <v>76</v>
      </c>
      <c r="D45" s="256" t="s">
        <v>60</v>
      </c>
      <c r="E45" s="257">
        <v>0</v>
      </c>
      <c r="F45" s="259">
        <v>0</v>
      </c>
      <c r="G45" s="259">
        <v>0</v>
      </c>
      <c r="H45" s="259">
        <v>0.08185</v>
      </c>
      <c r="I45" s="259">
        <v>0.18603</v>
      </c>
      <c r="J45" s="259">
        <v>2.35414062173631</v>
      </c>
      <c r="K45" s="259">
        <v>2.33545696600824</v>
      </c>
      <c r="L45" s="259">
        <v>2.31692159326214</v>
      </c>
      <c r="M45" s="259">
        <v>2.29853332664895</v>
      </c>
      <c r="N45" s="259">
        <v>2.2590008124314</v>
      </c>
      <c r="O45" s="259">
        <v>2.2201482186058</v>
      </c>
      <c r="P45" s="259">
        <v>2.18196385120963</v>
      </c>
      <c r="Q45" s="259">
        <f t="shared" si="6"/>
        <v>16.2340453899025</v>
      </c>
      <c r="R45" s="260"/>
      <c r="S45" s="261"/>
    </row>
    <row r="46" outlineLevel="2" spans="1:19">
      <c r="A46" s="245" t="s">
        <v>32</v>
      </c>
      <c r="B46" s="256">
        <v>6666020202</v>
      </c>
      <c r="C46" s="256" t="s">
        <v>77</v>
      </c>
      <c r="D46" s="256" t="s">
        <v>60</v>
      </c>
      <c r="E46" s="257">
        <v>0</v>
      </c>
      <c r="F46" s="259">
        <v>0</v>
      </c>
      <c r="G46" s="259">
        <v>0</v>
      </c>
      <c r="H46" s="259">
        <v>0.26429</v>
      </c>
      <c r="I46" s="259">
        <v>0.03439</v>
      </c>
      <c r="J46" s="259">
        <v>0</v>
      </c>
      <c r="K46" s="259">
        <v>0</v>
      </c>
      <c r="L46" s="259">
        <v>0</v>
      </c>
      <c r="M46" s="259">
        <v>0</v>
      </c>
      <c r="N46" s="259">
        <v>0</v>
      </c>
      <c r="O46" s="259">
        <v>0</v>
      </c>
      <c r="P46" s="259">
        <v>0</v>
      </c>
      <c r="Q46" s="259">
        <f t="shared" si="6"/>
        <v>0.29868</v>
      </c>
      <c r="R46" s="260"/>
      <c r="S46" s="261"/>
    </row>
    <row r="47" outlineLevel="2" spans="1:19">
      <c r="A47" s="245" t="s">
        <v>32</v>
      </c>
      <c r="B47" s="256">
        <v>6666020204</v>
      </c>
      <c r="C47" s="256" t="s">
        <v>78</v>
      </c>
      <c r="D47" s="256" t="s">
        <v>60</v>
      </c>
      <c r="E47" s="257">
        <v>2.55611</v>
      </c>
      <c r="F47" s="259">
        <v>2.50844</v>
      </c>
      <c r="G47" s="259">
        <v>4.28647</v>
      </c>
      <c r="H47" s="259">
        <v>-2.54533</v>
      </c>
      <c r="I47" s="259">
        <v>1.80797</v>
      </c>
      <c r="J47" s="259">
        <v>0</v>
      </c>
      <c r="K47" s="259">
        <v>0</v>
      </c>
      <c r="L47" s="259">
        <v>0</v>
      </c>
      <c r="M47" s="259">
        <v>0</v>
      </c>
      <c r="N47" s="259">
        <v>0</v>
      </c>
      <c r="O47" s="259">
        <v>0</v>
      </c>
      <c r="P47" s="259">
        <v>0</v>
      </c>
      <c r="Q47" s="259">
        <f t="shared" si="6"/>
        <v>8.61366</v>
      </c>
      <c r="R47" s="260"/>
      <c r="S47" s="261"/>
    </row>
    <row r="48" outlineLevel="2" spans="1:19">
      <c r="A48" s="245" t="s">
        <v>32</v>
      </c>
      <c r="B48" s="256">
        <v>6666020205</v>
      </c>
      <c r="C48" s="256" t="s">
        <v>79</v>
      </c>
      <c r="D48" s="256" t="s">
        <v>60</v>
      </c>
      <c r="E48" s="257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259">
        <v>0</v>
      </c>
      <c r="N48" s="259">
        <v>0</v>
      </c>
      <c r="O48" s="259">
        <v>0</v>
      </c>
      <c r="P48" s="259">
        <v>0</v>
      </c>
      <c r="Q48" s="259">
        <f t="shared" si="6"/>
        <v>0</v>
      </c>
      <c r="R48" s="260"/>
      <c r="S48" s="261"/>
    </row>
    <row r="49" outlineLevel="2" spans="1:19">
      <c r="A49" s="245" t="s">
        <v>32</v>
      </c>
      <c r="B49" s="256">
        <v>6666020301</v>
      </c>
      <c r="C49" s="256" t="s">
        <v>80</v>
      </c>
      <c r="D49" s="256" t="s">
        <v>60</v>
      </c>
      <c r="E49" s="257">
        <v>0.27915</v>
      </c>
      <c r="F49" s="259">
        <v>0.02628</v>
      </c>
      <c r="G49" s="259">
        <v>0.39431</v>
      </c>
      <c r="H49" s="259">
        <v>0.37126</v>
      </c>
      <c r="I49" s="259">
        <v>0.20424</v>
      </c>
      <c r="J49" s="259">
        <v>0.348946824690728</v>
      </c>
      <c r="K49" s="259">
        <v>0.346177405447151</v>
      </c>
      <c r="L49" s="259">
        <v>0.34342996572138</v>
      </c>
      <c r="M49" s="259">
        <v>0.340704331072798</v>
      </c>
      <c r="N49" s="259">
        <v>0.334844551422897</v>
      </c>
      <c r="O49" s="259">
        <v>0.329085554223977</v>
      </c>
      <c r="P49" s="259">
        <v>0.323425606116931</v>
      </c>
      <c r="Q49" s="259">
        <f t="shared" si="6"/>
        <v>3.64185423869586</v>
      </c>
      <c r="R49" s="260"/>
      <c r="S49" s="261"/>
    </row>
    <row r="50" outlineLevel="2" spans="1:19">
      <c r="A50" s="245" t="s">
        <v>32</v>
      </c>
      <c r="B50" s="256">
        <v>6666020302</v>
      </c>
      <c r="C50" s="256" t="s">
        <v>81</v>
      </c>
      <c r="D50" s="256" t="s">
        <v>60</v>
      </c>
      <c r="E50" s="257">
        <v>0</v>
      </c>
      <c r="F50" s="259">
        <v>0</v>
      </c>
      <c r="G50" s="259">
        <v>0</v>
      </c>
      <c r="H50" s="259">
        <v>0</v>
      </c>
      <c r="I50" s="259">
        <v>0</v>
      </c>
      <c r="J50" s="259">
        <v>0.0397948609735566</v>
      </c>
      <c r="K50" s="259">
        <v>0.0394790287436077</v>
      </c>
      <c r="L50" s="259">
        <v>0.0391657031186584</v>
      </c>
      <c r="M50" s="259">
        <v>0.0388548642050183</v>
      </c>
      <c r="N50" s="259">
        <v>0.0381865987272907</v>
      </c>
      <c r="O50" s="259">
        <v>0.0375298267590081</v>
      </c>
      <c r="P50" s="259">
        <v>0.0368843506231037</v>
      </c>
      <c r="Q50" s="259">
        <f t="shared" si="6"/>
        <v>0.269895233150244</v>
      </c>
      <c r="R50" s="260"/>
      <c r="S50" s="261"/>
    </row>
    <row r="51" outlineLevel="2" spans="1:19">
      <c r="A51" s="245" t="s">
        <v>32</v>
      </c>
      <c r="B51" s="256">
        <v>6666020403</v>
      </c>
      <c r="C51" s="267" t="s">
        <v>82</v>
      </c>
      <c r="D51" s="256" t="s">
        <v>60</v>
      </c>
      <c r="E51" s="257">
        <v>0</v>
      </c>
      <c r="F51" s="259">
        <v>0</v>
      </c>
      <c r="G51" s="259">
        <v>0</v>
      </c>
      <c r="H51" s="259">
        <v>0</v>
      </c>
      <c r="I51" s="259">
        <v>0</v>
      </c>
      <c r="J51" s="259">
        <v>0</v>
      </c>
      <c r="K51" s="259">
        <v>0</v>
      </c>
      <c r="L51" s="259">
        <v>0</v>
      </c>
      <c r="M51" s="259">
        <v>0</v>
      </c>
      <c r="N51" s="259">
        <v>0</v>
      </c>
      <c r="O51" s="259">
        <v>0</v>
      </c>
      <c r="P51" s="259">
        <v>0</v>
      </c>
      <c r="Q51" s="259">
        <f t="shared" si="6"/>
        <v>0</v>
      </c>
      <c r="R51" s="260"/>
      <c r="S51" s="261"/>
    </row>
    <row r="52" outlineLevel="2" spans="1:19">
      <c r="A52" s="245" t="s">
        <v>32</v>
      </c>
      <c r="B52" s="256">
        <v>6666020405</v>
      </c>
      <c r="C52" s="256" t="s">
        <v>83</v>
      </c>
      <c r="D52" s="256" t="s">
        <v>60</v>
      </c>
      <c r="E52" s="257">
        <v>0</v>
      </c>
      <c r="F52" s="259">
        <v>0</v>
      </c>
      <c r="G52" s="259">
        <v>0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f t="shared" si="6"/>
        <v>0</v>
      </c>
      <c r="R52" s="260"/>
      <c r="S52" s="261"/>
    </row>
    <row r="53" outlineLevel="2" spans="1:19">
      <c r="A53" s="245" t="s">
        <v>32</v>
      </c>
      <c r="B53" s="256">
        <v>6666020495</v>
      </c>
      <c r="C53" s="256" t="s">
        <v>84</v>
      </c>
      <c r="D53" s="256" t="s">
        <v>60</v>
      </c>
      <c r="E53" s="257">
        <v>0.16316</v>
      </c>
      <c r="F53" s="259">
        <v>0.36005</v>
      </c>
      <c r="G53" s="259">
        <v>0.74239</v>
      </c>
      <c r="H53" s="259">
        <v>0.22248</v>
      </c>
      <c r="I53" s="259">
        <v>1.05546</v>
      </c>
      <c r="J53" s="259">
        <v>0</v>
      </c>
      <c r="K53" s="259">
        <v>0</v>
      </c>
      <c r="L53" s="259">
        <v>0</v>
      </c>
      <c r="M53" s="259">
        <v>0</v>
      </c>
      <c r="N53" s="259">
        <v>0</v>
      </c>
      <c r="O53" s="259">
        <v>0</v>
      </c>
      <c r="P53" s="259">
        <v>0</v>
      </c>
      <c r="Q53" s="259">
        <f t="shared" si="6"/>
        <v>2.54354</v>
      </c>
      <c r="R53" s="260"/>
      <c r="S53" s="261"/>
    </row>
    <row r="54" outlineLevel="2" spans="1:19">
      <c r="A54" s="245" t="s">
        <v>32</v>
      </c>
      <c r="B54" s="256">
        <v>6666020504</v>
      </c>
      <c r="C54" s="256" t="s">
        <v>85</v>
      </c>
      <c r="D54" s="256" t="s">
        <v>60</v>
      </c>
      <c r="E54" s="257">
        <v>0</v>
      </c>
      <c r="F54" s="259">
        <v>0</v>
      </c>
      <c r="G54" s="259">
        <v>0</v>
      </c>
      <c r="H54" s="259">
        <v>0</v>
      </c>
      <c r="I54" s="259">
        <v>0</v>
      </c>
      <c r="J54" s="259">
        <v>0.0494025621325971</v>
      </c>
      <c r="K54" s="259">
        <v>0.0490104783061479</v>
      </c>
      <c r="L54" s="259">
        <v>0.0486215062560991</v>
      </c>
      <c r="M54" s="259">
        <v>0.0482356212858126</v>
      </c>
      <c r="N54" s="259">
        <v>0.0474060160057126</v>
      </c>
      <c r="O54" s="259">
        <v>0.0465906791210935</v>
      </c>
      <c r="P54" s="259">
        <v>0.0457893652295759</v>
      </c>
      <c r="Q54" s="259">
        <f t="shared" si="6"/>
        <v>0.335056228337039</v>
      </c>
      <c r="R54" s="260"/>
      <c r="S54" s="261"/>
    </row>
    <row r="55" outlineLevel="2" spans="1:19">
      <c r="A55" s="245" t="s">
        <v>32</v>
      </c>
      <c r="B55" s="256">
        <v>6666020508</v>
      </c>
      <c r="C55" s="256" t="s">
        <v>86</v>
      </c>
      <c r="D55" s="256" t="s">
        <v>60</v>
      </c>
      <c r="E55" s="257">
        <v>0</v>
      </c>
      <c r="F55" s="259">
        <v>0</v>
      </c>
      <c r="G55" s="259">
        <v>0.37173</v>
      </c>
      <c r="H55" s="259">
        <v>0.01611</v>
      </c>
      <c r="I55" s="259">
        <v>0.0622</v>
      </c>
      <c r="J55" s="259">
        <v>0.404620624429344</v>
      </c>
      <c r="K55" s="259">
        <v>0.401409349632286</v>
      </c>
      <c r="L55" s="259">
        <v>0.39822356114314</v>
      </c>
      <c r="M55" s="259">
        <v>0.395063056689623</v>
      </c>
      <c r="N55" s="259">
        <v>0.388268360382922</v>
      </c>
      <c r="O55" s="259">
        <v>0.381590526174862</v>
      </c>
      <c r="P55" s="259">
        <v>0.375027544152199</v>
      </c>
      <c r="Q55" s="259">
        <f t="shared" si="6"/>
        <v>3.19424302260438</v>
      </c>
      <c r="R55" s="260"/>
      <c r="S55" s="261"/>
    </row>
    <row r="56" outlineLevel="2" spans="1:19">
      <c r="A56" s="245" t="s">
        <v>32</v>
      </c>
      <c r="B56" s="256">
        <v>6666020602</v>
      </c>
      <c r="C56" s="256" t="s">
        <v>87</v>
      </c>
      <c r="D56" s="256" t="s">
        <v>60</v>
      </c>
      <c r="E56" s="257">
        <v>0</v>
      </c>
      <c r="F56" s="259">
        <v>0.54443</v>
      </c>
      <c r="G56" s="259">
        <v>-0.74346</v>
      </c>
      <c r="H56" s="259">
        <v>0</v>
      </c>
      <c r="I56" s="259">
        <v>0.0025</v>
      </c>
      <c r="J56" s="259">
        <v>1.84311044197301</v>
      </c>
      <c r="K56" s="259">
        <v>1.82848258132243</v>
      </c>
      <c r="L56" s="259">
        <v>1.81397081480399</v>
      </c>
      <c r="M56" s="259">
        <v>1.79957422103571</v>
      </c>
      <c r="N56" s="259">
        <v>1.76862331305721</v>
      </c>
      <c r="O56" s="259">
        <v>1.73820473027735</v>
      </c>
      <c r="P56" s="259">
        <v>1.7083093172259</v>
      </c>
      <c r="Q56" s="259">
        <f t="shared" si="6"/>
        <v>12.3037454196956</v>
      </c>
      <c r="R56" s="260"/>
      <c r="S56" s="261"/>
    </row>
    <row r="57" outlineLevel="2" spans="1:19">
      <c r="A57" s="245" t="s">
        <v>32</v>
      </c>
      <c r="B57" s="256">
        <v>6666020701</v>
      </c>
      <c r="C57" s="256" t="s">
        <v>88</v>
      </c>
      <c r="D57" s="256" t="s">
        <v>60</v>
      </c>
      <c r="E57" s="257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f t="shared" si="6"/>
        <v>0</v>
      </c>
      <c r="R57" s="260"/>
      <c r="S57" s="261"/>
    </row>
    <row r="58" outlineLevel="2" spans="1:19">
      <c r="A58" s="245" t="s">
        <v>32</v>
      </c>
      <c r="B58" s="256">
        <v>6666020801</v>
      </c>
      <c r="C58" s="256" t="s">
        <v>89</v>
      </c>
      <c r="D58" s="256" t="s">
        <v>60</v>
      </c>
      <c r="E58" s="257"/>
      <c r="F58" s="259">
        <v>1.56887</v>
      </c>
      <c r="G58" s="259">
        <v>0.95001</v>
      </c>
      <c r="H58" s="259">
        <v>-2.55362</v>
      </c>
      <c r="I58" s="259">
        <v>0.29748</v>
      </c>
      <c r="J58" s="259">
        <v>1.18438130658783</v>
      </c>
      <c r="K58" s="259">
        <v>1.17498145494824</v>
      </c>
      <c r="L58" s="259">
        <v>1.1656562053058</v>
      </c>
      <c r="M58" s="259">
        <v>1.15640496558115</v>
      </c>
      <c r="N58" s="259">
        <v>1.13651593668909</v>
      </c>
      <c r="O58" s="259">
        <v>1.11696897954702</v>
      </c>
      <c r="P58" s="259">
        <v>1.09775821085702</v>
      </c>
      <c r="Q58" s="259">
        <f t="shared" si="6"/>
        <v>8.29540705951615</v>
      </c>
      <c r="R58" s="260"/>
      <c r="S58" s="261"/>
    </row>
    <row r="59" outlineLevel="2" spans="1:19">
      <c r="A59" s="245" t="s">
        <v>32</v>
      </c>
      <c r="B59" s="256">
        <v>6666020802</v>
      </c>
      <c r="C59" s="256" t="s">
        <v>90</v>
      </c>
      <c r="D59" s="256" t="s">
        <v>60</v>
      </c>
      <c r="E59" s="257">
        <v>10.7325</v>
      </c>
      <c r="F59" s="259">
        <v>10.758</v>
      </c>
      <c r="G59" s="259">
        <v>11.30733</v>
      </c>
      <c r="H59" s="259">
        <v>12.41071</v>
      </c>
      <c r="I59" s="259">
        <v>14.82192</v>
      </c>
      <c r="J59" s="259">
        <v>14.283</v>
      </c>
      <c r="K59" s="259">
        <v>12.783</v>
      </c>
      <c r="L59" s="259">
        <v>12.783</v>
      </c>
      <c r="M59" s="259">
        <v>12.783</v>
      </c>
      <c r="N59" s="259">
        <v>12.783</v>
      </c>
      <c r="O59" s="259">
        <v>12.783</v>
      </c>
      <c r="P59" s="259">
        <v>14.283</v>
      </c>
      <c r="Q59" s="259">
        <f t="shared" si="6"/>
        <v>152.51146</v>
      </c>
      <c r="R59" s="260"/>
      <c r="S59" s="261"/>
    </row>
    <row r="60" outlineLevel="2" spans="1:19">
      <c r="A60" s="245" t="s">
        <v>32</v>
      </c>
      <c r="B60" s="256">
        <v>6666020803</v>
      </c>
      <c r="C60" s="256" t="s">
        <v>91</v>
      </c>
      <c r="D60" s="256" t="s">
        <v>60</v>
      </c>
      <c r="E60" s="257">
        <v>5.39995</v>
      </c>
      <c r="F60" s="259">
        <v>3.14635</v>
      </c>
      <c r="G60" s="259">
        <v>2.73879</v>
      </c>
      <c r="H60" s="259">
        <v>3.55751</v>
      </c>
      <c r="I60" s="259">
        <v>2.84186</v>
      </c>
      <c r="J60" s="259">
        <v>3.59414983255602</v>
      </c>
      <c r="K60" s="259">
        <v>3.56562483388494</v>
      </c>
      <c r="L60" s="259">
        <v>3.5373262240922</v>
      </c>
      <c r="M60" s="259">
        <v>3.50925220644068</v>
      </c>
      <c r="N60" s="259">
        <v>3.44889651738642</v>
      </c>
      <c r="O60" s="259">
        <v>3.38957888686626</v>
      </c>
      <c r="P60" s="259">
        <v>3.33128146129362</v>
      </c>
      <c r="Q60" s="259">
        <f t="shared" si="6"/>
        <v>42.0605699625201</v>
      </c>
      <c r="R60" s="260"/>
      <c r="S60" s="261"/>
    </row>
    <row r="61" outlineLevel="2" spans="1:19">
      <c r="A61" s="245" t="s">
        <v>32</v>
      </c>
      <c r="B61" s="256">
        <v>6666021100</v>
      </c>
      <c r="C61" s="256" t="s">
        <v>92</v>
      </c>
      <c r="D61" s="256" t="s">
        <v>60</v>
      </c>
      <c r="E61" s="257">
        <v>7.28324</v>
      </c>
      <c r="F61" s="259">
        <v>5.88308</v>
      </c>
      <c r="G61" s="259">
        <v>5.81703</v>
      </c>
      <c r="H61" s="259">
        <v>-4.44739</v>
      </c>
      <c r="I61" s="259">
        <v>7.32294</v>
      </c>
      <c r="J61" s="259">
        <v>5.43692460308303</v>
      </c>
      <c r="K61" s="259">
        <v>5.39377440782047</v>
      </c>
      <c r="L61" s="259">
        <v>5.35096667442507</v>
      </c>
      <c r="M61" s="259">
        <v>5.3084986849455</v>
      </c>
      <c r="N61" s="259">
        <v>5.21719772476217</v>
      </c>
      <c r="O61" s="259">
        <v>5.12746705136331</v>
      </c>
      <c r="P61" s="259">
        <v>5.03927965735951</v>
      </c>
      <c r="Q61" s="259">
        <f t="shared" si="6"/>
        <v>58.7330088037591</v>
      </c>
      <c r="R61" s="260"/>
      <c r="S61" s="261"/>
    </row>
    <row r="62" outlineLevel="2" spans="1:19">
      <c r="A62" s="245" t="s">
        <v>32</v>
      </c>
      <c r="B62" s="256">
        <v>6666021104</v>
      </c>
      <c r="C62" s="267" t="s">
        <v>93</v>
      </c>
      <c r="D62" s="256" t="s">
        <v>60</v>
      </c>
      <c r="E62" s="257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f t="shared" si="6"/>
        <v>0</v>
      </c>
      <c r="R62" s="260"/>
      <c r="S62" s="261"/>
    </row>
    <row r="63" outlineLevel="2" spans="1:19">
      <c r="A63" s="269" t="s">
        <v>32</v>
      </c>
      <c r="B63" s="256">
        <v>6666021200</v>
      </c>
      <c r="C63" s="270" t="s">
        <v>94</v>
      </c>
      <c r="D63" s="256" t="s">
        <v>60</v>
      </c>
      <c r="E63" s="257">
        <v>0</v>
      </c>
      <c r="F63" s="259">
        <v>0</v>
      </c>
      <c r="G63" s="259">
        <v>0</v>
      </c>
      <c r="H63" s="259">
        <v>0</v>
      </c>
      <c r="I63" s="259">
        <v>0</v>
      </c>
      <c r="J63" s="259">
        <v>0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0</v>
      </c>
      <c r="Q63" s="259">
        <f t="shared" si="6"/>
        <v>0</v>
      </c>
      <c r="R63" s="260"/>
      <c r="S63" s="261"/>
    </row>
    <row r="64" outlineLevel="2" spans="1:19">
      <c r="A64" s="245" t="s">
        <v>32</v>
      </c>
      <c r="B64" s="256">
        <v>6666021902</v>
      </c>
      <c r="C64" s="256" t="s">
        <v>95</v>
      </c>
      <c r="D64" s="256" t="s">
        <v>60</v>
      </c>
      <c r="E64" s="257">
        <v>6.57244</v>
      </c>
      <c r="F64" s="259">
        <v>9.0083</v>
      </c>
      <c r="G64" s="259">
        <v>4.92773</v>
      </c>
      <c r="H64" s="259">
        <v>6.95777</v>
      </c>
      <c r="I64" s="259">
        <v>6.1241</v>
      </c>
      <c r="J64" s="259">
        <v>7.52328927722226</v>
      </c>
      <c r="K64" s="259">
        <v>7.46358063216494</v>
      </c>
      <c r="L64" s="259">
        <v>7.404345865243</v>
      </c>
      <c r="M64" s="259">
        <v>7.34558121551885</v>
      </c>
      <c r="N64" s="259">
        <v>7.21924443785636</v>
      </c>
      <c r="O64" s="259">
        <v>7.09508052860576</v>
      </c>
      <c r="P64" s="259">
        <v>6.97305211656585</v>
      </c>
      <c r="Q64" s="259">
        <f t="shared" si="6"/>
        <v>84.614514073177</v>
      </c>
      <c r="R64" s="260"/>
      <c r="S64" s="261"/>
    </row>
    <row r="65" outlineLevel="2" spans="1:19">
      <c r="A65" s="269" t="s">
        <v>32</v>
      </c>
      <c r="B65" s="256">
        <v>6666022100</v>
      </c>
      <c r="C65" s="256" t="s">
        <v>96</v>
      </c>
      <c r="D65" s="256" t="s">
        <v>60</v>
      </c>
      <c r="E65" s="257">
        <v>1.4246</v>
      </c>
      <c r="F65" s="259">
        <v>1.23972</v>
      </c>
      <c r="G65" s="259">
        <v>1.19478</v>
      </c>
      <c r="H65" s="259">
        <v>1.38688</v>
      </c>
      <c r="I65" s="259">
        <v>1.68529</v>
      </c>
      <c r="J65" s="259">
        <v>1.39327377387243</v>
      </c>
      <c r="K65" s="259">
        <v>1.38221604550836</v>
      </c>
      <c r="L65" s="259">
        <v>1.37124607689321</v>
      </c>
      <c r="M65" s="259">
        <v>1.36036317152105</v>
      </c>
      <c r="N65" s="259">
        <v>1.33696626193715</v>
      </c>
      <c r="O65" s="259">
        <v>1.31397175620358</v>
      </c>
      <c r="P65" s="259">
        <v>1.29137273336961</v>
      </c>
      <c r="Q65" s="259">
        <f t="shared" si="6"/>
        <v>16.3806798193054</v>
      </c>
      <c r="R65" s="260"/>
      <c r="S65" s="261"/>
    </row>
    <row r="66" outlineLevel="2" spans="1:19">
      <c r="A66" s="245" t="s">
        <v>32</v>
      </c>
      <c r="B66" s="256">
        <v>6666022300</v>
      </c>
      <c r="C66" s="256" t="s">
        <v>97</v>
      </c>
      <c r="D66" s="256" t="s">
        <v>60</v>
      </c>
      <c r="E66" s="257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0</v>
      </c>
      <c r="P66" s="259">
        <v>0</v>
      </c>
      <c r="Q66" s="259">
        <f t="shared" si="6"/>
        <v>0</v>
      </c>
      <c r="R66" s="260"/>
      <c r="S66" s="261"/>
    </row>
    <row r="67" outlineLevel="2" spans="1:19">
      <c r="A67" s="245" t="s">
        <v>32</v>
      </c>
      <c r="B67" s="256">
        <v>6666029700</v>
      </c>
      <c r="C67" s="256" t="s">
        <v>98</v>
      </c>
      <c r="D67" s="256" t="s">
        <v>60</v>
      </c>
      <c r="E67" s="257">
        <v>0</v>
      </c>
      <c r="F67" s="259">
        <v>0</v>
      </c>
      <c r="G67" s="259">
        <v>0</v>
      </c>
      <c r="H67" s="259">
        <v>0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0</v>
      </c>
      <c r="P67" s="259">
        <v>0</v>
      </c>
      <c r="Q67" s="259">
        <f t="shared" si="6"/>
        <v>0</v>
      </c>
      <c r="R67" s="260"/>
      <c r="S67" s="261"/>
    </row>
    <row r="68" outlineLevel="2" spans="1:19">
      <c r="A68" s="245" t="s">
        <v>32</v>
      </c>
      <c r="B68" s="256">
        <v>6666029900</v>
      </c>
      <c r="C68" s="256" t="s">
        <v>99</v>
      </c>
      <c r="D68" s="256" t="s">
        <v>60</v>
      </c>
      <c r="E68" s="257">
        <v>0</v>
      </c>
      <c r="F68" s="259">
        <v>0.00778</v>
      </c>
      <c r="G68" s="259">
        <v>0</v>
      </c>
      <c r="H68" s="259">
        <v>-0.0167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f t="shared" si="6"/>
        <v>-0.00892</v>
      </c>
      <c r="R68" s="260"/>
      <c r="S68" s="261"/>
    </row>
    <row r="69" outlineLevel="2" spans="1:19">
      <c r="A69" s="245" t="s">
        <v>32</v>
      </c>
      <c r="B69" s="256">
        <v>6666029996</v>
      </c>
      <c r="C69" s="256" t="s">
        <v>100</v>
      </c>
      <c r="D69" s="256" t="s">
        <v>60</v>
      </c>
      <c r="E69" s="257">
        <v>0.0279</v>
      </c>
      <c r="F69" s="259">
        <v>-0.02736</v>
      </c>
      <c r="G69" s="259">
        <v>0.03701</v>
      </c>
      <c r="H69" s="259">
        <v>0.00719</v>
      </c>
      <c r="I69" s="259">
        <v>0.01927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f t="shared" si="6"/>
        <v>0.06401</v>
      </c>
      <c r="R69" s="260"/>
      <c r="S69" s="261"/>
    </row>
    <row r="70" outlineLevel="2" spans="1:19">
      <c r="A70" s="245" t="s">
        <v>32</v>
      </c>
      <c r="B70" s="256">
        <v>6666029997</v>
      </c>
      <c r="C70" s="256" t="s">
        <v>101</v>
      </c>
      <c r="D70" s="256" t="s">
        <v>60</v>
      </c>
      <c r="E70" s="257">
        <v>7.89403</v>
      </c>
      <c r="F70" s="259">
        <v>-2.12126</v>
      </c>
      <c r="G70" s="259">
        <v>0</v>
      </c>
      <c r="H70" s="259">
        <v>0</v>
      </c>
      <c r="I70" s="259">
        <v>0</v>
      </c>
      <c r="J70" s="259">
        <v>0.563043906658275</v>
      </c>
      <c r="K70" s="259">
        <v>0.558575304224479</v>
      </c>
      <c r="L70" s="259">
        <v>0.554142166889364</v>
      </c>
      <c r="M70" s="259">
        <v>0.549744213183893</v>
      </c>
      <c r="N70" s="259">
        <v>0.540289153006283</v>
      </c>
      <c r="O70" s="259">
        <v>0.530996710571286</v>
      </c>
      <c r="P70" s="259">
        <v>2.00355252168277</v>
      </c>
      <c r="Q70" s="259">
        <f t="shared" si="6"/>
        <v>11.0731139762163</v>
      </c>
      <c r="R70" s="260"/>
      <c r="S70" s="261"/>
    </row>
    <row r="71" outlineLevel="2" spans="1:19">
      <c r="A71" s="245" t="s">
        <v>32</v>
      </c>
      <c r="B71" s="256">
        <v>6666030702</v>
      </c>
      <c r="C71" s="256" t="s">
        <v>102</v>
      </c>
      <c r="D71" s="256" t="s">
        <v>60</v>
      </c>
      <c r="E71" s="257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f t="shared" si="6"/>
        <v>0</v>
      </c>
      <c r="R71" s="260"/>
      <c r="S71" s="261"/>
    </row>
    <row r="72" outlineLevel="2" spans="1:19">
      <c r="A72" s="245" t="s">
        <v>32</v>
      </c>
      <c r="B72" s="256">
        <v>6666031200</v>
      </c>
      <c r="C72" s="256" t="s">
        <v>103</v>
      </c>
      <c r="D72" s="256" t="s">
        <v>60</v>
      </c>
      <c r="E72" s="257">
        <v>0</v>
      </c>
      <c r="F72" s="259">
        <v>0</v>
      </c>
      <c r="G72" s="259">
        <v>0</v>
      </c>
      <c r="H72" s="259">
        <v>0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f t="shared" si="6"/>
        <v>0</v>
      </c>
      <c r="R72" s="260"/>
      <c r="S72" s="261"/>
    </row>
    <row r="73" outlineLevel="2" spans="1:19">
      <c r="A73" s="245" t="s">
        <v>32</v>
      </c>
      <c r="B73" s="256">
        <v>6666050107</v>
      </c>
      <c r="C73" s="256" t="s">
        <v>104</v>
      </c>
      <c r="D73" s="256" t="s">
        <v>60</v>
      </c>
      <c r="E73" s="257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f t="shared" si="6"/>
        <v>0</v>
      </c>
      <c r="R73" s="260"/>
      <c r="S73" s="261"/>
    </row>
    <row r="74" outlineLevel="2" spans="1:19">
      <c r="A74" s="245" t="s">
        <v>32</v>
      </c>
      <c r="B74" s="256">
        <v>6666050202</v>
      </c>
      <c r="C74" s="256" t="s">
        <v>105</v>
      </c>
      <c r="D74" s="256" t="s">
        <v>60</v>
      </c>
      <c r="E74" s="257">
        <v>0</v>
      </c>
      <c r="F74" s="259">
        <v>0.04008</v>
      </c>
      <c r="G74" s="259">
        <v>0</v>
      </c>
      <c r="H74" s="259">
        <v>-1.72385</v>
      </c>
      <c r="I74" s="259">
        <v>-0.08243</v>
      </c>
      <c r="J74" s="259">
        <v>0</v>
      </c>
      <c r="K74" s="259">
        <v>0</v>
      </c>
      <c r="L74" s="259">
        <v>0</v>
      </c>
      <c r="M74" s="259">
        <v>0</v>
      </c>
      <c r="N74" s="259">
        <v>0</v>
      </c>
      <c r="O74" s="259">
        <v>0</v>
      </c>
      <c r="P74" s="259">
        <v>0</v>
      </c>
      <c r="Q74" s="259">
        <f t="shared" si="6"/>
        <v>-1.7662</v>
      </c>
      <c r="R74" s="260"/>
      <c r="S74" s="261"/>
    </row>
    <row r="75" outlineLevel="2" spans="1:19">
      <c r="A75" s="245" t="s">
        <v>32</v>
      </c>
      <c r="B75" s="256">
        <v>6666070100</v>
      </c>
      <c r="C75" s="256" t="s">
        <v>106</v>
      </c>
      <c r="D75" s="256" t="s">
        <v>60</v>
      </c>
      <c r="E75" s="257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f t="shared" si="6"/>
        <v>0</v>
      </c>
      <c r="R75" s="260"/>
      <c r="S75" s="261"/>
    </row>
    <row r="76" outlineLevel="2" spans="1:19">
      <c r="A76" s="245" t="s">
        <v>32</v>
      </c>
      <c r="B76" s="256">
        <v>6666070300</v>
      </c>
      <c r="C76" s="256" t="s">
        <v>107</v>
      </c>
      <c r="D76" s="256" t="s">
        <v>60</v>
      </c>
      <c r="E76" s="257">
        <v>0</v>
      </c>
      <c r="F76" s="259">
        <v>0</v>
      </c>
      <c r="G76" s="259">
        <v>0</v>
      </c>
      <c r="H76" s="259">
        <v>0</v>
      </c>
      <c r="I76" s="259">
        <v>0</v>
      </c>
      <c r="J76" s="259">
        <v>0</v>
      </c>
      <c r="K76" s="259">
        <v>0</v>
      </c>
      <c r="L76" s="259">
        <v>0</v>
      </c>
      <c r="M76" s="259">
        <v>0</v>
      </c>
      <c r="N76" s="259">
        <v>0</v>
      </c>
      <c r="O76" s="259">
        <v>0</v>
      </c>
      <c r="P76" s="259">
        <v>0</v>
      </c>
      <c r="Q76" s="259">
        <f t="shared" si="6"/>
        <v>0</v>
      </c>
      <c r="R76" s="260"/>
      <c r="S76" s="261"/>
    </row>
    <row r="77" outlineLevel="2" spans="1:19">
      <c r="A77" s="269" t="s">
        <v>32</v>
      </c>
      <c r="B77" s="256">
        <v>6666070400</v>
      </c>
      <c r="C77" s="256" t="s">
        <v>108</v>
      </c>
      <c r="D77" s="256" t="s">
        <v>60</v>
      </c>
      <c r="E77" s="257">
        <v>11.19273</v>
      </c>
      <c r="F77" s="259">
        <v>11.39457</v>
      </c>
      <c r="G77" s="259">
        <v>27.28304</v>
      </c>
      <c r="H77" s="259">
        <v>1.27406</v>
      </c>
      <c r="I77" s="259">
        <v>2.44302</v>
      </c>
      <c r="J77" s="259">
        <v>12.0600723192664</v>
      </c>
      <c r="K77" s="259">
        <v>11.9643574595897</v>
      </c>
      <c r="L77" s="259">
        <v>11.8694022416564</v>
      </c>
      <c r="M77" s="259">
        <v>11.7752006365639</v>
      </c>
      <c r="N77" s="259">
        <v>11.5726787582938</v>
      </c>
      <c r="O77" s="259">
        <v>11.3736400572912</v>
      </c>
      <c r="P77" s="259">
        <v>11.1780246263304</v>
      </c>
      <c r="Q77" s="259">
        <f t="shared" si="6"/>
        <v>135.380796098992</v>
      </c>
      <c r="R77" s="260"/>
      <c r="S77" s="261"/>
    </row>
    <row r="78" outlineLevel="2" spans="1:19">
      <c r="A78" s="269" t="s">
        <v>32</v>
      </c>
      <c r="B78" s="256">
        <v>5401050201</v>
      </c>
      <c r="C78" s="3" t="s">
        <v>109</v>
      </c>
      <c r="D78" s="256" t="s">
        <v>60</v>
      </c>
      <c r="E78" s="257">
        <v>0</v>
      </c>
      <c r="F78" s="259">
        <v>0</v>
      </c>
      <c r="G78" s="259">
        <v>0</v>
      </c>
      <c r="H78" s="259">
        <v>0</v>
      </c>
      <c r="I78" s="259">
        <v>0</v>
      </c>
      <c r="J78" s="259">
        <v>0</v>
      </c>
      <c r="K78" s="259">
        <v>0</v>
      </c>
      <c r="L78" s="259">
        <v>0</v>
      </c>
      <c r="M78" s="259">
        <v>0</v>
      </c>
      <c r="N78" s="259">
        <v>0</v>
      </c>
      <c r="O78" s="259">
        <v>0</v>
      </c>
      <c r="P78" s="259">
        <v>0</v>
      </c>
      <c r="Q78" s="259">
        <f t="shared" si="6"/>
        <v>0</v>
      </c>
      <c r="R78" s="260"/>
      <c r="S78" s="261"/>
    </row>
    <row r="79" outlineLevel="2" spans="1:19">
      <c r="A79" s="269" t="s">
        <v>32</v>
      </c>
      <c r="B79" s="256">
        <v>5401020212</v>
      </c>
      <c r="C79" s="3" t="s">
        <v>110</v>
      </c>
      <c r="D79" s="256" t="s">
        <v>60</v>
      </c>
      <c r="E79" s="257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f t="shared" si="6"/>
        <v>0</v>
      </c>
      <c r="R79" s="260"/>
      <c r="S79" s="261"/>
    </row>
    <row r="80" s="119" customFormat="1" spans="1:19">
      <c r="A80" s="245"/>
      <c r="B80" s="148" t="s">
        <v>42</v>
      </c>
      <c r="C80" s="149" t="s">
        <v>60</v>
      </c>
      <c r="D80" s="150"/>
      <c r="E80" s="151">
        <f>SUM(E29:E79)</f>
        <v>59.69145</v>
      </c>
      <c r="F80" s="262">
        <f>SUM(F29:F79)</f>
        <v>49.31798</v>
      </c>
      <c r="G80" s="262">
        <f>SUM(G29:G79)</f>
        <v>63.81704</v>
      </c>
      <c r="H80" s="262">
        <f>SUM(H29:H77)</f>
        <v>-0.0372799999999942</v>
      </c>
      <c r="I80" s="262">
        <f>SUM(I29:I77)</f>
        <v>39.34302</v>
      </c>
      <c r="J80" s="262">
        <f t="shared" ref="J80:P80" si="7">SUM(J29:J77)</f>
        <v>61.7431698250867</v>
      </c>
      <c r="K80" s="262">
        <f t="shared" si="7"/>
        <v>52.6385204761866</v>
      </c>
      <c r="L80" s="262">
        <f t="shared" si="7"/>
        <v>52.3341115835184</v>
      </c>
      <c r="M80" s="262">
        <f t="shared" si="7"/>
        <v>52.0321186344429</v>
      </c>
      <c r="N80" s="262">
        <f t="shared" si="7"/>
        <v>59.2138708938014</v>
      </c>
      <c r="O80" s="262">
        <f t="shared" si="7"/>
        <v>58.5757895762176</v>
      </c>
      <c r="P80" s="262">
        <f t="shared" si="7"/>
        <v>60.9303710628585</v>
      </c>
      <c r="Q80" s="262">
        <f>SUM(Q29:Q79)</f>
        <v>609.083942052112</v>
      </c>
      <c r="R80" s="152"/>
      <c r="S80" s="261"/>
    </row>
    <row r="81" ht="20.55" customHeight="1" outlineLevel="1" spans="1:19">
      <c r="A81" s="245" t="s">
        <v>32</v>
      </c>
      <c r="B81" s="256">
        <v>6666110203</v>
      </c>
      <c r="C81" s="256" t="s">
        <v>111</v>
      </c>
      <c r="D81" s="256" t="s">
        <v>112</v>
      </c>
      <c r="E81" s="257">
        <v>12.32638</v>
      </c>
      <c r="F81" s="259">
        <v>10.97019</v>
      </c>
      <c r="G81" s="259">
        <v>8.72217</v>
      </c>
      <c r="H81" s="259">
        <v>38.19678</v>
      </c>
      <c r="I81" s="259">
        <v>14.04682</v>
      </c>
      <c r="J81" s="259">
        <v>16.94976</v>
      </c>
      <c r="K81" s="259">
        <v>12.99072</v>
      </c>
      <c r="L81" s="259">
        <v>12.7328</v>
      </c>
      <c r="M81" s="259">
        <v>17.57024</v>
      </c>
      <c r="N81" s="259">
        <v>15.98976</v>
      </c>
      <c r="O81" s="259">
        <v>16.61952</v>
      </c>
      <c r="P81" s="259">
        <v>13.5008</v>
      </c>
      <c r="Q81" s="259">
        <f>F81+E81+G81+H81+I81+J81+K81+L81+M81+N81+O81+P81</f>
        <v>190.61594</v>
      </c>
      <c r="R81" s="260"/>
      <c r="S81" s="261"/>
    </row>
    <row r="82" outlineLevel="1" spans="1:19">
      <c r="A82" s="245" t="s">
        <v>32</v>
      </c>
      <c r="B82" s="256">
        <v>5102040000</v>
      </c>
      <c r="C82" s="256" t="s">
        <v>113</v>
      </c>
      <c r="D82" s="256" t="s">
        <v>112</v>
      </c>
      <c r="E82" s="257">
        <v>-0.0002</v>
      </c>
      <c r="F82" s="259">
        <v>-0.0008</v>
      </c>
      <c r="G82" s="259">
        <v>0</v>
      </c>
      <c r="H82" s="259">
        <v>0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>
        <v>0</v>
      </c>
      <c r="O82" s="259">
        <v>0</v>
      </c>
      <c r="P82" s="259">
        <v>0</v>
      </c>
      <c r="Q82" s="259">
        <f>F82+E82+G82+H82+I82+J82+K82+L82+M82+N82+O82+P82</f>
        <v>-0.001</v>
      </c>
      <c r="R82" s="260"/>
      <c r="S82" s="261"/>
    </row>
    <row r="83" outlineLevel="1" spans="1:19">
      <c r="A83" s="245" t="s">
        <v>53</v>
      </c>
      <c r="B83" s="256">
        <v>6666050307</v>
      </c>
      <c r="C83" s="256" t="s">
        <v>114</v>
      </c>
      <c r="D83" s="256" t="s">
        <v>112</v>
      </c>
      <c r="E83" s="257">
        <v>-2.73228</v>
      </c>
      <c r="F83" s="259">
        <v>-0.22595</v>
      </c>
      <c r="G83" s="259">
        <v>-0.55567</v>
      </c>
      <c r="H83" s="259">
        <v>65.57718</v>
      </c>
      <c r="I83" s="259">
        <v>9.69518</v>
      </c>
      <c r="J83" s="259">
        <v>0</v>
      </c>
      <c r="K83" s="259">
        <v>0</v>
      </c>
      <c r="L83" s="259">
        <v>0</v>
      </c>
      <c r="M83" s="259">
        <v>0</v>
      </c>
      <c r="N83" s="259">
        <v>0</v>
      </c>
      <c r="O83" s="259">
        <v>0</v>
      </c>
      <c r="P83" s="259">
        <v>0</v>
      </c>
      <c r="Q83" s="259">
        <f>F83+E83+G83+H83+I83+J83+K83+L83+M83+N83+O83+P83</f>
        <v>71.75846</v>
      </c>
      <c r="R83" s="260"/>
      <c r="S83" s="261"/>
    </row>
    <row r="84" outlineLevel="2" spans="1:19">
      <c r="A84" s="245" t="s">
        <v>53</v>
      </c>
      <c r="B84" s="256">
        <v>6666050312</v>
      </c>
      <c r="C84" s="256" t="s">
        <v>115</v>
      </c>
      <c r="D84" s="256" t="s">
        <v>60</v>
      </c>
      <c r="E84" s="257">
        <v>0</v>
      </c>
      <c r="F84" s="259">
        <v>0.07193</v>
      </c>
      <c r="G84" s="259">
        <v>0</v>
      </c>
      <c r="H84" s="259">
        <v>0</v>
      </c>
      <c r="I84" s="259">
        <v>0.36687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f>F84+E84+G84+H84+I84+J84+K84+L84+M84+N84+O84+P84</f>
        <v>0.4388</v>
      </c>
      <c r="R84" s="260"/>
      <c r="S84" s="261"/>
    </row>
    <row r="85" s="120" customFormat="1" spans="1:19">
      <c r="A85" s="271"/>
      <c r="B85" s="148" t="s">
        <v>52</v>
      </c>
      <c r="C85" s="149" t="s">
        <v>112</v>
      </c>
      <c r="D85" s="150"/>
      <c r="E85" s="151">
        <f>SUM(E81:E84)</f>
        <v>9.5939</v>
      </c>
      <c r="F85" s="262">
        <f>SUM(F81:F84)</f>
        <v>10.81537</v>
      </c>
      <c r="G85" s="262">
        <f>SUM(G81:G84)</f>
        <v>8.1665</v>
      </c>
      <c r="H85" s="262">
        <f>SUM(H81:H84)</f>
        <v>103.77396</v>
      </c>
      <c r="I85" s="368">
        <f>SUM(I81:I84)</f>
        <v>24.10887</v>
      </c>
      <c r="J85" s="368">
        <f t="shared" ref="J85:Q85" si="8">SUM(J81:J84)</f>
        <v>16.94976</v>
      </c>
      <c r="K85" s="368">
        <f t="shared" si="8"/>
        <v>12.99072</v>
      </c>
      <c r="L85" s="368">
        <f t="shared" si="8"/>
        <v>12.7328</v>
      </c>
      <c r="M85" s="368">
        <f t="shared" si="8"/>
        <v>17.57024</v>
      </c>
      <c r="N85" s="368">
        <f t="shared" si="8"/>
        <v>15.98976</v>
      </c>
      <c r="O85" s="368">
        <f t="shared" si="8"/>
        <v>16.61952</v>
      </c>
      <c r="P85" s="368">
        <f t="shared" si="8"/>
        <v>13.5008</v>
      </c>
      <c r="Q85" s="262">
        <f t="shared" si="8"/>
        <v>262.8122</v>
      </c>
      <c r="R85" s="152"/>
      <c r="S85" s="261"/>
    </row>
    <row r="86" ht="22.95" customHeight="1" outlineLevel="1" spans="1:19">
      <c r="A86" s="269" t="s">
        <v>53</v>
      </c>
      <c r="B86" s="256">
        <v>6666100203</v>
      </c>
      <c r="C86" s="256" t="s">
        <v>116</v>
      </c>
      <c r="D86" s="256" t="s">
        <v>117</v>
      </c>
      <c r="E86" s="257">
        <v>-26.06806</v>
      </c>
      <c r="F86" s="259">
        <v>5.09381</v>
      </c>
      <c r="G86" s="259">
        <v>200.17383</v>
      </c>
      <c r="H86" s="259">
        <v>-177.1679</v>
      </c>
      <c r="I86" s="259">
        <v>46.022</v>
      </c>
      <c r="J86" s="259">
        <v>8.31647696100528</v>
      </c>
      <c r="K86" s="259">
        <v>8.25047317560047</v>
      </c>
      <c r="L86" s="259">
        <v>8.18499322976238</v>
      </c>
      <c r="M86" s="259">
        <v>8.1200329660341</v>
      </c>
      <c r="N86" s="259">
        <v>7.9803763793947</v>
      </c>
      <c r="O86" s="259">
        <v>7.84312174879085</v>
      </c>
      <c r="P86" s="259">
        <v>7.70822776293941</v>
      </c>
      <c r="Q86" s="259">
        <f>F86+E86+G86+H86+I86+J86+K86+L86+M86+N86+O86+P86</f>
        <v>104.457382223527</v>
      </c>
      <c r="R86" s="260"/>
      <c r="S86" s="261"/>
    </row>
    <row r="87" s="120" customFormat="1" spans="1:19">
      <c r="A87" s="271"/>
      <c r="B87" s="148" t="s">
        <v>42</v>
      </c>
      <c r="C87" s="149" t="s">
        <v>117</v>
      </c>
      <c r="D87" s="150"/>
      <c r="E87" s="151">
        <f>+E86</f>
        <v>-26.06806</v>
      </c>
      <c r="F87" s="262">
        <f>+F86</f>
        <v>5.09381</v>
      </c>
      <c r="G87" s="262">
        <f>+G86</f>
        <v>200.17383</v>
      </c>
      <c r="H87" s="262">
        <f>+H86</f>
        <v>-177.1679</v>
      </c>
      <c r="I87" s="368">
        <f>+I86</f>
        <v>46.022</v>
      </c>
      <c r="J87" s="368">
        <f t="shared" ref="J87:Q87" si="9">+J86</f>
        <v>8.31647696100528</v>
      </c>
      <c r="K87" s="368">
        <f t="shared" si="9"/>
        <v>8.25047317560047</v>
      </c>
      <c r="L87" s="368">
        <f t="shared" si="9"/>
        <v>8.18499322976238</v>
      </c>
      <c r="M87" s="368">
        <f t="shared" si="9"/>
        <v>8.1200329660341</v>
      </c>
      <c r="N87" s="368">
        <f t="shared" si="9"/>
        <v>7.9803763793947</v>
      </c>
      <c r="O87" s="368">
        <f t="shared" si="9"/>
        <v>7.84312174879085</v>
      </c>
      <c r="P87" s="368">
        <f t="shared" si="9"/>
        <v>7.70822776293941</v>
      </c>
      <c r="Q87" s="262">
        <f t="shared" si="9"/>
        <v>104.457382223527</v>
      </c>
      <c r="R87" s="152"/>
      <c r="S87" s="261"/>
    </row>
    <row r="88" outlineLevel="2" spans="1:19">
      <c r="A88" s="269" t="s">
        <v>53</v>
      </c>
      <c r="B88" s="256">
        <v>5301070000</v>
      </c>
      <c r="C88" s="256" t="s">
        <v>118</v>
      </c>
      <c r="D88" s="256" t="s">
        <v>119</v>
      </c>
      <c r="E88" s="257">
        <v>-56.35548</v>
      </c>
      <c r="F88" s="259">
        <v>-55.94882</v>
      </c>
      <c r="G88" s="259">
        <v>-30.36642</v>
      </c>
      <c r="H88" s="259">
        <v>-53.89348</v>
      </c>
      <c r="I88" s="259">
        <v>-36.10485</v>
      </c>
      <c r="J88" s="259">
        <v>-51.5711183821937</v>
      </c>
      <c r="K88" s="259">
        <v>-39.4885408138482</v>
      </c>
      <c r="L88" s="259">
        <v>-38.6585101444725</v>
      </c>
      <c r="M88" s="259">
        <v>-53.347192542572</v>
      </c>
      <c r="N88" s="259">
        <v>-48.6351371033734</v>
      </c>
      <c r="O88" s="259">
        <v>-50.7500438628844</v>
      </c>
      <c r="P88" s="259">
        <v>-41.118432317492</v>
      </c>
      <c r="Q88" s="259">
        <f>F88+E88+G88+H88+I88+J88+K88+L88+M88+N88+O88+P88</f>
        <v>-556.238025166836</v>
      </c>
      <c r="R88" s="260"/>
      <c r="S88" s="261"/>
    </row>
    <row r="89" s="120" customFormat="1" spans="1:19">
      <c r="A89" s="271"/>
      <c r="B89" s="148" t="s">
        <v>52</v>
      </c>
      <c r="C89" s="149" t="s">
        <v>119</v>
      </c>
      <c r="D89" s="150"/>
      <c r="E89" s="151">
        <f>+E88</f>
        <v>-56.35548</v>
      </c>
      <c r="F89" s="262">
        <f>+F88</f>
        <v>-55.94882</v>
      </c>
      <c r="G89" s="262">
        <f>+G88</f>
        <v>-30.36642</v>
      </c>
      <c r="H89" s="262">
        <f>+H88</f>
        <v>-53.89348</v>
      </c>
      <c r="I89" s="368">
        <f>+I88</f>
        <v>-36.10485</v>
      </c>
      <c r="J89" s="368">
        <f t="shared" ref="J89:Q89" si="10">+J88</f>
        <v>-51.5711183821937</v>
      </c>
      <c r="K89" s="368">
        <f t="shared" si="10"/>
        <v>-39.4885408138482</v>
      </c>
      <c r="L89" s="368">
        <f t="shared" si="10"/>
        <v>-38.6585101444725</v>
      </c>
      <c r="M89" s="368">
        <f t="shared" si="10"/>
        <v>-53.347192542572</v>
      </c>
      <c r="N89" s="368">
        <f t="shared" si="10"/>
        <v>-48.6351371033734</v>
      </c>
      <c r="O89" s="368">
        <f t="shared" si="10"/>
        <v>-50.7500438628844</v>
      </c>
      <c r="P89" s="368">
        <f t="shared" si="10"/>
        <v>-41.118432317492</v>
      </c>
      <c r="Q89" s="262">
        <f t="shared" si="10"/>
        <v>-556.238025166836</v>
      </c>
      <c r="R89" s="151"/>
      <c r="S89" s="261"/>
    </row>
    <row r="90" outlineLevel="1" spans="1:19">
      <c r="A90" s="269" t="s">
        <v>32</v>
      </c>
      <c r="B90" s="256">
        <v>6666021602</v>
      </c>
      <c r="C90" s="256" t="s">
        <v>120</v>
      </c>
      <c r="D90" s="256" t="s">
        <v>121</v>
      </c>
      <c r="E90" s="257">
        <v>4.28404</v>
      </c>
      <c r="F90" s="259">
        <v>4.07771</v>
      </c>
      <c r="G90" s="259">
        <v>3.54227</v>
      </c>
      <c r="H90" s="259">
        <v>3.80533</v>
      </c>
      <c r="I90" s="259">
        <v>1.46038</v>
      </c>
      <c r="J90" s="259">
        <v>6.73124103132805</v>
      </c>
      <c r="K90" s="259">
        <v>5.16298535735998</v>
      </c>
      <c r="L90" s="259">
        <v>5.05572361468133</v>
      </c>
      <c r="M90" s="259">
        <v>6.9785246868535</v>
      </c>
      <c r="N90" s="259">
        <v>6.36386793392316</v>
      </c>
      <c r="O90" s="259">
        <v>6.64259774538224</v>
      </c>
      <c r="P90" s="259">
        <v>5.42545646394671</v>
      </c>
      <c r="Q90" s="259">
        <f>F90+E90+G90+H90+I90+J90+K90+L90+M90+N90+O90+P90</f>
        <v>59.530126833475</v>
      </c>
      <c r="R90" s="272"/>
      <c r="S90" s="261">
        <v>1000</v>
      </c>
    </row>
    <row r="91" outlineLevel="1" spans="1:19">
      <c r="A91" s="269" t="s">
        <v>32</v>
      </c>
      <c r="B91" s="256">
        <v>6666021604</v>
      </c>
      <c r="C91" s="159" t="s">
        <v>122</v>
      </c>
      <c r="D91" s="256" t="s">
        <v>121</v>
      </c>
      <c r="E91" s="257"/>
      <c r="F91" s="259"/>
      <c r="G91" s="259"/>
      <c r="H91" s="259"/>
      <c r="I91" s="259"/>
      <c r="J91" s="259">
        <v>0.116660989373425</v>
      </c>
      <c r="K91" s="259">
        <v>0.11126782626585</v>
      </c>
      <c r="L91" s="259">
        <v>0.119333004629135</v>
      </c>
      <c r="M91" s="259">
        <v>0.120946730409173</v>
      </c>
      <c r="N91" s="259">
        <v>0.546217633353773</v>
      </c>
      <c r="O91" s="259">
        <v>0.570141313031152</v>
      </c>
      <c r="P91" s="259">
        <v>0.470801338096162</v>
      </c>
      <c r="Q91" s="259">
        <f>F91+E91+G91+H91+I91+J91+K91+L91+M91+N91+O91+P91</f>
        <v>2.05536883515867</v>
      </c>
      <c r="R91" s="273"/>
      <c r="S91" s="261"/>
    </row>
    <row r="92" s="120" customFormat="1" spans="1:19">
      <c r="A92" s="271"/>
      <c r="B92" s="148" t="s">
        <v>42</v>
      </c>
      <c r="C92" s="149" t="s">
        <v>121</v>
      </c>
      <c r="D92" s="150"/>
      <c r="E92" s="151">
        <f>SUM(E90:E91)</f>
        <v>4.28404</v>
      </c>
      <c r="F92" s="262">
        <f>+SUM(F90:F91)</f>
        <v>4.07771</v>
      </c>
      <c r="G92" s="262">
        <f>+SUM(G90:G91)</f>
        <v>3.54227</v>
      </c>
      <c r="H92" s="262">
        <f>+SUM(H90:H91)</f>
        <v>3.80533</v>
      </c>
      <c r="I92" s="368">
        <f>+SUM(I90:I91)</f>
        <v>1.46038</v>
      </c>
      <c r="J92" s="368">
        <f t="shared" ref="J92:P92" si="11">+SUM(J90:J91)</f>
        <v>6.84790202070148</v>
      </c>
      <c r="K92" s="368">
        <f t="shared" si="11"/>
        <v>5.27425318362583</v>
      </c>
      <c r="L92" s="368">
        <f t="shared" si="11"/>
        <v>5.17505661931047</v>
      </c>
      <c r="M92" s="368">
        <f t="shared" si="11"/>
        <v>7.09947141726267</v>
      </c>
      <c r="N92" s="368">
        <f t="shared" si="11"/>
        <v>6.91008556727694</v>
      </c>
      <c r="O92" s="368">
        <f t="shared" si="11"/>
        <v>7.2127390584134</v>
      </c>
      <c r="P92" s="368">
        <f t="shared" si="11"/>
        <v>5.89625780204288</v>
      </c>
      <c r="Q92" s="262">
        <f>SUM(Q90:Q91)</f>
        <v>61.5854956686337</v>
      </c>
      <c r="R92" s="151"/>
      <c r="S92" s="261"/>
    </row>
    <row r="93" outlineLevel="2" spans="1:19">
      <c r="A93" s="271" t="s">
        <v>32</v>
      </c>
      <c r="B93" s="256">
        <v>6666021600</v>
      </c>
      <c r="C93" s="256" t="s">
        <v>123</v>
      </c>
      <c r="D93" s="256" t="s">
        <v>124</v>
      </c>
      <c r="E93" s="257">
        <v>21.92376</v>
      </c>
      <c r="F93" s="259">
        <v>11.02913</v>
      </c>
      <c r="G93" s="259">
        <v>17.90784</v>
      </c>
      <c r="H93" s="259">
        <v>24.97601</v>
      </c>
      <c r="I93" s="259">
        <v>26.9343</v>
      </c>
      <c r="J93" s="259">
        <v>34.8826900008719</v>
      </c>
      <c r="K93" s="259">
        <v>27.7806246989922</v>
      </c>
      <c r="L93" s="259">
        <v>31.5210110489889</v>
      </c>
      <c r="M93" s="259">
        <v>30.8692311165858</v>
      </c>
      <c r="N93" s="259">
        <v>27.5587746298802</v>
      </c>
      <c r="O93" s="259">
        <v>31.6368320756147</v>
      </c>
      <c r="P93" s="259">
        <v>26.1531774914475</v>
      </c>
      <c r="Q93" s="259">
        <f>F93+E93+G93+H93+I93+J93+K93+L93+M93+N93+O93+P93</f>
        <v>313.173381062381</v>
      </c>
      <c r="R93" s="260"/>
      <c r="S93" s="261"/>
    </row>
    <row r="94" outlineLevel="2" spans="1:19">
      <c r="A94" s="271" t="s">
        <v>32</v>
      </c>
      <c r="B94" s="256">
        <v>6666021603</v>
      </c>
      <c r="C94" s="256" t="s">
        <v>125</v>
      </c>
      <c r="D94" s="256" t="s">
        <v>124</v>
      </c>
      <c r="E94" s="257">
        <v>0.34576</v>
      </c>
      <c r="F94" s="259">
        <v>0.03003</v>
      </c>
      <c r="G94" s="259">
        <v>0.47697</v>
      </c>
      <c r="H94" s="259">
        <v>0.84538</v>
      </c>
      <c r="I94" s="259">
        <v>0.257</v>
      </c>
      <c r="J94" s="259">
        <v>1.2914280090375</v>
      </c>
      <c r="K94" s="259">
        <v>0.990548974507551</v>
      </c>
      <c r="L94" s="259">
        <v>0.969970181065348</v>
      </c>
      <c r="M94" s="259">
        <v>1.3388708264075</v>
      </c>
      <c r="N94" s="259">
        <v>1.22094532901647</v>
      </c>
      <c r="O94" s="259">
        <v>1.27442127554649</v>
      </c>
      <c r="P94" s="259">
        <v>1.04090559329918</v>
      </c>
      <c r="Q94" s="259">
        <f>F94+E94+G94+H94+I94+J94+K94+L94+M94+N94+O94+P94</f>
        <v>10.08223018888</v>
      </c>
      <c r="R94" s="260"/>
      <c r="S94" s="261"/>
    </row>
    <row r="95" outlineLevel="2" spans="1:19">
      <c r="A95" s="271" t="s">
        <v>32</v>
      </c>
      <c r="B95" s="256">
        <v>6666021604</v>
      </c>
      <c r="C95" s="274" t="s">
        <v>126</v>
      </c>
      <c r="D95" s="256" t="s">
        <v>124</v>
      </c>
      <c r="E95" s="257">
        <v>3.07265</v>
      </c>
      <c r="F95" s="259">
        <v>5.08638</v>
      </c>
      <c r="G95" s="259">
        <v>3.36814</v>
      </c>
      <c r="H95" s="259">
        <v>2.24703</v>
      </c>
      <c r="I95" s="259">
        <v>4.44632</v>
      </c>
      <c r="J95" s="259">
        <v>3.34486646223554</v>
      </c>
      <c r="K95" s="259">
        <v>2.56557393896195</v>
      </c>
      <c r="L95" s="259">
        <v>2.51227378166599</v>
      </c>
      <c r="M95" s="259">
        <v>5.00896623404407</v>
      </c>
      <c r="N95" s="259">
        <v>4.91915295534977</v>
      </c>
      <c r="O95" s="259">
        <v>5.50136354679182</v>
      </c>
      <c r="P95" s="259">
        <v>4.49333371664897</v>
      </c>
      <c r="Q95" s="259">
        <f>F95+E95+G95+H95+I95+J95+K95+L95+M95+N95+O95+P95</f>
        <v>46.5660506356981</v>
      </c>
      <c r="R95" s="260"/>
      <c r="S95" s="261"/>
    </row>
    <row r="96" outlineLevel="2" spans="1:19">
      <c r="A96" s="271" t="s">
        <v>32</v>
      </c>
      <c r="B96" s="256">
        <v>6666021604</v>
      </c>
      <c r="C96" s="159" t="s">
        <v>122</v>
      </c>
      <c r="D96" s="256" t="s">
        <v>124</v>
      </c>
      <c r="E96" s="257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>
        <f>F96+E96+G96+H96+I96+J96+K96+L96+M96+N96+O96+P96</f>
        <v>0</v>
      </c>
      <c r="R96" s="260"/>
      <c r="S96" s="261"/>
    </row>
    <row r="97" s="120" customFormat="1" spans="1:19">
      <c r="A97" s="271"/>
      <c r="B97" s="148" t="s">
        <v>52</v>
      </c>
      <c r="C97" s="149" t="s">
        <v>124</v>
      </c>
      <c r="D97" s="150"/>
      <c r="E97" s="151">
        <f>SUM(E93:E96)</f>
        <v>25.34217</v>
      </c>
      <c r="F97" s="262">
        <f>SUM(F93:F96)</f>
        <v>16.14554</v>
      </c>
      <c r="G97" s="262">
        <f>SUM(G93:G96)</f>
        <v>21.75295</v>
      </c>
      <c r="H97" s="262">
        <f>SUM(H93:H96)</f>
        <v>28.06842</v>
      </c>
      <c r="I97" s="368">
        <f>SUM(I93:I96)</f>
        <v>31.63762</v>
      </c>
      <c r="J97" s="368">
        <f t="shared" ref="J97:Q97" si="12">SUM(J93:J96)</f>
        <v>39.5189844721449</v>
      </c>
      <c r="K97" s="368">
        <f t="shared" si="12"/>
        <v>31.3367476124617</v>
      </c>
      <c r="L97" s="368">
        <f t="shared" si="12"/>
        <v>35.0032550117202</v>
      </c>
      <c r="M97" s="368">
        <f t="shared" si="12"/>
        <v>37.2170681770374</v>
      </c>
      <c r="N97" s="368">
        <f t="shared" si="12"/>
        <v>33.6988729142464</v>
      </c>
      <c r="O97" s="368">
        <f t="shared" si="12"/>
        <v>38.412616897953</v>
      </c>
      <c r="P97" s="368">
        <f t="shared" si="12"/>
        <v>31.6874168013957</v>
      </c>
      <c r="Q97" s="262">
        <f t="shared" si="12"/>
        <v>369.821661886959</v>
      </c>
      <c r="R97" s="152"/>
      <c r="S97" s="261"/>
    </row>
    <row r="98" outlineLevel="1" spans="1:19">
      <c r="A98" s="271" t="s">
        <v>32</v>
      </c>
      <c r="B98" s="256">
        <v>5001010206</v>
      </c>
      <c r="C98" s="256" t="s">
        <v>127</v>
      </c>
      <c r="D98" s="256" t="s">
        <v>128</v>
      </c>
      <c r="E98" s="257">
        <v>3.05709</v>
      </c>
      <c r="F98" s="259">
        <v>2.68224</v>
      </c>
      <c r="G98" s="259">
        <v>3.30962</v>
      </c>
      <c r="H98" s="259">
        <v>3.24958013264746</v>
      </c>
      <c r="I98" s="259">
        <v>3.77828061653841</v>
      </c>
      <c r="J98" s="259">
        <v>0</v>
      </c>
      <c r="K98" s="259">
        <v>0</v>
      </c>
      <c r="L98" s="259">
        <v>0</v>
      </c>
      <c r="M98" s="259">
        <v>0</v>
      </c>
      <c r="N98" s="259">
        <v>0</v>
      </c>
      <c r="O98" s="259">
        <v>0</v>
      </c>
      <c r="P98" s="259">
        <v>0</v>
      </c>
      <c r="Q98" s="259">
        <f t="shared" ref="Q98:Q104" si="13">F98+E98+G98+H98+I98+J98+K98+L98+M98+N98+O98+P98</f>
        <v>16.0768107491859</v>
      </c>
      <c r="R98" s="260"/>
      <c r="S98" s="261"/>
    </row>
    <row r="99" outlineLevel="1" spans="1:19">
      <c r="A99" s="271" t="s">
        <v>32</v>
      </c>
      <c r="B99" s="256">
        <v>6666010184</v>
      </c>
      <c r="C99" s="256" t="s">
        <v>129</v>
      </c>
      <c r="D99" s="256" t="s">
        <v>128</v>
      </c>
      <c r="E99" s="257">
        <v>-0.14232</v>
      </c>
      <c r="F99" s="259">
        <v>-0.13591</v>
      </c>
      <c r="G99" s="259">
        <v>0.01208</v>
      </c>
      <c r="H99" s="259">
        <v>-0.10463</v>
      </c>
      <c r="I99" s="259">
        <v>-1.56492</v>
      </c>
      <c r="J99" s="259">
        <v>0</v>
      </c>
      <c r="K99" s="259">
        <v>0</v>
      </c>
      <c r="L99" s="259">
        <v>0</v>
      </c>
      <c r="M99" s="259">
        <v>0</v>
      </c>
      <c r="N99" s="259">
        <v>0</v>
      </c>
      <c r="O99" s="259">
        <v>0</v>
      </c>
      <c r="P99" s="259">
        <v>0</v>
      </c>
      <c r="Q99" s="259">
        <f t="shared" si="13"/>
        <v>-1.9357</v>
      </c>
      <c r="R99" s="260"/>
      <c r="S99" s="261"/>
    </row>
    <row r="100" outlineLevel="1" spans="1:19">
      <c r="A100" s="271" t="s">
        <v>32</v>
      </c>
      <c r="B100" s="256">
        <v>6666010186</v>
      </c>
      <c r="C100" s="256" t="s">
        <v>130</v>
      </c>
      <c r="D100" s="256" t="s">
        <v>128</v>
      </c>
      <c r="E100" s="257">
        <v>8.76637</v>
      </c>
      <c r="F100" s="259">
        <v>8.37007</v>
      </c>
      <c r="G100" s="259">
        <v>-6.12628</v>
      </c>
      <c r="H100" s="259">
        <v>17.1437713614838</v>
      </c>
      <c r="I100" s="259">
        <v>18.0640075845971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f t="shared" si="13"/>
        <v>46.2179389460809</v>
      </c>
      <c r="R100" s="260"/>
      <c r="S100" s="261"/>
    </row>
    <row r="101" outlineLevel="1" spans="1:19">
      <c r="A101" s="271" t="s">
        <v>32</v>
      </c>
      <c r="B101" s="256">
        <v>6666010189</v>
      </c>
      <c r="C101" s="256" t="s">
        <v>131</v>
      </c>
      <c r="D101" s="256" t="s">
        <v>128</v>
      </c>
      <c r="E101" s="257">
        <v>27.21355</v>
      </c>
      <c r="F101" s="259">
        <v>-104.27378</v>
      </c>
      <c r="G101" s="259">
        <v>109.07513</v>
      </c>
      <c r="H101" s="259">
        <v>1.04208</v>
      </c>
      <c r="I101" s="259">
        <v>2.1359</v>
      </c>
      <c r="J101" s="259">
        <v>0</v>
      </c>
      <c r="K101" s="259">
        <v>0</v>
      </c>
      <c r="L101" s="259">
        <v>0</v>
      </c>
      <c r="M101" s="259">
        <v>0</v>
      </c>
      <c r="N101" s="259">
        <v>0</v>
      </c>
      <c r="O101" s="259">
        <v>0</v>
      </c>
      <c r="P101" s="259">
        <v>0</v>
      </c>
      <c r="Q101" s="259">
        <f t="shared" si="13"/>
        <v>35.19288</v>
      </c>
      <c r="R101" s="260"/>
      <c r="S101" s="261"/>
    </row>
    <row r="102" outlineLevel="1" spans="1:19">
      <c r="A102" s="271" t="s">
        <v>32</v>
      </c>
      <c r="B102" s="256">
        <v>6666010012</v>
      </c>
      <c r="C102" s="256" t="s">
        <v>132</v>
      </c>
      <c r="D102" s="256" t="s">
        <v>128</v>
      </c>
      <c r="E102" s="257">
        <v>28.9222</v>
      </c>
      <c r="F102" s="259">
        <v>25.55674</v>
      </c>
      <c r="G102" s="259">
        <v>29.55152</v>
      </c>
      <c r="H102" s="259">
        <v>29.0283554307956</v>
      </c>
      <c r="I102" s="259">
        <v>34.0408463635679</v>
      </c>
      <c r="J102" s="259">
        <v>0</v>
      </c>
      <c r="K102" s="259">
        <v>0</v>
      </c>
      <c r="L102" s="259">
        <v>0</v>
      </c>
      <c r="M102" s="259">
        <v>0</v>
      </c>
      <c r="N102" s="259">
        <v>0</v>
      </c>
      <c r="O102" s="259">
        <v>0</v>
      </c>
      <c r="P102" s="259">
        <v>0</v>
      </c>
      <c r="Q102" s="259">
        <f t="shared" si="13"/>
        <v>147.099661794363</v>
      </c>
      <c r="R102" s="260"/>
      <c r="S102" s="261"/>
    </row>
    <row r="103" outlineLevel="1" spans="1:19">
      <c r="A103" s="271" t="s">
        <v>32</v>
      </c>
      <c r="B103" s="256">
        <v>6666010226</v>
      </c>
      <c r="C103" s="256" t="s">
        <v>133</v>
      </c>
      <c r="D103" s="256" t="s">
        <v>128</v>
      </c>
      <c r="E103" s="257">
        <v>6.0301</v>
      </c>
      <c r="F103" s="259">
        <v>33.01952</v>
      </c>
      <c r="G103" s="259">
        <v>-105.66898</v>
      </c>
      <c r="H103" s="259">
        <v>4.86469</v>
      </c>
      <c r="I103" s="259">
        <v>5.0691</v>
      </c>
      <c r="J103" s="259">
        <v>0</v>
      </c>
      <c r="K103" s="259">
        <v>0</v>
      </c>
      <c r="L103" s="259">
        <v>0</v>
      </c>
      <c r="M103" s="259">
        <v>0</v>
      </c>
      <c r="N103" s="259">
        <v>0</v>
      </c>
      <c r="O103" s="259">
        <v>0</v>
      </c>
      <c r="P103" s="259">
        <v>0</v>
      </c>
      <c r="Q103" s="259">
        <f t="shared" si="13"/>
        <v>-56.68557</v>
      </c>
      <c r="R103" s="260"/>
      <c r="S103" s="261"/>
    </row>
    <row r="104" outlineLevel="1" spans="1:19">
      <c r="A104" s="271" t="s">
        <v>32</v>
      </c>
      <c r="B104" s="256">
        <v>6666010102</v>
      </c>
      <c r="C104" s="256" t="s">
        <v>134</v>
      </c>
      <c r="D104" s="256" t="s">
        <v>128</v>
      </c>
      <c r="E104" s="257">
        <v>162.67013</v>
      </c>
      <c r="F104" s="259">
        <v>245.11158</v>
      </c>
      <c r="G104" s="259">
        <v>159.33491</v>
      </c>
      <c r="H104" s="259">
        <v>156.696160447255</v>
      </c>
      <c r="I104" s="259">
        <v>186.257400448624</v>
      </c>
      <c r="J104" s="259">
        <v>241.417907154686</v>
      </c>
      <c r="K104" s="259">
        <v>262.654200915672</v>
      </c>
      <c r="L104" s="259">
        <v>248.290403730985</v>
      </c>
      <c r="M104" s="259">
        <v>233.834500104821</v>
      </c>
      <c r="N104" s="259">
        <v>218.04243940693</v>
      </c>
      <c r="O104" s="259">
        <v>213.642091489954</v>
      </c>
      <c r="P104" s="259">
        <v>280.515068716969</v>
      </c>
      <c r="Q104" s="259">
        <f t="shared" si="13"/>
        <v>2608.4667924159</v>
      </c>
      <c r="R104" s="260"/>
      <c r="S104" s="261"/>
    </row>
    <row r="105" s="120" customFormat="1" spans="1:19">
      <c r="A105" s="271"/>
      <c r="B105" s="148" t="s">
        <v>135</v>
      </c>
      <c r="C105" s="149" t="s">
        <v>128</v>
      </c>
      <c r="D105" s="150"/>
      <c r="E105" s="151">
        <f>SUM(E98:E104)</f>
        <v>236.51712</v>
      </c>
      <c r="F105" s="262">
        <f>SUM(F98:F104)</f>
        <v>210.33046</v>
      </c>
      <c r="G105" s="262">
        <f>SUM(G98:G104)</f>
        <v>189.488</v>
      </c>
      <c r="H105" s="262">
        <f>SUM(H98:H104)</f>
        <v>211.920007372182</v>
      </c>
      <c r="I105" s="368">
        <f>SUM(I98:I104)</f>
        <v>247.780615013328</v>
      </c>
      <c r="J105" s="368">
        <f t="shared" ref="J105:Q105" si="14">SUM(J98:J104)</f>
        <v>241.417907154686</v>
      </c>
      <c r="K105" s="368">
        <f t="shared" si="14"/>
        <v>262.654200915672</v>
      </c>
      <c r="L105" s="368">
        <f t="shared" si="14"/>
        <v>248.290403730985</v>
      </c>
      <c r="M105" s="368">
        <f t="shared" si="14"/>
        <v>233.834500104821</v>
      </c>
      <c r="N105" s="368">
        <f t="shared" si="14"/>
        <v>218.04243940693</v>
      </c>
      <c r="O105" s="368">
        <f t="shared" si="14"/>
        <v>213.642091489954</v>
      </c>
      <c r="P105" s="368">
        <f t="shared" si="14"/>
        <v>280.515068716969</v>
      </c>
      <c r="Q105" s="262">
        <f t="shared" si="14"/>
        <v>2794.43281390553</v>
      </c>
      <c r="R105" s="152"/>
      <c r="S105" s="261"/>
    </row>
    <row r="106" outlineLevel="1" spans="1:19">
      <c r="A106" s="271" t="s">
        <v>32</v>
      </c>
      <c r="B106" s="256">
        <v>6666010196</v>
      </c>
      <c r="C106" s="256" t="s">
        <v>136</v>
      </c>
      <c r="D106" s="256" t="s">
        <v>137</v>
      </c>
      <c r="E106" s="257">
        <v>15.8207</v>
      </c>
      <c r="F106" s="259">
        <v>13.14188</v>
      </c>
      <c r="G106" s="259">
        <v>15.49907</v>
      </c>
      <c r="H106" s="259">
        <v>14.48231</v>
      </c>
      <c r="I106" s="259">
        <v>15.51537</v>
      </c>
      <c r="J106" s="259">
        <v>0</v>
      </c>
      <c r="K106" s="259">
        <v>0</v>
      </c>
      <c r="L106" s="259">
        <v>0</v>
      </c>
      <c r="M106" s="259">
        <v>0</v>
      </c>
      <c r="N106" s="259">
        <v>0</v>
      </c>
      <c r="O106" s="259">
        <v>0</v>
      </c>
      <c r="P106" s="259">
        <v>0</v>
      </c>
      <c r="Q106" s="259">
        <f t="shared" ref="Q106:Q112" si="15">F106+E106+G106+H106+I106+J106+K106+L106+M106+N106+O106+P106</f>
        <v>74.45933</v>
      </c>
      <c r="R106" s="260"/>
      <c r="S106" s="261"/>
    </row>
    <row r="107" outlineLevel="1" spans="1:19">
      <c r="A107" s="271" t="s">
        <v>32</v>
      </c>
      <c r="B107" s="256">
        <v>6666010101</v>
      </c>
      <c r="C107" s="256" t="s">
        <v>138</v>
      </c>
      <c r="D107" s="256" t="s">
        <v>137</v>
      </c>
      <c r="E107" s="257">
        <v>83.51397</v>
      </c>
      <c r="F107" s="259">
        <v>89.32124</v>
      </c>
      <c r="G107" s="259">
        <v>80.79151</v>
      </c>
      <c r="H107" s="259">
        <v>106.71127</v>
      </c>
      <c r="I107" s="259">
        <v>102.21272</v>
      </c>
      <c r="J107" s="259">
        <v>109.836021727926</v>
      </c>
      <c r="K107" s="259">
        <v>101.406494649486</v>
      </c>
      <c r="L107" s="259">
        <v>102.132468545172</v>
      </c>
      <c r="M107" s="259">
        <v>107.529259045042</v>
      </c>
      <c r="N107" s="259">
        <v>101.027321098174</v>
      </c>
      <c r="O107" s="259">
        <v>99.7073661491529</v>
      </c>
      <c r="P107" s="259">
        <v>98.4214576571499</v>
      </c>
      <c r="Q107" s="259">
        <f t="shared" si="15"/>
        <v>1182.6110988721</v>
      </c>
      <c r="R107" s="260"/>
      <c r="S107" s="261"/>
    </row>
    <row r="108" outlineLevel="1" spans="1:19">
      <c r="A108" s="271" t="s">
        <v>32</v>
      </c>
      <c r="B108" s="256">
        <v>6666010199</v>
      </c>
      <c r="C108" s="256" t="s">
        <v>139</v>
      </c>
      <c r="D108" s="256" t="s">
        <v>137</v>
      </c>
      <c r="E108" s="257">
        <v>13.11897</v>
      </c>
      <c r="F108" s="259">
        <v>6.13721</v>
      </c>
      <c r="G108" s="259">
        <v>5.34848</v>
      </c>
      <c r="H108" s="259">
        <v>-37.71393</v>
      </c>
      <c r="I108" s="259">
        <v>-12.53495</v>
      </c>
      <c r="J108" s="259">
        <v>0</v>
      </c>
      <c r="K108" s="259">
        <v>0</v>
      </c>
      <c r="L108" s="259">
        <v>0</v>
      </c>
      <c r="M108" s="259">
        <v>0</v>
      </c>
      <c r="N108" s="259">
        <v>0</v>
      </c>
      <c r="O108" s="259">
        <v>0</v>
      </c>
      <c r="P108" s="259">
        <v>0</v>
      </c>
      <c r="Q108" s="259">
        <f t="shared" si="15"/>
        <v>-25.64422</v>
      </c>
      <c r="R108" s="260"/>
      <c r="S108" s="261"/>
    </row>
    <row r="109" outlineLevel="1" spans="1:19">
      <c r="A109" s="271" t="s">
        <v>32</v>
      </c>
      <c r="B109" s="256">
        <v>6666010185</v>
      </c>
      <c r="C109" s="256" t="s">
        <v>140</v>
      </c>
      <c r="D109" s="256" t="s">
        <v>137</v>
      </c>
      <c r="E109" s="257">
        <v>-0.18544</v>
      </c>
      <c r="F109" s="259">
        <v>-0.04739</v>
      </c>
      <c r="G109" s="259">
        <v>0</v>
      </c>
      <c r="H109" s="259">
        <v>0</v>
      </c>
      <c r="I109" s="259">
        <v>-0.62646</v>
      </c>
      <c r="J109" s="259">
        <v>0</v>
      </c>
      <c r="K109" s="259">
        <v>0</v>
      </c>
      <c r="L109" s="259">
        <v>0</v>
      </c>
      <c r="M109" s="259">
        <v>0</v>
      </c>
      <c r="N109" s="259">
        <v>0</v>
      </c>
      <c r="O109" s="259">
        <v>0</v>
      </c>
      <c r="P109" s="259">
        <v>0</v>
      </c>
      <c r="Q109" s="259">
        <f t="shared" si="15"/>
        <v>-0.85929</v>
      </c>
      <c r="R109" s="260"/>
      <c r="S109" s="261"/>
    </row>
    <row r="110" outlineLevel="1" spans="1:19">
      <c r="A110" s="271" t="s">
        <v>32</v>
      </c>
      <c r="B110" s="256">
        <v>6666010207</v>
      </c>
      <c r="C110" s="256" t="s">
        <v>141</v>
      </c>
      <c r="D110" s="256" t="s">
        <v>137</v>
      </c>
      <c r="E110" s="257">
        <v>1.1587</v>
      </c>
      <c r="F110" s="259">
        <v>1.05736</v>
      </c>
      <c r="G110" s="259">
        <v>1.20639</v>
      </c>
      <c r="H110" s="259">
        <v>1.11995</v>
      </c>
      <c r="I110" s="259">
        <v>1.21575</v>
      </c>
      <c r="J110" s="259">
        <v>0</v>
      </c>
      <c r="K110" s="259">
        <v>0</v>
      </c>
      <c r="L110" s="259">
        <v>0</v>
      </c>
      <c r="M110" s="259">
        <v>0</v>
      </c>
      <c r="N110" s="259">
        <v>0</v>
      </c>
      <c r="O110" s="259">
        <v>0</v>
      </c>
      <c r="P110" s="259">
        <v>0</v>
      </c>
      <c r="Q110" s="259">
        <f t="shared" si="15"/>
        <v>5.75815</v>
      </c>
      <c r="R110" s="260"/>
      <c r="S110" s="261"/>
    </row>
    <row r="111" customFormat="1" outlineLevel="1" spans="1:19">
      <c r="A111" s="271" t="s">
        <v>32</v>
      </c>
      <c r="B111" s="256">
        <v>5102040406</v>
      </c>
      <c r="C111" s="256" t="s">
        <v>50</v>
      </c>
      <c r="D111" s="256" t="s">
        <v>44</v>
      </c>
      <c r="E111" s="257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f t="shared" si="15"/>
        <v>0</v>
      </c>
      <c r="R111" s="260"/>
      <c r="S111" s="261"/>
    </row>
    <row r="112" outlineLevel="1" spans="1:19">
      <c r="A112" s="271" t="s">
        <v>32</v>
      </c>
      <c r="B112" s="256">
        <v>6666010227</v>
      </c>
      <c r="C112" s="256" t="s">
        <v>142</v>
      </c>
      <c r="D112" s="256" t="s">
        <v>137</v>
      </c>
      <c r="E112" s="257">
        <v>1.74299</v>
      </c>
      <c r="F112" s="259">
        <v>1.44223</v>
      </c>
      <c r="G112" s="259">
        <v>1.59288</v>
      </c>
      <c r="H112" s="259">
        <v>1.66464</v>
      </c>
      <c r="I112" s="259">
        <v>1.7888</v>
      </c>
      <c r="J112" s="259">
        <v>0</v>
      </c>
      <c r="K112" s="259">
        <v>0</v>
      </c>
      <c r="L112" s="259">
        <v>0</v>
      </c>
      <c r="M112" s="259">
        <v>0</v>
      </c>
      <c r="N112" s="259">
        <v>0</v>
      </c>
      <c r="O112" s="259">
        <v>0</v>
      </c>
      <c r="P112" s="259">
        <v>0</v>
      </c>
      <c r="Q112" s="259">
        <f t="shared" si="15"/>
        <v>8.23154</v>
      </c>
      <c r="R112" s="260"/>
      <c r="S112" s="261"/>
    </row>
    <row r="113" s="120" customFormat="1" spans="1:19">
      <c r="A113" s="271"/>
      <c r="B113" s="148" t="s">
        <v>135</v>
      </c>
      <c r="C113" s="149" t="s">
        <v>137</v>
      </c>
      <c r="D113" s="150"/>
      <c r="E113" s="151">
        <f>SUM(E106:E112)</f>
        <v>115.16989</v>
      </c>
      <c r="F113" s="262">
        <f>SUM(F106:F112)</f>
        <v>111.05253</v>
      </c>
      <c r="G113" s="262">
        <f>SUM(G106:G112)</f>
        <v>104.43833</v>
      </c>
      <c r="H113" s="262">
        <f>SUM(H106:H112)</f>
        <v>86.26424</v>
      </c>
      <c r="I113" s="368">
        <f>SUM(I106:I112)</f>
        <v>107.57123</v>
      </c>
      <c r="J113" s="368">
        <f t="shared" ref="J113:Q113" si="16">SUM(J106:J112)</f>
        <v>109.836021727926</v>
      </c>
      <c r="K113" s="368">
        <f t="shared" si="16"/>
        <v>101.406494649486</v>
      </c>
      <c r="L113" s="368">
        <f t="shared" si="16"/>
        <v>102.132468545172</v>
      </c>
      <c r="M113" s="368">
        <f t="shared" si="16"/>
        <v>107.529259045042</v>
      </c>
      <c r="N113" s="368">
        <f t="shared" si="16"/>
        <v>101.027321098174</v>
      </c>
      <c r="O113" s="368">
        <f t="shared" si="16"/>
        <v>99.7073661491529</v>
      </c>
      <c r="P113" s="368">
        <f t="shared" si="16"/>
        <v>98.4214576571499</v>
      </c>
      <c r="Q113" s="262">
        <f t="shared" si="16"/>
        <v>1244.5566088721</v>
      </c>
      <c r="R113" s="152"/>
      <c r="S113" s="261"/>
    </row>
    <row r="114" outlineLevel="1" spans="1:19">
      <c r="A114" s="271" t="s">
        <v>32</v>
      </c>
      <c r="B114" s="256">
        <v>6666020903</v>
      </c>
      <c r="C114" s="256" t="s">
        <v>143</v>
      </c>
      <c r="D114" s="256" t="s">
        <v>144</v>
      </c>
      <c r="E114" s="257">
        <v>0</v>
      </c>
      <c r="F114" s="259">
        <v>0</v>
      </c>
      <c r="G114" s="259">
        <v>0</v>
      </c>
      <c r="H114" s="259">
        <v>0</v>
      </c>
      <c r="I114" s="259">
        <v>0</v>
      </c>
      <c r="J114" s="259">
        <v>0</v>
      </c>
      <c r="K114" s="259">
        <v>0</v>
      </c>
      <c r="L114" s="259">
        <v>0</v>
      </c>
      <c r="M114" s="259">
        <v>0</v>
      </c>
      <c r="N114" s="259">
        <v>0</v>
      </c>
      <c r="O114" s="259">
        <v>0</v>
      </c>
      <c r="P114" s="259">
        <v>0</v>
      </c>
      <c r="Q114" s="259">
        <f t="shared" ref="Q114:Q128" si="17">F114+E114+G114+H114+I114+J114+K114+L114+M114+N114+O114+P114</f>
        <v>0</v>
      </c>
      <c r="R114" s="260"/>
      <c r="S114" s="261"/>
    </row>
    <row r="115" outlineLevel="1" spans="1:19">
      <c r="A115" s="271" t="s">
        <v>32</v>
      </c>
      <c r="B115" s="256">
        <v>6666010302</v>
      </c>
      <c r="C115" s="256" t="s">
        <v>145</v>
      </c>
      <c r="D115" s="256" t="s">
        <v>144</v>
      </c>
      <c r="E115" s="257">
        <v>4.80178</v>
      </c>
      <c r="F115" s="259">
        <v>4.71224</v>
      </c>
      <c r="G115" s="259">
        <v>4.624</v>
      </c>
      <c r="H115" s="259">
        <v>-9.44158</v>
      </c>
      <c r="I115" s="259">
        <v>-1.00414</v>
      </c>
      <c r="J115" s="259">
        <v>4.42237344245428</v>
      </c>
      <c r="K115" s="259">
        <v>4.38727524053004</v>
      </c>
      <c r="L115" s="259">
        <v>4.35245559576393</v>
      </c>
      <c r="M115" s="259">
        <v>4.31791229738485</v>
      </c>
      <c r="N115" s="259">
        <v>4.24364844951828</v>
      </c>
      <c r="O115" s="259">
        <v>4.17066186684843</v>
      </c>
      <c r="P115" s="259">
        <v>4.09893058166922</v>
      </c>
      <c r="Q115" s="259">
        <f t="shared" si="17"/>
        <v>33.685557474169</v>
      </c>
      <c r="R115" s="260"/>
      <c r="S115" s="261"/>
    </row>
    <row r="116" outlineLevel="1" spans="1:19">
      <c r="A116" s="271" t="s">
        <v>32</v>
      </c>
      <c r="B116" s="256">
        <v>6666010314</v>
      </c>
      <c r="C116" s="256" t="s">
        <v>146</v>
      </c>
      <c r="D116" s="256" t="s">
        <v>144</v>
      </c>
      <c r="E116" s="257">
        <v>5.27735</v>
      </c>
      <c r="F116" s="259">
        <v>50.44541</v>
      </c>
      <c r="G116" s="259">
        <v>0.11913</v>
      </c>
      <c r="H116" s="259">
        <v>0.35103</v>
      </c>
      <c r="I116" s="259">
        <v>6.25963</v>
      </c>
      <c r="J116" s="259">
        <v>1.58880685073209</v>
      </c>
      <c r="K116" s="259">
        <v>1.55336830198318</v>
      </c>
      <c r="L116" s="259">
        <v>1.52858491074154</v>
      </c>
      <c r="M116" s="259">
        <v>1.50457991930021</v>
      </c>
      <c r="N116" s="259">
        <v>1.48131722254119</v>
      </c>
      <c r="O116" s="259">
        <v>1.45955480508794</v>
      </c>
      <c r="P116" s="259">
        <v>1.43842256424119</v>
      </c>
      <c r="Q116" s="259">
        <f t="shared" si="17"/>
        <v>73.0071845746274</v>
      </c>
      <c r="R116" s="260"/>
      <c r="S116" s="261"/>
    </row>
    <row r="117" outlineLevel="1" spans="1:19">
      <c r="A117" s="271" t="s">
        <v>32</v>
      </c>
      <c r="B117" s="256">
        <v>6666010315</v>
      </c>
      <c r="C117" s="256" t="s">
        <v>147</v>
      </c>
      <c r="D117" s="256" t="s">
        <v>144</v>
      </c>
      <c r="E117" s="257">
        <v>11.72316</v>
      </c>
      <c r="F117" s="259">
        <v>69.53264</v>
      </c>
      <c r="G117" s="259">
        <v>2.10075</v>
      </c>
      <c r="H117" s="259">
        <v>0.62074</v>
      </c>
      <c r="I117" s="259">
        <v>4.73636</v>
      </c>
      <c r="J117" s="259">
        <v>10.9588344519195</v>
      </c>
      <c r="K117" s="259">
        <v>10.7968812334183</v>
      </c>
      <c r="L117" s="259">
        <v>10.7111916998197</v>
      </c>
      <c r="M117" s="259">
        <v>10.6261822418846</v>
      </c>
      <c r="N117" s="259">
        <v>10.5418474621871</v>
      </c>
      <c r="O117" s="259">
        <v>10.3605380463756</v>
      </c>
      <c r="P117" s="259">
        <v>10.1823469743249</v>
      </c>
      <c r="Q117" s="259">
        <f t="shared" si="17"/>
        <v>162.89147210993</v>
      </c>
      <c r="R117" s="260"/>
      <c r="S117" s="261"/>
    </row>
    <row r="118" outlineLevel="1" spans="1:19">
      <c r="A118" s="271" t="s">
        <v>32</v>
      </c>
      <c r="B118" s="256">
        <v>6666020401</v>
      </c>
      <c r="C118" s="256" t="s">
        <v>148</v>
      </c>
      <c r="D118" s="256" t="s">
        <v>144</v>
      </c>
      <c r="E118" s="257">
        <v>31.34574</v>
      </c>
      <c r="F118" s="259">
        <v>36.94771</v>
      </c>
      <c r="G118" s="259">
        <v>25.87161</v>
      </c>
      <c r="H118" s="259">
        <v>40.55119</v>
      </c>
      <c r="I118" s="259">
        <v>35.94637</v>
      </c>
      <c r="J118" s="259">
        <v>45.2209515462031</v>
      </c>
      <c r="K118" s="259">
        <v>35.5527957992982</v>
      </c>
      <c r="L118" s="259">
        <v>35.5271498112246</v>
      </c>
      <c r="M118" s="259">
        <v>80.6947389842988</v>
      </c>
      <c r="N118" s="259">
        <v>37.8323074846631</v>
      </c>
      <c r="O118" s="259">
        <v>39.5596169519403</v>
      </c>
      <c r="P118" s="259">
        <v>31.4402766457625</v>
      </c>
      <c r="Q118" s="259">
        <f t="shared" si="17"/>
        <v>476.49045722339</v>
      </c>
      <c r="R118" s="260"/>
      <c r="S118" s="261"/>
    </row>
    <row r="119" outlineLevel="1" spans="1:19">
      <c r="A119" s="271" t="s">
        <v>32</v>
      </c>
      <c r="B119" s="256">
        <v>6666020402</v>
      </c>
      <c r="C119" s="256" t="s">
        <v>149</v>
      </c>
      <c r="D119" s="256" t="s">
        <v>144</v>
      </c>
      <c r="E119" s="257">
        <v>0</v>
      </c>
      <c r="F119" s="259">
        <v>0</v>
      </c>
      <c r="G119" s="259">
        <v>0</v>
      </c>
      <c r="H119" s="259">
        <v>0</v>
      </c>
      <c r="I119" s="259">
        <v>0</v>
      </c>
      <c r="J119" s="259">
        <v>0</v>
      </c>
      <c r="K119" s="259">
        <v>0</v>
      </c>
      <c r="L119" s="259">
        <v>0</v>
      </c>
      <c r="M119" s="259">
        <v>0</v>
      </c>
      <c r="N119" s="259">
        <v>0</v>
      </c>
      <c r="O119" s="259">
        <v>0</v>
      </c>
      <c r="P119" s="259">
        <v>0</v>
      </c>
      <c r="Q119" s="259">
        <f t="shared" si="17"/>
        <v>0</v>
      </c>
      <c r="R119" s="260"/>
      <c r="S119" s="261"/>
    </row>
    <row r="120" outlineLevel="1" spans="1:19">
      <c r="A120" s="271" t="s">
        <v>32</v>
      </c>
      <c r="B120" s="256">
        <v>6666020502</v>
      </c>
      <c r="C120" s="256" t="s">
        <v>150</v>
      </c>
      <c r="D120" s="256" t="s">
        <v>144</v>
      </c>
      <c r="E120" s="257">
        <v>22.04347</v>
      </c>
      <c r="F120" s="259">
        <v>33.45617</v>
      </c>
      <c r="G120" s="259">
        <v>17.30111</v>
      </c>
      <c r="H120" s="259">
        <v>42.3881</v>
      </c>
      <c r="I120" s="259">
        <v>35.37475</v>
      </c>
      <c r="J120" s="259">
        <v>35.4229994368527</v>
      </c>
      <c r="K120" s="259">
        <v>33.7721227344269</v>
      </c>
      <c r="L120" s="259">
        <v>33.8043864000236</v>
      </c>
      <c r="M120" s="259">
        <v>34.8328616304493</v>
      </c>
      <c r="N120" s="259">
        <v>31.2718577901967</v>
      </c>
      <c r="O120" s="259">
        <v>32.3179856014146</v>
      </c>
      <c r="P120" s="259">
        <v>26.2352668554046</v>
      </c>
      <c r="Q120" s="259">
        <f t="shared" si="17"/>
        <v>378.221080448768</v>
      </c>
      <c r="R120" s="260"/>
      <c r="S120" s="261"/>
    </row>
    <row r="121" outlineLevel="1" spans="1:19">
      <c r="A121" s="271" t="s">
        <v>32</v>
      </c>
      <c r="B121" s="256">
        <v>6666020503</v>
      </c>
      <c r="C121" s="256" t="s">
        <v>151</v>
      </c>
      <c r="D121" s="256" t="s">
        <v>144</v>
      </c>
      <c r="E121" s="257">
        <v>0.4098</v>
      </c>
      <c r="F121" s="259">
        <v>0.40442</v>
      </c>
      <c r="G121" s="259">
        <v>0</v>
      </c>
      <c r="H121" s="259">
        <v>0.87888</v>
      </c>
      <c r="I121" s="259">
        <v>0.37705</v>
      </c>
      <c r="J121" s="259">
        <v>1.63805102910435</v>
      </c>
      <c r="K121" s="259">
        <v>1.62505062411146</v>
      </c>
      <c r="L121" s="259">
        <v>1.61215339693597</v>
      </c>
      <c r="M121" s="259">
        <v>1.59935852870632</v>
      </c>
      <c r="N121" s="259">
        <v>1.5718511338637</v>
      </c>
      <c r="O121" s="259">
        <v>1.54481683917809</v>
      </c>
      <c r="P121" s="259">
        <v>1.51824750779173</v>
      </c>
      <c r="Q121" s="259">
        <f t="shared" si="17"/>
        <v>13.1796790596916</v>
      </c>
      <c r="R121" s="260"/>
      <c r="S121" s="261"/>
    </row>
    <row r="122" outlineLevel="1" spans="1:19">
      <c r="A122" s="271" t="s">
        <v>32</v>
      </c>
      <c r="B122" s="256">
        <v>6666021500</v>
      </c>
      <c r="C122" s="256" t="s">
        <v>152</v>
      </c>
      <c r="D122" s="256" t="s">
        <v>144</v>
      </c>
      <c r="E122" s="257">
        <v>0</v>
      </c>
      <c r="F122" s="259">
        <v>0</v>
      </c>
      <c r="G122" s="259">
        <v>0</v>
      </c>
      <c r="H122" s="259">
        <v>0</v>
      </c>
      <c r="I122" s="259">
        <v>0</v>
      </c>
      <c r="J122" s="259">
        <v>11</v>
      </c>
      <c r="K122" s="259">
        <v>11</v>
      </c>
      <c r="L122" s="259">
        <v>11</v>
      </c>
      <c r="M122" s="259">
        <v>11</v>
      </c>
      <c r="N122" s="259">
        <v>11</v>
      </c>
      <c r="O122" s="259">
        <v>11</v>
      </c>
      <c r="P122" s="259">
        <v>11</v>
      </c>
      <c r="Q122" s="259">
        <f t="shared" si="17"/>
        <v>77</v>
      </c>
      <c r="R122" s="260"/>
      <c r="S122" s="261"/>
    </row>
    <row r="123" outlineLevel="1" spans="1:19">
      <c r="A123" s="271" t="s">
        <v>32</v>
      </c>
      <c r="B123" s="256">
        <v>6666021502</v>
      </c>
      <c r="C123" s="256" t="s">
        <v>153</v>
      </c>
      <c r="D123" s="256" t="s">
        <v>144</v>
      </c>
      <c r="E123" s="257">
        <v>19</v>
      </c>
      <c r="F123" s="259">
        <v>10.36562</v>
      </c>
      <c r="G123" s="259">
        <v>35.3226</v>
      </c>
      <c r="H123" s="259">
        <v>21.02766</v>
      </c>
      <c r="I123" s="259">
        <v>35.2612</v>
      </c>
      <c r="J123" s="259">
        <v>30.8961216914447</v>
      </c>
      <c r="K123" s="259">
        <v>30.6509143764332</v>
      </c>
      <c r="L123" s="259">
        <v>30.4076531512234</v>
      </c>
      <c r="M123" s="259">
        <v>30.1663225706582</v>
      </c>
      <c r="N123" s="259">
        <v>29.6474914699343</v>
      </c>
      <c r="O123" s="259">
        <v>29.1375837542352</v>
      </c>
      <c r="P123" s="259">
        <v>28.6364459501083</v>
      </c>
      <c r="Q123" s="259">
        <f t="shared" si="17"/>
        <v>330.519612964037</v>
      </c>
      <c r="R123" s="260"/>
      <c r="S123" s="261"/>
    </row>
    <row r="124" outlineLevel="1" spans="1:19">
      <c r="A124" s="271" t="s">
        <v>32</v>
      </c>
      <c r="B124" s="256">
        <v>6666021503</v>
      </c>
      <c r="C124" s="256" t="s">
        <v>154</v>
      </c>
      <c r="D124" s="256" t="s">
        <v>144</v>
      </c>
      <c r="E124" s="257">
        <v>8.95545</v>
      </c>
      <c r="F124" s="259">
        <v>11.84276</v>
      </c>
      <c r="G124" s="259">
        <v>6.51406</v>
      </c>
      <c r="H124" s="259">
        <v>1.34465</v>
      </c>
      <c r="I124" s="259">
        <v>8.25967</v>
      </c>
      <c r="J124" s="259">
        <v>7.5</v>
      </c>
      <c r="K124" s="259">
        <v>7.5</v>
      </c>
      <c r="L124" s="259">
        <v>7.5</v>
      </c>
      <c r="M124" s="259">
        <v>7.5</v>
      </c>
      <c r="N124" s="259">
        <v>7.5</v>
      </c>
      <c r="O124" s="259">
        <v>7.5</v>
      </c>
      <c r="P124" s="259">
        <v>7.5</v>
      </c>
      <c r="Q124" s="259">
        <f t="shared" si="17"/>
        <v>89.41659</v>
      </c>
      <c r="R124" s="260"/>
      <c r="S124" s="261"/>
    </row>
    <row r="125" outlineLevel="1" spans="1:19">
      <c r="A125" s="271" t="s">
        <v>32</v>
      </c>
      <c r="B125" s="256">
        <v>6666021505</v>
      </c>
      <c r="C125" s="256" t="s">
        <v>155</v>
      </c>
      <c r="D125" s="256" t="s">
        <v>144</v>
      </c>
      <c r="E125" s="257">
        <v>0</v>
      </c>
      <c r="F125" s="259">
        <v>0</v>
      </c>
      <c r="G125" s="259">
        <v>0</v>
      </c>
      <c r="H125" s="259">
        <v>0</v>
      </c>
      <c r="I125" s="259">
        <v>0</v>
      </c>
      <c r="J125" s="259">
        <v>0</v>
      </c>
      <c r="K125" s="259">
        <v>0</v>
      </c>
      <c r="L125" s="259">
        <v>0</v>
      </c>
      <c r="M125" s="259">
        <v>0</v>
      </c>
      <c r="N125" s="259">
        <v>0</v>
      </c>
      <c r="O125" s="259">
        <v>0</v>
      </c>
      <c r="P125" s="259">
        <v>0</v>
      </c>
      <c r="Q125" s="259">
        <f t="shared" si="17"/>
        <v>0</v>
      </c>
      <c r="R125" s="260"/>
      <c r="S125" s="261"/>
    </row>
    <row r="126" outlineLevel="1" spans="1:19">
      <c r="A126" s="271" t="s">
        <v>32</v>
      </c>
      <c r="B126" s="256">
        <v>6666021506</v>
      </c>
      <c r="C126" s="256" t="s">
        <v>156</v>
      </c>
      <c r="D126" s="256" t="s">
        <v>144</v>
      </c>
      <c r="E126" s="257">
        <v>52.06587</v>
      </c>
      <c r="F126" s="259">
        <v>25.056</v>
      </c>
      <c r="G126" s="259">
        <v>35.96198</v>
      </c>
      <c r="H126" s="259">
        <v>-7.65935</v>
      </c>
      <c r="I126" s="259">
        <v>40.18558</v>
      </c>
      <c r="J126" s="259">
        <v>42.5920398353221</v>
      </c>
      <c r="K126" s="259">
        <v>42.254007773137</v>
      </c>
      <c r="L126" s="259">
        <v>41.9186585050962</v>
      </c>
      <c r="M126" s="259">
        <v>41.5859707391828</v>
      </c>
      <c r="N126" s="259">
        <v>40.8707329132017</v>
      </c>
      <c r="O126" s="259">
        <v>40.1677964748911</v>
      </c>
      <c r="P126" s="259">
        <v>40.0784302868978</v>
      </c>
      <c r="Q126" s="259">
        <f t="shared" si="17"/>
        <v>435.077716527729</v>
      </c>
      <c r="R126" s="260"/>
      <c r="S126" s="261"/>
    </row>
    <row r="127" outlineLevel="2" spans="1:19">
      <c r="A127" s="271" t="s">
        <v>32</v>
      </c>
      <c r="B127" s="256">
        <v>6666030300</v>
      </c>
      <c r="C127" s="256" t="s">
        <v>157</v>
      </c>
      <c r="D127" s="256" t="s">
        <v>60</v>
      </c>
      <c r="E127" s="257">
        <v>7.7005</v>
      </c>
      <c r="F127" s="259">
        <v>3.78994</v>
      </c>
      <c r="G127" s="259">
        <v>1.5253</v>
      </c>
      <c r="H127" s="259">
        <v>-3.75837</v>
      </c>
      <c r="I127" s="259">
        <v>1.80253</v>
      </c>
      <c r="J127" s="259">
        <v>6.58542</v>
      </c>
      <c r="K127" s="259">
        <v>6.56649</v>
      </c>
      <c r="L127" s="259">
        <v>6.54772</v>
      </c>
      <c r="M127" s="259">
        <v>6.52909</v>
      </c>
      <c r="N127" s="259">
        <v>6.48904</v>
      </c>
      <c r="O127" s="259">
        <v>6.44968</v>
      </c>
      <c r="P127" s="259">
        <v>6.41099</v>
      </c>
      <c r="Q127" s="259">
        <f t="shared" si="17"/>
        <v>56.63833</v>
      </c>
      <c r="R127" s="260"/>
      <c r="S127" s="261"/>
    </row>
    <row r="128" outlineLevel="1" spans="1:19">
      <c r="A128" s="271" t="s">
        <v>32</v>
      </c>
      <c r="B128" s="256">
        <v>6666091600</v>
      </c>
      <c r="C128" s="256" t="s">
        <v>158</v>
      </c>
      <c r="D128" s="256" t="s">
        <v>144</v>
      </c>
      <c r="E128" s="257">
        <v>0.7778</v>
      </c>
      <c r="F128" s="259">
        <v>0.79333</v>
      </c>
      <c r="G128" s="259">
        <v>0.64</v>
      </c>
      <c r="H128" s="259">
        <v>-0.20117</v>
      </c>
      <c r="I128" s="259">
        <v>0.00073</v>
      </c>
      <c r="J128" s="259">
        <v>0.616251662421356</v>
      </c>
      <c r="K128" s="259">
        <v>0.611360776211662</v>
      </c>
      <c r="L128" s="259">
        <v>0.606508706559189</v>
      </c>
      <c r="M128" s="259">
        <v>0.601695145396021</v>
      </c>
      <c r="N128" s="259">
        <v>0.591346580241789</v>
      </c>
      <c r="O128" s="259">
        <v>0.581176000237631</v>
      </c>
      <c r="P128" s="259">
        <v>0.571180344213888</v>
      </c>
      <c r="Q128" s="259">
        <f t="shared" si="17"/>
        <v>6.19020921528154</v>
      </c>
      <c r="R128" s="260"/>
      <c r="S128" s="261"/>
    </row>
    <row r="129" s="120" customFormat="1" spans="1:21">
      <c r="A129" s="271"/>
      <c r="B129" s="148" t="s">
        <v>135</v>
      </c>
      <c r="C129" s="149" t="s">
        <v>144</v>
      </c>
      <c r="D129" s="150"/>
      <c r="E129" s="151">
        <f>SUM(E114:E128)</f>
        <v>164.10092</v>
      </c>
      <c r="F129" s="262">
        <f>SUM(F114:F128)</f>
        <v>247.34624</v>
      </c>
      <c r="G129" s="262">
        <f>SUM(G114:G128)</f>
        <v>129.98054</v>
      </c>
      <c r="H129" s="262">
        <f>SUM(H114:H128)</f>
        <v>86.10178</v>
      </c>
      <c r="I129" s="368">
        <f>SUM(I114:I128)</f>
        <v>167.19973</v>
      </c>
      <c r="J129" s="368">
        <f t="shared" ref="J129:Q129" si="18">SUM(J114:J128)</f>
        <v>198.441849946454</v>
      </c>
      <c r="K129" s="368">
        <f t="shared" si="18"/>
        <v>186.27026685955</v>
      </c>
      <c r="L129" s="368">
        <f t="shared" si="18"/>
        <v>185.516462177388</v>
      </c>
      <c r="M129" s="368">
        <f t="shared" si="18"/>
        <v>230.958712057261</v>
      </c>
      <c r="N129" s="368">
        <f t="shared" si="18"/>
        <v>183.041440506348</v>
      </c>
      <c r="O129" s="368">
        <f t="shared" si="18"/>
        <v>184.249410340209</v>
      </c>
      <c r="P129" s="368">
        <f t="shared" si="18"/>
        <v>169.110537710414</v>
      </c>
      <c r="Q129" s="262">
        <f t="shared" si="18"/>
        <v>2132.31788959762</v>
      </c>
      <c r="R129" s="152"/>
      <c r="S129" s="261"/>
    </row>
    <row r="130" s="123" customFormat="1" spans="1:21">
      <c r="A130" s="275"/>
      <c r="B130" s="160"/>
      <c r="C130" s="160"/>
      <c r="D130" s="160" t="s">
        <v>159</v>
      </c>
      <c r="E130" s="161">
        <f>+E129+E113+E105+E97+E92+E89+E87+E85+E80+E28+E14+E23</f>
        <v>1172.96406992299</v>
      </c>
      <c r="F130" s="161">
        <f>+F129+F113+F105+F97+F92+F89+F87+F85+F80+F28+F14+F23</f>
        <v>1228.3915871954</v>
      </c>
      <c r="G130" s="161">
        <f>+G129+G113+G105+G97+G92+G89+G87+G85+G80+G28+G14+G23</f>
        <v>1147.54159982573</v>
      </c>
      <c r="H130" s="161">
        <f>+H129+H113+H105+H97+H92+H89+H87+H85+H80+H28+H14+H23</f>
        <v>695.928998386915</v>
      </c>
      <c r="I130" s="161">
        <f>+I129+I113+I105+I97+I92+I89+I87+I85+I80+I28+I14+I23</f>
        <v>1247.36818414707</v>
      </c>
      <c r="J130" s="161">
        <f t="shared" ref="J130:Q130" si="19">+J129+J113+J105+J97+J92+J89+J87+J85+J80+J28+J14+J23</f>
        <v>1196.7854831689</v>
      </c>
      <c r="K130" s="161">
        <f t="shared" si="19"/>
        <v>1160.56876724341</v>
      </c>
      <c r="L130" s="161">
        <f t="shared" si="19"/>
        <v>1148.11133965946</v>
      </c>
      <c r="M130" s="161">
        <f t="shared" si="19"/>
        <v>1310.92610615294</v>
      </c>
      <c r="N130" s="161">
        <f t="shared" si="19"/>
        <v>1255.07936672905</v>
      </c>
      <c r="O130" s="161">
        <f t="shared" si="19"/>
        <v>1237.89857422223</v>
      </c>
      <c r="P130" s="161">
        <f t="shared" si="19"/>
        <v>1202.1963243927</v>
      </c>
      <c r="Q130" s="161">
        <f t="shared" si="19"/>
        <v>14003.2441810468</v>
      </c>
      <c r="R130" s="162"/>
      <c r="S130" s="261"/>
    </row>
    <row r="131" spans="1:21"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>
        <v>1861829.10312653</v>
      </c>
      <c r="R131" s="276">
        <v>1830823.46974782</v>
      </c>
      <c r="S131" s="249">
        <v>1882782.10360005</v>
      </c>
      <c r="U131" s="249">
        <f>I130+I253</f>
        <v>1557.06671</v>
      </c>
    </row>
    <row r="132" spans="1:21">
      <c r="E132" s="257"/>
      <c r="F132" s="257"/>
      <c r="G132" s="257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>
        <f t="shared" ref="Q132" si="20">Q131/1000-Q130</f>
        <v>-12141.4150779203</v>
      </c>
      <c r="R132" s="276"/>
    </row>
    <row r="133" spans="1:21"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76"/>
    </row>
    <row r="134" outlineLevel="1" spans="1:21">
      <c r="A134" s="269" t="s">
        <v>53</v>
      </c>
      <c r="B134" s="279">
        <v>6666110110</v>
      </c>
      <c r="C134" s="280" t="s">
        <v>37</v>
      </c>
      <c r="D134" s="280"/>
      <c r="E134" s="281">
        <v>0.0071</v>
      </c>
      <c r="F134" s="283">
        <v>0.09327</v>
      </c>
      <c r="G134" s="283">
        <v>0.10325</v>
      </c>
      <c r="H134" s="283">
        <v>0.09993</v>
      </c>
      <c r="I134" s="283">
        <v>0.10326</v>
      </c>
      <c r="J134" s="283">
        <v>0</v>
      </c>
      <c r="K134" s="283">
        <v>0</v>
      </c>
      <c r="L134" s="283">
        <v>0</v>
      </c>
      <c r="M134" s="283">
        <v>0</v>
      </c>
      <c r="N134" s="283">
        <v>0</v>
      </c>
      <c r="O134" s="283">
        <v>0</v>
      </c>
      <c r="P134" s="283">
        <v>0</v>
      </c>
      <c r="Q134" s="283">
        <f>F134+E134+G134+H134+I134+J134+K134+L134+M134+N134+O134+P134</f>
        <v>0.40681</v>
      </c>
      <c r="R134" s="282"/>
    </row>
    <row r="135" outlineLevel="1" spans="1:21">
      <c r="A135" s="269" t="s">
        <v>53</v>
      </c>
      <c r="B135" s="284">
        <v>6666110112</v>
      </c>
      <c r="C135" t="s">
        <v>38</v>
      </c>
      <c r="E135" s="285">
        <v>0.00395</v>
      </c>
      <c r="F135" s="286">
        <v>0.05277</v>
      </c>
      <c r="G135" s="286">
        <v>0.05628</v>
      </c>
      <c r="H135" s="286">
        <v>0.05065</v>
      </c>
      <c r="I135" s="286">
        <v>0.05078</v>
      </c>
      <c r="J135" s="286">
        <v>0</v>
      </c>
      <c r="K135" s="286">
        <v>0</v>
      </c>
      <c r="L135" s="286">
        <v>0</v>
      </c>
      <c r="M135" s="286">
        <v>0</v>
      </c>
      <c r="N135" s="286">
        <v>0</v>
      </c>
      <c r="O135" s="286">
        <v>0</v>
      </c>
      <c r="P135" s="286">
        <v>0</v>
      </c>
      <c r="Q135" s="286">
        <f>F135+E135+G135+H135+I135+J135+K135+L135+M135+N135+O135+P135</f>
        <v>0.21443</v>
      </c>
      <c r="R135" s="258"/>
    </row>
    <row r="136" outlineLevel="1" spans="1:21">
      <c r="A136" s="269" t="s">
        <v>53</v>
      </c>
      <c r="B136" s="284">
        <v>6666110207</v>
      </c>
      <c r="C136" t="s">
        <v>40</v>
      </c>
      <c r="E136" s="285">
        <v>0.00013</v>
      </c>
      <c r="F136" s="286">
        <v>0.00181</v>
      </c>
      <c r="G136" s="286">
        <v>0.002</v>
      </c>
      <c r="H136" s="286">
        <v>0.00194</v>
      </c>
      <c r="I136" s="286">
        <v>4e-5</v>
      </c>
      <c r="J136" s="286">
        <v>0</v>
      </c>
      <c r="K136" s="286">
        <v>0</v>
      </c>
      <c r="L136" s="286">
        <v>0</v>
      </c>
      <c r="M136" s="286">
        <v>0</v>
      </c>
      <c r="N136" s="286">
        <v>0</v>
      </c>
      <c r="O136" s="286">
        <v>0</v>
      </c>
      <c r="P136" s="286">
        <v>0</v>
      </c>
      <c r="Q136" s="259">
        <f>F136+E136+G136+H136+I136+J136+K136+L136+M136+N136+O136+P136</f>
        <v>0.00592</v>
      </c>
      <c r="R136" s="258"/>
    </row>
    <row r="137" outlineLevel="1" spans="1:21">
      <c r="A137" s="269" t="s">
        <v>53</v>
      </c>
      <c r="B137" s="284">
        <v>6666110506</v>
      </c>
      <c r="C137" t="s">
        <v>41</v>
      </c>
      <c r="E137" s="285">
        <v>0.00727</v>
      </c>
      <c r="F137" s="286">
        <v>0.09207</v>
      </c>
      <c r="G137" s="286">
        <v>0.10195</v>
      </c>
      <c r="H137" s="286">
        <v>0.09864</v>
      </c>
      <c r="I137" s="286">
        <v>0.10194</v>
      </c>
      <c r="J137" s="286">
        <v>0</v>
      </c>
      <c r="K137" s="286">
        <v>0</v>
      </c>
      <c r="L137" s="286">
        <v>0</v>
      </c>
      <c r="M137" s="286">
        <v>0</v>
      </c>
      <c r="N137" s="286">
        <v>0</v>
      </c>
      <c r="O137" s="286">
        <v>0</v>
      </c>
      <c r="P137" s="286">
        <v>0</v>
      </c>
      <c r="Q137" s="259">
        <f>F137+E137+G137+H137+I137+J137+K137+L137+M137+N137+O137+P137</f>
        <v>0.40187</v>
      </c>
      <c r="R137" s="287"/>
    </row>
    <row r="138" spans="1:21">
      <c r="A138" s="269"/>
      <c r="B138" s="149" t="s">
        <v>160</v>
      </c>
      <c r="C138" s="149" t="s">
        <v>34</v>
      </c>
      <c r="D138" s="150"/>
      <c r="E138" s="288">
        <f>SUM(E134:E137)</f>
        <v>0.01845</v>
      </c>
      <c r="F138" s="288">
        <f>SUM(F134:F137)</f>
        <v>0.23992</v>
      </c>
      <c r="G138" s="288">
        <f>SUM(G134:G137)</f>
        <v>0.26348</v>
      </c>
      <c r="H138" s="288">
        <f>SUM(H134:H137)</f>
        <v>0.25116</v>
      </c>
      <c r="I138" s="288">
        <f>SUM(I134:I137)</f>
        <v>0.25602</v>
      </c>
      <c r="J138" s="288">
        <f t="shared" ref="J138:Q138" si="21">SUM(J134:J137)</f>
        <v>0</v>
      </c>
      <c r="K138" s="288">
        <f t="shared" si="21"/>
        <v>0</v>
      </c>
      <c r="L138" s="288">
        <f t="shared" si="21"/>
        <v>0</v>
      </c>
      <c r="M138" s="288">
        <f t="shared" si="21"/>
        <v>0</v>
      </c>
      <c r="N138" s="288">
        <f t="shared" si="21"/>
        <v>0</v>
      </c>
      <c r="O138" s="288">
        <f t="shared" si="21"/>
        <v>0</v>
      </c>
      <c r="P138" s="288">
        <f t="shared" si="21"/>
        <v>0</v>
      </c>
      <c r="Q138" s="288">
        <f t="shared" si="21"/>
        <v>1.02903</v>
      </c>
      <c r="R138" s="289"/>
    </row>
    <row r="139" spans="1:21">
      <c r="A139" s="269" t="s">
        <v>53</v>
      </c>
      <c r="B139" s="290">
        <v>6666010380</v>
      </c>
      <c r="C139" s="3" t="s">
        <v>45</v>
      </c>
      <c r="D139" s="120"/>
      <c r="E139" s="291">
        <v>0</v>
      </c>
      <c r="F139" s="293">
        <v>0</v>
      </c>
      <c r="G139" s="293"/>
      <c r="H139" s="293">
        <v>0</v>
      </c>
      <c r="I139" s="293">
        <v>0</v>
      </c>
      <c r="J139" s="293">
        <v>0</v>
      </c>
      <c r="K139" s="293">
        <v>0</v>
      </c>
      <c r="L139" s="293">
        <v>0</v>
      </c>
      <c r="M139" s="293">
        <v>0</v>
      </c>
      <c r="N139" s="293">
        <v>0</v>
      </c>
      <c r="O139" s="293">
        <v>0</v>
      </c>
      <c r="P139" s="293">
        <v>0</v>
      </c>
      <c r="Q139" s="259">
        <f>F139+E139+G139+H139+I139+J139+K139+L139+M139+N139+O139+P139</f>
        <v>0</v>
      </c>
      <c r="R139" s="258"/>
    </row>
    <row r="140" outlineLevel="1" spans="1:21">
      <c r="A140" s="269" t="s">
        <v>53</v>
      </c>
      <c r="B140" s="284">
        <v>5102040406</v>
      </c>
      <c r="C140" t="s">
        <v>161</v>
      </c>
      <c r="E140" s="285">
        <v>0</v>
      </c>
      <c r="F140" s="286">
        <v>-2.1466</v>
      </c>
      <c r="G140" s="286">
        <v>-3.21366</v>
      </c>
      <c r="H140" s="286">
        <v>-5.47451</v>
      </c>
      <c r="I140" s="286">
        <v>-3.21366</v>
      </c>
      <c r="J140" s="286">
        <v>0</v>
      </c>
      <c r="K140" s="286">
        <v>0</v>
      </c>
      <c r="L140" s="286">
        <v>0</v>
      </c>
      <c r="M140" s="286">
        <v>0</v>
      </c>
      <c r="N140" s="286">
        <v>0</v>
      </c>
      <c r="O140" s="286">
        <v>0</v>
      </c>
      <c r="P140" s="286">
        <v>0</v>
      </c>
      <c r="Q140" s="259">
        <f>F140+E140+G140+H140+I140+J140+K140+L140+M140+N140+O140+P140</f>
        <v>-14.04843</v>
      </c>
      <c r="R140" s="258"/>
    </row>
    <row r="141" spans="1:21">
      <c r="A141" s="269"/>
      <c r="B141" s="149" t="s">
        <v>162</v>
      </c>
      <c r="C141" s="149" t="s">
        <v>44</v>
      </c>
      <c r="D141" s="150"/>
      <c r="E141" s="288">
        <f>+E140+E139</f>
        <v>0</v>
      </c>
      <c r="F141" s="288">
        <f>+F140+F139</f>
        <v>-2.1466</v>
      </c>
      <c r="G141" s="288">
        <f>SUM(G139:G140)</f>
        <v>-3.21366</v>
      </c>
      <c r="H141" s="288">
        <f>+H140</f>
        <v>-5.47451</v>
      </c>
      <c r="I141" s="288">
        <f>+I140</f>
        <v>-3.21366</v>
      </c>
      <c r="J141" s="288">
        <f t="shared" ref="J141:P141" si="22">+J140</f>
        <v>0</v>
      </c>
      <c r="K141" s="288">
        <f t="shared" si="22"/>
        <v>0</v>
      </c>
      <c r="L141" s="288">
        <f t="shared" si="22"/>
        <v>0</v>
      </c>
      <c r="M141" s="288">
        <f t="shared" si="22"/>
        <v>0</v>
      </c>
      <c r="N141" s="288">
        <f t="shared" si="22"/>
        <v>0</v>
      </c>
      <c r="O141" s="288">
        <f t="shared" si="22"/>
        <v>0</v>
      </c>
      <c r="P141" s="288">
        <f t="shared" si="22"/>
        <v>0</v>
      </c>
      <c r="Q141" s="288">
        <f>+Q140+Q139</f>
        <v>-14.04843</v>
      </c>
      <c r="R141" s="289"/>
    </row>
    <row r="142" outlineLevel="2" spans="1:21">
      <c r="A142" s="269" t="s">
        <v>53</v>
      </c>
      <c r="B142" s="284">
        <v>6666029996</v>
      </c>
      <c r="C142" t="s">
        <v>100</v>
      </c>
      <c r="E142" s="285">
        <v>0.07827</v>
      </c>
      <c r="F142" s="286">
        <v>-0.06378</v>
      </c>
      <c r="G142" s="286">
        <v>0.01292</v>
      </c>
      <c r="H142" s="286">
        <v>0.00415</v>
      </c>
      <c r="I142" s="286">
        <v>0.01977</v>
      </c>
      <c r="J142" s="286">
        <v>0</v>
      </c>
      <c r="K142" s="286">
        <v>0</v>
      </c>
      <c r="L142" s="286">
        <v>0</v>
      </c>
      <c r="M142" s="286">
        <v>0</v>
      </c>
      <c r="N142" s="286">
        <v>0</v>
      </c>
      <c r="O142" s="286">
        <v>0</v>
      </c>
      <c r="P142" s="286">
        <v>0</v>
      </c>
      <c r="Q142" s="286">
        <f t="shared" ref="Q142:Q164" si="23">F142+E142+G142+H142+I142+J142+K142+L142+M142+N142+O142+P142</f>
        <v>0.05133</v>
      </c>
      <c r="R142" s="258"/>
    </row>
    <row r="143" spans="1:21">
      <c r="A143" s="269" t="s">
        <v>53</v>
      </c>
      <c r="B143" s="284">
        <v>6666029700</v>
      </c>
      <c r="C143" s="121" t="s">
        <v>98</v>
      </c>
      <c r="E143" s="285">
        <v>71.70073</v>
      </c>
      <c r="F143" s="286">
        <v>14.3189</v>
      </c>
      <c r="G143" s="286">
        <v>18.89773</v>
      </c>
      <c r="H143" s="286">
        <v>-19.54673</v>
      </c>
      <c r="I143" s="286">
        <v>75.30009</v>
      </c>
      <c r="J143" s="286">
        <v>78.8056570697945</v>
      </c>
      <c r="K143" s="286">
        <v>76.0232586426824</v>
      </c>
      <c r="L143" s="286">
        <v>75.3746973006235</v>
      </c>
      <c r="M143" s="286">
        <v>81.9831909932201</v>
      </c>
      <c r="N143" s="286">
        <v>75.8590977112418</v>
      </c>
      <c r="O143" s="286">
        <v>75.5395725965041</v>
      </c>
      <c r="P143" s="286">
        <v>63.656601169989</v>
      </c>
      <c r="Q143" s="286">
        <f t="shared" si="23"/>
        <v>687.912795484055</v>
      </c>
      <c r="R143" s="258"/>
    </row>
    <row r="144" outlineLevel="3" spans="1:21">
      <c r="A144" s="269" t="s">
        <v>53</v>
      </c>
      <c r="B144" s="284">
        <v>6666010322</v>
      </c>
      <c r="C144" t="s">
        <v>74</v>
      </c>
      <c r="E144" s="285">
        <v>0.26835</v>
      </c>
      <c r="F144" s="286">
        <v>0.34917</v>
      </c>
      <c r="G144" s="286">
        <v>0.1343</v>
      </c>
      <c r="H144" s="286">
        <v>-0.06146</v>
      </c>
      <c r="I144" s="286">
        <v>-0.30699</v>
      </c>
      <c r="J144" s="286">
        <v>0</v>
      </c>
      <c r="K144" s="286">
        <v>0</v>
      </c>
      <c r="L144" s="286">
        <v>0</v>
      </c>
      <c r="M144" s="286">
        <v>0</v>
      </c>
      <c r="N144" s="286">
        <v>0</v>
      </c>
      <c r="O144" s="286">
        <v>0</v>
      </c>
      <c r="P144" s="286">
        <v>0</v>
      </c>
      <c r="Q144" s="286">
        <f t="shared" si="23"/>
        <v>0.38337</v>
      </c>
      <c r="R144" s="258"/>
    </row>
    <row r="145" outlineLevel="3" spans="1:18">
      <c r="A145" s="269" t="s">
        <v>53</v>
      </c>
      <c r="B145" s="284">
        <v>6666020495</v>
      </c>
      <c r="C145" t="s">
        <v>84</v>
      </c>
      <c r="E145" s="285">
        <v>0.01877</v>
      </c>
      <c r="F145" s="286">
        <v>0.0662</v>
      </c>
      <c r="G145" s="286">
        <v>0.05951</v>
      </c>
      <c r="H145" s="286">
        <v>0.0606</v>
      </c>
      <c r="I145" s="286">
        <v>0.00089</v>
      </c>
      <c r="J145" s="286">
        <v>0</v>
      </c>
      <c r="K145" s="286">
        <v>0</v>
      </c>
      <c r="L145" s="286">
        <v>0</v>
      </c>
      <c r="M145" s="286">
        <v>0</v>
      </c>
      <c r="N145" s="286">
        <v>0</v>
      </c>
      <c r="O145" s="286">
        <v>0</v>
      </c>
      <c r="P145" s="286">
        <v>0</v>
      </c>
      <c r="Q145" s="286">
        <f t="shared" si="23"/>
        <v>0.20597</v>
      </c>
      <c r="R145" s="258"/>
    </row>
    <row r="146" outlineLevel="3" spans="1:18">
      <c r="A146" s="269" t="s">
        <v>53</v>
      </c>
      <c r="B146" s="284">
        <v>5301999999</v>
      </c>
      <c r="C146" s="3" t="s">
        <v>68</v>
      </c>
      <c r="E146" s="285">
        <v>-0.29909</v>
      </c>
      <c r="F146" s="286">
        <v>0.27619</v>
      </c>
      <c r="G146" s="286">
        <v>-0.09381</v>
      </c>
      <c r="H146" s="286">
        <v>-0.00556</v>
      </c>
      <c r="I146" s="286">
        <v>-0.00555</v>
      </c>
      <c r="J146" s="286">
        <v>0</v>
      </c>
      <c r="K146" s="286">
        <v>0</v>
      </c>
      <c r="L146" s="286">
        <v>0</v>
      </c>
      <c r="M146" s="286">
        <v>0</v>
      </c>
      <c r="N146" s="286">
        <v>0</v>
      </c>
      <c r="O146" s="286">
        <v>0</v>
      </c>
      <c r="P146" s="286">
        <v>0</v>
      </c>
      <c r="Q146" s="286">
        <f t="shared" si="23"/>
        <v>-0.12782</v>
      </c>
      <c r="R146" s="258"/>
    </row>
    <row r="147" outlineLevel="3" spans="1:18">
      <c r="A147" s="269" t="s">
        <v>53</v>
      </c>
      <c r="B147" s="284">
        <v>5301060000</v>
      </c>
      <c r="C147" t="s">
        <v>67</v>
      </c>
      <c r="E147" s="285">
        <v>0</v>
      </c>
      <c r="F147" s="286">
        <v>0</v>
      </c>
      <c r="G147" s="286">
        <v>0</v>
      </c>
      <c r="H147" s="286">
        <v>0</v>
      </c>
      <c r="I147" s="286">
        <v>0</v>
      </c>
      <c r="J147" s="286">
        <v>0</v>
      </c>
      <c r="K147" s="286">
        <v>0</v>
      </c>
      <c r="L147" s="286">
        <v>0</v>
      </c>
      <c r="M147" s="286">
        <v>0</v>
      </c>
      <c r="N147" s="286">
        <v>0</v>
      </c>
      <c r="O147" s="286">
        <v>0</v>
      </c>
      <c r="P147" s="286">
        <v>0</v>
      </c>
      <c r="Q147" s="286">
        <f t="shared" si="23"/>
        <v>0</v>
      </c>
      <c r="R147" s="258"/>
    </row>
    <row r="148" outlineLevel="3" spans="1:18">
      <c r="A148" s="269" t="s">
        <v>53</v>
      </c>
      <c r="B148" s="284">
        <v>5601050000</v>
      </c>
      <c r="C148" t="s">
        <v>70</v>
      </c>
      <c r="E148" s="285">
        <v>0.00452</v>
      </c>
      <c r="F148" s="286">
        <v>0</v>
      </c>
      <c r="G148" s="286">
        <v>0</v>
      </c>
      <c r="H148" s="286">
        <v>0</v>
      </c>
      <c r="I148" s="286">
        <v>0</v>
      </c>
      <c r="J148" s="286">
        <v>0</v>
      </c>
      <c r="K148" s="286">
        <v>0</v>
      </c>
      <c r="L148" s="286">
        <v>0</v>
      </c>
      <c r="M148" s="286">
        <v>0</v>
      </c>
      <c r="N148" s="286">
        <v>0</v>
      </c>
      <c r="O148" s="286">
        <v>0</v>
      </c>
      <c r="P148" s="286">
        <v>0</v>
      </c>
      <c r="Q148" s="286">
        <f t="shared" si="23"/>
        <v>0.00452</v>
      </c>
      <c r="R148" s="258"/>
    </row>
    <row r="149" outlineLevel="3" spans="1:18">
      <c r="A149" s="269" t="s">
        <v>53</v>
      </c>
      <c r="B149" s="284">
        <v>5601050100</v>
      </c>
      <c r="C149" t="s">
        <v>71</v>
      </c>
      <c r="E149" s="285">
        <v>0</v>
      </c>
      <c r="F149" s="286">
        <v>-2.51615</v>
      </c>
      <c r="G149" s="286">
        <v>0.16445</v>
      </c>
      <c r="H149" s="286">
        <v>1.82877</v>
      </c>
      <c r="I149" s="286">
        <v>52.92278</v>
      </c>
      <c r="J149" s="286">
        <v>0</v>
      </c>
      <c r="K149" s="286">
        <v>0</v>
      </c>
      <c r="L149" s="286">
        <v>0</v>
      </c>
      <c r="M149" s="286">
        <v>0</v>
      </c>
      <c r="N149" s="286">
        <v>0</v>
      </c>
      <c r="O149" s="286">
        <v>0</v>
      </c>
      <c r="P149" s="286">
        <v>0</v>
      </c>
      <c r="Q149" s="286">
        <f t="shared" si="23"/>
        <v>52.39985</v>
      </c>
      <c r="R149" s="258"/>
    </row>
    <row r="150" spans="1:18">
      <c r="A150" s="269" t="s">
        <v>53</v>
      </c>
      <c r="B150" s="284">
        <v>5601080000</v>
      </c>
      <c r="C150" t="s">
        <v>163</v>
      </c>
      <c r="E150" s="285">
        <v>0.82921</v>
      </c>
      <c r="F150" s="286">
        <v>0</v>
      </c>
      <c r="G150" s="286">
        <v>0.59792</v>
      </c>
      <c r="H150" s="286">
        <v>0</v>
      </c>
      <c r="I150" s="286">
        <v>0</v>
      </c>
      <c r="J150" s="286">
        <v>0</v>
      </c>
      <c r="K150" s="286">
        <v>0</v>
      </c>
      <c r="L150" s="286">
        <v>0</v>
      </c>
      <c r="M150" s="286">
        <v>0</v>
      </c>
      <c r="N150" s="286">
        <v>0</v>
      </c>
      <c r="O150" s="286">
        <v>0</v>
      </c>
      <c r="P150" s="286">
        <v>0</v>
      </c>
      <c r="Q150" s="286">
        <f t="shared" si="23"/>
        <v>1.42713</v>
      </c>
      <c r="R150" s="258"/>
    </row>
    <row r="151" spans="1:18">
      <c r="A151" s="269" t="s">
        <v>53</v>
      </c>
      <c r="B151" s="284">
        <v>6666020101</v>
      </c>
      <c r="C151" t="s">
        <v>75</v>
      </c>
      <c r="E151" s="285">
        <v>0</v>
      </c>
      <c r="F151" s="286">
        <v>0.33135</v>
      </c>
      <c r="G151" s="286">
        <v>1.43258</v>
      </c>
      <c r="H151" s="286">
        <v>0.51529</v>
      </c>
      <c r="I151" s="286">
        <v>0.05752</v>
      </c>
      <c r="J151" s="286">
        <v>0</v>
      </c>
      <c r="K151" s="286">
        <v>0</v>
      </c>
      <c r="L151" s="286">
        <v>0</v>
      </c>
      <c r="M151" s="286">
        <v>0</v>
      </c>
      <c r="N151" s="286">
        <v>0</v>
      </c>
      <c r="O151" s="286">
        <v>0</v>
      </c>
      <c r="P151" s="286">
        <v>0</v>
      </c>
      <c r="Q151" s="286">
        <f t="shared" si="23"/>
        <v>2.33674</v>
      </c>
      <c r="R151" s="258"/>
    </row>
    <row r="152" outlineLevel="1" spans="1:18">
      <c r="A152" s="269" t="s">
        <v>53</v>
      </c>
      <c r="B152" s="284">
        <v>6666020201</v>
      </c>
      <c r="C152" t="s">
        <v>76</v>
      </c>
      <c r="E152" s="285">
        <v>0.01091</v>
      </c>
      <c r="F152" s="286">
        <v>0.08371</v>
      </c>
      <c r="G152" s="286">
        <v>0.00505</v>
      </c>
      <c r="H152" s="286">
        <v>0.05971</v>
      </c>
      <c r="I152" s="286">
        <v>0.26205</v>
      </c>
      <c r="J152" s="286">
        <v>0</v>
      </c>
      <c r="K152" s="286">
        <v>0</v>
      </c>
      <c r="L152" s="286">
        <v>0</v>
      </c>
      <c r="M152" s="286">
        <v>0</v>
      </c>
      <c r="N152" s="286">
        <v>0</v>
      </c>
      <c r="O152" s="286">
        <v>0</v>
      </c>
      <c r="P152" s="286">
        <v>0</v>
      </c>
      <c r="Q152" s="286">
        <f t="shared" si="23"/>
        <v>0.42143</v>
      </c>
      <c r="R152" s="258"/>
    </row>
    <row r="153" outlineLevel="1" spans="1:18">
      <c r="A153" s="269" t="s">
        <v>53</v>
      </c>
      <c r="B153" s="284">
        <v>6666020202</v>
      </c>
      <c r="C153" t="s">
        <v>77</v>
      </c>
      <c r="E153" s="285">
        <v>0</v>
      </c>
      <c r="F153" s="286">
        <v>1.57991</v>
      </c>
      <c r="G153" s="286">
        <v>0</v>
      </c>
      <c r="H153" s="286">
        <v>0</v>
      </c>
      <c r="I153" s="286">
        <v>0</v>
      </c>
      <c r="J153" s="286">
        <v>0</v>
      </c>
      <c r="K153" s="286">
        <v>0</v>
      </c>
      <c r="L153" s="286">
        <v>0</v>
      </c>
      <c r="M153" s="286">
        <v>0</v>
      </c>
      <c r="N153" s="286">
        <v>0</v>
      </c>
      <c r="O153" s="286">
        <v>0</v>
      </c>
      <c r="P153" s="286">
        <v>0</v>
      </c>
      <c r="Q153" s="286">
        <f t="shared" si="23"/>
        <v>1.57991</v>
      </c>
      <c r="R153" s="258"/>
    </row>
    <row r="154" outlineLevel="1" spans="1:18">
      <c r="A154" s="269" t="s">
        <v>53</v>
      </c>
      <c r="B154" s="284">
        <v>6666020204</v>
      </c>
      <c r="C154" t="s">
        <v>78</v>
      </c>
      <c r="E154" s="285">
        <v>0.12303</v>
      </c>
      <c r="F154" s="286">
        <v>0</v>
      </c>
      <c r="G154" s="286">
        <v>-0.91314</v>
      </c>
      <c r="H154" s="286">
        <v>0.04268</v>
      </c>
      <c r="I154" s="286">
        <v>0.01287</v>
      </c>
      <c r="J154" s="286">
        <v>0</v>
      </c>
      <c r="K154" s="286">
        <v>0</v>
      </c>
      <c r="L154" s="286">
        <v>0</v>
      </c>
      <c r="M154" s="286">
        <v>0</v>
      </c>
      <c r="N154" s="286">
        <v>0</v>
      </c>
      <c r="O154" s="286">
        <v>0</v>
      </c>
      <c r="P154" s="286">
        <v>0</v>
      </c>
      <c r="Q154" s="286">
        <f t="shared" si="23"/>
        <v>-0.73456</v>
      </c>
      <c r="R154" s="258"/>
    </row>
    <row r="155" outlineLevel="1" spans="1:18">
      <c r="A155" s="269" t="s">
        <v>53</v>
      </c>
      <c r="B155" s="284">
        <v>6666020301</v>
      </c>
      <c r="C155" t="s">
        <v>164</v>
      </c>
      <c r="E155" s="285">
        <v>0.01505</v>
      </c>
      <c r="F155" s="286">
        <v>0.05871</v>
      </c>
      <c r="G155" s="286">
        <v>0.1333</v>
      </c>
      <c r="H155" s="286">
        <v>0.12232</v>
      </c>
      <c r="I155" s="286">
        <v>-0.05343</v>
      </c>
      <c r="J155" s="286">
        <v>0</v>
      </c>
      <c r="K155" s="286">
        <v>0</v>
      </c>
      <c r="L155" s="286">
        <v>0</v>
      </c>
      <c r="M155" s="286">
        <v>0</v>
      </c>
      <c r="N155" s="286">
        <v>0</v>
      </c>
      <c r="O155" s="286">
        <v>0</v>
      </c>
      <c r="P155" s="286">
        <v>0</v>
      </c>
      <c r="Q155" s="286">
        <f t="shared" si="23"/>
        <v>0.27595</v>
      </c>
      <c r="R155" s="258"/>
    </row>
    <row r="156" outlineLevel="1" spans="1:18">
      <c r="A156" s="269" t="s">
        <v>53</v>
      </c>
      <c r="B156" s="284">
        <v>6666020403</v>
      </c>
      <c r="C156" t="s">
        <v>82</v>
      </c>
      <c r="E156" s="285">
        <v>0</v>
      </c>
      <c r="F156" s="286">
        <v>0</v>
      </c>
      <c r="G156" s="286">
        <v>0</v>
      </c>
      <c r="H156" s="286">
        <v>0</v>
      </c>
      <c r="I156" s="286">
        <v>0</v>
      </c>
      <c r="J156" s="286">
        <v>0</v>
      </c>
      <c r="K156" s="286">
        <v>0</v>
      </c>
      <c r="L156" s="286">
        <v>0</v>
      </c>
      <c r="M156" s="286">
        <v>0</v>
      </c>
      <c r="N156" s="286">
        <v>0</v>
      </c>
      <c r="O156" s="286">
        <v>0</v>
      </c>
      <c r="P156" s="286">
        <v>0</v>
      </c>
      <c r="Q156" s="286">
        <f t="shared" si="23"/>
        <v>0</v>
      </c>
      <c r="R156" s="258"/>
    </row>
    <row r="157" outlineLevel="1" spans="1:18">
      <c r="A157" s="269" t="s">
        <v>53</v>
      </c>
      <c r="B157" s="284">
        <v>6666020504</v>
      </c>
      <c r="C157" s="3" t="s">
        <v>85</v>
      </c>
      <c r="E157" s="285">
        <v>0</v>
      </c>
      <c r="F157" s="286">
        <v>0</v>
      </c>
      <c r="G157" s="286">
        <v>0</v>
      </c>
      <c r="H157" s="286">
        <v>0</v>
      </c>
      <c r="I157" s="286">
        <v>0</v>
      </c>
      <c r="J157" s="286">
        <v>0</v>
      </c>
      <c r="K157" s="286">
        <v>0</v>
      </c>
      <c r="L157" s="286">
        <v>0</v>
      </c>
      <c r="M157" s="286">
        <v>0</v>
      </c>
      <c r="N157" s="286">
        <v>0</v>
      </c>
      <c r="O157" s="286">
        <v>0</v>
      </c>
      <c r="P157" s="286">
        <v>0</v>
      </c>
      <c r="Q157" s="286">
        <f t="shared" si="23"/>
        <v>0</v>
      </c>
      <c r="R157" s="258"/>
    </row>
    <row r="158" outlineLevel="1" spans="1:18">
      <c r="A158" s="269" t="s">
        <v>53</v>
      </c>
      <c r="B158" s="284">
        <v>6666020508</v>
      </c>
      <c r="C158" t="s">
        <v>86</v>
      </c>
      <c r="E158" s="285">
        <v>0.01704</v>
      </c>
      <c r="F158" s="286">
        <v>0.05978</v>
      </c>
      <c r="G158" s="286">
        <v>0</v>
      </c>
      <c r="H158" s="286">
        <v>0.08898</v>
      </c>
      <c r="I158" s="286">
        <v>-0.00132</v>
      </c>
      <c r="J158" s="286">
        <v>0</v>
      </c>
      <c r="K158" s="286">
        <v>0</v>
      </c>
      <c r="L158" s="286">
        <v>0</v>
      </c>
      <c r="M158" s="286">
        <v>0</v>
      </c>
      <c r="N158" s="286">
        <v>0</v>
      </c>
      <c r="O158" s="286">
        <v>0</v>
      </c>
      <c r="P158" s="286">
        <v>0</v>
      </c>
      <c r="Q158" s="286">
        <f t="shared" si="23"/>
        <v>0.16448</v>
      </c>
      <c r="R158" s="258"/>
    </row>
    <row r="159" outlineLevel="1" spans="1:18">
      <c r="A159" s="269" t="s">
        <v>53</v>
      </c>
      <c r="B159" s="284">
        <v>6666020602</v>
      </c>
      <c r="C159" t="s">
        <v>87</v>
      </c>
      <c r="E159" s="285">
        <v>-0.02234</v>
      </c>
      <c r="F159" s="286">
        <v>0</v>
      </c>
      <c r="G159" s="286">
        <v>-0.01001</v>
      </c>
      <c r="H159" s="286">
        <v>0</v>
      </c>
      <c r="I159" s="286">
        <v>0</v>
      </c>
      <c r="J159" s="286">
        <v>0</v>
      </c>
      <c r="K159" s="286">
        <v>0</v>
      </c>
      <c r="L159" s="286">
        <v>0</v>
      </c>
      <c r="M159" s="286">
        <v>0</v>
      </c>
      <c r="N159" s="286">
        <v>0</v>
      </c>
      <c r="O159" s="286">
        <v>0</v>
      </c>
      <c r="P159" s="286">
        <v>0</v>
      </c>
      <c r="Q159" s="286">
        <f t="shared" si="23"/>
        <v>-0.03235</v>
      </c>
      <c r="R159" s="258"/>
    </row>
    <row r="160" spans="1:18">
      <c r="A160" s="269" t="s">
        <v>53</v>
      </c>
      <c r="B160" s="284">
        <v>6666020701</v>
      </c>
      <c r="C160" t="s">
        <v>88</v>
      </c>
      <c r="E160" s="285">
        <v>19.23128</v>
      </c>
      <c r="F160" s="286">
        <v>18.68756</v>
      </c>
      <c r="G160" s="286">
        <v>18.95942</v>
      </c>
      <c r="H160" s="286">
        <v>18.95942</v>
      </c>
      <c r="I160" s="286">
        <v>18.95942</v>
      </c>
      <c r="J160" s="286">
        <v>19.2312763265572</v>
      </c>
      <c r="K160" s="286">
        <v>19.2312763265572</v>
      </c>
      <c r="L160" s="286">
        <v>19.2312763265572</v>
      </c>
      <c r="M160" s="286">
        <v>19.2312763265572</v>
      </c>
      <c r="N160" s="286">
        <v>19.2312763265572</v>
      </c>
      <c r="O160" s="286">
        <v>19.2312763265572</v>
      </c>
      <c r="P160" s="286">
        <v>19.2312763265572</v>
      </c>
      <c r="Q160" s="286">
        <f t="shared" si="23"/>
        <v>229.4160342859</v>
      </c>
      <c r="R160" s="258"/>
    </row>
    <row r="161" spans="1:18">
      <c r="A161" s="269" t="s">
        <v>53</v>
      </c>
      <c r="B161" s="284">
        <v>6666020801</v>
      </c>
      <c r="C161" t="s">
        <v>89</v>
      </c>
      <c r="E161" s="285">
        <v>0.02777</v>
      </c>
      <c r="F161" s="286">
        <v>0.4152</v>
      </c>
      <c r="G161" s="286">
        <v>-0.11728</v>
      </c>
      <c r="H161" s="286">
        <v>0</v>
      </c>
      <c r="I161" s="286">
        <v>0</v>
      </c>
      <c r="J161" s="286">
        <v>0</v>
      </c>
      <c r="K161" s="286">
        <v>0</v>
      </c>
      <c r="L161" s="286">
        <v>0</v>
      </c>
      <c r="M161" s="286">
        <v>0</v>
      </c>
      <c r="N161" s="286">
        <v>0</v>
      </c>
      <c r="O161" s="286">
        <v>0</v>
      </c>
      <c r="P161" s="286">
        <v>0</v>
      </c>
      <c r="Q161" s="286">
        <f t="shared" si="23"/>
        <v>0.32569</v>
      </c>
      <c r="R161" s="258"/>
    </row>
    <row r="162" outlineLevel="3" spans="1:18">
      <c r="A162" s="269" t="s">
        <v>53</v>
      </c>
      <c r="B162" s="284">
        <v>6666020803</v>
      </c>
      <c r="C162" t="s">
        <v>91</v>
      </c>
      <c r="E162" s="285">
        <v>0.64084</v>
      </c>
      <c r="F162" s="286">
        <v>0.33071</v>
      </c>
      <c r="G162" s="286">
        <v>0.26491</v>
      </c>
      <c r="H162" s="286">
        <v>0.33199</v>
      </c>
      <c r="I162" s="286">
        <v>0.302</v>
      </c>
      <c r="J162" s="286">
        <v>0</v>
      </c>
      <c r="K162" s="286">
        <v>0</v>
      </c>
      <c r="L162" s="286">
        <v>0</v>
      </c>
      <c r="M162" s="286">
        <v>0</v>
      </c>
      <c r="N162" s="286">
        <v>0</v>
      </c>
      <c r="O162" s="286">
        <v>0</v>
      </c>
      <c r="P162" s="286">
        <v>0</v>
      </c>
      <c r="Q162" s="286">
        <f t="shared" si="23"/>
        <v>1.87045</v>
      </c>
      <c r="R162" s="258"/>
    </row>
    <row r="163" outlineLevel="3" spans="1:18">
      <c r="A163" s="269" t="s">
        <v>53</v>
      </c>
      <c r="B163" s="284">
        <v>6666021100</v>
      </c>
      <c r="C163" t="s">
        <v>92</v>
      </c>
      <c r="E163" s="285">
        <v>1.42118</v>
      </c>
      <c r="F163" s="286">
        <v>0.69754</v>
      </c>
      <c r="G163" s="286">
        <v>7.72778</v>
      </c>
      <c r="H163" s="286">
        <v>2.88629</v>
      </c>
      <c r="I163" s="286">
        <v>2.28102</v>
      </c>
      <c r="J163" s="286">
        <v>0</v>
      </c>
      <c r="K163" s="286">
        <v>0</v>
      </c>
      <c r="L163" s="286">
        <v>0</v>
      </c>
      <c r="M163" s="286">
        <v>0</v>
      </c>
      <c r="N163" s="286">
        <v>0</v>
      </c>
      <c r="O163" s="286">
        <v>0</v>
      </c>
      <c r="P163" s="286">
        <v>0</v>
      </c>
      <c r="Q163" s="286">
        <f t="shared" si="23"/>
        <v>15.01381</v>
      </c>
      <c r="R163" s="258"/>
    </row>
    <row r="164" outlineLevel="3" spans="1:18">
      <c r="A164" s="269" t="s">
        <v>53</v>
      </c>
      <c r="B164" s="284">
        <v>6666021102</v>
      </c>
      <c r="C164" t="s">
        <v>165</v>
      </c>
      <c r="E164" s="285">
        <v>0.16222</v>
      </c>
      <c r="F164" s="286">
        <v>3.27313</v>
      </c>
      <c r="G164" s="286">
        <v>-2.08135</v>
      </c>
      <c r="H164" s="286">
        <v>1.77559</v>
      </c>
      <c r="I164" s="286">
        <v>2.17069</v>
      </c>
      <c r="J164" s="286">
        <v>0</v>
      </c>
      <c r="K164" s="286">
        <v>0</v>
      </c>
      <c r="L164" s="286">
        <v>0</v>
      </c>
      <c r="M164" s="286">
        <v>0</v>
      </c>
      <c r="N164" s="286">
        <v>0</v>
      </c>
      <c r="O164" s="286">
        <v>0</v>
      </c>
      <c r="P164" s="286">
        <v>0</v>
      </c>
      <c r="Q164" s="286">
        <f t="shared" si="23"/>
        <v>5.30028</v>
      </c>
      <c r="R164" s="258"/>
    </row>
    <row r="165" outlineLevel="3" spans="1:18">
      <c r="A165" s="269" t="s">
        <v>53</v>
      </c>
      <c r="B165" s="284">
        <v>6666021103</v>
      </c>
      <c r="C165" s="121" t="s">
        <v>166</v>
      </c>
      <c r="E165" s="285"/>
      <c r="F165" s="286"/>
      <c r="G165" s="286">
        <v>6.43413</v>
      </c>
      <c r="H165" s="286">
        <v>0</v>
      </c>
      <c r="I165" s="286">
        <v>0</v>
      </c>
      <c r="J165" s="286">
        <v>0</v>
      </c>
      <c r="K165" s="286">
        <v>0</v>
      </c>
      <c r="L165" s="286">
        <v>0</v>
      </c>
      <c r="M165" s="286">
        <v>0</v>
      </c>
      <c r="N165" s="286">
        <v>0</v>
      </c>
      <c r="O165" s="286">
        <v>0</v>
      </c>
      <c r="P165" s="286">
        <v>0</v>
      </c>
      <c r="Q165" s="286"/>
      <c r="R165" s="258"/>
    </row>
    <row r="166" outlineLevel="3" spans="1:18">
      <c r="A166" s="269" t="s">
        <v>53</v>
      </c>
      <c r="B166" s="284">
        <v>6666021104</v>
      </c>
      <c r="C166" t="s">
        <v>93</v>
      </c>
      <c r="E166" s="285">
        <v>-0.00155</v>
      </c>
      <c r="F166" s="286">
        <v>0.12025</v>
      </c>
      <c r="G166" s="286">
        <v>0.24158</v>
      </c>
      <c r="H166" s="286">
        <v>-0.01089</v>
      </c>
      <c r="I166" s="286">
        <v>0.12672</v>
      </c>
      <c r="J166" s="286">
        <v>0</v>
      </c>
      <c r="K166" s="286">
        <v>0</v>
      </c>
      <c r="L166" s="286">
        <v>0</v>
      </c>
      <c r="M166" s="286">
        <v>0</v>
      </c>
      <c r="N166" s="286">
        <v>0</v>
      </c>
      <c r="O166" s="286">
        <v>0</v>
      </c>
      <c r="P166" s="286">
        <v>0</v>
      </c>
      <c r="Q166" s="286">
        <f t="shared" ref="Q166:Q180" si="24">F166+E166+G166+H166+I166+J166+K166+L166+M166+N166+O166+P166</f>
        <v>0.47611</v>
      </c>
      <c r="R166" s="258"/>
    </row>
    <row r="167" outlineLevel="3" spans="1:18">
      <c r="A167" s="269" t="s">
        <v>53</v>
      </c>
      <c r="B167" s="284">
        <v>6666021200</v>
      </c>
      <c r="C167" s="267" t="s">
        <v>94</v>
      </c>
      <c r="E167" s="285"/>
      <c r="F167" s="286">
        <f>2299.17/1000</f>
        <v>2.29917</v>
      </c>
      <c r="G167" s="286">
        <v>2.29916</v>
      </c>
      <c r="H167" s="286">
        <v>2.17001</v>
      </c>
      <c r="I167" s="286">
        <v>-2.12676</v>
      </c>
      <c r="J167" s="286">
        <v>0</v>
      </c>
      <c r="K167" s="286">
        <v>0</v>
      </c>
      <c r="L167" s="286">
        <v>0</v>
      </c>
      <c r="M167" s="286">
        <v>0</v>
      </c>
      <c r="N167" s="286">
        <v>0</v>
      </c>
      <c r="O167" s="286">
        <v>0</v>
      </c>
      <c r="P167" s="286">
        <v>0</v>
      </c>
      <c r="Q167" s="286">
        <f t="shared" si="24"/>
        <v>4.64158</v>
      </c>
      <c r="R167" s="258"/>
    </row>
    <row r="168" outlineLevel="3" spans="1:18">
      <c r="A168" s="269" t="s">
        <v>53</v>
      </c>
      <c r="B168" s="284">
        <v>6666021300</v>
      </c>
      <c r="C168" t="s">
        <v>167</v>
      </c>
      <c r="E168" s="285">
        <v>0.69095</v>
      </c>
      <c r="F168" s="286">
        <v>0.1032</v>
      </c>
      <c r="G168" s="286">
        <v>0.11222</v>
      </c>
      <c r="H168" s="286">
        <v>0.30617</v>
      </c>
      <c r="I168" s="286">
        <v>0.87178</v>
      </c>
      <c r="J168" s="286">
        <v>0</v>
      </c>
      <c r="K168" s="286">
        <v>0</v>
      </c>
      <c r="L168" s="286">
        <v>0</v>
      </c>
      <c r="M168" s="286">
        <v>0</v>
      </c>
      <c r="N168" s="286">
        <v>0</v>
      </c>
      <c r="O168" s="286">
        <v>0</v>
      </c>
      <c r="P168" s="286">
        <v>0</v>
      </c>
      <c r="Q168" s="286">
        <f t="shared" si="24"/>
        <v>2.08432</v>
      </c>
      <c r="R168" s="258"/>
    </row>
    <row r="169" outlineLevel="3" spans="1:18">
      <c r="A169" s="269" t="s">
        <v>53</v>
      </c>
      <c r="B169" s="284">
        <v>6666021902</v>
      </c>
      <c r="C169" t="s">
        <v>95</v>
      </c>
      <c r="E169" s="285">
        <v>0.07785</v>
      </c>
      <c r="F169" s="286">
        <v>-0.07785</v>
      </c>
      <c r="G169" s="286">
        <v>0</v>
      </c>
      <c r="H169" s="286">
        <v>-3e-5</v>
      </c>
      <c r="I169" s="286">
        <v>0.00998</v>
      </c>
      <c r="J169" s="286">
        <v>0</v>
      </c>
      <c r="K169" s="286">
        <v>0</v>
      </c>
      <c r="L169" s="286">
        <v>0</v>
      </c>
      <c r="M169" s="286">
        <v>0</v>
      </c>
      <c r="N169" s="286">
        <v>0</v>
      </c>
      <c r="O169" s="286">
        <v>0</v>
      </c>
      <c r="P169" s="286">
        <v>0</v>
      </c>
      <c r="Q169" s="286">
        <f t="shared" si="24"/>
        <v>0.00995</v>
      </c>
      <c r="R169" s="258"/>
    </row>
    <row r="170" outlineLevel="3" spans="1:18">
      <c r="A170" s="269" t="s">
        <v>53</v>
      </c>
      <c r="B170" s="284">
        <v>6666022100</v>
      </c>
      <c r="C170" t="s">
        <v>96</v>
      </c>
      <c r="E170" s="285">
        <v>0.07116</v>
      </c>
      <c r="F170" s="286">
        <v>-0.07116</v>
      </c>
      <c r="G170" s="286">
        <v>0</v>
      </c>
      <c r="H170" s="286">
        <v>0</v>
      </c>
      <c r="I170" s="286">
        <v>0</v>
      </c>
      <c r="J170" s="286">
        <v>0</v>
      </c>
      <c r="K170" s="286">
        <v>0</v>
      </c>
      <c r="L170" s="286">
        <v>0</v>
      </c>
      <c r="M170" s="286">
        <v>0</v>
      </c>
      <c r="N170" s="286">
        <v>0</v>
      </c>
      <c r="O170" s="286">
        <v>0</v>
      </c>
      <c r="P170" s="286">
        <v>0</v>
      </c>
      <c r="Q170" s="286">
        <f t="shared" si="24"/>
        <v>0</v>
      </c>
      <c r="R170" s="258"/>
    </row>
    <row r="171" spans="1:18">
      <c r="A171" s="269" t="s">
        <v>32</v>
      </c>
      <c r="B171" s="284">
        <v>6666022300</v>
      </c>
      <c r="C171" t="s">
        <v>97</v>
      </c>
      <c r="E171" s="285">
        <v>4.66974</v>
      </c>
      <c r="F171" s="286">
        <v>2.29624</v>
      </c>
      <c r="G171" s="286">
        <v>6.75632</v>
      </c>
      <c r="H171" s="286">
        <v>10.38653</v>
      </c>
      <c r="I171" s="286">
        <v>12.73537</v>
      </c>
      <c r="J171" s="286">
        <v>3.62439746173608</v>
      </c>
      <c r="K171" s="286">
        <v>3.52490457198359</v>
      </c>
      <c r="L171" s="286">
        <v>3.39571585556843</v>
      </c>
      <c r="M171" s="286">
        <v>3.83202782033832</v>
      </c>
      <c r="N171" s="286">
        <v>4.18631373321675</v>
      </c>
      <c r="O171" s="286">
        <v>4.06143992125138</v>
      </c>
      <c r="P171" s="286">
        <v>4.46991983528095</v>
      </c>
      <c r="Q171" s="286">
        <f t="shared" si="24"/>
        <v>63.9389191993755</v>
      </c>
      <c r="R171" s="258"/>
    </row>
    <row r="172" spans="1:18">
      <c r="A172" s="269" t="s">
        <v>53</v>
      </c>
      <c r="B172" s="284">
        <v>6666029900</v>
      </c>
      <c r="C172" t="s">
        <v>99</v>
      </c>
      <c r="E172" s="285">
        <v>0.00448</v>
      </c>
      <c r="F172" s="286">
        <v>0.01672</v>
      </c>
      <c r="G172" s="286">
        <v>0.09271</v>
      </c>
      <c r="H172" s="286">
        <v>0.18492</v>
      </c>
      <c r="I172" s="286">
        <v>0.01342</v>
      </c>
      <c r="J172" s="286">
        <v>0</v>
      </c>
      <c r="K172" s="286">
        <v>0</v>
      </c>
      <c r="L172" s="286">
        <v>0</v>
      </c>
      <c r="M172" s="286">
        <v>0</v>
      </c>
      <c r="N172" s="286">
        <v>0</v>
      </c>
      <c r="O172" s="286">
        <v>0</v>
      </c>
      <c r="P172" s="286">
        <v>0</v>
      </c>
      <c r="Q172" s="286">
        <f t="shared" si="24"/>
        <v>0.31225</v>
      </c>
      <c r="R172" s="258"/>
    </row>
    <row r="173" spans="1:18">
      <c r="A173" s="269" t="s">
        <v>53</v>
      </c>
      <c r="B173" s="284">
        <v>6666029997</v>
      </c>
      <c r="C173" t="s">
        <v>101</v>
      </c>
      <c r="E173" s="285">
        <v>0</v>
      </c>
      <c r="F173" s="286">
        <v>2.60498</v>
      </c>
      <c r="G173" s="286">
        <v>-1.338</v>
      </c>
      <c r="H173" s="286">
        <v>0</v>
      </c>
      <c r="I173" s="286">
        <v>0</v>
      </c>
      <c r="J173" s="286">
        <v>0</v>
      </c>
      <c r="K173" s="286">
        <v>0</v>
      </c>
      <c r="L173" s="286">
        <v>0</v>
      </c>
      <c r="M173" s="286">
        <v>0</v>
      </c>
      <c r="N173" s="286">
        <v>0</v>
      </c>
      <c r="O173" s="286">
        <v>0</v>
      </c>
      <c r="P173" s="286">
        <v>0</v>
      </c>
      <c r="Q173" s="286">
        <f t="shared" si="24"/>
        <v>1.26698</v>
      </c>
      <c r="R173" s="258"/>
    </row>
    <row r="174" spans="1:18">
      <c r="A174" s="269" t="s">
        <v>53</v>
      </c>
      <c r="B174" s="284">
        <v>6666031100</v>
      </c>
      <c r="C174" s="3" t="s">
        <v>168</v>
      </c>
      <c r="E174" s="285">
        <v>0</v>
      </c>
      <c r="F174" s="286">
        <v>0</v>
      </c>
      <c r="G174" s="286">
        <v>0</v>
      </c>
      <c r="H174" s="286">
        <v>0</v>
      </c>
      <c r="I174" s="286">
        <v>0</v>
      </c>
      <c r="J174" s="286">
        <v>0</v>
      </c>
      <c r="K174" s="286">
        <v>0</v>
      </c>
      <c r="L174" s="286">
        <v>0</v>
      </c>
      <c r="M174" s="286">
        <v>0</v>
      </c>
      <c r="N174" s="286">
        <v>0</v>
      </c>
      <c r="O174" s="286">
        <v>0</v>
      </c>
      <c r="P174" s="286">
        <v>0</v>
      </c>
      <c r="Q174" s="286">
        <f t="shared" si="24"/>
        <v>0</v>
      </c>
      <c r="R174" s="258"/>
    </row>
    <row r="175" spans="1:18">
      <c r="A175" s="269" t="s">
        <v>53</v>
      </c>
      <c r="B175" s="284">
        <v>6666050107</v>
      </c>
      <c r="C175" t="s">
        <v>104</v>
      </c>
      <c r="E175" s="285">
        <v>0</v>
      </c>
      <c r="F175" s="286">
        <v>0</v>
      </c>
      <c r="G175" s="286">
        <v>0</v>
      </c>
      <c r="H175" s="286">
        <v>0</v>
      </c>
      <c r="I175" s="286">
        <v>0</v>
      </c>
      <c r="J175" s="286">
        <v>0</v>
      </c>
      <c r="K175" s="286">
        <v>0</v>
      </c>
      <c r="L175" s="286">
        <v>0</v>
      </c>
      <c r="M175" s="286">
        <v>0</v>
      </c>
      <c r="N175" s="286">
        <v>0</v>
      </c>
      <c r="O175" s="286">
        <v>0</v>
      </c>
      <c r="P175" s="286">
        <v>0</v>
      </c>
      <c r="Q175" s="286">
        <f t="shared" si="24"/>
        <v>0</v>
      </c>
      <c r="R175" s="258"/>
    </row>
    <row r="176" spans="1:18">
      <c r="A176" s="269" t="s">
        <v>53</v>
      </c>
      <c r="B176" s="284">
        <v>6666070400</v>
      </c>
      <c r="C176" s="3" t="s">
        <v>108</v>
      </c>
      <c r="E176" s="285">
        <v>0</v>
      </c>
      <c r="F176" s="286">
        <v>0.05372</v>
      </c>
      <c r="G176" s="286">
        <v>0.05474</v>
      </c>
      <c r="H176" s="286">
        <v>0.05401</v>
      </c>
      <c r="I176" s="286">
        <v>0.05491</v>
      </c>
      <c r="J176" s="286">
        <v>0</v>
      </c>
      <c r="K176" s="286">
        <v>0</v>
      </c>
      <c r="L176" s="286">
        <v>0</v>
      </c>
      <c r="M176" s="286">
        <v>0</v>
      </c>
      <c r="N176" s="286">
        <v>0</v>
      </c>
      <c r="O176" s="286">
        <v>0</v>
      </c>
      <c r="P176" s="286">
        <v>0</v>
      </c>
      <c r="Q176" s="286">
        <f t="shared" si="24"/>
        <v>0.21738</v>
      </c>
      <c r="R176" s="258"/>
    </row>
    <row r="177" spans="1:18">
      <c r="A177" s="269" t="s">
        <v>53</v>
      </c>
      <c r="B177" s="284">
        <v>6666079999</v>
      </c>
      <c r="C177" t="s">
        <v>169</v>
      </c>
      <c r="E177" s="285">
        <v>88.89034</v>
      </c>
      <c r="F177" s="286">
        <v>89.41512</v>
      </c>
      <c r="G177" s="286">
        <v>89.41512</v>
      </c>
      <c r="H177" s="286">
        <v>89.41512</v>
      </c>
      <c r="I177" s="286">
        <v>89.41512</v>
      </c>
      <c r="J177" s="286">
        <v>90.6972223680049</v>
      </c>
      <c r="K177" s="286">
        <v>90.6972223680049</v>
      </c>
      <c r="L177" s="286">
        <v>90.6972223680049</v>
      </c>
      <c r="M177" s="286">
        <v>90.6972223680049</v>
      </c>
      <c r="N177" s="286">
        <v>90.6972223680049</v>
      </c>
      <c r="O177" s="286">
        <v>90.6972223680049</v>
      </c>
      <c r="P177" s="286">
        <v>90.6972223680049</v>
      </c>
      <c r="Q177" s="286">
        <f t="shared" si="24"/>
        <v>1081.43137657603</v>
      </c>
      <c r="R177" s="258"/>
    </row>
    <row r="178" spans="1:18">
      <c r="A178" s="269" t="s">
        <v>53</v>
      </c>
      <c r="B178" s="284">
        <v>6666090100</v>
      </c>
      <c r="C178" t="s">
        <v>170</v>
      </c>
      <c r="E178" s="285">
        <v>0</v>
      </c>
      <c r="F178" s="286">
        <v>0</v>
      </c>
      <c r="G178" s="286">
        <v>0</v>
      </c>
      <c r="H178" s="286">
        <v>0</v>
      </c>
      <c r="I178" s="286">
        <v>0</v>
      </c>
      <c r="J178" s="286">
        <v>0</v>
      </c>
      <c r="K178" s="286">
        <v>0</v>
      </c>
      <c r="L178" s="286">
        <v>0</v>
      </c>
      <c r="M178" s="286">
        <v>0</v>
      </c>
      <c r="N178" s="286">
        <v>0</v>
      </c>
      <c r="O178" s="286">
        <v>0</v>
      </c>
      <c r="P178" s="286">
        <v>0</v>
      </c>
      <c r="Q178" s="286">
        <f t="shared" si="24"/>
        <v>0</v>
      </c>
      <c r="R178" s="258"/>
    </row>
    <row r="179" spans="1:18">
      <c r="A179" s="269" t="s">
        <v>53</v>
      </c>
      <c r="B179" s="284">
        <v>6666093800</v>
      </c>
      <c r="C179" t="s">
        <v>171</v>
      </c>
      <c r="E179" s="285">
        <v>0.13339</v>
      </c>
      <c r="F179" s="286">
        <v>0.07572</v>
      </c>
      <c r="G179" s="286">
        <v>0.9946</v>
      </c>
      <c r="H179" s="286">
        <v>0.0572</v>
      </c>
      <c r="I179" s="286">
        <v>0.02905</v>
      </c>
      <c r="J179" s="286">
        <v>0</v>
      </c>
      <c r="K179" s="286">
        <v>0</v>
      </c>
      <c r="L179" s="286">
        <v>0</v>
      </c>
      <c r="M179" s="286">
        <v>0</v>
      </c>
      <c r="N179" s="286">
        <v>0</v>
      </c>
      <c r="O179" s="286">
        <v>0</v>
      </c>
      <c r="P179" s="286">
        <v>0</v>
      </c>
      <c r="Q179" s="286">
        <f t="shared" si="24"/>
        <v>1.28996</v>
      </c>
      <c r="R179" s="258"/>
    </row>
    <row r="180" spans="1:18">
      <c r="A180" s="269" t="s">
        <v>53</v>
      </c>
      <c r="B180" s="284">
        <v>5401050201</v>
      </c>
      <c r="C180" s="121" t="s">
        <v>172</v>
      </c>
      <c r="E180" s="285">
        <v>0</v>
      </c>
      <c r="F180" s="286">
        <v>0</v>
      </c>
      <c r="G180" s="286">
        <v>0</v>
      </c>
      <c r="H180" s="286">
        <v>0</v>
      </c>
      <c r="I180" s="286">
        <v>0</v>
      </c>
      <c r="J180" s="286">
        <v>0</v>
      </c>
      <c r="K180" s="286">
        <v>0</v>
      </c>
      <c r="L180" s="286">
        <v>0</v>
      </c>
      <c r="M180" s="286">
        <v>0</v>
      </c>
      <c r="N180" s="286">
        <v>0</v>
      </c>
      <c r="O180" s="286">
        <v>0</v>
      </c>
      <c r="P180" s="286">
        <v>0</v>
      </c>
      <c r="Q180" s="286">
        <f t="shared" si="24"/>
        <v>0</v>
      </c>
      <c r="R180" s="258"/>
    </row>
    <row r="181" spans="1:18">
      <c r="A181" s="269"/>
      <c r="B181" s="149" t="s">
        <v>173</v>
      </c>
      <c r="C181" s="149" t="s">
        <v>60</v>
      </c>
      <c r="D181" s="150"/>
      <c r="E181" s="288">
        <f>SUM(E142:E180)</f>
        <v>188.7641</v>
      </c>
      <c r="F181" s="288">
        <f>SUM(F142:F180)</f>
        <v>134.78424</v>
      </c>
      <c r="G181" s="288">
        <f>SUM(G142:G180)</f>
        <v>150.23686</v>
      </c>
      <c r="H181" s="288">
        <f>SUM(H142:H179)</f>
        <v>109.62508</v>
      </c>
      <c r="I181" s="288">
        <f>SUM(I142:I179)</f>
        <v>253.0514</v>
      </c>
      <c r="J181" s="288">
        <f t="shared" ref="J181:P181" si="25">SUM(J142:J179)</f>
        <v>192.358553226093</v>
      </c>
      <c r="K181" s="288">
        <f t="shared" si="25"/>
        <v>189.476661909228</v>
      </c>
      <c r="L181" s="288">
        <f t="shared" si="25"/>
        <v>188.698911850754</v>
      </c>
      <c r="M181" s="288">
        <f t="shared" si="25"/>
        <v>195.743717508121</v>
      </c>
      <c r="N181" s="288">
        <f t="shared" si="25"/>
        <v>189.973910139021</v>
      </c>
      <c r="O181" s="288">
        <f t="shared" si="25"/>
        <v>189.529511212318</v>
      </c>
      <c r="P181" s="288">
        <f t="shared" si="25"/>
        <v>178.055019699832</v>
      </c>
      <c r="Q181" s="288">
        <f>SUM(Q142:Q180)</f>
        <v>2153.86383554537</v>
      </c>
      <c r="R181" s="289"/>
    </row>
    <row r="182" outlineLevel="1" spans="1:18">
      <c r="A182" s="269" t="s">
        <v>53</v>
      </c>
      <c r="B182" s="284">
        <v>5102040000</v>
      </c>
      <c r="C182" t="s">
        <v>113</v>
      </c>
      <c r="E182" s="285">
        <v>-0.05709</v>
      </c>
      <c r="F182" s="286">
        <v>-2.08704</v>
      </c>
      <c r="G182" s="286">
        <v>-0.15418</v>
      </c>
      <c r="H182" s="286">
        <v>0.00637</v>
      </c>
      <c r="I182" s="286">
        <v>-0.14437</v>
      </c>
      <c r="J182" s="286">
        <v>0</v>
      </c>
      <c r="K182" s="286">
        <v>0</v>
      </c>
      <c r="L182" s="286">
        <v>0</v>
      </c>
      <c r="M182" s="286">
        <v>0</v>
      </c>
      <c r="N182" s="286">
        <v>0</v>
      </c>
      <c r="O182" s="286">
        <v>0</v>
      </c>
      <c r="P182" s="286">
        <v>0</v>
      </c>
      <c r="Q182" s="286">
        <f>F182+E182+G182+H182+I182+J182+K182+L182+M182+N182+O182+P182</f>
        <v>-2.43631</v>
      </c>
      <c r="R182" s="258"/>
    </row>
    <row r="183" spans="1:18">
      <c r="A183" s="269"/>
      <c r="B183" s="149" t="s">
        <v>174</v>
      </c>
      <c r="C183" s="149" t="s">
        <v>112</v>
      </c>
      <c r="D183" s="150"/>
      <c r="E183" s="288">
        <f>+E182</f>
        <v>-0.05709</v>
      </c>
      <c r="F183" s="288">
        <f>+F182</f>
        <v>-2.08704</v>
      </c>
      <c r="G183" s="288">
        <f>+G182</f>
        <v>-0.15418</v>
      </c>
      <c r="H183" s="288">
        <f>+H182</f>
        <v>0.00637</v>
      </c>
      <c r="I183" s="288">
        <f>+I182</f>
        <v>-0.14437</v>
      </c>
      <c r="J183" s="288">
        <f t="shared" ref="J183:Q183" si="26">+J182</f>
        <v>0</v>
      </c>
      <c r="K183" s="288">
        <f t="shared" si="26"/>
        <v>0</v>
      </c>
      <c r="L183" s="288">
        <f t="shared" si="26"/>
        <v>0</v>
      </c>
      <c r="M183" s="288">
        <f t="shared" si="26"/>
        <v>0</v>
      </c>
      <c r="N183" s="288">
        <f t="shared" si="26"/>
        <v>0</v>
      </c>
      <c r="O183" s="288">
        <f t="shared" si="26"/>
        <v>0</v>
      </c>
      <c r="P183" s="288">
        <f t="shared" si="26"/>
        <v>0</v>
      </c>
      <c r="Q183" s="288">
        <f t="shared" si="26"/>
        <v>-2.43631</v>
      </c>
      <c r="R183" s="289"/>
    </row>
    <row r="184" spans="1:18">
      <c r="A184" s="269" t="s">
        <v>53</v>
      </c>
      <c r="B184" s="284">
        <v>6666021602</v>
      </c>
      <c r="C184" s="266" t="s">
        <v>120</v>
      </c>
      <c r="D184" s="120"/>
      <c r="E184" s="291"/>
      <c r="F184" s="293">
        <f>4.7/1000</f>
        <v>0.0047</v>
      </c>
      <c r="G184" s="293">
        <f>9.65/1000</f>
        <v>0.00965</v>
      </c>
      <c r="H184" s="293">
        <v>0.03617</v>
      </c>
      <c r="I184" s="293">
        <v>0.01503</v>
      </c>
      <c r="J184" s="293">
        <v>0</v>
      </c>
      <c r="K184" s="293">
        <v>0</v>
      </c>
      <c r="L184" s="293">
        <v>0</v>
      </c>
      <c r="M184" s="293">
        <v>0</v>
      </c>
      <c r="N184" s="293">
        <v>0</v>
      </c>
      <c r="O184" s="293">
        <v>0</v>
      </c>
      <c r="P184" s="293">
        <v>0</v>
      </c>
      <c r="Q184" s="286">
        <f>F184+E184+G184+H184+I184+J184+K184+L184+M184+N184+O184+P184</f>
        <v>0.06555</v>
      </c>
      <c r="R184" s="258"/>
    </row>
    <row r="185" spans="1:18">
      <c r="A185" s="269" t="s">
        <v>53</v>
      </c>
      <c r="B185" s="149" t="s">
        <v>175</v>
      </c>
      <c r="C185" s="149" t="s">
        <v>121</v>
      </c>
      <c r="D185" s="150"/>
      <c r="E185" s="288">
        <f>+E184</f>
        <v>0</v>
      </c>
      <c r="F185" s="288">
        <f>+F184</f>
        <v>0.0047</v>
      </c>
      <c r="G185" s="288">
        <f>+G184</f>
        <v>0.00965</v>
      </c>
      <c r="H185" s="288">
        <f>+H184</f>
        <v>0.03617</v>
      </c>
      <c r="I185" s="288">
        <f>+I184</f>
        <v>0.01503</v>
      </c>
      <c r="J185" s="288">
        <f t="shared" ref="J185:Q185" si="27">+J184</f>
        <v>0</v>
      </c>
      <c r="K185" s="288">
        <f t="shared" si="27"/>
        <v>0</v>
      </c>
      <c r="L185" s="288">
        <f t="shared" si="27"/>
        <v>0</v>
      </c>
      <c r="M185" s="288">
        <f t="shared" si="27"/>
        <v>0</v>
      </c>
      <c r="N185" s="288">
        <f t="shared" si="27"/>
        <v>0</v>
      </c>
      <c r="O185" s="288">
        <f t="shared" si="27"/>
        <v>0</v>
      </c>
      <c r="P185" s="288">
        <f t="shared" si="27"/>
        <v>0</v>
      </c>
      <c r="Q185" s="288">
        <f t="shared" si="27"/>
        <v>0.06555</v>
      </c>
      <c r="R185" s="289"/>
    </row>
    <row r="186" outlineLevel="1" spans="1:18">
      <c r="A186" s="269" t="s">
        <v>53</v>
      </c>
      <c r="B186" s="284">
        <v>6666021600</v>
      </c>
      <c r="C186" t="s">
        <v>123</v>
      </c>
      <c r="E186" s="285">
        <v>-0.046</v>
      </c>
      <c r="F186" s="286">
        <v>1.92021</v>
      </c>
      <c r="G186" s="286">
        <v>1.62521</v>
      </c>
      <c r="H186" s="286">
        <v>1.59456</v>
      </c>
      <c r="I186" s="286">
        <v>0.36958</v>
      </c>
      <c r="J186" s="286">
        <v>0</v>
      </c>
      <c r="K186" s="286">
        <v>0</v>
      </c>
      <c r="L186" s="286">
        <v>0</v>
      </c>
      <c r="M186" s="286">
        <v>0</v>
      </c>
      <c r="N186" s="286">
        <v>0</v>
      </c>
      <c r="O186" s="286">
        <v>0</v>
      </c>
      <c r="P186" s="286">
        <v>0</v>
      </c>
      <c r="Q186" s="286">
        <f>F186+E186+G186+H186+I186+J186+K186+L186+M186+N186+O186+P186</f>
        <v>5.46356</v>
      </c>
      <c r="R186" s="258"/>
    </row>
    <row r="187" outlineLevel="1" spans="1:18">
      <c r="A187" s="269" t="s">
        <v>53</v>
      </c>
      <c r="B187" s="284">
        <v>6666021604</v>
      </c>
      <c r="C187" t="s">
        <v>126</v>
      </c>
      <c r="E187" s="285">
        <v>0.00133</v>
      </c>
      <c r="F187" s="286">
        <v>0.3966</v>
      </c>
      <c r="G187" s="286">
        <v>0.25142</v>
      </c>
      <c r="H187" s="286">
        <v>0.13257</v>
      </c>
      <c r="I187" s="286">
        <v>-0.1332</v>
      </c>
      <c r="J187" s="286">
        <v>0</v>
      </c>
      <c r="K187" s="286">
        <v>0</v>
      </c>
      <c r="L187" s="286">
        <v>0</v>
      </c>
      <c r="M187" s="286">
        <v>0</v>
      </c>
      <c r="N187" s="286">
        <v>0</v>
      </c>
      <c r="O187" s="286">
        <v>0</v>
      </c>
      <c r="P187" s="286">
        <v>0</v>
      </c>
      <c r="Q187" s="286">
        <f>F187+E187+G187+H187+I187+J187+K187+L187+M187+N187+O187+P187</f>
        <v>0.64872</v>
      </c>
      <c r="R187" s="258"/>
    </row>
    <row r="188" spans="1:18">
      <c r="A188" s="269"/>
      <c r="B188" s="149" t="s">
        <v>174</v>
      </c>
      <c r="C188" s="149" t="s">
        <v>124</v>
      </c>
      <c r="D188" s="150"/>
      <c r="E188" s="288">
        <f>SUM(E186:E187)</f>
        <v>-0.04467</v>
      </c>
      <c r="F188" s="288">
        <f>+F186+F187</f>
        <v>2.31681</v>
      </c>
      <c r="G188" s="288">
        <f>SUM(G186:G187)</f>
        <v>1.87663</v>
      </c>
      <c r="H188" s="288">
        <f>+H186</f>
        <v>1.59456</v>
      </c>
      <c r="I188" s="288">
        <f>+I186</f>
        <v>0.36958</v>
      </c>
      <c r="J188" s="288">
        <f t="shared" ref="J188:P188" si="28">+J186</f>
        <v>0</v>
      </c>
      <c r="K188" s="288">
        <f t="shared" si="28"/>
        <v>0</v>
      </c>
      <c r="L188" s="288">
        <f t="shared" si="28"/>
        <v>0</v>
      </c>
      <c r="M188" s="288">
        <f t="shared" si="28"/>
        <v>0</v>
      </c>
      <c r="N188" s="288">
        <f t="shared" si="28"/>
        <v>0</v>
      </c>
      <c r="O188" s="288">
        <f t="shared" si="28"/>
        <v>0</v>
      </c>
      <c r="P188" s="288">
        <f t="shared" si="28"/>
        <v>0</v>
      </c>
      <c r="Q188" s="288">
        <f>+SUM(Q186:Q187)</f>
        <v>6.11228</v>
      </c>
      <c r="R188" s="289"/>
    </row>
    <row r="189" outlineLevel="2" spans="1:18">
      <c r="A189" s="269" t="s">
        <v>53</v>
      </c>
      <c r="B189" s="284">
        <v>6666010012</v>
      </c>
      <c r="C189" t="s">
        <v>132</v>
      </c>
      <c r="E189" s="285">
        <v>0</v>
      </c>
      <c r="F189" s="286">
        <v>-0.00023</v>
      </c>
      <c r="G189" s="286">
        <v>-0.00335</v>
      </c>
      <c r="H189" s="286">
        <v>0</v>
      </c>
      <c r="I189" s="286">
        <v>0</v>
      </c>
      <c r="J189" s="286">
        <v>0</v>
      </c>
      <c r="K189" s="286">
        <v>0</v>
      </c>
      <c r="L189" s="286">
        <v>0</v>
      </c>
      <c r="M189" s="286">
        <v>0</v>
      </c>
      <c r="N189" s="286">
        <v>0</v>
      </c>
      <c r="O189" s="286">
        <v>0</v>
      </c>
      <c r="P189" s="286">
        <v>0</v>
      </c>
      <c r="Q189" s="286">
        <f>F189+E189+G189+H189+I189+J189+K189+L189+M189+N189+O189+P189</f>
        <v>-0.00358</v>
      </c>
      <c r="R189" s="258"/>
    </row>
    <row r="190" outlineLevel="2" spans="1:18">
      <c r="A190" s="269" t="s">
        <v>53</v>
      </c>
      <c r="B190" s="284">
        <v>6666010102</v>
      </c>
      <c r="C190" t="s">
        <v>176</v>
      </c>
      <c r="E190" s="285">
        <v>0.05037</v>
      </c>
      <c r="F190" s="286">
        <v>0.04275</v>
      </c>
      <c r="G190" s="286">
        <v>0.00801</v>
      </c>
      <c r="H190" s="286">
        <v>0.04778</v>
      </c>
      <c r="I190" s="286">
        <v>0.04886</v>
      </c>
      <c r="J190" s="286">
        <v>0</v>
      </c>
      <c r="K190" s="286">
        <v>0</v>
      </c>
      <c r="L190" s="286">
        <v>0</v>
      </c>
      <c r="M190" s="286">
        <v>0</v>
      </c>
      <c r="N190" s="286">
        <v>0</v>
      </c>
      <c r="O190" s="286">
        <v>0</v>
      </c>
      <c r="P190" s="286">
        <v>0</v>
      </c>
      <c r="Q190" s="286">
        <f>F190+E190+G190+H190+I190+J190+K190+L190+M190+N190+O190+P190</f>
        <v>0.19777</v>
      </c>
      <c r="R190" s="258"/>
    </row>
    <row r="191" spans="1:18">
      <c r="A191" s="269"/>
      <c r="B191" s="149" t="s">
        <v>177</v>
      </c>
      <c r="C191" s="149" t="s">
        <v>128</v>
      </c>
      <c r="D191" s="150"/>
      <c r="E191" s="288">
        <f>SUM(E189:E190)</f>
        <v>0.05037</v>
      </c>
      <c r="F191" s="288">
        <f>SUM(F189:F190)</f>
        <v>0.04252</v>
      </c>
      <c r="G191" s="288">
        <f>SUM(G189:G190)</f>
        <v>0.00466</v>
      </c>
      <c r="H191" s="288">
        <f>SUM(H189:H190)</f>
        <v>0.04778</v>
      </c>
      <c r="I191" s="288">
        <f>SUM(I189:I190)</f>
        <v>0.04886</v>
      </c>
      <c r="J191" s="288">
        <f t="shared" ref="J191:P191" si="29">SUM(J189:J190)</f>
        <v>0</v>
      </c>
      <c r="K191" s="288">
        <f t="shared" si="29"/>
        <v>0</v>
      </c>
      <c r="L191" s="288">
        <f t="shared" si="29"/>
        <v>0</v>
      </c>
      <c r="M191" s="288">
        <f t="shared" si="29"/>
        <v>0</v>
      </c>
      <c r="N191" s="288">
        <f t="shared" si="29"/>
        <v>0</v>
      </c>
      <c r="O191" s="288">
        <f t="shared" si="29"/>
        <v>0</v>
      </c>
      <c r="P191" s="288">
        <f t="shared" si="29"/>
        <v>0</v>
      </c>
      <c r="Q191" s="288">
        <f>+SUM(Q189:Q190)</f>
        <v>0.19419</v>
      </c>
      <c r="R191" s="289"/>
    </row>
    <row r="192" outlineLevel="2" spans="1:18">
      <c r="A192" s="269" t="s">
        <v>53</v>
      </c>
      <c r="B192" s="284">
        <v>6666010196</v>
      </c>
      <c r="C192" t="s">
        <v>136</v>
      </c>
      <c r="E192" s="285">
        <v>2.81961</v>
      </c>
      <c r="F192" s="286">
        <v>2.05664</v>
      </c>
      <c r="G192" s="286">
        <v>2.88853</v>
      </c>
      <c r="H192" s="286">
        <v>2.8718</v>
      </c>
      <c r="I192" s="286">
        <v>2.71721</v>
      </c>
      <c r="J192" s="286">
        <v>0</v>
      </c>
      <c r="K192" s="286">
        <v>0</v>
      </c>
      <c r="L192" s="286">
        <v>0</v>
      </c>
      <c r="M192" s="286">
        <v>0</v>
      </c>
      <c r="N192" s="286">
        <v>0</v>
      </c>
      <c r="O192" s="286">
        <v>0</v>
      </c>
      <c r="P192" s="286">
        <v>0</v>
      </c>
      <c r="Q192" s="286">
        <f t="shared" ref="Q192:Q197" si="30">F192+E192+G192+H192+I192+J192+K192+L192+M192+N192+O192+P192</f>
        <v>13.35379</v>
      </c>
      <c r="R192" s="258"/>
    </row>
    <row r="193" outlineLevel="2" spans="1:18">
      <c r="A193" s="269" t="s">
        <v>53</v>
      </c>
      <c r="B193" s="284">
        <v>6666010101</v>
      </c>
      <c r="C193" t="s">
        <v>138</v>
      </c>
      <c r="E193" s="285">
        <v>15.7327</v>
      </c>
      <c r="F193" s="286">
        <v>43.36412</v>
      </c>
      <c r="G193" s="286">
        <v>16.51439</v>
      </c>
      <c r="H193" s="286">
        <v>33.7446</v>
      </c>
      <c r="I193" s="286">
        <v>16.38014</v>
      </c>
      <c r="J193" s="286">
        <v>0</v>
      </c>
      <c r="K193" s="286">
        <v>0</v>
      </c>
      <c r="L193" s="286">
        <v>0</v>
      </c>
      <c r="M193" s="286">
        <v>0</v>
      </c>
      <c r="N193" s="286">
        <v>0</v>
      </c>
      <c r="O193" s="286">
        <v>0</v>
      </c>
      <c r="P193" s="286">
        <v>0</v>
      </c>
      <c r="Q193" s="286">
        <f t="shared" si="30"/>
        <v>125.73595</v>
      </c>
      <c r="R193" s="258"/>
    </row>
    <row r="194" outlineLevel="2" spans="1:18">
      <c r="A194" s="269" t="s">
        <v>53</v>
      </c>
      <c r="B194" s="284">
        <v>6666010199</v>
      </c>
      <c r="C194" t="s">
        <v>139</v>
      </c>
      <c r="E194" s="285">
        <v>3.96245</v>
      </c>
      <c r="F194" s="286">
        <v>-26.06165</v>
      </c>
      <c r="G194" s="286">
        <v>2.86165</v>
      </c>
      <c r="H194" s="286">
        <v>24.22906</v>
      </c>
      <c r="I194" s="286">
        <v>-1.1733</v>
      </c>
      <c r="J194" s="286">
        <v>0</v>
      </c>
      <c r="K194" s="286">
        <v>0</v>
      </c>
      <c r="L194" s="286">
        <v>0</v>
      </c>
      <c r="M194" s="286">
        <v>0</v>
      </c>
      <c r="N194" s="286">
        <v>0</v>
      </c>
      <c r="O194" s="286">
        <v>0</v>
      </c>
      <c r="P194" s="286">
        <v>0</v>
      </c>
      <c r="Q194" s="286">
        <f t="shared" si="30"/>
        <v>3.81821</v>
      </c>
      <c r="R194" s="258"/>
    </row>
    <row r="195" outlineLevel="2" spans="1:18">
      <c r="A195" s="269" t="s">
        <v>53</v>
      </c>
      <c r="B195" s="284">
        <v>6666010185</v>
      </c>
      <c r="C195" s="267" t="s">
        <v>140</v>
      </c>
      <c r="E195" s="285">
        <v>0</v>
      </c>
      <c r="F195" s="286">
        <f>-0.19/1000</f>
        <v>-0.00019</v>
      </c>
      <c r="G195" s="286">
        <v>0</v>
      </c>
      <c r="H195" s="286">
        <v>0</v>
      </c>
      <c r="I195" s="286">
        <v>-0.07717</v>
      </c>
      <c r="J195" s="286">
        <v>0</v>
      </c>
      <c r="K195" s="286">
        <v>0</v>
      </c>
      <c r="L195" s="286">
        <v>0</v>
      </c>
      <c r="M195" s="286">
        <v>0</v>
      </c>
      <c r="N195" s="286">
        <v>0</v>
      </c>
      <c r="O195" s="286">
        <v>0</v>
      </c>
      <c r="P195" s="286">
        <v>0</v>
      </c>
      <c r="Q195" s="286">
        <f t="shared" si="30"/>
        <v>-0.07736</v>
      </c>
      <c r="R195" s="258"/>
    </row>
    <row r="196" outlineLevel="2" spans="1:18">
      <c r="A196" s="269" t="s">
        <v>53</v>
      </c>
      <c r="B196" s="284">
        <v>6666010207</v>
      </c>
      <c r="C196" t="s">
        <v>141</v>
      </c>
      <c r="E196" s="285">
        <v>0.25683</v>
      </c>
      <c r="F196" s="286">
        <v>0.19285</v>
      </c>
      <c r="G196" s="286">
        <v>0.26811</v>
      </c>
      <c r="H196" s="286">
        <v>0.27033</v>
      </c>
      <c r="I196" s="286">
        <v>0.25015</v>
      </c>
      <c r="J196" s="286">
        <v>0</v>
      </c>
      <c r="K196" s="286">
        <v>0</v>
      </c>
      <c r="L196" s="286">
        <v>0</v>
      </c>
      <c r="M196" s="286">
        <v>0</v>
      </c>
      <c r="N196" s="286">
        <v>0</v>
      </c>
      <c r="O196" s="286">
        <v>0</v>
      </c>
      <c r="P196" s="286">
        <v>0</v>
      </c>
      <c r="Q196" s="286">
        <f t="shared" si="30"/>
        <v>1.23827</v>
      </c>
      <c r="R196" s="258"/>
    </row>
    <row r="197" outlineLevel="2" spans="1:18">
      <c r="A197" s="269" t="s">
        <v>53</v>
      </c>
      <c r="B197" s="284">
        <v>6666010227</v>
      </c>
      <c r="C197" t="s">
        <v>178</v>
      </c>
      <c r="E197" s="285">
        <v>0.25233</v>
      </c>
      <c r="F197" s="286">
        <v>0.20578</v>
      </c>
      <c r="G197" s="286">
        <v>0.22557</v>
      </c>
      <c r="H197" s="286">
        <v>0.236</v>
      </c>
      <c r="I197" s="286">
        <v>0.27252</v>
      </c>
      <c r="J197" s="286">
        <v>0</v>
      </c>
      <c r="K197" s="286">
        <v>0</v>
      </c>
      <c r="L197" s="286">
        <v>0</v>
      </c>
      <c r="M197" s="286">
        <v>0</v>
      </c>
      <c r="N197" s="286">
        <v>0</v>
      </c>
      <c r="O197" s="286">
        <v>0</v>
      </c>
      <c r="P197" s="286">
        <v>0</v>
      </c>
      <c r="Q197" s="286">
        <f t="shared" si="30"/>
        <v>1.1922</v>
      </c>
      <c r="R197" s="258"/>
    </row>
    <row r="198" spans="1:18">
      <c r="A198" s="269"/>
      <c r="B198" s="149" t="s">
        <v>179</v>
      </c>
      <c r="C198" s="149" t="s">
        <v>137</v>
      </c>
      <c r="D198" s="150"/>
      <c r="E198" s="288">
        <f>SUM(E192:E197)</f>
        <v>23.02392</v>
      </c>
      <c r="F198" s="288">
        <f>SUM(F192:F197)</f>
        <v>19.75755</v>
      </c>
      <c r="G198" s="288">
        <f>SUM(G192:G197)</f>
        <v>22.75825</v>
      </c>
      <c r="H198" s="288">
        <f>SUM(H192:H197)</f>
        <v>61.35179</v>
      </c>
      <c r="I198" s="288">
        <f>SUM(I192:I197)</f>
        <v>18.36955</v>
      </c>
      <c r="J198" s="288">
        <f t="shared" ref="J198:Q198" si="31">SUM(J192:J197)</f>
        <v>0</v>
      </c>
      <c r="K198" s="288">
        <f t="shared" si="31"/>
        <v>0</v>
      </c>
      <c r="L198" s="288">
        <f t="shared" si="31"/>
        <v>0</v>
      </c>
      <c r="M198" s="288">
        <f t="shared" si="31"/>
        <v>0</v>
      </c>
      <c r="N198" s="288">
        <f t="shared" si="31"/>
        <v>0</v>
      </c>
      <c r="O198" s="288">
        <f t="shared" si="31"/>
        <v>0</v>
      </c>
      <c r="P198" s="288">
        <f t="shared" si="31"/>
        <v>0</v>
      </c>
      <c r="Q198" s="288">
        <f t="shared" si="31"/>
        <v>145.26106</v>
      </c>
      <c r="R198" s="289"/>
    </row>
    <row r="199" outlineLevel="2" spans="1:18">
      <c r="A199" s="269" t="s">
        <v>53</v>
      </c>
      <c r="B199" s="284">
        <v>6666010314</v>
      </c>
      <c r="C199" t="s">
        <v>146</v>
      </c>
      <c r="E199" s="285">
        <v>0.63149</v>
      </c>
      <c r="F199" s="286">
        <v>1.92914</v>
      </c>
      <c r="G199" s="286">
        <v>-0.05608</v>
      </c>
      <c r="H199" s="286">
        <v>0</v>
      </c>
      <c r="I199" s="286">
        <v>0</v>
      </c>
      <c r="J199" s="286">
        <v>0</v>
      </c>
      <c r="K199" s="286">
        <v>0</v>
      </c>
      <c r="L199" s="286">
        <v>0</v>
      </c>
      <c r="M199" s="286">
        <v>0</v>
      </c>
      <c r="N199" s="286">
        <v>0</v>
      </c>
      <c r="O199" s="286">
        <v>0</v>
      </c>
      <c r="P199" s="286">
        <v>0</v>
      </c>
      <c r="Q199" s="286">
        <f>F199+E199+G199+H199+I199+J199+K199+L199+M199+N199+O199+P199</f>
        <v>2.50455</v>
      </c>
      <c r="R199" s="258"/>
    </row>
    <row r="200" outlineLevel="2" spans="1:18">
      <c r="A200" s="269" t="s">
        <v>53</v>
      </c>
      <c r="B200" s="284">
        <v>6666010315</v>
      </c>
      <c r="C200" s="267" t="s">
        <v>180</v>
      </c>
      <c r="E200" s="285"/>
      <c r="F200" s="286">
        <f>643.12/1000</f>
        <v>0.64312</v>
      </c>
      <c r="G200" s="286">
        <v>0.01712</v>
      </c>
      <c r="H200" s="286">
        <v>0.01239</v>
      </c>
      <c r="I200" s="286">
        <v>0.04036</v>
      </c>
      <c r="J200" s="286">
        <v>0</v>
      </c>
      <c r="K200" s="286">
        <v>0</v>
      </c>
      <c r="L200" s="286">
        <v>0</v>
      </c>
      <c r="M200" s="286">
        <v>0</v>
      </c>
      <c r="N200" s="286">
        <v>0</v>
      </c>
      <c r="O200" s="286">
        <v>0</v>
      </c>
      <c r="P200" s="286">
        <v>0</v>
      </c>
      <c r="Q200" s="286"/>
      <c r="R200" s="258"/>
    </row>
    <row r="201" outlineLevel="2" spans="1:18">
      <c r="A201" s="269" t="s">
        <v>53</v>
      </c>
      <c r="B201" s="284">
        <v>6666020401</v>
      </c>
      <c r="C201" t="s">
        <v>148</v>
      </c>
      <c r="E201" s="285">
        <v>0</v>
      </c>
      <c r="F201" s="286">
        <v>0.18181</v>
      </c>
      <c r="G201" s="286">
        <v>0.08768</v>
      </c>
      <c r="H201" s="286">
        <v>0.11531</v>
      </c>
      <c r="I201" s="286">
        <v>0.09118</v>
      </c>
      <c r="J201" s="286">
        <v>0</v>
      </c>
      <c r="K201" s="286">
        <v>0</v>
      </c>
      <c r="L201" s="286">
        <v>0</v>
      </c>
      <c r="M201" s="286">
        <v>0</v>
      </c>
      <c r="N201" s="286">
        <v>0</v>
      </c>
      <c r="O201" s="286">
        <v>0</v>
      </c>
      <c r="P201" s="286">
        <v>0</v>
      </c>
      <c r="Q201" s="286">
        <f t="shared" ref="Q201:Q206" si="32">F201+E201+G201+H201+I201+J201+K201+L201+M201+N201+O201+P201</f>
        <v>0.47598</v>
      </c>
      <c r="R201" s="258"/>
    </row>
    <row r="202" outlineLevel="2" spans="1:18">
      <c r="A202" s="269" t="s">
        <v>53</v>
      </c>
      <c r="B202" s="284">
        <v>6666020502</v>
      </c>
      <c r="C202" t="s">
        <v>150</v>
      </c>
      <c r="E202" s="285">
        <v>0.03233</v>
      </c>
      <c r="F202" s="286">
        <v>0.71743</v>
      </c>
      <c r="G202" s="286">
        <v>-0.91204</v>
      </c>
      <c r="H202" s="286">
        <v>0.56559</v>
      </c>
      <c r="I202" s="286">
        <v>0.85004</v>
      </c>
      <c r="J202" s="286">
        <v>0</v>
      </c>
      <c r="K202" s="286">
        <v>0</v>
      </c>
      <c r="L202" s="286">
        <v>0</v>
      </c>
      <c r="M202" s="286">
        <v>0</v>
      </c>
      <c r="N202" s="286">
        <v>0</v>
      </c>
      <c r="O202" s="286">
        <v>0</v>
      </c>
      <c r="P202" s="286">
        <v>0</v>
      </c>
      <c r="Q202" s="286">
        <f t="shared" si="32"/>
        <v>1.25335</v>
      </c>
      <c r="R202" s="258"/>
    </row>
    <row r="203" outlineLevel="2" spans="1:18">
      <c r="A203" s="269" t="s">
        <v>53</v>
      </c>
      <c r="B203" s="284">
        <v>6666020503</v>
      </c>
      <c r="C203" t="s">
        <v>151</v>
      </c>
      <c r="E203" s="285">
        <v>0.1876</v>
      </c>
      <c r="F203" s="286">
        <v>0.02802</v>
      </c>
      <c r="G203" s="286">
        <v>0</v>
      </c>
      <c r="H203" s="286">
        <v>0.07128</v>
      </c>
      <c r="I203" s="286">
        <v>0.00497</v>
      </c>
      <c r="J203" s="286">
        <v>0</v>
      </c>
      <c r="K203" s="286">
        <v>0</v>
      </c>
      <c r="L203" s="286">
        <v>0</v>
      </c>
      <c r="M203" s="286">
        <v>0</v>
      </c>
      <c r="N203" s="286">
        <v>0</v>
      </c>
      <c r="O203" s="286">
        <v>0</v>
      </c>
      <c r="P203" s="286">
        <v>0</v>
      </c>
      <c r="Q203" s="286">
        <f t="shared" si="32"/>
        <v>0.29187</v>
      </c>
      <c r="R203" s="258"/>
    </row>
    <row r="204" outlineLevel="2" spans="1:18">
      <c r="A204" s="269" t="s">
        <v>53</v>
      </c>
      <c r="B204" s="284">
        <v>6666021502</v>
      </c>
      <c r="C204" t="s">
        <v>153</v>
      </c>
      <c r="E204" s="285">
        <v>-0.13535</v>
      </c>
      <c r="F204" s="286">
        <v>0</v>
      </c>
      <c r="G204" s="286">
        <v>0.01482</v>
      </c>
      <c r="H204" s="286">
        <v>0.05484</v>
      </c>
      <c r="I204" s="286">
        <v>1e-5</v>
      </c>
      <c r="J204" s="286">
        <v>0</v>
      </c>
      <c r="K204" s="286">
        <v>0</v>
      </c>
      <c r="L204" s="286">
        <v>0</v>
      </c>
      <c r="M204" s="286">
        <v>0</v>
      </c>
      <c r="N204" s="286">
        <v>0</v>
      </c>
      <c r="O204" s="286">
        <v>0</v>
      </c>
      <c r="P204" s="286">
        <v>0</v>
      </c>
      <c r="Q204" s="286">
        <f t="shared" si="32"/>
        <v>-0.06568</v>
      </c>
      <c r="R204" s="258"/>
    </row>
    <row r="205" outlineLevel="2" spans="1:18">
      <c r="A205" s="269" t="s">
        <v>53</v>
      </c>
      <c r="B205" s="284">
        <v>6666021505</v>
      </c>
      <c r="C205" t="s">
        <v>155</v>
      </c>
      <c r="E205" s="285">
        <v>0</v>
      </c>
      <c r="F205" s="286">
        <v>0.00093</v>
      </c>
      <c r="G205" s="286">
        <v>0</v>
      </c>
      <c r="H205" s="286">
        <v>0</v>
      </c>
      <c r="I205" s="286">
        <v>0</v>
      </c>
      <c r="J205" s="286">
        <v>0</v>
      </c>
      <c r="K205" s="286">
        <v>0</v>
      </c>
      <c r="L205" s="286">
        <v>0</v>
      </c>
      <c r="M205" s="286">
        <v>0</v>
      </c>
      <c r="N205" s="286">
        <v>0</v>
      </c>
      <c r="O205" s="286">
        <v>0</v>
      </c>
      <c r="P205" s="286">
        <v>0</v>
      </c>
      <c r="Q205" s="286">
        <f t="shared" si="32"/>
        <v>0.00093</v>
      </c>
      <c r="R205" s="258"/>
    </row>
    <row r="206" outlineLevel="2" spans="1:18">
      <c r="A206" s="269" t="s">
        <v>53</v>
      </c>
      <c r="B206" s="284">
        <v>6666091600</v>
      </c>
      <c r="C206" t="s">
        <v>158</v>
      </c>
      <c r="E206" s="285">
        <v>0.00178</v>
      </c>
      <c r="F206" s="286">
        <v>0.03815</v>
      </c>
      <c r="G206" s="286">
        <v>0.2507</v>
      </c>
      <c r="H206" s="286">
        <v>0.00547</v>
      </c>
      <c r="I206" s="286">
        <v>0</v>
      </c>
      <c r="J206" s="286">
        <v>0</v>
      </c>
      <c r="K206" s="286">
        <v>0</v>
      </c>
      <c r="L206" s="286">
        <v>0</v>
      </c>
      <c r="M206" s="286">
        <v>0</v>
      </c>
      <c r="N206" s="286">
        <v>0</v>
      </c>
      <c r="O206" s="286">
        <v>0</v>
      </c>
      <c r="P206" s="286">
        <v>0</v>
      </c>
      <c r="Q206" s="286">
        <f t="shared" si="32"/>
        <v>0.2961</v>
      </c>
      <c r="R206" s="258"/>
    </row>
    <row r="207" spans="1:18">
      <c r="A207" s="269"/>
      <c r="B207" s="149" t="s">
        <v>181</v>
      </c>
      <c r="C207" s="149" t="s">
        <v>144</v>
      </c>
      <c r="D207" s="150"/>
      <c r="E207" s="288">
        <f>SUM(E199:E206)</f>
        <v>0.71785</v>
      </c>
      <c r="F207" s="288">
        <f>SUM(F199:F206)</f>
        <v>3.5386</v>
      </c>
      <c r="G207" s="288">
        <f>SUM(G199:G206)</f>
        <v>-0.5978</v>
      </c>
      <c r="H207" s="288">
        <f>SUM(H199:H206)</f>
        <v>0.82488</v>
      </c>
      <c r="I207" s="288">
        <f>SUM(I199:I206)</f>
        <v>0.98656</v>
      </c>
      <c r="J207" s="288">
        <f t="shared" ref="J207:Q207" si="33">SUM(J199:J206)</f>
        <v>0</v>
      </c>
      <c r="K207" s="288">
        <f t="shared" si="33"/>
        <v>0</v>
      </c>
      <c r="L207" s="288">
        <f t="shared" si="33"/>
        <v>0</v>
      </c>
      <c r="M207" s="288">
        <f t="shared" si="33"/>
        <v>0</v>
      </c>
      <c r="N207" s="288">
        <f t="shared" si="33"/>
        <v>0</v>
      </c>
      <c r="O207" s="288">
        <f t="shared" si="33"/>
        <v>0</v>
      </c>
      <c r="P207" s="288">
        <f t="shared" si="33"/>
        <v>0</v>
      </c>
      <c r="Q207" s="288">
        <f t="shared" si="33"/>
        <v>4.7571</v>
      </c>
      <c r="R207" s="289"/>
    </row>
    <row r="208" s="123" customFormat="1" spans="1:18">
      <c r="A208" s="269"/>
      <c r="B208" s="195"/>
      <c r="C208" s="196"/>
      <c r="D208" s="196" t="s">
        <v>182</v>
      </c>
      <c r="E208" s="204">
        <f>+E138+E141+E181+E183+E188+E191+E198+E207</f>
        <v>212.47293</v>
      </c>
      <c r="F208" s="204">
        <f>+F138+F141+F181+F183+F188+F191+F198+F207+F185</f>
        <v>156.4507</v>
      </c>
      <c r="G208" s="204">
        <f>+G138+G141+G181+G183+G188+G191+G198+G207+G185</f>
        <v>171.18389</v>
      </c>
      <c r="H208" s="204">
        <f>+H138+H141+H181+H183+H188+H191+H198+H207</f>
        <v>168.22711</v>
      </c>
      <c r="I208" s="204">
        <f>+I138+I141+I181+I183+I188+I191+I198+I207</f>
        <v>269.72394</v>
      </c>
      <c r="J208" s="204">
        <f t="shared" ref="J208:Q208" si="34">+J138+J141+J181+J183+J188+J191+J198+J207</f>
        <v>192.358553226093</v>
      </c>
      <c r="K208" s="204">
        <f t="shared" si="34"/>
        <v>189.476661909228</v>
      </c>
      <c r="L208" s="204">
        <f t="shared" si="34"/>
        <v>188.698911850754</v>
      </c>
      <c r="M208" s="204">
        <f t="shared" si="34"/>
        <v>195.743717508121</v>
      </c>
      <c r="N208" s="204">
        <f t="shared" si="34"/>
        <v>189.973910139021</v>
      </c>
      <c r="O208" s="204">
        <f t="shared" si="34"/>
        <v>189.529511212318</v>
      </c>
      <c r="P208" s="204">
        <f t="shared" si="34"/>
        <v>178.055019699832</v>
      </c>
      <c r="Q208" s="204">
        <f t="shared" si="34"/>
        <v>2294.73275554537</v>
      </c>
      <c r="R208" s="205"/>
    </row>
    <row r="209" spans="1:18">
      <c r="E209" s="278"/>
      <c r="F209" s="257"/>
      <c r="G209" s="257"/>
      <c r="H209" s="278"/>
      <c r="I209" s="278"/>
      <c r="J209" s="278"/>
      <c r="K209" s="278"/>
      <c r="L209" s="278"/>
      <c r="M209" s="278"/>
      <c r="N209" s="278"/>
      <c r="O209" s="278"/>
      <c r="P209" s="278"/>
      <c r="Q209" s="257"/>
      <c r="R209" s="276"/>
    </row>
    <row r="210" spans="1:18">
      <c r="E210" s="257"/>
      <c r="F210" s="257"/>
      <c r="G210" s="278"/>
      <c r="H210" s="257"/>
      <c r="I210" s="257"/>
      <c r="J210" s="257"/>
      <c r="K210" s="257"/>
      <c r="L210" s="257"/>
      <c r="M210" s="257"/>
      <c r="N210" s="257"/>
      <c r="O210" s="257"/>
      <c r="P210" s="257"/>
      <c r="Q210" s="257"/>
      <c r="R210" s="276"/>
    </row>
    <row r="211" spans="1:18"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76"/>
    </row>
    <row r="212" s="123" customFormat="1" spans="1:18">
      <c r="A212" s="269"/>
      <c r="B212" s="194"/>
      <c r="C212" s="194"/>
      <c r="D212" s="194" t="s">
        <v>183</v>
      </c>
      <c r="E212" s="204">
        <f>E208+E130</f>
        <v>1385.43699992299</v>
      </c>
      <c r="F212" s="204">
        <f>F208+F130</f>
        <v>1384.8422871954</v>
      </c>
      <c r="G212" s="204">
        <f>G208+G130</f>
        <v>1318.72548982573</v>
      </c>
      <c r="H212" s="204">
        <f>H208+H130</f>
        <v>864.156108386915</v>
      </c>
      <c r="I212" s="204">
        <f>I208+I130</f>
        <v>1517.09212414707</v>
      </c>
      <c r="J212" s="204">
        <f t="shared" ref="J212:P212" si="35">J208+J130</f>
        <v>1389.144036395</v>
      </c>
      <c r="K212" s="204">
        <f t="shared" si="35"/>
        <v>1350.04542915264</v>
      </c>
      <c r="L212" s="204">
        <f t="shared" si="35"/>
        <v>1336.81025151022</v>
      </c>
      <c r="M212" s="204">
        <f t="shared" si="35"/>
        <v>1506.66982366106</v>
      </c>
      <c r="N212" s="204">
        <f t="shared" si="35"/>
        <v>1445.05327686807</v>
      </c>
      <c r="O212" s="204">
        <f t="shared" si="35"/>
        <v>1427.42808543454</v>
      </c>
      <c r="P212" s="204">
        <f t="shared" si="35"/>
        <v>1380.25134409253</v>
      </c>
      <c r="Q212" s="204">
        <f>+E212+F212+G212+H212+I212+J212+K212+L212+M212+N212+O212</f>
        <v>14925.4039124996</v>
      </c>
      <c r="R212" s="162"/>
    </row>
    <row r="213" spans="1:18"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7"/>
    </row>
    <row r="214" spans="1:18"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</row>
    <row r="215" spans="1:18">
      <c r="C215" s="298"/>
      <c r="F215" s="278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</row>
    <row r="216" spans="1:18">
      <c r="C216" s="29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</row>
    <row r="217" spans="1:18">
      <c r="E217" s="278"/>
    </row>
    <row r="218" s="242" customFormat="1" spans="1:18">
      <c r="A218" s="243"/>
      <c r="B218" s="299"/>
      <c r="C218" s="300"/>
      <c r="D218" s="207" t="s">
        <v>184</v>
      </c>
      <c r="E218" s="301" t="s">
        <v>185</v>
      </c>
      <c r="F218" s="301" t="s">
        <v>185</v>
      </c>
      <c r="G218" s="301" t="s">
        <v>185</v>
      </c>
      <c r="H218" s="301" t="s">
        <v>185</v>
      </c>
      <c r="I218" s="301" t="s">
        <v>185</v>
      </c>
      <c r="J218" s="301" t="s">
        <v>185</v>
      </c>
      <c r="K218" s="301" t="s">
        <v>185</v>
      </c>
      <c r="L218" s="301" t="s">
        <v>185</v>
      </c>
      <c r="M218" s="301" t="s">
        <v>185</v>
      </c>
      <c r="N218" s="301" t="s">
        <v>185</v>
      </c>
      <c r="O218" s="301" t="s">
        <v>185</v>
      </c>
      <c r="P218" s="301" t="s">
        <v>185</v>
      </c>
      <c r="Q218" s="301" t="s">
        <v>185</v>
      </c>
      <c r="R218" s="302"/>
    </row>
    <row r="219" s="242" customFormat="1" spans="1:18">
      <c r="A219" s="243"/>
      <c r="B219" s="299"/>
      <c r="C219" s="306"/>
      <c r="D219" s="307" t="s">
        <v>186</v>
      </c>
      <c r="E219" s="308">
        <f t="shared" ref="E219:Q219" si="36">E23</f>
        <v>451.11424</v>
      </c>
      <c r="F219" s="308">
        <f t="shared" si="36"/>
        <v>457.78683</v>
      </c>
      <c r="G219" s="308">
        <f t="shared" si="36"/>
        <v>275.96459</v>
      </c>
      <c r="H219" s="308">
        <f t="shared" si="36"/>
        <v>363.734432627818</v>
      </c>
      <c r="I219" s="308">
        <f t="shared" si="36"/>
        <v>478.647874986672</v>
      </c>
      <c r="J219" s="308">
        <f t="shared" si="36"/>
        <v>393.771146713815</v>
      </c>
      <c r="K219" s="308">
        <f t="shared" si="36"/>
        <v>355.329564476754</v>
      </c>
      <c r="L219" s="308">
        <f t="shared" si="36"/>
        <v>355.480857550826</v>
      </c>
      <c r="M219" s="308">
        <f t="shared" si="36"/>
        <v>485.593372605147</v>
      </c>
      <c r="N219" s="308">
        <f t="shared" si="36"/>
        <v>492.473782046273</v>
      </c>
      <c r="O219" s="308">
        <f t="shared" si="36"/>
        <v>476.668577221576</v>
      </c>
      <c r="P219" s="308">
        <f t="shared" si="36"/>
        <v>480.283531818605</v>
      </c>
      <c r="Q219" s="308">
        <f t="shared" si="36"/>
        <v>5066.84880004749</v>
      </c>
      <c r="R219" s="309"/>
    </row>
    <row r="220" s="242" customFormat="1" spans="1:18">
      <c r="A220" s="243"/>
      <c r="B220" s="299"/>
      <c r="C220" s="299"/>
      <c r="D220" s="307" t="s">
        <v>187</v>
      </c>
      <c r="E220" s="308">
        <f t="shared" ref="E220:Q220" si="37">E28+E97+E85+E89</f>
        <v>-3.19376</v>
      </c>
      <c r="F220" s="308">
        <f t="shared" si="37"/>
        <v>-14.65022</v>
      </c>
      <c r="G220" s="308">
        <f t="shared" si="37"/>
        <v>9.10783</v>
      </c>
      <c r="H220" s="308">
        <f t="shared" si="37"/>
        <v>128.40631</v>
      </c>
      <c r="I220" s="308">
        <f t="shared" si="37"/>
        <v>35.72684</v>
      </c>
      <c r="J220" s="308">
        <f t="shared" si="37"/>
        <v>28.2035460899512</v>
      </c>
      <c r="K220" s="308">
        <f t="shared" si="37"/>
        <v>22.7011667986135</v>
      </c>
      <c r="L220" s="308">
        <f t="shared" si="37"/>
        <v>26.5851448672477</v>
      </c>
      <c r="M220" s="308">
        <f t="shared" si="37"/>
        <v>25.5991956344654</v>
      </c>
      <c r="N220" s="308">
        <f t="shared" si="37"/>
        <v>23.0394158108731</v>
      </c>
      <c r="O220" s="308">
        <f t="shared" si="37"/>
        <v>27.1339330350686</v>
      </c>
      <c r="P220" s="308">
        <f t="shared" si="37"/>
        <v>22.6333844839037</v>
      </c>
      <c r="Q220" s="308">
        <f t="shared" si="37"/>
        <v>331.292786720123</v>
      </c>
      <c r="R220" s="309"/>
    </row>
    <row r="221" s="242" customFormat="1" spans="1:18">
      <c r="A221" s="243"/>
      <c r="B221" s="299"/>
      <c r="C221" s="299"/>
      <c r="D221" s="313" t="s">
        <v>188</v>
      </c>
      <c r="E221" s="314">
        <f t="shared" ref="E221:Q221" si="38">E105</f>
        <v>236.51712</v>
      </c>
      <c r="F221" s="314">
        <f t="shared" si="38"/>
        <v>210.33046</v>
      </c>
      <c r="G221" s="314">
        <f t="shared" si="38"/>
        <v>189.488</v>
      </c>
      <c r="H221" s="314">
        <f t="shared" si="38"/>
        <v>211.920007372182</v>
      </c>
      <c r="I221" s="314">
        <f t="shared" si="38"/>
        <v>247.780615013328</v>
      </c>
      <c r="J221" s="314">
        <f t="shared" si="38"/>
        <v>241.417907154686</v>
      </c>
      <c r="K221" s="314">
        <f t="shared" si="38"/>
        <v>262.654200915672</v>
      </c>
      <c r="L221" s="314">
        <f t="shared" si="38"/>
        <v>248.290403730985</v>
      </c>
      <c r="M221" s="314">
        <f t="shared" si="38"/>
        <v>233.834500104821</v>
      </c>
      <c r="N221" s="314">
        <f t="shared" si="38"/>
        <v>218.04243940693</v>
      </c>
      <c r="O221" s="314">
        <f t="shared" si="38"/>
        <v>213.642091489954</v>
      </c>
      <c r="P221" s="314">
        <f t="shared" si="38"/>
        <v>280.515068716969</v>
      </c>
      <c r="Q221" s="314">
        <f t="shared" si="38"/>
        <v>2794.43281390553</v>
      </c>
      <c r="R221" s="315"/>
    </row>
    <row r="222" s="242" customFormat="1" spans="1:18">
      <c r="A222" s="243"/>
      <c r="B222" s="299"/>
      <c r="C222" s="299"/>
      <c r="D222" s="313" t="s">
        <v>189</v>
      </c>
      <c r="E222" s="314">
        <f t="shared" ref="E222:Q222" si="39">E113</f>
        <v>115.16989</v>
      </c>
      <c r="F222" s="314">
        <f t="shared" si="39"/>
        <v>111.05253</v>
      </c>
      <c r="G222" s="314">
        <f t="shared" si="39"/>
        <v>104.43833</v>
      </c>
      <c r="H222" s="314">
        <f t="shared" si="39"/>
        <v>86.26424</v>
      </c>
      <c r="I222" s="314">
        <f t="shared" si="39"/>
        <v>107.57123</v>
      </c>
      <c r="J222" s="314">
        <f t="shared" si="39"/>
        <v>109.836021727926</v>
      </c>
      <c r="K222" s="314">
        <f t="shared" si="39"/>
        <v>101.406494649486</v>
      </c>
      <c r="L222" s="314">
        <f t="shared" si="39"/>
        <v>102.132468545172</v>
      </c>
      <c r="M222" s="314">
        <f t="shared" si="39"/>
        <v>107.529259045042</v>
      </c>
      <c r="N222" s="314">
        <f t="shared" si="39"/>
        <v>101.027321098174</v>
      </c>
      <c r="O222" s="314">
        <f t="shared" si="39"/>
        <v>99.7073661491529</v>
      </c>
      <c r="P222" s="314">
        <f t="shared" si="39"/>
        <v>98.4214576571499</v>
      </c>
      <c r="Q222" s="314">
        <f t="shared" si="39"/>
        <v>1244.5566088721</v>
      </c>
      <c r="R222" s="315"/>
    </row>
    <row r="223" s="242" customFormat="1" spans="1:18">
      <c r="A223" s="243"/>
      <c r="B223" s="299"/>
      <c r="C223" s="299"/>
      <c r="D223" s="313" t="s">
        <v>190</v>
      </c>
      <c r="E223" s="314">
        <f t="shared" ref="E223:Q223" si="40">E80+E129+E87+E92</f>
        <v>202.00835</v>
      </c>
      <c r="F223" s="314">
        <f t="shared" si="40"/>
        <v>305.83574</v>
      </c>
      <c r="G223" s="314">
        <f t="shared" si="40"/>
        <v>397.51368</v>
      </c>
      <c r="H223" s="314">
        <f t="shared" si="40"/>
        <v>-87.29807</v>
      </c>
      <c r="I223" s="314">
        <f t="shared" si="40"/>
        <v>254.02513</v>
      </c>
      <c r="J223" s="314">
        <f t="shared" si="40"/>
        <v>275.349398753248</v>
      </c>
      <c r="K223" s="314">
        <f t="shared" si="40"/>
        <v>252.433513694963</v>
      </c>
      <c r="L223" s="314">
        <f t="shared" si="40"/>
        <v>251.210623609979</v>
      </c>
      <c r="M223" s="314">
        <f t="shared" si="40"/>
        <v>298.210335075001</v>
      </c>
      <c r="N223" s="314">
        <f t="shared" si="40"/>
        <v>257.145773346821</v>
      </c>
      <c r="O223" s="314">
        <f t="shared" si="40"/>
        <v>257.881060723631</v>
      </c>
      <c r="P223" s="314">
        <f t="shared" si="40"/>
        <v>243.645394338255</v>
      </c>
      <c r="Q223" s="314">
        <f t="shared" si="40"/>
        <v>2907.4447095419</v>
      </c>
      <c r="R223" s="315"/>
    </row>
    <row r="224" s="242" customFormat="1" spans="1:18">
      <c r="A224" s="243"/>
      <c r="B224" s="299"/>
      <c r="C224" s="299"/>
      <c r="D224" s="313" t="s">
        <v>191</v>
      </c>
      <c r="E224" s="314">
        <f t="shared" ref="E224:Q224" si="41">E14</f>
        <v>171.348229922989</v>
      </c>
      <c r="F224" s="314">
        <f t="shared" si="41"/>
        <v>158.036247195402</v>
      </c>
      <c r="G224" s="314">
        <f t="shared" si="41"/>
        <v>171.029169825725</v>
      </c>
      <c r="H224" s="314">
        <f t="shared" si="41"/>
        <v>-7.09792161308507</v>
      </c>
      <c r="I224" s="314">
        <f t="shared" si="41"/>
        <v>123.616494147067</v>
      </c>
      <c r="J224" s="314">
        <f t="shared" si="41"/>
        <v>148.207462729277</v>
      </c>
      <c r="K224" s="314">
        <f t="shared" si="41"/>
        <v>166.043826707922</v>
      </c>
      <c r="L224" s="314">
        <f t="shared" si="41"/>
        <v>164.411841355254</v>
      </c>
      <c r="M224" s="314">
        <f t="shared" si="41"/>
        <v>160.159443688465</v>
      </c>
      <c r="N224" s="314">
        <f t="shared" si="41"/>
        <v>163.35063501998</v>
      </c>
      <c r="O224" s="314">
        <f t="shared" si="41"/>
        <v>162.865545602844</v>
      </c>
      <c r="P224" s="314">
        <f t="shared" si="41"/>
        <v>76.6974873778135</v>
      </c>
      <c r="Q224" s="314">
        <f t="shared" si="41"/>
        <v>1658.66846195965</v>
      </c>
      <c r="R224" s="315"/>
    </row>
    <row r="225" s="242" customFormat="1" spans="1:18">
      <c r="A225" s="243"/>
      <c r="B225" s="299"/>
      <c r="C225" s="299"/>
      <c r="D225" s="316" t="s">
        <v>192</v>
      </c>
      <c r="E225" s="317">
        <f t="shared" ref="E225:Q225" si="42">E208</f>
        <v>212.47293</v>
      </c>
      <c r="F225" s="317">
        <f t="shared" si="42"/>
        <v>156.4507</v>
      </c>
      <c r="G225" s="317">
        <f t="shared" si="42"/>
        <v>171.18389</v>
      </c>
      <c r="H225" s="317">
        <f t="shared" si="42"/>
        <v>168.22711</v>
      </c>
      <c r="I225" s="317">
        <f t="shared" si="42"/>
        <v>269.72394</v>
      </c>
      <c r="J225" s="317">
        <f t="shared" si="42"/>
        <v>192.358553226093</v>
      </c>
      <c r="K225" s="317">
        <f t="shared" si="42"/>
        <v>189.476661909228</v>
      </c>
      <c r="L225" s="317">
        <f t="shared" si="42"/>
        <v>188.698911850754</v>
      </c>
      <c r="M225" s="317">
        <f t="shared" si="42"/>
        <v>195.743717508121</v>
      </c>
      <c r="N225" s="317">
        <f t="shared" si="42"/>
        <v>189.973910139021</v>
      </c>
      <c r="O225" s="317">
        <f t="shared" si="42"/>
        <v>189.529511212318</v>
      </c>
      <c r="P225" s="317">
        <f t="shared" si="42"/>
        <v>178.055019699832</v>
      </c>
      <c r="Q225" s="317">
        <f t="shared" si="42"/>
        <v>2294.73275554537</v>
      </c>
      <c r="R225" s="318"/>
    </row>
    <row r="226" s="243" customFormat="1" spans="1:18">
      <c r="B226" s="299"/>
      <c r="C226" s="299"/>
      <c r="D226" s="319" t="s">
        <v>193</v>
      </c>
      <c r="E226" s="222">
        <f t="shared" ref="E226:Q226" si="43">SUM(E219:E225)</f>
        <v>1385.43699992299</v>
      </c>
      <c r="F226" s="222">
        <f t="shared" si="43"/>
        <v>1384.8422871954</v>
      </c>
      <c r="G226" s="222">
        <f t="shared" si="43"/>
        <v>1318.72548982573</v>
      </c>
      <c r="H226" s="320">
        <f t="shared" si="43"/>
        <v>864.156108386915</v>
      </c>
      <c r="I226" s="320">
        <f t="shared" si="43"/>
        <v>1517.09212414707</v>
      </c>
      <c r="J226" s="320">
        <f t="shared" si="43"/>
        <v>1389.144036395</v>
      </c>
      <c r="K226" s="320">
        <f t="shared" si="43"/>
        <v>1350.04542915264</v>
      </c>
      <c r="L226" s="320">
        <f t="shared" si="43"/>
        <v>1336.81025151022</v>
      </c>
      <c r="M226" s="320">
        <f t="shared" si="43"/>
        <v>1506.66982366106</v>
      </c>
      <c r="N226" s="320">
        <f t="shared" si="43"/>
        <v>1445.05327686807</v>
      </c>
      <c r="O226" s="320">
        <f t="shared" si="43"/>
        <v>1427.42808543454</v>
      </c>
      <c r="P226" s="320">
        <f t="shared" si="43"/>
        <v>1380.25134409253</v>
      </c>
      <c r="Q226" s="320">
        <f t="shared" si="43"/>
        <v>16297.9769365922</v>
      </c>
      <c r="R226" s="223"/>
    </row>
    <row r="227" spans="1:18">
      <c r="E227" s="257">
        <f t="shared" ref="E227" si="44">SUM(E219:E225)-E226</f>
        <v>0</v>
      </c>
      <c r="F227" s="257">
        <f t="shared" ref="F227" si="45">SUM(F219:F225)-F226</f>
        <v>0</v>
      </c>
      <c r="G227" s="257">
        <f t="shared" ref="G227" si="46">SUM(G219:G225)-G226</f>
        <v>0</v>
      </c>
      <c r="H227" s="257">
        <f t="shared" ref="H227" si="47">SUM(H219:H225)-H226</f>
        <v>0</v>
      </c>
      <c r="I227" s="257">
        <f t="shared" ref="I227" si="48">SUM(I219:I225)-I226</f>
        <v>0</v>
      </c>
      <c r="J227" s="257">
        <f t="shared" ref="J227" si="49">SUM(J219:J225)-J226</f>
        <v>0</v>
      </c>
      <c r="K227" s="257">
        <f t="shared" ref="K227" si="50">SUM(K219:K225)-K226</f>
        <v>0</v>
      </c>
      <c r="L227" s="257">
        <f t="shared" ref="L227" si="51">SUM(L219:L225)-L226</f>
        <v>0</v>
      </c>
      <c r="M227" s="257">
        <f t="shared" ref="M227" si="52">SUM(M219:M225)-M226</f>
        <v>0</v>
      </c>
      <c r="N227" s="257">
        <f t="shared" ref="N227" si="53">SUM(N219:N225)-N226</f>
        <v>0</v>
      </c>
      <c r="O227" s="257">
        <f t="shared" ref="O227" si="54">SUM(O219:O225)-O226</f>
        <v>0</v>
      </c>
      <c r="P227" s="257">
        <f t="shared" ref="P227:Q227" si="55">SUM(P219:P225)-P226</f>
        <v>0</v>
      </c>
      <c r="Q227" s="257">
        <f t="shared" si="55"/>
        <v>0</v>
      </c>
      <c r="R227" s="257"/>
    </row>
    <row r="229" spans="1:18">
      <c r="D229" s="321"/>
      <c r="E229" s="322"/>
      <c r="F229" s="322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3"/>
    </row>
    <row r="230" spans="1:18">
      <c r="D230" s="324" t="s">
        <v>52</v>
      </c>
      <c r="E230" s="325">
        <f t="shared" ref="E230:Q230" si="56">E23+E28+E85+E89+E97</f>
        <v>447.92048</v>
      </c>
      <c r="F230" s="325">
        <f t="shared" si="56"/>
        <v>443.13661</v>
      </c>
      <c r="G230" s="325">
        <f t="shared" si="56"/>
        <v>285.07242</v>
      </c>
      <c r="H230" s="325">
        <f t="shared" si="56"/>
        <v>492.140742627818</v>
      </c>
      <c r="I230" s="325">
        <f t="shared" si="56"/>
        <v>514.374714986672</v>
      </c>
      <c r="J230" s="325">
        <f t="shared" si="56"/>
        <v>421.974692803766</v>
      </c>
      <c r="K230" s="325">
        <f t="shared" si="56"/>
        <v>378.030731275368</v>
      </c>
      <c r="L230" s="325">
        <f t="shared" si="56"/>
        <v>382.066002418074</v>
      </c>
      <c r="M230" s="325">
        <f t="shared" si="56"/>
        <v>511.192568239612</v>
      </c>
      <c r="N230" s="325">
        <f t="shared" si="56"/>
        <v>515.513197857146</v>
      </c>
      <c r="O230" s="325">
        <f t="shared" si="56"/>
        <v>503.802510256645</v>
      </c>
      <c r="P230" s="325">
        <f t="shared" si="56"/>
        <v>502.916916302509</v>
      </c>
      <c r="Q230" s="325">
        <f t="shared" si="56"/>
        <v>5398.14158676761</v>
      </c>
      <c r="R230" s="326"/>
    </row>
    <row r="231" spans="1:18">
      <c r="D231" s="327" t="s">
        <v>42</v>
      </c>
      <c r="E231" s="328">
        <f t="shared" ref="E231:Q231" si="57">SUM(E14,E80,E87,E92,E105,E113,E129)</f>
        <v>725.043589922989</v>
      </c>
      <c r="F231" s="328">
        <f t="shared" si="57"/>
        <v>785.254977195402</v>
      </c>
      <c r="G231" s="328">
        <f t="shared" si="57"/>
        <v>862.469179825725</v>
      </c>
      <c r="H231" s="328">
        <f t="shared" si="57"/>
        <v>203.788255759097</v>
      </c>
      <c r="I231" s="328">
        <f t="shared" si="57"/>
        <v>732.993469160395</v>
      </c>
      <c r="J231" s="328">
        <f t="shared" si="57"/>
        <v>774.810790365136</v>
      </c>
      <c r="K231" s="328">
        <f t="shared" si="57"/>
        <v>782.538035968043</v>
      </c>
      <c r="L231" s="328">
        <f t="shared" si="57"/>
        <v>766.045337241391</v>
      </c>
      <c r="M231" s="328">
        <f t="shared" si="57"/>
        <v>799.733537913329</v>
      </c>
      <c r="N231" s="328">
        <f t="shared" si="57"/>
        <v>739.566168871906</v>
      </c>
      <c r="O231" s="328">
        <f t="shared" si="57"/>
        <v>734.096063965581</v>
      </c>
      <c r="P231" s="328">
        <f t="shared" si="57"/>
        <v>699.279408090187</v>
      </c>
      <c r="Q231" s="328">
        <f t="shared" si="57"/>
        <v>8605.10259427918</v>
      </c>
      <c r="R231" s="329"/>
    </row>
    <row r="232" spans="1:18">
      <c r="D232" s="330" t="s">
        <v>194</v>
      </c>
      <c r="E232" s="331">
        <f t="shared" ref="E232:Q232" si="58">E225</f>
        <v>212.47293</v>
      </c>
      <c r="F232" s="331">
        <f t="shared" si="58"/>
        <v>156.4507</v>
      </c>
      <c r="G232" s="331">
        <f t="shared" si="58"/>
        <v>171.18389</v>
      </c>
      <c r="H232" s="331">
        <f t="shared" si="58"/>
        <v>168.22711</v>
      </c>
      <c r="I232" s="331">
        <f t="shared" si="58"/>
        <v>269.72394</v>
      </c>
      <c r="J232" s="331">
        <f t="shared" si="58"/>
        <v>192.358553226093</v>
      </c>
      <c r="K232" s="331">
        <f t="shared" si="58"/>
        <v>189.476661909228</v>
      </c>
      <c r="L232" s="331">
        <f t="shared" si="58"/>
        <v>188.698911850754</v>
      </c>
      <c r="M232" s="331">
        <f t="shared" si="58"/>
        <v>195.743717508121</v>
      </c>
      <c r="N232" s="331">
        <f t="shared" si="58"/>
        <v>189.973910139021</v>
      </c>
      <c r="O232" s="331">
        <f t="shared" si="58"/>
        <v>189.529511212318</v>
      </c>
      <c r="P232" s="331">
        <f t="shared" si="58"/>
        <v>178.055019699832</v>
      </c>
      <c r="Q232" s="331">
        <f t="shared" si="58"/>
        <v>2294.73275554537</v>
      </c>
      <c r="R232" s="332"/>
    </row>
    <row r="233" spans="1:18">
      <c r="D233" s="333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5"/>
    </row>
    <row r="234" spans="1:18">
      <c r="D234" s="336" t="s">
        <v>195</v>
      </c>
      <c r="E234" s="337">
        <f t="shared" ref="E234:Q234" si="59">SUM(E229:E233)</f>
        <v>1385.43699992299</v>
      </c>
      <c r="F234" s="337">
        <f t="shared" si="59"/>
        <v>1384.8422871954</v>
      </c>
      <c r="G234" s="337">
        <f t="shared" si="59"/>
        <v>1318.72548982573</v>
      </c>
      <c r="H234" s="337">
        <f t="shared" si="59"/>
        <v>864.156108386915</v>
      </c>
      <c r="I234" s="337">
        <f t="shared" si="59"/>
        <v>1517.09212414707</v>
      </c>
      <c r="J234" s="337">
        <f t="shared" si="59"/>
        <v>1389.144036395</v>
      </c>
      <c r="K234" s="337">
        <f t="shared" si="59"/>
        <v>1350.04542915264</v>
      </c>
      <c r="L234" s="337">
        <f t="shared" si="59"/>
        <v>1336.81025151022</v>
      </c>
      <c r="M234" s="337">
        <f t="shared" si="59"/>
        <v>1506.66982366106</v>
      </c>
      <c r="N234" s="337">
        <f t="shared" si="59"/>
        <v>1445.05327686807</v>
      </c>
      <c r="O234" s="337">
        <f t="shared" si="59"/>
        <v>1427.42808543454</v>
      </c>
      <c r="P234" s="337">
        <f t="shared" si="59"/>
        <v>1380.25134409253</v>
      </c>
      <c r="Q234" s="337">
        <f t="shared" si="59"/>
        <v>16297.9769365922</v>
      </c>
      <c r="R234" s="339"/>
    </row>
    <row r="235" spans="1:18">
      <c r="J235" s="278"/>
      <c r="K235" s="278"/>
      <c r="L235" s="278"/>
      <c r="M235" s="278"/>
      <c r="N235" s="278"/>
      <c r="O235" s="278"/>
      <c r="P235" s="278"/>
      <c r="Q235" s="278"/>
    </row>
    <row r="236" s="244" customFormat="1" spans="1:18">
      <c r="A236" s="340"/>
      <c r="B236" s="298"/>
      <c r="C236" s="298"/>
      <c r="D236" t="s">
        <v>196</v>
      </c>
      <c r="E236" s="278">
        <f t="shared" ref="E236:Q236" si="60">+E234*1000</f>
        <v>1385436.99992299</v>
      </c>
      <c r="F236" s="278">
        <f t="shared" si="60"/>
        <v>1384842.2871954</v>
      </c>
      <c r="G236" s="278">
        <f t="shared" si="60"/>
        <v>1318725.48982573</v>
      </c>
      <c r="H236" s="278">
        <f t="shared" si="60"/>
        <v>864156.108386915</v>
      </c>
      <c r="I236" s="278">
        <f t="shared" si="60"/>
        <v>1517092.12414707</v>
      </c>
      <c r="J236" s="278">
        <f t="shared" si="60"/>
        <v>1389144.036395</v>
      </c>
      <c r="K236" s="278">
        <f t="shared" si="60"/>
        <v>1350045.42915264</v>
      </c>
      <c r="L236" s="278">
        <f t="shared" si="60"/>
        <v>1336810.25151022</v>
      </c>
      <c r="M236" s="278">
        <f t="shared" si="60"/>
        <v>1506669.82366106</v>
      </c>
      <c r="N236" s="278">
        <f t="shared" si="60"/>
        <v>1445053.27686807</v>
      </c>
      <c r="O236" s="278">
        <f t="shared" si="60"/>
        <v>1427428.08543454</v>
      </c>
      <c r="P236" s="278">
        <f t="shared" si="60"/>
        <v>1380251.34409253</v>
      </c>
      <c r="Q236" s="278">
        <f t="shared" si="60"/>
        <v>16297976.9365922</v>
      </c>
      <c r="R236" s="278"/>
    </row>
    <row r="237" spans="1:18">
      <c r="D237" t="s">
        <v>197</v>
      </c>
      <c r="E237" s="278">
        <v>76774263.48</v>
      </c>
      <c r="F237" s="278">
        <v>73270182.12</v>
      </c>
      <c r="G237" s="278">
        <v>69204227.88</v>
      </c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</row>
    <row r="238" spans="1:18">
      <c r="E238" s="257"/>
      <c r="F238" s="278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341"/>
    </row>
    <row r="239" spans="1:18">
      <c r="D239" t="s">
        <v>198</v>
      </c>
      <c r="E239" s="342">
        <f t="shared" ref="E239:Q239" si="61">+E237/E236</f>
        <v>55.4151964212502</v>
      </c>
      <c r="F239" s="342">
        <f t="shared" si="61"/>
        <v>52.908683391224</v>
      </c>
      <c r="G239" s="342">
        <f t="shared" si="61"/>
        <v>52.4781149783839</v>
      </c>
      <c r="H239" s="342">
        <f t="shared" si="61"/>
        <v>0</v>
      </c>
      <c r="I239" s="342">
        <f t="shared" si="61"/>
        <v>0</v>
      </c>
      <c r="J239" s="342">
        <f t="shared" si="61"/>
        <v>0</v>
      </c>
      <c r="K239" s="342">
        <f t="shared" si="61"/>
        <v>0</v>
      </c>
      <c r="L239" s="342">
        <f t="shared" si="61"/>
        <v>0</v>
      </c>
      <c r="M239" s="342">
        <f t="shared" si="61"/>
        <v>0</v>
      </c>
      <c r="N239" s="342">
        <f t="shared" si="61"/>
        <v>0</v>
      </c>
      <c r="O239" s="342">
        <f t="shared" si="61"/>
        <v>0</v>
      </c>
      <c r="P239" s="342">
        <f t="shared" si="61"/>
        <v>0</v>
      </c>
      <c r="Q239" s="342">
        <f t="shared" si="61"/>
        <v>0</v>
      </c>
    </row>
    <row r="240" spans="1:18">
      <c r="E240" s="343"/>
      <c r="F240" s="278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</row>
    <row r="241" spans="1:20">
      <c r="E241" s="278"/>
    </row>
    <row r="242" spans="1:20">
      <c r="E242" s="342"/>
      <c r="F242" s="278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</row>
    <row r="243" spans="1:20">
      <c r="E243" s="278"/>
    </row>
    <row r="244" ht="17.4" spans="1:20">
      <c r="B244" s="344" t="s">
        <v>199</v>
      </c>
      <c r="C244" s="344"/>
      <c r="D244" s="344"/>
      <c r="E244" s="278"/>
    </row>
    <row r="245" spans="1:20">
      <c r="A245" s="269" t="s">
        <v>32</v>
      </c>
      <c r="B245" s="256">
        <v>6666110101</v>
      </c>
      <c r="C245" s="256" t="s">
        <v>33</v>
      </c>
      <c r="D245" s="256" t="s">
        <v>34</v>
      </c>
      <c r="E245" s="345">
        <v>22.9373798925231</v>
      </c>
      <c r="F245" s="345">
        <v>20.8651916663665</v>
      </c>
      <c r="G245" s="345">
        <v>22.9878262122702</v>
      </c>
      <c r="H245" s="345">
        <v>21.3943514062982</v>
      </c>
      <c r="I245" s="345">
        <v>18.0757762960001</v>
      </c>
      <c r="J245" s="345">
        <v>17.510984257447</v>
      </c>
      <c r="K245" s="345">
        <v>18.218716326221</v>
      </c>
      <c r="L245" s="345">
        <v>18.2880971975797</v>
      </c>
      <c r="M245" s="345">
        <v>17.7464846876767</v>
      </c>
      <c r="N245" s="345">
        <v>18.4314057489894</v>
      </c>
      <c r="O245" s="345">
        <v>17.8416783491188</v>
      </c>
      <c r="P245" s="345">
        <v>24.0805942219558</v>
      </c>
      <c r="Q245" s="345">
        <f t="shared" ref="Q245:Q252" si="62">+E245+F245+G245+H245+I245+J245+K245+L245+M245+N245+O245+P245</f>
        <v>238.378486262446</v>
      </c>
      <c r="R245" s="323"/>
    </row>
    <row r="246" spans="1:20">
      <c r="A246" s="269" t="s">
        <v>32</v>
      </c>
      <c r="B246" s="256">
        <v>6666110106</v>
      </c>
      <c r="C246" s="256" t="s">
        <v>35</v>
      </c>
      <c r="D246" s="256" t="s">
        <v>34</v>
      </c>
      <c r="E246" s="259">
        <v>0</v>
      </c>
      <c r="F246" s="259">
        <v>0</v>
      </c>
      <c r="G246" s="259">
        <v>0</v>
      </c>
      <c r="H246" s="259">
        <v>0</v>
      </c>
      <c r="I246" s="259">
        <v>0</v>
      </c>
      <c r="J246" s="259">
        <v>0</v>
      </c>
      <c r="K246" s="259">
        <v>0</v>
      </c>
      <c r="L246" s="259">
        <v>0</v>
      </c>
      <c r="M246" s="259">
        <v>0</v>
      </c>
      <c r="N246" s="259">
        <v>0</v>
      </c>
      <c r="O246" s="259">
        <v>0</v>
      </c>
      <c r="P246" s="259">
        <v>0</v>
      </c>
      <c r="Q246" s="259">
        <f t="shared" si="62"/>
        <v>0</v>
      </c>
      <c r="R246" s="346"/>
    </row>
    <row r="247" spans="1:20">
      <c r="A247" s="269" t="s">
        <v>32</v>
      </c>
      <c r="B247" s="256">
        <v>6666110107</v>
      </c>
      <c r="C247" s="256" t="s">
        <v>36</v>
      </c>
      <c r="D247" s="256" t="s">
        <v>34</v>
      </c>
      <c r="E247" s="259">
        <v>131.959493997099</v>
      </c>
      <c r="F247" s="259">
        <v>128.50944426501</v>
      </c>
      <c r="G247" s="259">
        <v>132.59646448935</v>
      </c>
      <c r="H247" s="259">
        <v>-18.5358228394517</v>
      </c>
      <c r="I247" s="259">
        <v>105.452251806022</v>
      </c>
      <c r="J247" s="259">
        <v>105.811855291186</v>
      </c>
      <c r="K247" s="259">
        <v>108.05474390366</v>
      </c>
      <c r="L247" s="259">
        <v>109.167813846179</v>
      </c>
      <c r="M247" s="259">
        <v>109.318019503776</v>
      </c>
      <c r="N247" s="259">
        <v>111.332663401529</v>
      </c>
      <c r="O247" s="259">
        <v>111.135270148379</v>
      </c>
      <c r="P247" s="259">
        <v>146.350319921396</v>
      </c>
      <c r="Q247" s="259">
        <f t="shared" si="62"/>
        <v>1281.15251773414</v>
      </c>
      <c r="R247" s="346"/>
    </row>
    <row r="248" spans="1:20">
      <c r="A248" s="269" t="s">
        <v>32</v>
      </c>
      <c r="B248" s="256">
        <v>6666110110</v>
      </c>
      <c r="C248" s="256" t="s">
        <v>37</v>
      </c>
      <c r="D248" s="256" t="s">
        <v>34</v>
      </c>
      <c r="E248" s="259">
        <v>232.00885862227</v>
      </c>
      <c r="F248" s="259">
        <v>211.216307916553</v>
      </c>
      <c r="G248" s="259">
        <v>232.535732896076</v>
      </c>
      <c r="H248" s="259">
        <v>37.1807373749189</v>
      </c>
      <c r="I248" s="259">
        <v>182.528358987471</v>
      </c>
      <c r="J248" s="259">
        <v>176.717421852451</v>
      </c>
      <c r="K248" s="259">
        <v>183.587013007207</v>
      </c>
      <c r="L248" s="259">
        <v>184.141136653343</v>
      </c>
      <c r="M248" s="259">
        <v>178.593489797903</v>
      </c>
      <c r="N248" s="259">
        <v>185.2549068446</v>
      </c>
      <c r="O248" s="259">
        <v>179.318778206068</v>
      </c>
      <c r="P248" s="259">
        <v>241.96778334932</v>
      </c>
      <c r="Q248" s="259">
        <f t="shared" si="62"/>
        <v>2225.05052550818</v>
      </c>
      <c r="R248" s="346"/>
    </row>
    <row r="249" spans="1:20">
      <c r="A249" s="269" t="s">
        <v>32</v>
      </c>
      <c r="B249" s="256">
        <v>6666110112</v>
      </c>
      <c r="C249" s="256" t="s">
        <v>38</v>
      </c>
      <c r="D249" s="256" t="s">
        <v>34</v>
      </c>
      <c r="E249" s="259">
        <v>4.69540224404778</v>
      </c>
      <c r="F249" s="259">
        <v>4.45049747090506</v>
      </c>
      <c r="G249" s="259">
        <v>4.72289274016475</v>
      </c>
      <c r="H249" s="259">
        <v>-1.05226710097455</v>
      </c>
      <c r="I249" s="259">
        <v>2.57894377733099</v>
      </c>
      <c r="J249" s="259">
        <v>2.84742317088875</v>
      </c>
      <c r="K249" s="259">
        <v>2.85192100324396</v>
      </c>
      <c r="L249" s="259">
        <v>2.92109784371485</v>
      </c>
      <c r="M249" s="259">
        <v>2.92071224936756</v>
      </c>
      <c r="N249" s="259">
        <v>2.99471812329261</v>
      </c>
      <c r="O249" s="259">
        <v>2.97933032908331</v>
      </c>
      <c r="P249" s="259">
        <v>3.74006806021849</v>
      </c>
      <c r="Q249" s="259">
        <f t="shared" si="62"/>
        <v>36.6507399112836</v>
      </c>
      <c r="R249" s="346"/>
    </row>
    <row r="250" spans="1:20">
      <c r="A250" s="269" t="s">
        <v>32</v>
      </c>
      <c r="B250" s="256">
        <v>6666110204</v>
      </c>
      <c r="C250" s="256" t="s">
        <v>39</v>
      </c>
      <c r="D250" s="256" t="s">
        <v>34</v>
      </c>
      <c r="E250" s="259">
        <v>0.0783991860607184</v>
      </c>
      <c r="F250" s="259">
        <v>0.0813800765212743</v>
      </c>
      <c r="G250" s="259">
        <v>0.079585154130931</v>
      </c>
      <c r="H250" s="259">
        <v>-0.153737386379755</v>
      </c>
      <c r="I250" s="259">
        <v>0.0667377756314859</v>
      </c>
      <c r="J250" s="259">
        <v>0.0705232766921713</v>
      </c>
      <c r="K250" s="259">
        <v>0.0725124472610485</v>
      </c>
      <c r="L250" s="259">
        <v>0.0748500016802378</v>
      </c>
      <c r="M250" s="259">
        <v>0.0777140752402061</v>
      </c>
      <c r="N250" s="259">
        <v>0.0793151966680654</v>
      </c>
      <c r="O250" s="259">
        <v>0.0818060236664476</v>
      </c>
      <c r="P250" s="259">
        <v>0.105372717825739</v>
      </c>
      <c r="Q250" s="259">
        <f t="shared" si="62"/>
        <v>0.714458544998571</v>
      </c>
      <c r="R250" s="346"/>
    </row>
    <row r="251" spans="1:20">
      <c r="A251" s="269" t="s">
        <v>32</v>
      </c>
      <c r="B251" s="256">
        <v>6666110207</v>
      </c>
      <c r="C251" s="256" t="s">
        <v>40</v>
      </c>
      <c r="D251" s="256" t="s">
        <v>34</v>
      </c>
      <c r="E251" s="259">
        <v>1.22344613501019</v>
      </c>
      <c r="F251" s="259">
        <v>1.24198140924259</v>
      </c>
      <c r="G251" s="259">
        <v>1.23113868228298</v>
      </c>
      <c r="H251" s="259">
        <v>-1.83803984132598</v>
      </c>
      <c r="I251" s="259">
        <v>0.99645721047728</v>
      </c>
      <c r="J251" s="259">
        <v>1.02133804877056</v>
      </c>
      <c r="K251" s="259">
        <v>1.03022325088362</v>
      </c>
      <c r="L251" s="259">
        <v>1.14282641531512</v>
      </c>
      <c r="M251" s="259">
        <v>0.755934962462457</v>
      </c>
      <c r="N251" s="259">
        <v>0.921212311338919</v>
      </c>
      <c r="O251" s="259">
        <v>0.971256972398642</v>
      </c>
      <c r="P251" s="259">
        <v>1.27467599786837</v>
      </c>
      <c r="Q251" s="259">
        <f t="shared" si="62"/>
        <v>9.97245155472475</v>
      </c>
      <c r="R251" s="346"/>
    </row>
    <row r="252" spans="1:20">
      <c r="A252" s="269" t="s">
        <v>32</v>
      </c>
      <c r="B252" s="256">
        <v>6666110506</v>
      </c>
      <c r="C252" s="256" t="s">
        <v>41</v>
      </c>
      <c r="D252" s="256" t="s">
        <v>34</v>
      </c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>
        <f t="shared" si="62"/>
        <v>0</v>
      </c>
      <c r="R252" s="346"/>
      <c r="T252" s="369">
        <f>124+310</f>
        <v>434</v>
      </c>
    </row>
    <row r="253" spans="1:20">
      <c r="E253" s="364">
        <f t="shared" ref="E253:Q253" si="63">SUM(E245:E252)</f>
        <v>392.902980077011</v>
      </c>
      <c r="F253" s="288">
        <f t="shared" si="63"/>
        <v>366.364802804598</v>
      </c>
      <c r="G253" s="288">
        <f t="shared" si="63"/>
        <v>394.153640174275</v>
      </c>
      <c r="H253" s="288">
        <f t="shared" si="63"/>
        <v>36.9952216130851</v>
      </c>
      <c r="I253" s="288">
        <f t="shared" si="63"/>
        <v>309.698525852933</v>
      </c>
      <c r="J253" s="288">
        <f t="shared" si="63"/>
        <v>303.979545897436</v>
      </c>
      <c r="K253" s="288">
        <f t="shared" si="63"/>
        <v>313.815129938476</v>
      </c>
      <c r="L253" s="288">
        <f t="shared" si="63"/>
        <v>315.735821957812</v>
      </c>
      <c r="M253" s="288">
        <f t="shared" si="63"/>
        <v>309.412355276426</v>
      </c>
      <c r="N253" s="288">
        <f t="shared" si="63"/>
        <v>319.014221626418</v>
      </c>
      <c r="O253" s="288">
        <f t="shared" si="63"/>
        <v>312.328120028715</v>
      </c>
      <c r="P253" s="288">
        <f t="shared" si="63"/>
        <v>417.518814268585</v>
      </c>
      <c r="Q253" s="288">
        <f t="shared" si="63"/>
        <v>3791.91917951577</v>
      </c>
      <c r="R253" s="349"/>
    </row>
    <row r="255" spans="1:20">
      <c r="I255" s="141"/>
      <c r="J255" s="141"/>
      <c r="K255" s="141"/>
      <c r="L255" s="141"/>
      <c r="M255" s="141"/>
      <c r="N255" s="141"/>
      <c r="O255" s="141"/>
      <c r="P255" s="141"/>
      <c r="Q255" s="297"/>
    </row>
    <row r="258" spans="1:19">
      <c r="C258" s="350" t="s">
        <v>200</v>
      </c>
      <c r="D258" s="350" t="s">
        <v>32</v>
      </c>
      <c r="E258" s="351">
        <f>+SUMIF($A$6:$A$252,D258,E6:E253)</f>
        <v>1637.46696</v>
      </c>
      <c r="F258" s="351">
        <f t="shared" ref="F258:P258" si="64">+SUMIF($A$6:$A$252,$D$258,F6:F253)</f>
        <v>1633.72397</v>
      </c>
      <c r="G258" s="351">
        <f t="shared" si="64"/>
        <v>1369.64502</v>
      </c>
      <c r="H258" s="351">
        <f t="shared" si="64"/>
        <v>858.33754</v>
      </c>
      <c r="I258" s="351">
        <f t="shared" si="64"/>
        <v>1533.73768</v>
      </c>
      <c r="J258" s="351">
        <f t="shared" si="64"/>
        <v>1524.33814794926</v>
      </c>
      <c r="K258" s="351">
        <f t="shared" si="64"/>
        <v>1491.28462939212</v>
      </c>
      <c r="L258" s="351">
        <f t="shared" si="64"/>
        <v>1480.20879438755</v>
      </c>
      <c r="M258" s="351">
        <f t="shared" si="64"/>
        <v>1645.23856882624</v>
      </c>
      <c r="N258" s="351">
        <f t="shared" si="64"/>
        <v>1596.94874281267</v>
      </c>
      <c r="O258" s="351">
        <f t="shared" si="64"/>
        <v>1574.34321628629</v>
      </c>
      <c r="P258" s="351">
        <f t="shared" si="64"/>
        <v>1639.03166305112</v>
      </c>
      <c r="Q258" s="353">
        <f>+E258+F258+G258+H258+I258+J258+K258+L258+M258+N258+O258+P258</f>
        <v>17984.3049327052</v>
      </c>
      <c r="R258" s="352"/>
    </row>
    <row r="259" spans="1:19">
      <c r="C259" s="350" t="s">
        <v>201</v>
      </c>
      <c r="D259" s="350" t="s">
        <v>53</v>
      </c>
      <c r="E259" s="354">
        <f>+SUMIF($A$6:$A$253,D259,E6:E254)</f>
        <v>140.87302</v>
      </c>
      <c r="F259" s="354">
        <f t="shared" ref="F259:P259" si="65">+SUMIF($A$6:$A$253,$D$259,F6:F254)</f>
        <v>117.48782</v>
      </c>
      <c r="G259" s="354">
        <f t="shared" si="65"/>
        <v>343.24376</v>
      </c>
      <c r="H259" s="354">
        <f t="shared" si="65"/>
        <v>43.0187</v>
      </c>
      <c r="I259" s="354">
        <f t="shared" si="65"/>
        <v>292.94983</v>
      </c>
      <c r="J259" s="354">
        <f t="shared" si="65"/>
        <v>168.785434343168</v>
      </c>
      <c r="K259" s="354">
        <f t="shared" si="65"/>
        <v>172.575929698997</v>
      </c>
      <c r="L259" s="354">
        <f t="shared" si="65"/>
        <v>172.337279080476</v>
      </c>
      <c r="M259" s="354">
        <f t="shared" si="65"/>
        <v>170.843610111244</v>
      </c>
      <c r="N259" s="354">
        <f t="shared" si="65"/>
        <v>167.118755681825</v>
      </c>
      <c r="O259" s="354">
        <f t="shared" si="65"/>
        <v>165.412989176973</v>
      </c>
      <c r="P259" s="354">
        <f t="shared" si="65"/>
        <v>158.738495309999</v>
      </c>
      <c r="Q259" s="356">
        <f>+E259+F259+G259+H259+I259+J259+K259+L259+M259+N259+O259+P259</f>
        <v>2113.38562340268</v>
      </c>
      <c r="R259" s="355"/>
    </row>
    <row r="260" spans="1:19">
      <c r="C260" s="350" t="s">
        <v>193</v>
      </c>
      <c r="E260" s="357">
        <f t="shared" ref="E260:Q260" si="66">+E259+E258</f>
        <v>1778.33998</v>
      </c>
      <c r="F260" s="357">
        <f t="shared" si="66"/>
        <v>1751.21179</v>
      </c>
      <c r="G260" s="357">
        <f t="shared" si="66"/>
        <v>1712.88878</v>
      </c>
      <c r="H260" s="357">
        <f t="shared" si="66"/>
        <v>901.35624</v>
      </c>
      <c r="I260" s="357">
        <f t="shared" si="66"/>
        <v>1826.68751</v>
      </c>
      <c r="J260" s="357">
        <f t="shared" si="66"/>
        <v>1693.12358229243</v>
      </c>
      <c r="K260" s="357">
        <f t="shared" si="66"/>
        <v>1663.86055909112</v>
      </c>
      <c r="L260" s="357">
        <f t="shared" si="66"/>
        <v>1652.54607346803</v>
      </c>
      <c r="M260" s="357">
        <f t="shared" si="66"/>
        <v>1816.08217893749</v>
      </c>
      <c r="N260" s="357">
        <f t="shared" si="66"/>
        <v>1764.06749849449</v>
      </c>
      <c r="O260" s="357">
        <f t="shared" si="66"/>
        <v>1739.75620546326</v>
      </c>
      <c r="P260" s="357">
        <f t="shared" si="66"/>
        <v>1797.77015836111</v>
      </c>
      <c r="Q260" s="358">
        <f t="shared" si="66"/>
        <v>20097.6905561079</v>
      </c>
      <c r="R260" s="357"/>
    </row>
    <row r="261" spans="1:19">
      <c r="F261" s="278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57"/>
    </row>
    <row r="262" s="244" customFormat="1" spans="1:19">
      <c r="A262" s="340"/>
      <c r="B262" s="298"/>
      <c r="C262" s="298"/>
      <c r="D262" s="359" t="s">
        <v>202</v>
      </c>
      <c r="E262" s="357">
        <f>1779.7048</f>
        <v>1779.7048</v>
      </c>
      <c r="F262" s="357">
        <f>1751206.29/1000</f>
        <v>1751.20629</v>
      </c>
      <c r="G262" s="357">
        <v>1712.87913</v>
      </c>
      <c r="H262" s="357">
        <f t="shared" ref="H262:Q262" si="67">+H234+H253</f>
        <v>901.15133</v>
      </c>
      <c r="I262" s="357">
        <f t="shared" si="67"/>
        <v>1826.79065</v>
      </c>
      <c r="J262" s="357">
        <f t="shared" si="67"/>
        <v>1693.12358229243</v>
      </c>
      <c r="K262" s="357">
        <f t="shared" si="67"/>
        <v>1663.86055909111</v>
      </c>
      <c r="L262" s="357">
        <f t="shared" si="67"/>
        <v>1652.54607346803</v>
      </c>
      <c r="M262" s="357">
        <f t="shared" si="67"/>
        <v>1816.08217893749</v>
      </c>
      <c r="N262" s="357">
        <f t="shared" si="67"/>
        <v>1764.06749849449</v>
      </c>
      <c r="O262" s="357">
        <f t="shared" si="67"/>
        <v>1739.75620546326</v>
      </c>
      <c r="P262" s="357">
        <f t="shared" si="67"/>
        <v>1797.77015836111</v>
      </c>
      <c r="Q262" s="358">
        <f t="shared" si="67"/>
        <v>20089.8961161079</v>
      </c>
      <c r="R262" s="357"/>
    </row>
    <row r="263" spans="1:19">
      <c r="D263" s="121" t="s">
        <v>203</v>
      </c>
      <c r="E263" s="357">
        <f t="shared" ref="E263:Q263" si="68">+E262-E260</f>
        <v>1.36482000000046</v>
      </c>
      <c r="F263" s="357">
        <f t="shared" si="68"/>
        <v>-0.00549999999952888</v>
      </c>
      <c r="G263" s="357">
        <f t="shared" si="68"/>
        <v>-0.00965000000041982</v>
      </c>
      <c r="H263" s="357">
        <f t="shared" si="68"/>
        <v>-0.2049099999997</v>
      </c>
      <c r="I263" s="357">
        <f t="shared" si="68"/>
        <v>0.103139999999939</v>
      </c>
      <c r="J263" s="357">
        <f t="shared" si="68"/>
        <v>0</v>
      </c>
      <c r="K263" s="357">
        <f t="shared" si="68"/>
        <v>0</v>
      </c>
      <c r="L263" s="357">
        <f t="shared" si="68"/>
        <v>0</v>
      </c>
      <c r="M263" s="357">
        <f t="shared" si="68"/>
        <v>0</v>
      </c>
      <c r="N263" s="357">
        <f t="shared" si="68"/>
        <v>0</v>
      </c>
      <c r="O263" s="357">
        <f t="shared" si="68"/>
        <v>0</v>
      </c>
      <c r="P263" s="357">
        <f t="shared" si="68"/>
        <v>0</v>
      </c>
      <c r="Q263" s="358">
        <f t="shared" si="68"/>
        <v>-7.79443999999785</v>
      </c>
      <c r="R263" s="357"/>
    </row>
    <row r="265" spans="1:19">
      <c r="E265" s="297"/>
      <c r="F265" s="278"/>
      <c r="G265" s="278"/>
      <c r="H265" s="278"/>
      <c r="I265" s="278">
        <f>I262/I1*1000</f>
        <v>55.2852540628878</v>
      </c>
      <c r="J265" s="278"/>
      <c r="K265" s="278"/>
      <c r="L265" s="278"/>
      <c r="M265" s="278"/>
      <c r="N265" s="278"/>
      <c r="O265" s="278"/>
      <c r="P265" s="278"/>
      <c r="Q265" s="278"/>
    </row>
    <row r="266" s="244" customFormat="1" spans="1:19">
      <c r="A266" s="340"/>
      <c r="B266" s="298"/>
      <c r="C266" s="298"/>
      <c r="D266" s="29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8"/>
      <c r="O266" s="278"/>
      <c r="P266" s="278"/>
      <c r="Q266" s="297"/>
      <c r="R266" s="278"/>
    </row>
    <row r="267" s="246" customFormat="1" spans="1:19">
      <c r="A267" s="245"/>
      <c r="B267"/>
      <c r="C267"/>
      <c r="D267"/>
      <c r="E267" s="361"/>
      <c r="F267" s="278"/>
      <c r="G267" s="278"/>
      <c r="S267" s="249"/>
    </row>
    <row r="268" s="246" customFormat="1" spans="1:19">
      <c r="A268" s="245"/>
      <c r="B268"/>
      <c r="C268"/>
      <c r="D268"/>
      <c r="E268" s="297"/>
      <c r="F268" s="360"/>
      <c r="G268" s="360"/>
      <c r="H268" s="297"/>
      <c r="I268" s="278"/>
      <c r="Q268" s="297"/>
      <c r="S268" s="249"/>
    </row>
    <row r="269" s="246" customFormat="1" spans="1:19">
      <c r="A269" s="245"/>
      <c r="B269"/>
      <c r="C269"/>
      <c r="D269"/>
      <c r="F269" s="278"/>
      <c r="G269" s="278"/>
      <c r="Q269" s="278"/>
      <c r="S269" s="249"/>
    </row>
    <row r="270" s="246" customFormat="1" spans="1:19">
      <c r="A270" s="245"/>
      <c r="B270"/>
      <c r="C270"/>
      <c r="D270"/>
      <c r="E270" s="297"/>
      <c r="F270" s="297"/>
      <c r="G270" s="297"/>
      <c r="H270" s="297"/>
      <c r="S270" s="249"/>
    </row>
    <row r="272" s="246" customFormat="1" spans="1:19">
      <c r="A272" s="245"/>
      <c r="B272"/>
      <c r="C272"/>
      <c r="D272"/>
      <c r="E272" s="297"/>
      <c r="S272" s="249"/>
    </row>
    <row r="274" s="246" customFormat="1" spans="1:19">
      <c r="A274" s="245"/>
      <c r="B274"/>
      <c r="C274"/>
      <c r="D274"/>
      <c r="E274" s="361"/>
      <c r="S274" s="249"/>
    </row>
  </sheetData>
  <autoFilter xmlns:etc="http://www.wps.cn/officeDocument/2017/etCustomData" ref="A1:T253" etc:filterBottomFollowUsedRange="0">
    <extLst/>
  </autoFilter>
  <mergeCells count="1">
    <mergeCell ref="B244:D244"/>
  </mergeCell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S274"/>
  <sheetViews>
    <sheetView showGridLines="0" zoomScale="55" zoomScaleNormal="55" workbookViewId="0">
      <pane xSplit="4" ySplit="5" topLeftCell="E71" activePane="bottomRight" state="frozen"/>
      <selection/>
      <selection pane="topRight"/>
      <selection pane="bottomLeft"/>
      <selection pane="bottomRight" activeCell="D2" sqref="D2"/>
    </sheetView>
  </sheetViews>
  <sheetFormatPr defaultColWidth="8.77777777777778" defaultRowHeight="14.4"/>
  <cols>
    <col min="1" max="1" width="12.2222222222222" style="245" customWidth="1"/>
    <col min="2" max="2" width="13.8888888888889" customWidth="1"/>
    <col min="3" max="3" width="51.8888888888889" customWidth="1"/>
    <col min="4" max="4" width="50" customWidth="1"/>
    <col min="5" max="5" width="18.3333333333333" style="246" customWidth="1"/>
    <col min="6" max="7" width="13.8888888888889" style="246" customWidth="1"/>
    <col min="8" max="8" width="21.7777777777778" style="246" customWidth="1"/>
    <col min="9" max="9" width="16.1111111111111" style="246" customWidth="1"/>
    <col min="10" max="17" width="13.8888888888889" style="246" customWidth="1"/>
    <col min="18" max="18" width="19.6666666666667" style="246" customWidth="1"/>
    <col min="19" max="16384" width="8.77777777777778" style="249"/>
  </cols>
  <sheetData>
    <row r="1" s="119" customFormat="1" ht="15" spans="1:19">
      <c r="A1" s="134"/>
      <c r="B1" s="129" t="s">
        <v>14</v>
      </c>
      <c r="C1" s="128"/>
      <c r="D1" s="130" t="s">
        <v>15</v>
      </c>
      <c r="E1" s="250">
        <v>47357</v>
      </c>
      <c r="F1" s="250">
        <v>42000.001</v>
      </c>
      <c r="G1" s="250">
        <v>23500.001</v>
      </c>
      <c r="H1" s="250">
        <v>38000.001</v>
      </c>
      <c r="I1" s="250">
        <v>33000.001</v>
      </c>
      <c r="J1" s="250">
        <v>52500.001</v>
      </c>
      <c r="K1" s="250">
        <v>40672</v>
      </c>
      <c r="L1" s="250">
        <v>39704</v>
      </c>
      <c r="M1" s="250">
        <v>54907</v>
      </c>
      <c r="N1" s="250">
        <v>49968</v>
      </c>
      <c r="O1" s="250">
        <v>51936</v>
      </c>
      <c r="P1" s="250">
        <v>42190</v>
      </c>
      <c r="Q1" s="250">
        <f>+E1+F1+G1+H1+I1+J1+K1+L1+M1+N1+O1+P1</f>
        <v>515734.005</v>
      </c>
      <c r="R1" s="133"/>
    </row>
    <row r="2" s="119" customFormat="1" ht="15" spans="1:19">
      <c r="A2" s="134"/>
      <c r="B2" s="129"/>
      <c r="C2" s="128"/>
      <c r="D2" s="130" t="s">
        <v>16</v>
      </c>
      <c r="E2" s="362">
        <v>50.75</v>
      </c>
      <c r="F2" s="362">
        <v>52.47</v>
      </c>
      <c r="G2" s="362">
        <v>53.1</v>
      </c>
      <c r="H2" s="363">
        <v>54.2</v>
      </c>
      <c r="I2" s="250">
        <v>55.3</v>
      </c>
      <c r="J2" s="250">
        <v>56.4</v>
      </c>
      <c r="K2" s="250">
        <v>57.2</v>
      </c>
      <c r="L2" s="250">
        <v>58</v>
      </c>
      <c r="M2" s="250">
        <v>58.8</v>
      </c>
      <c r="N2" s="250">
        <v>59.77</v>
      </c>
      <c r="O2" s="250">
        <v>60.74</v>
      </c>
      <c r="P2" s="250">
        <v>61.71</v>
      </c>
      <c r="Q2" s="250"/>
      <c r="R2" s="133"/>
    </row>
    <row r="3" s="119" customFormat="1" spans="1:19">
      <c r="A3" s="134"/>
      <c r="B3" s="128"/>
      <c r="C3" s="128"/>
      <c r="D3" s="130" t="s">
        <v>17</v>
      </c>
      <c r="E3" s="131">
        <f t="shared" ref="E3:Q3" si="0">+E239</f>
        <v>55.1446766950232</v>
      </c>
      <c r="F3" s="131">
        <f t="shared" si="0"/>
        <v>49.7646228126802</v>
      </c>
      <c r="G3" s="131">
        <f t="shared" si="0"/>
        <v>48.2881452866921</v>
      </c>
      <c r="H3" s="131">
        <f t="shared" si="0"/>
        <v>0</v>
      </c>
      <c r="I3" s="131">
        <f t="shared" si="0"/>
        <v>0</v>
      </c>
      <c r="J3" s="131">
        <f t="shared" si="0"/>
        <v>0</v>
      </c>
      <c r="K3" s="131">
        <f t="shared" si="0"/>
        <v>0</v>
      </c>
      <c r="L3" s="131">
        <f t="shared" si="0"/>
        <v>0</v>
      </c>
      <c r="M3" s="131">
        <f t="shared" si="0"/>
        <v>0</v>
      </c>
      <c r="N3" s="131">
        <f t="shared" si="0"/>
        <v>0</v>
      </c>
      <c r="O3" s="131">
        <f t="shared" si="0"/>
        <v>0</v>
      </c>
      <c r="P3" s="131">
        <f t="shared" si="0"/>
        <v>0</v>
      </c>
      <c r="Q3" s="131">
        <f t="shared" si="0"/>
        <v>0</v>
      </c>
      <c r="R3" s="131"/>
    </row>
    <row r="5" ht="28.8" spans="1:19">
      <c r="A5" s="255" t="s">
        <v>18</v>
      </c>
      <c r="E5" s="139" t="s">
        <v>19</v>
      </c>
      <c r="F5" s="139" t="s">
        <v>20</v>
      </c>
      <c r="G5" s="139" t="s">
        <v>21</v>
      </c>
      <c r="H5" s="139" t="s">
        <v>22</v>
      </c>
      <c r="I5" s="139" t="s">
        <v>23</v>
      </c>
      <c r="J5" s="139" t="s">
        <v>24</v>
      </c>
      <c r="K5" s="139" t="s">
        <v>25</v>
      </c>
      <c r="L5" s="139" t="s">
        <v>26</v>
      </c>
      <c r="M5" s="139" t="s">
        <v>27</v>
      </c>
      <c r="N5" s="139" t="s">
        <v>28</v>
      </c>
      <c r="O5" s="139" t="s">
        <v>29</v>
      </c>
      <c r="P5" s="139" t="s">
        <v>30</v>
      </c>
      <c r="Q5" s="139" t="s">
        <v>31</v>
      </c>
      <c r="R5" s="139"/>
    </row>
    <row r="6" outlineLevel="1" spans="1:19">
      <c r="A6" s="245" t="s">
        <v>32</v>
      </c>
      <c r="B6" s="256">
        <v>6666110101</v>
      </c>
      <c r="C6" s="256" t="s">
        <v>33</v>
      </c>
      <c r="D6" s="256" t="s">
        <v>34</v>
      </c>
      <c r="E6" s="257">
        <v>9.58876010747688</v>
      </c>
      <c r="F6" s="259">
        <v>515.616814166967</v>
      </c>
      <c r="G6" s="259">
        <v>558.871996287732</v>
      </c>
      <c r="H6" s="259">
        <v>545.801488745188</v>
      </c>
      <c r="I6" s="259">
        <v>556.906394768632</v>
      </c>
      <c r="J6" s="259">
        <v>546.486970480304</v>
      </c>
      <c r="K6" s="259">
        <v>575.810232145127</v>
      </c>
      <c r="L6" s="259">
        <v>575.98362021454</v>
      </c>
      <c r="M6" s="259">
        <v>562.532122922797</v>
      </c>
      <c r="N6" s="259">
        <v>577.538566684886</v>
      </c>
      <c r="O6" s="259">
        <v>567.490773102026</v>
      </c>
      <c r="P6" s="259">
        <v>589.551269189873</v>
      </c>
      <c r="Q6" s="259">
        <f t="shared" ref="Q6:Q13" si="1">F6+E6+G6+H6+I6+J6+K6+L6+M6+N6+O6+P6</f>
        <v>6182.17900881555</v>
      </c>
      <c r="R6" s="260"/>
      <c r="S6" s="261"/>
    </row>
    <row r="7" outlineLevel="1" spans="1:19">
      <c r="A7" s="245" t="s">
        <v>32</v>
      </c>
      <c r="B7" s="256">
        <v>6666110106</v>
      </c>
      <c r="C7" s="256" t="s">
        <v>35</v>
      </c>
      <c r="D7" s="256" t="s">
        <v>34</v>
      </c>
      <c r="E7" s="257">
        <v>0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259">
        <v>0</v>
      </c>
      <c r="N7" s="259">
        <v>0</v>
      </c>
      <c r="O7" s="259">
        <v>0</v>
      </c>
      <c r="P7" s="259">
        <v>0</v>
      </c>
      <c r="Q7" s="259">
        <f t="shared" si="1"/>
        <v>0</v>
      </c>
      <c r="R7" s="260"/>
      <c r="S7" s="261"/>
    </row>
    <row r="8" outlineLevel="1" spans="1:19">
      <c r="A8" s="245" t="s">
        <v>32</v>
      </c>
      <c r="B8" s="256">
        <v>6666110107</v>
      </c>
      <c r="C8" s="256" t="s">
        <v>36</v>
      </c>
      <c r="D8" s="256" t="s">
        <v>34</v>
      </c>
      <c r="E8" s="257">
        <v>92.4624160029007</v>
      </c>
      <c r="F8" s="259">
        <v>-128.50944426501</v>
      </c>
      <c r="G8" s="259">
        <v>-132.59646448935</v>
      </c>
      <c r="H8" s="259">
        <v>-133.139949428635</v>
      </c>
      <c r="I8" s="259">
        <v>-136.890708699943</v>
      </c>
      <c r="J8" s="259">
        <v>-137.102936159895</v>
      </c>
      <c r="K8" s="259">
        <v>-140.223027192383</v>
      </c>
      <c r="L8" s="259">
        <v>-141.552311842547</v>
      </c>
      <c r="M8" s="259">
        <v>-141.040425563791</v>
      </c>
      <c r="N8" s="259">
        <v>-144.044456211129</v>
      </c>
      <c r="O8" s="259">
        <v>-143.383870637935</v>
      </c>
      <c r="P8" s="259">
        <v>-146.350319921396</v>
      </c>
      <c r="Q8" s="259">
        <f t="shared" si="1"/>
        <v>-1432.37149840911</v>
      </c>
      <c r="R8" s="260"/>
      <c r="S8" s="261"/>
    </row>
    <row r="9" outlineLevel="1" spans="1:19">
      <c r="A9" s="245" t="s">
        <v>32</v>
      </c>
      <c r="B9" s="256">
        <v>6666110110</v>
      </c>
      <c r="C9" s="256" t="s">
        <v>37</v>
      </c>
      <c r="D9" s="256" t="s">
        <v>34</v>
      </c>
      <c r="E9" s="257">
        <v>63.7490813777297</v>
      </c>
      <c r="F9" s="259">
        <v>-231.740419633937</v>
      </c>
      <c r="G9" s="259">
        <v>-259.883246732321</v>
      </c>
      <c r="H9" s="259">
        <v>-251.508389357985</v>
      </c>
      <c r="I9" s="259">
        <v>-259.515465172618</v>
      </c>
      <c r="J9" s="259">
        <v>-251.338339151601</v>
      </c>
      <c r="K9" s="259">
        <v>-259.081950814328</v>
      </c>
      <c r="L9" s="259">
        <v>-258.728279127425</v>
      </c>
      <c r="M9" s="259">
        <v>-250.197282338632</v>
      </c>
      <c r="N9" s="259">
        <v>-259.464352537887</v>
      </c>
      <c r="O9" s="259">
        <v>-251.886622143475</v>
      </c>
      <c r="P9" s="259">
        <v>-261.158151638824</v>
      </c>
      <c r="Q9" s="259">
        <f t="shared" si="1"/>
        <v>-2730.7534172713</v>
      </c>
      <c r="R9" s="260"/>
      <c r="S9" s="261"/>
    </row>
    <row r="10" outlineLevel="1" spans="1:19">
      <c r="A10" s="245" t="s">
        <v>32</v>
      </c>
      <c r="B10" s="256">
        <v>6666110112</v>
      </c>
      <c r="C10" s="256" t="s">
        <v>38</v>
      </c>
      <c r="D10" s="256" t="s">
        <v>34</v>
      </c>
      <c r="E10" s="257">
        <v>4.24738775595222</v>
      </c>
      <c r="F10" s="259">
        <v>-4.45049747090506</v>
      </c>
      <c r="G10" s="259">
        <v>-4.72289274016475</v>
      </c>
      <c r="H10" s="259">
        <v>-4.71905663679139</v>
      </c>
      <c r="I10" s="259">
        <v>-3.50974911436112</v>
      </c>
      <c r="J10" s="259">
        <v>-3.77386511338965</v>
      </c>
      <c r="K10" s="259">
        <v>-3.80433447154082</v>
      </c>
      <c r="L10" s="259">
        <v>-3.87991282861603</v>
      </c>
      <c r="M10" s="259">
        <v>-3.8599245320737</v>
      </c>
      <c r="N10" s="259">
        <v>-3.96322339801831</v>
      </c>
      <c r="O10" s="259">
        <v>-3.93412176648477</v>
      </c>
      <c r="P10" s="259">
        <v>-3.74006806021849</v>
      </c>
      <c r="Q10" s="259">
        <f t="shared" si="1"/>
        <v>-40.1102583766119</v>
      </c>
      <c r="R10" s="260"/>
      <c r="S10" s="261"/>
    </row>
    <row r="11" outlineLevel="1" spans="1:19">
      <c r="A11" s="245" t="s">
        <v>32</v>
      </c>
      <c r="B11" s="256">
        <v>6666110204</v>
      </c>
      <c r="C11" s="256" t="s">
        <v>39</v>
      </c>
      <c r="D11" s="256" t="s">
        <v>34</v>
      </c>
      <c r="E11" s="257">
        <v>0.174120813939282</v>
      </c>
      <c r="F11" s="259">
        <v>-0.0813800765212743</v>
      </c>
      <c r="G11" s="259">
        <v>-0.079585154130931</v>
      </c>
      <c r="H11" s="259">
        <v>-0.0837860409834396</v>
      </c>
      <c r="I11" s="259">
        <v>-0.0876257245997737</v>
      </c>
      <c r="J11" s="259">
        <v>-0.0913133079126453</v>
      </c>
      <c r="K11" s="259">
        <v>-0.0938852984159091</v>
      </c>
      <c r="L11" s="259">
        <v>-0.0963665075251082</v>
      </c>
      <c r="M11" s="259">
        <v>-0.0987906821859179</v>
      </c>
      <c r="N11" s="259">
        <v>-0.101049159666747</v>
      </c>
      <c r="O11" s="259">
        <v>-0.103232238178101</v>
      </c>
      <c r="P11" s="259">
        <v>-0.105372717825739</v>
      </c>
      <c r="Q11" s="259">
        <f t="shared" si="1"/>
        <v>-0.848266094006305</v>
      </c>
      <c r="R11" s="260"/>
      <c r="S11" s="261"/>
    </row>
    <row r="12" outlineLevel="1" spans="1:19">
      <c r="A12" s="245" t="s">
        <v>32</v>
      </c>
      <c r="B12" s="256">
        <v>6666110207</v>
      </c>
      <c r="C12" s="256" t="s">
        <v>40</v>
      </c>
      <c r="D12" s="256" t="s">
        <v>34</v>
      </c>
      <c r="E12" s="257">
        <v>1.12646386498981</v>
      </c>
      <c r="F12" s="259">
        <v>-1.24198140924259</v>
      </c>
      <c r="G12" s="259">
        <v>-1.23113868228298</v>
      </c>
      <c r="H12" s="259">
        <v>-1.25800584635284</v>
      </c>
      <c r="I12" s="259">
        <v>-1.2832001440796</v>
      </c>
      <c r="J12" s="259">
        <v>-1.30673679954754</v>
      </c>
      <c r="K12" s="259">
        <v>-1.32362276315238</v>
      </c>
      <c r="L12" s="259">
        <v>-1.43819797219686</v>
      </c>
      <c r="M12" s="259">
        <v>-1.04526773109244</v>
      </c>
      <c r="N12" s="259">
        <v>-1.21956904892516</v>
      </c>
      <c r="O12" s="259">
        <v>-1.26538903938099</v>
      </c>
      <c r="P12" s="259">
        <v>-1.27467599786837</v>
      </c>
      <c r="Q12" s="259">
        <f t="shared" si="1"/>
        <v>-12.7613215691319</v>
      </c>
      <c r="R12" s="260"/>
      <c r="S12" s="261"/>
    </row>
    <row r="13" outlineLevel="1" spans="1:19">
      <c r="A13" s="245" t="s">
        <v>32</v>
      </c>
      <c r="B13" s="256">
        <v>6666110506</v>
      </c>
      <c r="C13" s="256" t="s">
        <v>41</v>
      </c>
      <c r="D13" s="256" t="s">
        <v>34</v>
      </c>
      <c r="E13" s="257">
        <v>0</v>
      </c>
      <c r="F13" s="259">
        <v>0</v>
      </c>
      <c r="G13" s="259">
        <v>0</v>
      </c>
      <c r="H13" s="259">
        <v>0</v>
      </c>
      <c r="I13" s="259">
        <v>0</v>
      </c>
      <c r="J13" s="259">
        <v>0</v>
      </c>
      <c r="K13" s="259">
        <v>0</v>
      </c>
      <c r="L13" s="259">
        <v>0</v>
      </c>
      <c r="M13" s="259">
        <v>0</v>
      </c>
      <c r="N13" s="259">
        <v>0</v>
      </c>
      <c r="O13" s="259">
        <v>0</v>
      </c>
      <c r="P13" s="259">
        <v>0</v>
      </c>
      <c r="Q13" s="259">
        <f t="shared" si="1"/>
        <v>0</v>
      </c>
      <c r="R13" s="260"/>
      <c r="S13" s="261"/>
    </row>
    <row r="14" s="120" customFormat="1" spans="1:19">
      <c r="A14" s="245"/>
      <c r="B14" s="148" t="s">
        <v>42</v>
      </c>
      <c r="C14" s="149" t="s">
        <v>34</v>
      </c>
      <c r="D14" s="150"/>
      <c r="E14" s="151">
        <f>SUM(E6:E13)</f>
        <v>171.348229922989</v>
      </c>
      <c r="F14" s="262">
        <f t="shared" ref="F14:Q14" si="2">SUM(F6:F13)</f>
        <v>149.593091311351</v>
      </c>
      <c r="G14" s="262">
        <f t="shared" si="2"/>
        <v>160.358668489482</v>
      </c>
      <c r="H14" s="262">
        <f t="shared" si="2"/>
        <v>155.09230143444</v>
      </c>
      <c r="I14" s="262">
        <f t="shared" si="2"/>
        <v>155.61964591303</v>
      </c>
      <c r="J14" s="262">
        <f t="shared" si="2"/>
        <v>152.873779947958</v>
      </c>
      <c r="K14" s="262">
        <f t="shared" si="2"/>
        <v>171.283411605306</v>
      </c>
      <c r="L14" s="262">
        <f t="shared" si="2"/>
        <v>170.288551936229</v>
      </c>
      <c r="M14" s="262">
        <f t="shared" si="2"/>
        <v>166.290432075023</v>
      </c>
      <c r="N14" s="262">
        <f t="shared" si="2"/>
        <v>168.74591632926</v>
      </c>
      <c r="O14" s="262">
        <f t="shared" si="2"/>
        <v>166.917537276572</v>
      </c>
      <c r="P14" s="262">
        <f t="shared" si="2"/>
        <v>176.92268085374</v>
      </c>
      <c r="Q14" s="262">
        <f t="shared" si="2"/>
        <v>1965.33424709538</v>
      </c>
      <c r="R14" s="152"/>
      <c r="S14" s="261"/>
    </row>
    <row r="15" outlineLevel="1" spans="1:19">
      <c r="A15" s="245" t="s">
        <v>32</v>
      </c>
      <c r="B15" s="256">
        <v>5001010205</v>
      </c>
      <c r="C15" s="256" t="s">
        <v>43</v>
      </c>
      <c r="D15" s="256" t="s">
        <v>44</v>
      </c>
      <c r="E15" s="257">
        <v>7.61607</v>
      </c>
      <c r="F15" s="259">
        <v>0</v>
      </c>
      <c r="G15" s="259">
        <v>0</v>
      </c>
      <c r="H15" s="259">
        <v>0</v>
      </c>
      <c r="I15" s="259">
        <v>0</v>
      </c>
      <c r="J15" s="259">
        <v>0</v>
      </c>
      <c r="K15" s="259">
        <v>0</v>
      </c>
      <c r="L15" s="259">
        <v>0</v>
      </c>
      <c r="M15" s="259">
        <v>0</v>
      </c>
      <c r="N15" s="259">
        <v>0</v>
      </c>
      <c r="O15" s="259">
        <v>0</v>
      </c>
      <c r="P15" s="259">
        <v>0</v>
      </c>
      <c r="Q15" s="259">
        <f t="shared" ref="Q15:Q22" si="3">F15+E15+G15+H15+I15+J15+K15+L15+M15+N15+O15+P15</f>
        <v>7.61607</v>
      </c>
      <c r="R15" s="260"/>
      <c r="S15" s="261"/>
    </row>
    <row r="16" outlineLevel="1" spans="1:19">
      <c r="A16" s="245" t="s">
        <v>32</v>
      </c>
      <c r="B16" s="256">
        <v>6666010380</v>
      </c>
      <c r="C16" s="256" t="s">
        <v>45</v>
      </c>
      <c r="D16" s="256" t="s">
        <v>44</v>
      </c>
      <c r="E16" s="257">
        <v>-1.8209</v>
      </c>
      <c r="F16" s="259">
        <v>0</v>
      </c>
      <c r="G16" s="259">
        <v>0</v>
      </c>
      <c r="H16" s="259">
        <v>0</v>
      </c>
      <c r="I16" s="259">
        <v>0</v>
      </c>
      <c r="J16" s="259">
        <v>0</v>
      </c>
      <c r="K16" s="259">
        <v>0</v>
      </c>
      <c r="L16" s="259">
        <v>0</v>
      </c>
      <c r="M16" s="259">
        <v>0</v>
      </c>
      <c r="N16" s="259">
        <v>0</v>
      </c>
      <c r="O16" s="259">
        <v>0</v>
      </c>
      <c r="P16" s="259">
        <v>0</v>
      </c>
      <c r="Q16" s="259">
        <f t="shared" si="3"/>
        <v>-1.8209</v>
      </c>
      <c r="R16" s="260"/>
      <c r="S16" s="261"/>
    </row>
    <row r="17" outlineLevel="1" spans="1:19">
      <c r="A17" s="245" t="s">
        <v>32</v>
      </c>
      <c r="B17" s="256">
        <v>6666010019</v>
      </c>
      <c r="C17" s="256" t="s">
        <v>46</v>
      </c>
      <c r="D17" s="256" t="s">
        <v>44</v>
      </c>
      <c r="E17" s="257">
        <v>64.67305</v>
      </c>
      <c r="F17" s="259">
        <v>483.167544221378</v>
      </c>
      <c r="G17" s="259">
        <v>486.956716717969</v>
      </c>
      <c r="H17" s="259">
        <v>464.960808310702</v>
      </c>
      <c r="I17" s="259">
        <v>528.140551588301</v>
      </c>
      <c r="J17" s="259">
        <v>497.003513045872</v>
      </c>
      <c r="K17" s="259">
        <v>446.301874665663</v>
      </c>
      <c r="L17" s="259">
        <v>457.457476299572</v>
      </c>
      <c r="M17" s="259">
        <v>552.862555661492</v>
      </c>
      <c r="N17" s="259">
        <v>505.686429113339</v>
      </c>
      <c r="O17" s="259">
        <v>482.523767502193</v>
      </c>
      <c r="P17" s="259">
        <v>489.090361758075</v>
      </c>
      <c r="Q17" s="259">
        <f t="shared" si="3"/>
        <v>5458.82464888456</v>
      </c>
      <c r="R17" s="260"/>
      <c r="S17" s="261"/>
    </row>
    <row r="18" outlineLevel="1" spans="1:19">
      <c r="A18" s="245" t="s">
        <v>32</v>
      </c>
      <c r="B18" s="256">
        <v>6666010183</v>
      </c>
      <c r="C18" s="256" t="s">
        <v>47</v>
      </c>
      <c r="D18" s="256" t="s">
        <v>44</v>
      </c>
      <c r="E18" s="257">
        <v>10.50135</v>
      </c>
      <c r="F18" s="259">
        <v>0</v>
      </c>
      <c r="G18" s="259">
        <v>0</v>
      </c>
      <c r="H18" s="259">
        <v>0</v>
      </c>
      <c r="I18" s="259">
        <v>0</v>
      </c>
      <c r="J18" s="259">
        <v>0</v>
      </c>
      <c r="K18" s="259">
        <v>0</v>
      </c>
      <c r="L18" s="259">
        <v>0</v>
      </c>
      <c r="M18" s="259">
        <v>0</v>
      </c>
      <c r="N18" s="259">
        <v>0</v>
      </c>
      <c r="O18" s="259">
        <v>0</v>
      </c>
      <c r="P18" s="259">
        <v>0</v>
      </c>
      <c r="Q18" s="259">
        <f t="shared" si="3"/>
        <v>10.50135</v>
      </c>
      <c r="R18" s="260"/>
      <c r="S18" s="261"/>
    </row>
    <row r="19" outlineLevel="1" spans="1:19">
      <c r="A19" s="245" t="s">
        <v>32</v>
      </c>
      <c r="B19" s="256">
        <v>6666010229</v>
      </c>
      <c r="C19" s="256" t="s">
        <v>48</v>
      </c>
      <c r="D19" s="256" t="s">
        <v>44</v>
      </c>
      <c r="E19" s="257">
        <v>16.69101</v>
      </c>
      <c r="F19" s="259">
        <v>0</v>
      </c>
      <c r="G19" s="259">
        <v>0</v>
      </c>
      <c r="H19" s="259">
        <v>0</v>
      </c>
      <c r="I19" s="259">
        <v>0</v>
      </c>
      <c r="J19" s="259">
        <v>0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f t="shared" si="3"/>
        <v>16.69101</v>
      </c>
      <c r="R19" s="260"/>
      <c r="S19" s="261"/>
    </row>
    <row r="20" outlineLevel="1" spans="1:19">
      <c r="A20" s="245" t="s">
        <v>32</v>
      </c>
      <c r="B20" s="256">
        <v>6666010188</v>
      </c>
      <c r="C20" s="256" t="s">
        <v>49</v>
      </c>
      <c r="D20" s="256" t="s">
        <v>44</v>
      </c>
      <c r="E20" s="257">
        <v>357.71936</v>
      </c>
      <c r="F20" s="259">
        <v>0</v>
      </c>
      <c r="G20" s="259">
        <v>0</v>
      </c>
      <c r="H20" s="259">
        <v>0</v>
      </c>
      <c r="I20" s="259">
        <v>0</v>
      </c>
      <c r="J20" s="259">
        <v>0</v>
      </c>
      <c r="K20" s="259">
        <v>0</v>
      </c>
      <c r="L20" s="259">
        <v>0</v>
      </c>
      <c r="M20" s="259">
        <v>0</v>
      </c>
      <c r="N20" s="259">
        <v>0</v>
      </c>
      <c r="O20" s="259">
        <v>0</v>
      </c>
      <c r="P20" s="259">
        <v>0</v>
      </c>
      <c r="Q20" s="259">
        <f t="shared" si="3"/>
        <v>357.71936</v>
      </c>
      <c r="R20" s="260"/>
      <c r="S20" s="261"/>
    </row>
    <row r="21" s="121" customFormat="1" outlineLevel="1" spans="1:19">
      <c r="A21" s="245" t="s">
        <v>32</v>
      </c>
      <c r="B21" s="140">
        <v>5102040406</v>
      </c>
      <c r="C21" s="140" t="s">
        <v>50</v>
      </c>
      <c r="D21" s="140" t="s">
        <v>44</v>
      </c>
      <c r="E21" s="257">
        <v>0</v>
      </c>
      <c r="F21" s="259">
        <v>0</v>
      </c>
      <c r="G21" s="259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259">
        <f t="shared" si="3"/>
        <v>0</v>
      </c>
      <c r="R21" s="264"/>
      <c r="S21" s="261"/>
    </row>
    <row r="22" outlineLevel="1" spans="1:19">
      <c r="A22" s="245" t="s">
        <v>32</v>
      </c>
      <c r="B22" s="256">
        <v>6666010115</v>
      </c>
      <c r="C22" s="256" t="s">
        <v>51</v>
      </c>
      <c r="D22" s="256" t="s">
        <v>44</v>
      </c>
      <c r="E22" s="257">
        <v>-4.2657</v>
      </c>
      <c r="F22" s="259">
        <v>0</v>
      </c>
      <c r="G22" s="259">
        <v>0</v>
      </c>
      <c r="H22" s="259">
        <v>0</v>
      </c>
      <c r="I22" s="259">
        <v>0</v>
      </c>
      <c r="J22" s="259">
        <v>0</v>
      </c>
      <c r="K22" s="259">
        <v>0</v>
      </c>
      <c r="L22" s="259">
        <v>0</v>
      </c>
      <c r="M22" s="259">
        <v>0</v>
      </c>
      <c r="N22" s="259">
        <v>0</v>
      </c>
      <c r="O22" s="259">
        <v>0</v>
      </c>
      <c r="P22" s="259">
        <v>0</v>
      </c>
      <c r="Q22" s="259">
        <f t="shared" si="3"/>
        <v>-4.2657</v>
      </c>
      <c r="R22" s="260"/>
      <c r="S22" s="261"/>
    </row>
    <row r="23" s="122" customFormat="1" spans="1:19">
      <c r="A23" s="245"/>
      <c r="B23" s="148" t="s">
        <v>52</v>
      </c>
      <c r="C23" s="149" t="s">
        <v>44</v>
      </c>
      <c r="D23" s="150"/>
      <c r="E23" s="151">
        <f>SUM(E15:E22)</f>
        <v>451.11424</v>
      </c>
      <c r="F23" s="262">
        <f t="shared" ref="F23:Q23" si="4">SUM(F15:F22)</f>
        <v>483.167544221378</v>
      </c>
      <c r="G23" s="262">
        <f t="shared" si="4"/>
        <v>486.956716717969</v>
      </c>
      <c r="H23" s="262">
        <f t="shared" si="4"/>
        <v>464.960808310702</v>
      </c>
      <c r="I23" s="262">
        <f t="shared" si="4"/>
        <v>528.140551588301</v>
      </c>
      <c r="J23" s="262">
        <f t="shared" si="4"/>
        <v>497.003513045872</v>
      </c>
      <c r="K23" s="262">
        <f t="shared" si="4"/>
        <v>446.301874665663</v>
      </c>
      <c r="L23" s="262">
        <f t="shared" si="4"/>
        <v>457.457476299572</v>
      </c>
      <c r="M23" s="262">
        <f t="shared" si="4"/>
        <v>552.862555661492</v>
      </c>
      <c r="N23" s="262">
        <f t="shared" si="4"/>
        <v>505.686429113339</v>
      </c>
      <c r="O23" s="262">
        <f t="shared" si="4"/>
        <v>482.523767502193</v>
      </c>
      <c r="P23" s="262">
        <f t="shared" si="4"/>
        <v>489.090361758075</v>
      </c>
      <c r="Q23" s="262">
        <f t="shared" si="4"/>
        <v>5845.26583888455</v>
      </c>
      <c r="R23" s="152"/>
      <c r="S23" s="261"/>
    </row>
    <row r="24" outlineLevel="2" spans="1:19">
      <c r="A24" s="245" t="s">
        <v>53</v>
      </c>
      <c r="B24" s="256">
        <v>8701530201</v>
      </c>
      <c r="C24" s="256" t="s">
        <v>54</v>
      </c>
      <c r="D24" s="256" t="s">
        <v>55</v>
      </c>
      <c r="E24" s="257">
        <v>0</v>
      </c>
      <c r="F24" s="259">
        <v>0</v>
      </c>
      <c r="G24" s="259">
        <v>0</v>
      </c>
      <c r="H24" s="259">
        <v>0</v>
      </c>
      <c r="I24" s="259">
        <v>0</v>
      </c>
      <c r="J24" s="25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f>F24+E24+G24+H24+I24+J24+K24+L24+M24+N24+O24+P24</f>
        <v>0</v>
      </c>
      <c r="R24" s="260"/>
      <c r="S24" s="261"/>
    </row>
    <row r="25" outlineLevel="2" spans="1:19">
      <c r="A25" s="245" t="s">
        <v>53</v>
      </c>
      <c r="B25" s="256">
        <v>6666050309</v>
      </c>
      <c r="C25" s="256" t="s">
        <v>56</v>
      </c>
      <c r="D25" s="256" t="s">
        <v>55</v>
      </c>
      <c r="E25" s="257">
        <v>6.0635</v>
      </c>
      <c r="F25" s="259">
        <v>18.48000044</v>
      </c>
      <c r="G25" s="259">
        <v>10.34000044</v>
      </c>
      <c r="H25" s="259">
        <v>16.72000044</v>
      </c>
      <c r="I25" s="259">
        <v>14.52000044</v>
      </c>
      <c r="J25" s="259">
        <v>23.10000044</v>
      </c>
      <c r="K25" s="259">
        <v>17.89568</v>
      </c>
      <c r="L25" s="259">
        <v>17.46976</v>
      </c>
      <c r="M25" s="259">
        <v>24.15908</v>
      </c>
      <c r="N25" s="259">
        <v>21.98592</v>
      </c>
      <c r="O25" s="259">
        <v>22.85184</v>
      </c>
      <c r="P25" s="259">
        <v>18.5636</v>
      </c>
      <c r="Q25" s="259">
        <f>F25+E25+G25+H25+I25+J25+K25+L25+M25+N25+O25+P25</f>
        <v>212.1493822</v>
      </c>
      <c r="R25" s="260"/>
      <c r="S25" s="261"/>
    </row>
    <row r="26" outlineLevel="2" spans="1:19">
      <c r="A26" s="245" t="s">
        <v>53</v>
      </c>
      <c r="B26" s="256">
        <v>6666050308</v>
      </c>
      <c r="C26" s="256" t="s">
        <v>57</v>
      </c>
      <c r="D26" s="256" t="s">
        <v>55</v>
      </c>
      <c r="E26" s="257">
        <v>11.57396</v>
      </c>
      <c r="F26" s="259">
        <v>0</v>
      </c>
      <c r="G26" s="259">
        <v>0</v>
      </c>
      <c r="H26" s="259">
        <v>0</v>
      </c>
      <c r="I26" s="259">
        <v>0</v>
      </c>
      <c r="J26" s="259">
        <v>0</v>
      </c>
      <c r="K26" s="259">
        <v>0</v>
      </c>
      <c r="L26" s="259">
        <v>0</v>
      </c>
      <c r="M26" s="259">
        <v>0</v>
      </c>
      <c r="N26" s="259">
        <v>0</v>
      </c>
      <c r="O26" s="259">
        <v>0</v>
      </c>
      <c r="P26" s="259">
        <v>0</v>
      </c>
      <c r="Q26" s="259">
        <f>F26+E26+G26+H26+I26+J26+K26+L26+M26+N26+O26+P26</f>
        <v>11.57396</v>
      </c>
      <c r="R26" s="260"/>
      <c r="S26" s="261"/>
    </row>
    <row r="27" outlineLevel="2" spans="1:19">
      <c r="A27" s="245" t="s">
        <v>53</v>
      </c>
      <c r="B27" s="256">
        <v>6666050306</v>
      </c>
      <c r="C27" s="256" t="s">
        <v>58</v>
      </c>
      <c r="D27" s="256" t="s">
        <v>55</v>
      </c>
      <c r="E27" s="257">
        <v>0.58819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f>F27+E27+G27+H27+I27+J27+K27+L27+M27+N27+O27+P27</f>
        <v>0.58819</v>
      </c>
      <c r="R27" s="260"/>
      <c r="S27" s="261"/>
    </row>
    <row r="28" s="120" customFormat="1" spans="1:19">
      <c r="A28" s="245"/>
      <c r="B28" s="148" t="s">
        <v>52</v>
      </c>
      <c r="C28" s="149" t="s">
        <v>55</v>
      </c>
      <c r="D28" s="150"/>
      <c r="E28" s="151">
        <f>SUM(E24:E27)</f>
        <v>18.22565</v>
      </c>
      <c r="F28" s="262">
        <f t="shared" ref="F28:Q28" si="5">SUM(F24:F27)</f>
        <v>18.48000044</v>
      </c>
      <c r="G28" s="262">
        <f t="shared" si="5"/>
        <v>10.34000044</v>
      </c>
      <c r="H28" s="262">
        <f t="shared" si="5"/>
        <v>16.72000044</v>
      </c>
      <c r="I28" s="262">
        <f t="shared" si="5"/>
        <v>14.52000044</v>
      </c>
      <c r="J28" s="262">
        <f t="shared" si="5"/>
        <v>23.10000044</v>
      </c>
      <c r="K28" s="262">
        <f t="shared" si="5"/>
        <v>17.89568</v>
      </c>
      <c r="L28" s="262">
        <f t="shared" si="5"/>
        <v>17.46976</v>
      </c>
      <c r="M28" s="262">
        <f t="shared" si="5"/>
        <v>24.15908</v>
      </c>
      <c r="N28" s="262">
        <f t="shared" si="5"/>
        <v>21.98592</v>
      </c>
      <c r="O28" s="262">
        <f t="shared" si="5"/>
        <v>22.85184</v>
      </c>
      <c r="P28" s="262">
        <f t="shared" si="5"/>
        <v>18.5636</v>
      </c>
      <c r="Q28" s="262">
        <f t="shared" si="5"/>
        <v>224.3115322</v>
      </c>
      <c r="R28" s="152"/>
      <c r="S28" s="261"/>
    </row>
    <row r="29" outlineLevel="2" spans="1:19">
      <c r="A29" s="245" t="s">
        <v>32</v>
      </c>
      <c r="B29" s="256">
        <v>5102010151</v>
      </c>
      <c r="C29" s="256" t="s">
        <v>59</v>
      </c>
      <c r="D29" s="256" t="s">
        <v>60</v>
      </c>
      <c r="E29" s="257">
        <v>0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f>F29+E29+G29+H29+I29+J29+K29+L29+M29+N29+O29+P29</f>
        <v>0</v>
      </c>
      <c r="R29" s="260"/>
      <c r="S29" s="261"/>
    </row>
    <row r="30" outlineLevel="2" spans="1:19">
      <c r="A30" s="245" t="s">
        <v>32</v>
      </c>
      <c r="B30" s="256">
        <v>5001010200</v>
      </c>
      <c r="C30" s="256" t="s">
        <v>61</v>
      </c>
      <c r="D30" s="256" t="s">
        <v>60</v>
      </c>
      <c r="E30" s="257">
        <v>0</v>
      </c>
      <c r="F30" s="259">
        <v>0</v>
      </c>
      <c r="G30" s="259">
        <v>0</v>
      </c>
      <c r="H30" s="259">
        <v>0</v>
      </c>
      <c r="I30" s="259">
        <v>0</v>
      </c>
      <c r="J30" s="259">
        <v>0</v>
      </c>
      <c r="K30" s="259">
        <v>0</v>
      </c>
      <c r="L30" s="259">
        <v>0</v>
      </c>
      <c r="M30" s="259">
        <v>0</v>
      </c>
      <c r="N30" s="259">
        <v>0</v>
      </c>
      <c r="O30" s="259">
        <v>0</v>
      </c>
      <c r="P30" s="259">
        <v>0</v>
      </c>
      <c r="Q30" s="259">
        <f>F30+E30+G30+H30+I30+J30+K30+L30+M30+N30+O30+P30</f>
        <v>0</v>
      </c>
      <c r="R30" s="260"/>
      <c r="S30" s="261"/>
    </row>
    <row r="31" outlineLevel="2" spans="1:19">
      <c r="A31" s="245" t="s">
        <v>32</v>
      </c>
      <c r="B31" s="256">
        <v>5001010201</v>
      </c>
      <c r="C31" s="256" t="s">
        <v>62</v>
      </c>
      <c r="D31" s="256" t="s">
        <v>60</v>
      </c>
      <c r="E31" s="257">
        <v>0</v>
      </c>
      <c r="F31" s="259">
        <v>0</v>
      </c>
      <c r="G31" s="259">
        <v>0</v>
      </c>
      <c r="H31" s="259">
        <v>0</v>
      </c>
      <c r="I31" s="259">
        <v>0</v>
      </c>
      <c r="J31" s="259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f>F31+E31+G31+H31+I31+J31+K31+L31+M31+N31+O31+P31</f>
        <v>0</v>
      </c>
      <c r="R31" s="260"/>
      <c r="S31" s="261"/>
    </row>
    <row r="32" outlineLevel="2" spans="1:19">
      <c r="A32" s="245" t="s">
        <v>32</v>
      </c>
      <c r="B32" s="256">
        <v>5001010204</v>
      </c>
      <c r="C32" s="267" t="s">
        <v>63</v>
      </c>
      <c r="D32" s="256" t="s">
        <v>60</v>
      </c>
      <c r="E32" s="257">
        <v>0</v>
      </c>
      <c r="F32" s="259">
        <v>0</v>
      </c>
      <c r="G32" s="259">
        <v>0</v>
      </c>
      <c r="H32" s="259">
        <v>0</v>
      </c>
      <c r="I32" s="259">
        <v>0</v>
      </c>
      <c r="J32" s="259">
        <v>0</v>
      </c>
      <c r="K32" s="259">
        <v>0</v>
      </c>
      <c r="L32" s="259">
        <v>0</v>
      </c>
      <c r="M32" s="259">
        <v>0</v>
      </c>
      <c r="N32" s="259">
        <v>0</v>
      </c>
      <c r="O32" s="259">
        <v>0</v>
      </c>
      <c r="P32" s="259">
        <v>0</v>
      </c>
      <c r="Q32" s="259"/>
      <c r="R32" s="260"/>
      <c r="S32" s="261"/>
    </row>
    <row r="33" outlineLevel="2" spans="1:19">
      <c r="A33" s="245" t="s">
        <v>32</v>
      </c>
      <c r="B33" s="256">
        <v>5207000011</v>
      </c>
      <c r="C33" s="256" t="s">
        <v>64</v>
      </c>
      <c r="D33" s="256" t="s">
        <v>60</v>
      </c>
      <c r="E33" s="257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f t="shared" ref="Q33:Q79" si="6">F33+E33+G33+H33+I33+J33+K33+L33+M33+N33+O33+P33</f>
        <v>0</v>
      </c>
      <c r="R33" s="260"/>
      <c r="S33" s="261"/>
    </row>
    <row r="34" outlineLevel="2" spans="1:19">
      <c r="A34" s="245" t="s">
        <v>32</v>
      </c>
      <c r="B34" s="256">
        <v>5207000012</v>
      </c>
      <c r="C34" s="256" t="s">
        <v>65</v>
      </c>
      <c r="D34" s="256" t="s">
        <v>60</v>
      </c>
      <c r="E34" s="257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9">
        <f t="shared" si="6"/>
        <v>0</v>
      </c>
      <c r="R34" s="260"/>
      <c r="S34" s="261"/>
    </row>
    <row r="35" outlineLevel="2" spans="1:19">
      <c r="A35" s="245" t="s">
        <v>32</v>
      </c>
      <c r="B35" s="256">
        <v>5207000022</v>
      </c>
      <c r="C35" s="256" t="s">
        <v>66</v>
      </c>
      <c r="D35" s="256" t="s">
        <v>60</v>
      </c>
      <c r="E35" s="257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f t="shared" si="6"/>
        <v>0</v>
      </c>
      <c r="R35" s="260"/>
      <c r="S35" s="261"/>
    </row>
    <row r="36" outlineLevel="2" spans="1:19">
      <c r="A36" s="245" t="s">
        <v>32</v>
      </c>
      <c r="B36" s="256">
        <v>5301060000</v>
      </c>
      <c r="C36" s="256" t="s">
        <v>67</v>
      </c>
      <c r="D36" s="256" t="s">
        <v>60</v>
      </c>
      <c r="E36" s="257">
        <v>0</v>
      </c>
      <c r="F36" s="259">
        <v>0</v>
      </c>
      <c r="G36" s="259">
        <v>0</v>
      </c>
      <c r="H36" s="259">
        <v>0</v>
      </c>
      <c r="I36" s="259">
        <v>0</v>
      </c>
      <c r="J36" s="259">
        <v>0</v>
      </c>
      <c r="K36" s="259">
        <v>0</v>
      </c>
      <c r="L36" s="259">
        <v>0</v>
      </c>
      <c r="M36" s="259">
        <v>0</v>
      </c>
      <c r="N36" s="259">
        <v>0</v>
      </c>
      <c r="O36" s="259">
        <v>0</v>
      </c>
      <c r="P36" s="259">
        <v>0</v>
      </c>
      <c r="Q36" s="259">
        <f t="shared" si="6"/>
        <v>0</v>
      </c>
      <c r="R36" s="260"/>
      <c r="S36" s="261"/>
    </row>
    <row r="37" outlineLevel="2" spans="1:19">
      <c r="A37" s="245" t="s">
        <v>32</v>
      </c>
      <c r="B37" s="256">
        <v>5301999999</v>
      </c>
      <c r="C37" s="256" t="s">
        <v>68</v>
      </c>
      <c r="D37" s="256" t="s">
        <v>60</v>
      </c>
      <c r="E37" s="257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59">
        <v>0</v>
      </c>
      <c r="Q37" s="259">
        <f t="shared" si="6"/>
        <v>0</v>
      </c>
      <c r="R37" s="260"/>
      <c r="S37" s="261"/>
    </row>
    <row r="38" outlineLevel="2" spans="1:19">
      <c r="A38" s="245" t="s">
        <v>32</v>
      </c>
      <c r="B38" s="256">
        <v>5405030000</v>
      </c>
      <c r="C38" s="256" t="s">
        <v>69</v>
      </c>
      <c r="D38" s="256" t="s">
        <v>60</v>
      </c>
      <c r="E38" s="257">
        <v>0</v>
      </c>
      <c r="F38" s="259">
        <v>0</v>
      </c>
      <c r="G38" s="259">
        <v>0</v>
      </c>
      <c r="H38" s="259">
        <v>0</v>
      </c>
      <c r="I38" s="259">
        <v>0</v>
      </c>
      <c r="J38" s="259">
        <v>0</v>
      </c>
      <c r="K38" s="259">
        <v>0</v>
      </c>
      <c r="L38" s="259">
        <v>0</v>
      </c>
      <c r="M38" s="259">
        <v>0</v>
      </c>
      <c r="N38" s="259">
        <v>0</v>
      </c>
      <c r="O38" s="259">
        <v>0</v>
      </c>
      <c r="P38" s="259">
        <v>0</v>
      </c>
      <c r="Q38" s="259">
        <f t="shared" si="6"/>
        <v>0</v>
      </c>
      <c r="R38" s="260"/>
      <c r="S38" s="261"/>
    </row>
    <row r="39" outlineLevel="2" spans="1:19">
      <c r="A39" s="245" t="s">
        <v>32</v>
      </c>
      <c r="B39" s="256">
        <v>5601050000</v>
      </c>
      <c r="C39" s="256" t="s">
        <v>70</v>
      </c>
      <c r="D39" s="256" t="s">
        <v>60</v>
      </c>
      <c r="E39" s="257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59">
        <v>0</v>
      </c>
      <c r="Q39" s="259">
        <f t="shared" si="6"/>
        <v>0</v>
      </c>
      <c r="R39" s="260"/>
      <c r="S39" s="261"/>
    </row>
    <row r="40" outlineLevel="2" spans="1:19">
      <c r="A40" s="245" t="s">
        <v>32</v>
      </c>
      <c r="B40" s="256">
        <v>5601050100</v>
      </c>
      <c r="C40" s="256" t="s">
        <v>71</v>
      </c>
      <c r="D40" s="256" t="s">
        <v>60</v>
      </c>
      <c r="E40" s="257">
        <v>0</v>
      </c>
      <c r="F40" s="259">
        <v>0</v>
      </c>
      <c r="G40" s="259">
        <v>0</v>
      </c>
      <c r="H40" s="259">
        <v>0</v>
      </c>
      <c r="I40" s="259">
        <v>0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0</v>
      </c>
      <c r="P40" s="259">
        <v>0</v>
      </c>
      <c r="Q40" s="259">
        <f t="shared" si="6"/>
        <v>0</v>
      </c>
      <c r="R40" s="260"/>
      <c r="S40" s="261"/>
    </row>
    <row r="41" outlineLevel="2" spans="1:19">
      <c r="A41" s="245" t="s">
        <v>32</v>
      </c>
      <c r="B41" s="256">
        <v>5102040893</v>
      </c>
      <c r="C41" s="266" t="s">
        <v>72</v>
      </c>
      <c r="D41" s="256" t="s">
        <v>60</v>
      </c>
      <c r="E41" s="257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f t="shared" si="6"/>
        <v>0</v>
      </c>
      <c r="R41" s="260"/>
      <c r="S41" s="261"/>
    </row>
    <row r="42" outlineLevel="2" spans="1:19">
      <c r="A42" s="245" t="s">
        <v>32</v>
      </c>
      <c r="B42" s="256">
        <v>5801000041</v>
      </c>
      <c r="C42" s="256" t="s">
        <v>73</v>
      </c>
      <c r="D42" s="256" t="s">
        <v>60</v>
      </c>
      <c r="E42" s="257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0</v>
      </c>
      <c r="P42" s="259">
        <v>0</v>
      </c>
      <c r="Q42" s="259">
        <f t="shared" si="6"/>
        <v>0</v>
      </c>
      <c r="R42" s="260"/>
      <c r="S42" s="261"/>
    </row>
    <row r="43" outlineLevel="2" spans="1:19">
      <c r="A43" s="245" t="s">
        <v>32</v>
      </c>
      <c r="B43" s="256">
        <v>6666010322</v>
      </c>
      <c r="C43" s="256" t="s">
        <v>74</v>
      </c>
      <c r="D43" s="256" t="s">
        <v>60</v>
      </c>
      <c r="E43" s="257">
        <v>1.46012</v>
      </c>
      <c r="F43" s="259">
        <v>1.98960256617697</v>
      </c>
      <c r="G43" s="259">
        <v>1.95250497171439</v>
      </c>
      <c r="H43" s="259">
        <v>1.92365021843783</v>
      </c>
      <c r="I43" s="259">
        <v>1.89522189008653</v>
      </c>
      <c r="J43" s="259">
        <v>1.86721368481431</v>
      </c>
      <c r="K43" s="259">
        <v>1.85239452858563</v>
      </c>
      <c r="L43" s="259">
        <v>1.83769298470796</v>
      </c>
      <c r="M43" s="259">
        <v>1.82310811974997</v>
      </c>
      <c r="N43" s="259">
        <v>1.79175245184272</v>
      </c>
      <c r="O43" s="259">
        <v>1.76093607060709</v>
      </c>
      <c r="P43" s="259">
        <v>1.73064970084235</v>
      </c>
      <c r="Q43" s="259">
        <f t="shared" si="6"/>
        <v>21.8848471875658</v>
      </c>
      <c r="R43" s="260"/>
      <c r="S43" s="261"/>
    </row>
    <row r="44" outlineLevel="2" spans="1:19">
      <c r="A44" s="245" t="s">
        <v>32</v>
      </c>
      <c r="B44" s="256">
        <v>6666020101</v>
      </c>
      <c r="C44" s="256" t="s">
        <v>75</v>
      </c>
      <c r="D44" s="256" t="s">
        <v>60</v>
      </c>
      <c r="E44" s="257">
        <v>4.70552</v>
      </c>
      <c r="F44" s="259">
        <v>4.61777985397813</v>
      </c>
      <c r="G44" s="259">
        <v>4.53167797250061</v>
      </c>
      <c r="H44" s="259">
        <v>4.46470736206957</v>
      </c>
      <c r="I44" s="259">
        <v>4.39872646509317</v>
      </c>
      <c r="J44" s="259">
        <v>4.33372065526421</v>
      </c>
      <c r="K44" s="259">
        <v>4.2993260468891</v>
      </c>
      <c r="L44" s="259">
        <v>4.26520441159633</v>
      </c>
      <c r="M44" s="259">
        <v>4.23135358293286</v>
      </c>
      <c r="N44" s="259">
        <v>4.15857845988488</v>
      </c>
      <c r="O44" s="259">
        <v>4.08705499742986</v>
      </c>
      <c r="P44" s="259">
        <v>4.01676166823573</v>
      </c>
      <c r="Q44" s="259">
        <f t="shared" si="6"/>
        <v>52.1104114758744</v>
      </c>
      <c r="R44" s="260"/>
      <c r="S44" s="261"/>
    </row>
    <row r="45" outlineLevel="2" spans="1:19">
      <c r="A45" s="245" t="s">
        <v>32</v>
      </c>
      <c r="B45" s="256">
        <v>6666020201</v>
      </c>
      <c r="C45" s="256" t="s">
        <v>76</v>
      </c>
      <c r="D45" s="256" t="s">
        <v>60</v>
      </c>
      <c r="E45" s="257">
        <v>0</v>
      </c>
      <c r="F45" s="259">
        <v>2.50844574471602</v>
      </c>
      <c r="G45" s="259">
        <v>2.46167393985871</v>
      </c>
      <c r="H45" s="259">
        <v>2.42529452202828</v>
      </c>
      <c r="I45" s="259">
        <v>2.38945273106235</v>
      </c>
      <c r="J45" s="259">
        <v>2.35414062173631</v>
      </c>
      <c r="K45" s="259">
        <v>2.33545696600824</v>
      </c>
      <c r="L45" s="259">
        <v>2.31692159326214</v>
      </c>
      <c r="M45" s="259">
        <v>2.29853332664895</v>
      </c>
      <c r="N45" s="259">
        <v>2.2590008124314</v>
      </c>
      <c r="O45" s="259">
        <v>2.2201482186058</v>
      </c>
      <c r="P45" s="259">
        <v>2.18196385120963</v>
      </c>
      <c r="Q45" s="259">
        <f t="shared" si="6"/>
        <v>25.7510323275678</v>
      </c>
      <c r="R45" s="260"/>
      <c r="S45" s="261"/>
    </row>
    <row r="46" outlineLevel="2" spans="1:19">
      <c r="A46" s="245" t="s">
        <v>32</v>
      </c>
      <c r="B46" s="256">
        <v>6666020202</v>
      </c>
      <c r="C46" s="256" t="s">
        <v>77</v>
      </c>
      <c r="D46" s="256" t="s">
        <v>60</v>
      </c>
      <c r="E46" s="257">
        <v>0</v>
      </c>
      <c r="F46" s="259">
        <v>0</v>
      </c>
      <c r="G46" s="259">
        <v>0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  <c r="M46" s="259">
        <v>0</v>
      </c>
      <c r="N46" s="259">
        <v>0</v>
      </c>
      <c r="O46" s="259">
        <v>0</v>
      </c>
      <c r="P46" s="259">
        <v>0</v>
      </c>
      <c r="Q46" s="259">
        <f t="shared" si="6"/>
        <v>0</v>
      </c>
      <c r="R46" s="260"/>
      <c r="S46" s="261"/>
    </row>
    <row r="47" outlineLevel="2" spans="1:19">
      <c r="A47" s="245" t="s">
        <v>32</v>
      </c>
      <c r="B47" s="256">
        <v>6666020204</v>
      </c>
      <c r="C47" s="256" t="s">
        <v>78</v>
      </c>
      <c r="D47" s="256" t="s">
        <v>60</v>
      </c>
      <c r="E47" s="257">
        <v>2.55611</v>
      </c>
      <c r="F47" s="259">
        <v>0</v>
      </c>
      <c r="G47" s="259">
        <v>0</v>
      </c>
      <c r="H47" s="259">
        <v>0</v>
      </c>
      <c r="I47" s="259">
        <v>0</v>
      </c>
      <c r="J47" s="259">
        <v>0</v>
      </c>
      <c r="K47" s="259">
        <v>0</v>
      </c>
      <c r="L47" s="259">
        <v>0</v>
      </c>
      <c r="M47" s="259">
        <v>0</v>
      </c>
      <c r="N47" s="259">
        <v>0</v>
      </c>
      <c r="O47" s="259">
        <v>0</v>
      </c>
      <c r="P47" s="259">
        <v>0</v>
      </c>
      <c r="Q47" s="259">
        <f t="shared" si="6"/>
        <v>2.55611</v>
      </c>
      <c r="R47" s="260"/>
      <c r="S47" s="261"/>
    </row>
    <row r="48" outlineLevel="2" spans="1:19">
      <c r="A48" s="245" t="s">
        <v>32</v>
      </c>
      <c r="B48" s="256">
        <v>6666020205</v>
      </c>
      <c r="C48" s="256" t="s">
        <v>79</v>
      </c>
      <c r="D48" s="256" t="s">
        <v>60</v>
      </c>
      <c r="E48" s="257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259">
        <v>0</v>
      </c>
      <c r="N48" s="259">
        <v>0</v>
      </c>
      <c r="O48" s="259">
        <v>0</v>
      </c>
      <c r="P48" s="259">
        <v>0</v>
      </c>
      <c r="Q48" s="259">
        <f t="shared" si="6"/>
        <v>0</v>
      </c>
      <c r="R48" s="260"/>
      <c r="S48" s="261"/>
    </row>
    <row r="49" outlineLevel="2" spans="1:19">
      <c r="A49" s="245" t="s">
        <v>32</v>
      </c>
      <c r="B49" s="256">
        <v>6666020301</v>
      </c>
      <c r="C49" s="256" t="s">
        <v>80</v>
      </c>
      <c r="D49" s="256" t="s">
        <v>60</v>
      </c>
      <c r="E49" s="257">
        <v>0.27915</v>
      </c>
      <c r="F49" s="259">
        <v>0.371818985427487</v>
      </c>
      <c r="G49" s="259">
        <v>0.364886148604011</v>
      </c>
      <c r="H49" s="259">
        <v>0.359493742467005</v>
      </c>
      <c r="I49" s="259">
        <v>0.354181027061089</v>
      </c>
      <c r="J49" s="259">
        <v>0.348946824690728</v>
      </c>
      <c r="K49" s="259">
        <v>0.346177405447151</v>
      </c>
      <c r="L49" s="259">
        <v>0.34342996572138</v>
      </c>
      <c r="M49" s="259">
        <v>0.340704331072798</v>
      </c>
      <c r="N49" s="259">
        <v>0.334844551422897</v>
      </c>
      <c r="O49" s="259">
        <v>0.329085554223977</v>
      </c>
      <c r="P49" s="259">
        <v>0.323425606116931</v>
      </c>
      <c r="Q49" s="259">
        <f t="shared" si="6"/>
        <v>4.09614414225545</v>
      </c>
      <c r="R49" s="260"/>
      <c r="S49" s="261"/>
    </row>
    <row r="50" outlineLevel="2" spans="1:19">
      <c r="A50" s="245" t="s">
        <v>32</v>
      </c>
      <c r="B50" s="256">
        <v>6666020302</v>
      </c>
      <c r="C50" s="256" t="s">
        <v>81</v>
      </c>
      <c r="D50" s="256" t="s">
        <v>60</v>
      </c>
      <c r="E50" s="257">
        <v>0</v>
      </c>
      <c r="F50" s="259">
        <v>0.042403265441747</v>
      </c>
      <c r="G50" s="259">
        <v>0.0416126255561795</v>
      </c>
      <c r="H50" s="259">
        <v>0.0409976606464823</v>
      </c>
      <c r="I50" s="259">
        <v>0.0403917838881599</v>
      </c>
      <c r="J50" s="259">
        <v>0.0397948609735566</v>
      </c>
      <c r="K50" s="259">
        <v>0.0394790287436077</v>
      </c>
      <c r="L50" s="259">
        <v>0.0391657031186584</v>
      </c>
      <c r="M50" s="259">
        <v>0.0388548642050183</v>
      </c>
      <c r="N50" s="259">
        <v>0.0381865987272907</v>
      </c>
      <c r="O50" s="259">
        <v>0.0375298267590081</v>
      </c>
      <c r="P50" s="259">
        <v>0.0368843506231037</v>
      </c>
      <c r="Q50" s="259">
        <f t="shared" si="6"/>
        <v>0.435300568682812</v>
      </c>
      <c r="R50" s="260"/>
      <c r="S50" s="261"/>
    </row>
    <row r="51" outlineLevel="2" spans="1:19">
      <c r="A51" s="245" t="s">
        <v>32</v>
      </c>
      <c r="B51" s="256">
        <v>6666020403</v>
      </c>
      <c r="C51" s="267" t="s">
        <v>82</v>
      </c>
      <c r="D51" s="256" t="s">
        <v>60</v>
      </c>
      <c r="E51" s="257">
        <v>0</v>
      </c>
      <c r="F51" s="259">
        <v>0</v>
      </c>
      <c r="G51" s="259">
        <v>0</v>
      </c>
      <c r="H51" s="259">
        <v>0</v>
      </c>
      <c r="I51" s="259">
        <v>0</v>
      </c>
      <c r="J51" s="259">
        <v>0</v>
      </c>
      <c r="K51" s="259">
        <v>0</v>
      </c>
      <c r="L51" s="259">
        <v>0</v>
      </c>
      <c r="M51" s="259">
        <v>0</v>
      </c>
      <c r="N51" s="259">
        <v>0</v>
      </c>
      <c r="O51" s="259">
        <v>0</v>
      </c>
      <c r="P51" s="259">
        <v>0</v>
      </c>
      <c r="Q51" s="259">
        <f t="shared" si="6"/>
        <v>0</v>
      </c>
      <c r="R51" s="260"/>
      <c r="S51" s="261"/>
    </row>
    <row r="52" outlineLevel="2" spans="1:19">
      <c r="A52" s="245" t="s">
        <v>32</v>
      </c>
      <c r="B52" s="256">
        <v>6666020405</v>
      </c>
      <c r="C52" s="256" t="s">
        <v>83</v>
      </c>
      <c r="D52" s="256" t="s">
        <v>60</v>
      </c>
      <c r="E52" s="257">
        <v>0</v>
      </c>
      <c r="F52" s="259">
        <v>0</v>
      </c>
      <c r="G52" s="259">
        <v>0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f t="shared" si="6"/>
        <v>0</v>
      </c>
      <c r="R52" s="260"/>
      <c r="S52" s="261"/>
    </row>
    <row r="53" outlineLevel="2" spans="1:19">
      <c r="A53" s="245" t="s">
        <v>32</v>
      </c>
      <c r="B53" s="256">
        <v>6666020495</v>
      </c>
      <c r="C53" s="256" t="s">
        <v>84</v>
      </c>
      <c r="D53" s="256" t="s">
        <v>60</v>
      </c>
      <c r="E53" s="257">
        <v>0.16316</v>
      </c>
      <c r="F53" s="259">
        <v>0</v>
      </c>
      <c r="G53" s="259">
        <v>0</v>
      </c>
      <c r="H53" s="259">
        <v>0</v>
      </c>
      <c r="I53" s="259">
        <v>0</v>
      </c>
      <c r="J53" s="259">
        <v>0</v>
      </c>
      <c r="K53" s="259">
        <v>0</v>
      </c>
      <c r="L53" s="259">
        <v>0</v>
      </c>
      <c r="M53" s="259">
        <v>0</v>
      </c>
      <c r="N53" s="259">
        <v>0</v>
      </c>
      <c r="O53" s="259">
        <v>0</v>
      </c>
      <c r="P53" s="259">
        <v>0</v>
      </c>
      <c r="Q53" s="259">
        <f t="shared" si="6"/>
        <v>0.16316</v>
      </c>
      <c r="R53" s="260"/>
      <c r="S53" s="261"/>
    </row>
    <row r="54" outlineLevel="2" spans="1:19">
      <c r="A54" s="245" t="s">
        <v>32</v>
      </c>
      <c r="B54" s="256">
        <v>6666020504</v>
      </c>
      <c r="C54" s="256" t="s">
        <v>85</v>
      </c>
      <c r="D54" s="256" t="s">
        <v>60</v>
      </c>
      <c r="E54" s="257">
        <v>0</v>
      </c>
      <c r="F54" s="259">
        <v>0.052640715518592</v>
      </c>
      <c r="G54" s="259">
        <v>0.0516591908916506</v>
      </c>
      <c r="H54" s="259">
        <v>0.0508957545730548</v>
      </c>
      <c r="I54" s="259">
        <v>0.050143600564586</v>
      </c>
      <c r="J54" s="259">
        <v>0.0494025621325971</v>
      </c>
      <c r="K54" s="259">
        <v>0.0490104783061479</v>
      </c>
      <c r="L54" s="259">
        <v>0.0486215062560991</v>
      </c>
      <c r="M54" s="259">
        <v>0.0482356212858126</v>
      </c>
      <c r="N54" s="259">
        <v>0.0474060160057126</v>
      </c>
      <c r="O54" s="259">
        <v>0.0465906791210935</v>
      </c>
      <c r="P54" s="259">
        <v>0.0457893652295759</v>
      </c>
      <c r="Q54" s="259">
        <f t="shared" si="6"/>
        <v>0.540395489884922</v>
      </c>
      <c r="R54" s="260"/>
      <c r="S54" s="261"/>
    </row>
    <row r="55" outlineLevel="2" spans="1:19">
      <c r="A55" s="245" t="s">
        <v>32</v>
      </c>
      <c r="B55" s="256">
        <v>6666020508</v>
      </c>
      <c r="C55" s="256" t="s">
        <v>86</v>
      </c>
      <c r="D55" s="256" t="s">
        <v>60</v>
      </c>
      <c r="E55" s="257">
        <v>0</v>
      </c>
      <c r="F55" s="259">
        <v>0.431141994748612</v>
      </c>
      <c r="G55" s="259">
        <v>0.423103037044761</v>
      </c>
      <c r="H55" s="259">
        <v>0.416850282802721</v>
      </c>
      <c r="I55" s="259">
        <v>0.410689933795784</v>
      </c>
      <c r="J55" s="259">
        <v>0.404620624429344</v>
      </c>
      <c r="K55" s="259">
        <v>0.401409349632286</v>
      </c>
      <c r="L55" s="259">
        <v>0.39822356114314</v>
      </c>
      <c r="M55" s="259">
        <v>0.395063056689623</v>
      </c>
      <c r="N55" s="259">
        <v>0.388268360382922</v>
      </c>
      <c r="O55" s="259">
        <v>0.381590526174862</v>
      </c>
      <c r="P55" s="259">
        <v>0.375027544152199</v>
      </c>
      <c r="Q55" s="259">
        <f t="shared" si="6"/>
        <v>4.42598827099625</v>
      </c>
      <c r="R55" s="260"/>
      <c r="S55" s="261"/>
    </row>
    <row r="56" outlineLevel="2" spans="1:19">
      <c r="A56" s="245" t="s">
        <v>32</v>
      </c>
      <c r="B56" s="256">
        <v>6666020602</v>
      </c>
      <c r="C56" s="256" t="s">
        <v>87</v>
      </c>
      <c r="D56" s="256" t="s">
        <v>60</v>
      </c>
      <c r="E56" s="257">
        <v>0</v>
      </c>
      <c r="F56" s="259">
        <v>1.96391944581411</v>
      </c>
      <c r="G56" s="259">
        <v>1.92730073190786</v>
      </c>
      <c r="H56" s="259">
        <v>1.89881845508164</v>
      </c>
      <c r="I56" s="259">
        <v>1.8707570986026</v>
      </c>
      <c r="J56" s="259">
        <v>1.84311044197301</v>
      </c>
      <c r="K56" s="259">
        <v>1.82848258132243</v>
      </c>
      <c r="L56" s="259">
        <v>1.81397081480399</v>
      </c>
      <c r="M56" s="259">
        <v>1.79957422103571</v>
      </c>
      <c r="N56" s="259">
        <v>1.76862331305721</v>
      </c>
      <c r="O56" s="259">
        <v>1.73820473027735</v>
      </c>
      <c r="P56" s="259">
        <v>1.7083093172259</v>
      </c>
      <c r="Q56" s="259">
        <f t="shared" si="6"/>
        <v>20.1610711511018</v>
      </c>
      <c r="R56" s="260"/>
      <c r="S56" s="261"/>
    </row>
    <row r="57" outlineLevel="2" spans="1:19">
      <c r="A57" s="245" t="s">
        <v>32</v>
      </c>
      <c r="B57" s="256">
        <v>6666020701</v>
      </c>
      <c r="C57" s="256" t="s">
        <v>88</v>
      </c>
      <c r="D57" s="256" t="s">
        <v>60</v>
      </c>
      <c r="E57" s="257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f t="shared" si="6"/>
        <v>0</v>
      </c>
      <c r="R57" s="260"/>
      <c r="S57" s="261"/>
    </row>
    <row r="58" outlineLevel="2" spans="1:19">
      <c r="A58" s="245" t="s">
        <v>32</v>
      </c>
      <c r="B58" s="256">
        <v>6666020801</v>
      </c>
      <c r="C58" s="256" t="s">
        <v>89</v>
      </c>
      <c r="D58" s="256" t="s">
        <v>60</v>
      </c>
      <c r="E58" s="257">
        <v>1.26202</v>
      </c>
      <c r="F58" s="259">
        <v>1.26201307653415</v>
      </c>
      <c r="G58" s="259">
        <v>1.23848192005314</v>
      </c>
      <c r="H58" s="259">
        <v>1.22017923157945</v>
      </c>
      <c r="I58" s="259">
        <v>1.20214702618665</v>
      </c>
      <c r="J58" s="259">
        <v>1.18438130658783</v>
      </c>
      <c r="K58" s="259">
        <v>1.17498145494824</v>
      </c>
      <c r="L58" s="259">
        <v>1.1656562053058</v>
      </c>
      <c r="M58" s="259">
        <v>1.15640496558115</v>
      </c>
      <c r="N58" s="259">
        <v>1.13651593668909</v>
      </c>
      <c r="O58" s="259">
        <v>1.11696897954702</v>
      </c>
      <c r="P58" s="259">
        <v>1.09775821085702</v>
      </c>
      <c r="Q58" s="259">
        <f t="shared" si="6"/>
        <v>14.2175083138695</v>
      </c>
      <c r="R58" s="260"/>
      <c r="S58" s="261"/>
    </row>
    <row r="59" outlineLevel="2" spans="1:19">
      <c r="A59" s="245" t="s">
        <v>32</v>
      </c>
      <c r="B59" s="256">
        <v>6666020802</v>
      </c>
      <c r="C59" s="256" t="s">
        <v>90</v>
      </c>
      <c r="D59" s="256" t="s">
        <v>60</v>
      </c>
      <c r="E59" s="257">
        <v>10.7325</v>
      </c>
      <c r="F59" s="259">
        <v>12.783</v>
      </c>
      <c r="G59" s="259">
        <v>12.783</v>
      </c>
      <c r="H59" s="259">
        <v>12.783</v>
      </c>
      <c r="I59" s="259">
        <v>12.783</v>
      </c>
      <c r="J59" s="259">
        <v>14.283</v>
      </c>
      <c r="K59" s="259">
        <v>12.783</v>
      </c>
      <c r="L59" s="259">
        <v>12.783</v>
      </c>
      <c r="M59" s="259">
        <v>12.783</v>
      </c>
      <c r="N59" s="259">
        <v>12.783</v>
      </c>
      <c r="O59" s="259">
        <v>12.783</v>
      </c>
      <c r="P59" s="259">
        <v>14.283</v>
      </c>
      <c r="Q59" s="259">
        <f t="shared" si="6"/>
        <v>154.3455</v>
      </c>
      <c r="R59" s="260"/>
      <c r="S59" s="261"/>
    </row>
    <row r="60" outlineLevel="2" spans="1:19">
      <c r="A60" s="245" t="s">
        <v>32</v>
      </c>
      <c r="B60" s="256">
        <v>6666020803</v>
      </c>
      <c r="C60" s="256" t="s">
        <v>91</v>
      </c>
      <c r="D60" s="256" t="s">
        <v>60</v>
      </c>
      <c r="E60" s="257">
        <v>5.39995</v>
      </c>
      <c r="F60" s="259">
        <v>3.82973292678556</v>
      </c>
      <c r="G60" s="259">
        <v>3.7583247564137</v>
      </c>
      <c r="H60" s="259">
        <v>3.70278301124503</v>
      </c>
      <c r="I60" s="259">
        <v>3.64806208004436</v>
      </c>
      <c r="J60" s="259">
        <v>3.59414983255602</v>
      </c>
      <c r="K60" s="259">
        <v>3.56562483388494</v>
      </c>
      <c r="L60" s="259">
        <v>3.5373262240922</v>
      </c>
      <c r="M60" s="259">
        <v>3.50925220644068</v>
      </c>
      <c r="N60" s="259">
        <v>3.44889651738642</v>
      </c>
      <c r="O60" s="259">
        <v>3.38957888686626</v>
      </c>
      <c r="P60" s="259">
        <v>3.33128146129362</v>
      </c>
      <c r="Q60" s="259">
        <f t="shared" si="6"/>
        <v>44.7149627370088</v>
      </c>
      <c r="R60" s="260"/>
      <c r="S60" s="261"/>
    </row>
    <row r="61" outlineLevel="2" spans="1:19">
      <c r="A61" s="245" t="s">
        <v>32</v>
      </c>
      <c r="B61" s="256">
        <v>6666021100</v>
      </c>
      <c r="C61" s="256" t="s">
        <v>92</v>
      </c>
      <c r="D61" s="256" t="s">
        <v>60</v>
      </c>
      <c r="E61" s="257">
        <v>7.28324</v>
      </c>
      <c r="F61" s="259">
        <v>5.79329469914442</v>
      </c>
      <c r="G61" s="259">
        <v>5.68527448394938</v>
      </c>
      <c r="H61" s="259">
        <v>5.60125564921122</v>
      </c>
      <c r="I61" s="259">
        <v>5.51847847212928</v>
      </c>
      <c r="J61" s="259">
        <v>5.43692460308303</v>
      </c>
      <c r="K61" s="259">
        <v>5.39377440782047</v>
      </c>
      <c r="L61" s="259">
        <v>5.35096667442507</v>
      </c>
      <c r="M61" s="259">
        <v>5.3084986849455</v>
      </c>
      <c r="N61" s="259">
        <v>5.21719772476217</v>
      </c>
      <c r="O61" s="259">
        <v>5.12746705136331</v>
      </c>
      <c r="P61" s="259">
        <v>5.03927965735951</v>
      </c>
      <c r="Q61" s="259">
        <f t="shared" si="6"/>
        <v>66.7556521081933</v>
      </c>
      <c r="R61" s="260"/>
      <c r="S61" s="261"/>
    </row>
    <row r="62" outlineLevel="2" spans="1:19">
      <c r="A62" s="245" t="s">
        <v>32</v>
      </c>
      <c r="B62" s="256">
        <v>6666021104</v>
      </c>
      <c r="C62" s="267" t="s">
        <v>93</v>
      </c>
      <c r="D62" s="256" t="s">
        <v>60</v>
      </c>
      <c r="E62" s="257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f t="shared" si="6"/>
        <v>0</v>
      </c>
      <c r="R62" s="260"/>
      <c r="S62" s="261"/>
    </row>
    <row r="63" outlineLevel="2" spans="1:19">
      <c r="A63" s="269" t="s">
        <v>32</v>
      </c>
      <c r="B63" s="256">
        <v>6666021200</v>
      </c>
      <c r="C63" s="270" t="s">
        <v>94</v>
      </c>
      <c r="D63" s="256" t="s">
        <v>60</v>
      </c>
      <c r="E63" s="257">
        <v>0</v>
      </c>
      <c r="F63" s="259">
        <v>0</v>
      </c>
      <c r="G63" s="259">
        <v>0</v>
      </c>
      <c r="H63" s="259">
        <v>0</v>
      </c>
      <c r="I63" s="259">
        <v>0</v>
      </c>
      <c r="J63" s="259">
        <v>0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0</v>
      </c>
      <c r="Q63" s="259">
        <f t="shared" si="6"/>
        <v>0</v>
      </c>
      <c r="R63" s="260"/>
      <c r="S63" s="261"/>
    </row>
    <row r="64" outlineLevel="2" spans="1:19">
      <c r="A64" s="245" t="s">
        <v>32</v>
      </c>
      <c r="B64" s="256">
        <v>6666021902</v>
      </c>
      <c r="C64" s="256" t="s">
        <v>95</v>
      </c>
      <c r="D64" s="256" t="s">
        <v>60</v>
      </c>
      <c r="E64" s="257">
        <v>6.57244</v>
      </c>
      <c r="F64" s="259">
        <v>8.01641278327585</v>
      </c>
      <c r="G64" s="259">
        <v>7.8669409060607</v>
      </c>
      <c r="H64" s="259">
        <v>7.7506806956263</v>
      </c>
      <c r="I64" s="259">
        <v>7.63613861638059</v>
      </c>
      <c r="J64" s="259">
        <v>7.52328927722226</v>
      </c>
      <c r="K64" s="259">
        <v>7.46358063216494</v>
      </c>
      <c r="L64" s="259">
        <v>7.404345865243</v>
      </c>
      <c r="M64" s="259">
        <v>7.34558121551885</v>
      </c>
      <c r="N64" s="259">
        <v>7.21924443785636</v>
      </c>
      <c r="O64" s="259">
        <v>7.09508052860576</v>
      </c>
      <c r="P64" s="259">
        <v>6.97305211656585</v>
      </c>
      <c r="Q64" s="259">
        <f t="shared" si="6"/>
        <v>88.8667870745205</v>
      </c>
      <c r="R64" s="260"/>
      <c r="S64" s="261"/>
    </row>
    <row r="65" outlineLevel="2" spans="1:19">
      <c r="A65" s="269" t="s">
        <v>32</v>
      </c>
      <c r="B65" s="256">
        <v>6666022100</v>
      </c>
      <c r="C65" s="256" t="s">
        <v>96</v>
      </c>
      <c r="D65" s="256" t="s">
        <v>60</v>
      </c>
      <c r="E65" s="257">
        <v>1.4246</v>
      </c>
      <c r="F65" s="259">
        <v>1.4845976646531</v>
      </c>
      <c r="G65" s="259">
        <v>1.45691625579304</v>
      </c>
      <c r="H65" s="259">
        <v>1.43538547368772</v>
      </c>
      <c r="I65" s="259">
        <v>1.41417288048051</v>
      </c>
      <c r="J65" s="259">
        <v>1.39327377387243</v>
      </c>
      <c r="K65" s="259">
        <v>1.38221604550836</v>
      </c>
      <c r="L65" s="259">
        <v>1.37124607689321</v>
      </c>
      <c r="M65" s="259">
        <v>1.36036317152105</v>
      </c>
      <c r="N65" s="259">
        <v>1.33696626193715</v>
      </c>
      <c r="O65" s="259">
        <v>1.31397175620358</v>
      </c>
      <c r="P65" s="259">
        <v>1.29137273336961</v>
      </c>
      <c r="Q65" s="259">
        <f t="shared" si="6"/>
        <v>16.6650820939198</v>
      </c>
      <c r="R65" s="260"/>
      <c r="S65" s="261"/>
    </row>
    <row r="66" outlineLevel="2" spans="1:19">
      <c r="A66" s="245" t="s">
        <v>32</v>
      </c>
      <c r="B66" s="256">
        <v>6666022300</v>
      </c>
      <c r="C66" s="256" t="s">
        <v>97</v>
      </c>
      <c r="D66" s="256" t="s">
        <v>60</v>
      </c>
      <c r="E66" s="257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0</v>
      </c>
      <c r="P66" s="259">
        <v>0</v>
      </c>
      <c r="Q66" s="259">
        <f t="shared" si="6"/>
        <v>0</v>
      </c>
      <c r="R66" s="260"/>
      <c r="S66" s="261"/>
    </row>
    <row r="67" outlineLevel="2" spans="1:19">
      <c r="A67" s="245" t="s">
        <v>32</v>
      </c>
      <c r="B67" s="256">
        <v>6666029700</v>
      </c>
      <c r="C67" s="256" t="s">
        <v>98</v>
      </c>
      <c r="D67" s="256" t="s">
        <v>60</v>
      </c>
      <c r="E67" s="257">
        <v>0</v>
      </c>
      <c r="F67" s="259">
        <v>0</v>
      </c>
      <c r="G67" s="259">
        <v>0</v>
      </c>
      <c r="H67" s="259">
        <v>0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0</v>
      </c>
      <c r="P67" s="259">
        <v>0</v>
      </c>
      <c r="Q67" s="259">
        <f t="shared" si="6"/>
        <v>0</v>
      </c>
      <c r="R67" s="260"/>
      <c r="S67" s="261"/>
    </row>
    <row r="68" outlineLevel="2" spans="1:19">
      <c r="A68" s="245" t="s">
        <v>32</v>
      </c>
      <c r="B68" s="256">
        <v>6666029900</v>
      </c>
      <c r="C68" s="256" t="s">
        <v>99</v>
      </c>
      <c r="D68" s="256" t="s">
        <v>60</v>
      </c>
      <c r="E68" s="257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f t="shared" si="6"/>
        <v>0</v>
      </c>
      <c r="R68" s="260"/>
      <c r="S68" s="261"/>
    </row>
    <row r="69" outlineLevel="2" spans="1:19">
      <c r="A69" s="245" t="s">
        <v>32</v>
      </c>
      <c r="B69" s="256">
        <v>6666029996</v>
      </c>
      <c r="C69" s="256" t="s">
        <v>100</v>
      </c>
      <c r="D69" s="256" t="s">
        <v>60</v>
      </c>
      <c r="E69" s="257">
        <v>0.0279</v>
      </c>
      <c r="F69" s="259">
        <v>0</v>
      </c>
      <c r="G69" s="259">
        <v>0</v>
      </c>
      <c r="H69" s="259">
        <v>0</v>
      </c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f t="shared" si="6"/>
        <v>0.0279</v>
      </c>
      <c r="R69" s="260"/>
      <c r="S69" s="261"/>
    </row>
    <row r="70" outlineLevel="2" spans="1:19">
      <c r="A70" s="245" t="s">
        <v>32</v>
      </c>
      <c r="B70" s="256">
        <v>6666029997</v>
      </c>
      <c r="C70" s="256" t="s">
        <v>101</v>
      </c>
      <c r="D70" s="256" t="s">
        <v>60</v>
      </c>
      <c r="E70" s="257">
        <v>7.89403</v>
      </c>
      <c r="F70" s="259">
        <v>0.59994933127807</v>
      </c>
      <c r="G70" s="259">
        <v>0.588762837368077</v>
      </c>
      <c r="H70" s="259">
        <v>0.580061908737022</v>
      </c>
      <c r="I70" s="259">
        <v>0.571489565258149</v>
      </c>
      <c r="J70" s="259">
        <v>0.563043906658275</v>
      </c>
      <c r="K70" s="259">
        <v>0.558575304224479</v>
      </c>
      <c r="L70" s="259">
        <v>0.554142166889364</v>
      </c>
      <c r="M70" s="259">
        <v>0.549744213183893</v>
      </c>
      <c r="N70" s="259">
        <v>0.540289153006283</v>
      </c>
      <c r="O70" s="259">
        <v>0.530996710571286</v>
      </c>
      <c r="P70" s="259">
        <v>2.00355252168277</v>
      </c>
      <c r="Q70" s="259">
        <f t="shared" si="6"/>
        <v>15.5346376188577</v>
      </c>
      <c r="R70" s="260"/>
      <c r="S70" s="261"/>
    </row>
    <row r="71" outlineLevel="2" spans="1:19">
      <c r="A71" s="245" t="s">
        <v>32</v>
      </c>
      <c r="B71" s="256">
        <v>6666030702</v>
      </c>
      <c r="C71" s="256" t="s">
        <v>102</v>
      </c>
      <c r="D71" s="256" t="s">
        <v>60</v>
      </c>
      <c r="E71" s="257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f t="shared" si="6"/>
        <v>0</v>
      </c>
      <c r="R71" s="260"/>
      <c r="S71" s="261"/>
    </row>
    <row r="72" outlineLevel="2" spans="1:19">
      <c r="A72" s="245" t="s">
        <v>32</v>
      </c>
      <c r="B72" s="256">
        <v>6666031200</v>
      </c>
      <c r="C72" s="256" t="s">
        <v>103</v>
      </c>
      <c r="D72" s="256" t="s">
        <v>60</v>
      </c>
      <c r="E72" s="257">
        <v>0</v>
      </c>
      <c r="F72" s="259">
        <v>0</v>
      </c>
      <c r="G72" s="259">
        <v>0</v>
      </c>
      <c r="H72" s="259">
        <v>0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f t="shared" si="6"/>
        <v>0</v>
      </c>
      <c r="R72" s="260"/>
      <c r="S72" s="261"/>
    </row>
    <row r="73" outlineLevel="2" spans="1:19">
      <c r="A73" s="245" t="s">
        <v>32</v>
      </c>
      <c r="B73" s="256">
        <v>6666050107</v>
      </c>
      <c r="C73" s="256" t="s">
        <v>104</v>
      </c>
      <c r="D73" s="256" t="s">
        <v>60</v>
      </c>
      <c r="E73" s="257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f t="shared" si="6"/>
        <v>0</v>
      </c>
      <c r="R73" s="260"/>
      <c r="S73" s="261"/>
    </row>
    <row r="74" outlineLevel="2" spans="1:19">
      <c r="A74" s="245" t="s">
        <v>32</v>
      </c>
      <c r="B74" s="256">
        <v>6666050202</v>
      </c>
      <c r="C74" s="256" t="s">
        <v>105</v>
      </c>
      <c r="D74" s="256" t="s">
        <v>60</v>
      </c>
      <c r="E74" s="257">
        <v>0</v>
      </c>
      <c r="F74" s="259">
        <v>0</v>
      </c>
      <c r="G74" s="259">
        <v>0</v>
      </c>
      <c r="H74" s="259">
        <v>0</v>
      </c>
      <c r="I74" s="259">
        <v>0</v>
      </c>
      <c r="J74" s="259">
        <v>0</v>
      </c>
      <c r="K74" s="259">
        <v>0</v>
      </c>
      <c r="L74" s="259">
        <v>0</v>
      </c>
      <c r="M74" s="259">
        <v>0</v>
      </c>
      <c r="N74" s="259">
        <v>0</v>
      </c>
      <c r="O74" s="259">
        <v>0</v>
      </c>
      <c r="P74" s="259">
        <v>0</v>
      </c>
      <c r="Q74" s="259">
        <f t="shared" si="6"/>
        <v>0</v>
      </c>
      <c r="R74" s="260"/>
      <c r="S74" s="261"/>
    </row>
    <row r="75" outlineLevel="2" spans="1:19">
      <c r="A75" s="245" t="s">
        <v>32</v>
      </c>
      <c r="B75" s="256">
        <v>6666070100</v>
      </c>
      <c r="C75" s="256" t="s">
        <v>106</v>
      </c>
      <c r="D75" s="256" t="s">
        <v>60</v>
      </c>
      <c r="E75" s="257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f t="shared" si="6"/>
        <v>0</v>
      </c>
      <c r="R75" s="260"/>
      <c r="S75" s="261"/>
    </row>
    <row r="76" outlineLevel="2" spans="1:19">
      <c r="A76" s="245" t="s">
        <v>32</v>
      </c>
      <c r="B76" s="256">
        <v>6666070300</v>
      </c>
      <c r="C76" s="256" t="s">
        <v>107</v>
      </c>
      <c r="D76" s="256" t="s">
        <v>60</v>
      </c>
      <c r="E76" s="257">
        <v>0</v>
      </c>
      <c r="F76" s="259">
        <v>0</v>
      </c>
      <c r="G76" s="259">
        <v>0</v>
      </c>
      <c r="H76" s="259">
        <v>0</v>
      </c>
      <c r="I76" s="259">
        <v>0</v>
      </c>
      <c r="J76" s="259">
        <v>0</v>
      </c>
      <c r="K76" s="259">
        <v>0</v>
      </c>
      <c r="L76" s="259">
        <v>0</v>
      </c>
      <c r="M76" s="259">
        <v>0</v>
      </c>
      <c r="N76" s="259">
        <v>0</v>
      </c>
      <c r="O76" s="259">
        <v>0</v>
      </c>
      <c r="P76" s="259">
        <v>0</v>
      </c>
      <c r="Q76" s="259">
        <f t="shared" si="6"/>
        <v>0</v>
      </c>
      <c r="R76" s="260"/>
      <c r="S76" s="261"/>
    </row>
    <row r="77" outlineLevel="2" spans="1:19">
      <c r="A77" s="269" t="s">
        <v>32</v>
      </c>
      <c r="B77" s="256">
        <v>6666070400</v>
      </c>
      <c r="C77" s="256" t="s">
        <v>108</v>
      </c>
      <c r="D77" s="256" t="s">
        <v>60</v>
      </c>
      <c r="E77" s="257">
        <v>11.19273</v>
      </c>
      <c r="F77" s="259">
        <v>12.8505650048716</v>
      </c>
      <c r="G77" s="259">
        <v>12.610956825193</v>
      </c>
      <c r="H77" s="259">
        <v>12.4245880051162</v>
      </c>
      <c r="I77" s="259">
        <v>12.2409734040554</v>
      </c>
      <c r="J77" s="259">
        <v>12.0600723192664</v>
      </c>
      <c r="K77" s="259">
        <v>11.9643574595897</v>
      </c>
      <c r="L77" s="259">
        <v>11.8694022416564</v>
      </c>
      <c r="M77" s="259">
        <v>11.7752006365639</v>
      </c>
      <c r="N77" s="259">
        <v>11.5726787582938</v>
      </c>
      <c r="O77" s="259">
        <v>11.3736400572912</v>
      </c>
      <c r="P77" s="259">
        <v>11.1780246263304</v>
      </c>
      <c r="Q77" s="259">
        <f t="shared" si="6"/>
        <v>143.113189338228</v>
      </c>
      <c r="R77" s="260"/>
      <c r="S77" s="261"/>
    </row>
    <row r="78" outlineLevel="2" spans="1:19">
      <c r="A78" s="269" t="s">
        <v>32</v>
      </c>
      <c r="B78" s="256">
        <v>5401050201</v>
      </c>
      <c r="C78" s="3" t="s">
        <v>109</v>
      </c>
      <c r="D78" s="256" t="s">
        <v>60</v>
      </c>
      <c r="E78" s="257">
        <v>0</v>
      </c>
      <c r="F78" s="259">
        <v>0</v>
      </c>
      <c r="G78" s="259">
        <v>0</v>
      </c>
      <c r="H78" s="259">
        <v>0</v>
      </c>
      <c r="I78" s="259">
        <v>0</v>
      </c>
      <c r="J78" s="259">
        <v>0</v>
      </c>
      <c r="K78" s="259">
        <v>0</v>
      </c>
      <c r="L78" s="259">
        <v>0</v>
      </c>
      <c r="M78" s="259">
        <v>0</v>
      </c>
      <c r="N78" s="259">
        <v>0</v>
      </c>
      <c r="O78" s="259">
        <v>0</v>
      </c>
      <c r="P78" s="259">
        <v>0</v>
      </c>
      <c r="Q78" s="259">
        <f t="shared" si="6"/>
        <v>0</v>
      </c>
      <c r="R78" s="260"/>
      <c r="S78" s="261"/>
    </row>
    <row r="79" outlineLevel="2" spans="1:19">
      <c r="A79" s="269" t="s">
        <v>32</v>
      </c>
      <c r="B79" s="256">
        <v>5401020212</v>
      </c>
      <c r="C79" s="3" t="s">
        <v>110</v>
      </c>
      <c r="D79" s="256" t="s">
        <v>60</v>
      </c>
      <c r="E79" s="257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f t="shared" si="6"/>
        <v>0</v>
      </c>
      <c r="R79" s="260"/>
      <c r="S79" s="261"/>
    </row>
    <row r="80" s="119" customFormat="1" spans="1:19">
      <c r="A80" s="245"/>
      <c r="B80" s="148" t="s">
        <v>42</v>
      </c>
      <c r="C80" s="149" t="s">
        <v>60</v>
      </c>
      <c r="D80" s="150"/>
      <c r="E80" s="151">
        <f>SUM(E29:E79)</f>
        <v>60.95347</v>
      </c>
      <c r="F80" s="262">
        <f t="shared" ref="F80:Q80" si="7">SUM(F29:F79)</f>
        <v>58.5973180583644</v>
      </c>
      <c r="G80" s="262">
        <f t="shared" si="7"/>
        <v>57.7430766029092</v>
      </c>
      <c r="H80" s="262">
        <f t="shared" si="7"/>
        <v>57.0786419733095</v>
      </c>
      <c r="I80" s="262">
        <f t="shared" si="7"/>
        <v>56.4240265746892</v>
      </c>
      <c r="J80" s="262">
        <f t="shared" si="7"/>
        <v>57.2790852952603</v>
      </c>
      <c r="K80" s="262">
        <f t="shared" si="7"/>
        <v>55.4378465230757</v>
      </c>
      <c r="L80" s="262">
        <f t="shared" si="7"/>
        <v>55.0993159951148</v>
      </c>
      <c r="M80" s="262">
        <f t="shared" si="7"/>
        <v>54.7634722173758</v>
      </c>
      <c r="N80" s="262">
        <f t="shared" si="7"/>
        <v>54.0414493536862</v>
      </c>
      <c r="O80" s="262">
        <f t="shared" si="7"/>
        <v>53.3318445736474</v>
      </c>
      <c r="P80" s="262">
        <f t="shared" si="7"/>
        <v>55.6161327310942</v>
      </c>
      <c r="Q80" s="262">
        <f t="shared" si="7"/>
        <v>676.365679898527</v>
      </c>
      <c r="R80" s="152"/>
      <c r="S80" s="261"/>
    </row>
    <row r="81" ht="20.55" customHeight="1" outlineLevel="1" spans="1:19">
      <c r="A81" s="245" t="s">
        <v>32</v>
      </c>
      <c r="B81" s="256">
        <v>6666110203</v>
      </c>
      <c r="C81" s="256" t="s">
        <v>111</v>
      </c>
      <c r="D81" s="256" t="s">
        <v>112</v>
      </c>
      <c r="E81" s="257">
        <v>12.32638</v>
      </c>
      <c r="F81" s="259">
        <v>13.44000032</v>
      </c>
      <c r="G81" s="259">
        <v>7.52000032</v>
      </c>
      <c r="H81" s="259">
        <v>12.16000032</v>
      </c>
      <c r="I81" s="259">
        <v>10.56000032</v>
      </c>
      <c r="J81" s="259">
        <v>16.80000032</v>
      </c>
      <c r="K81" s="259">
        <v>13.01504</v>
      </c>
      <c r="L81" s="259">
        <v>12.70528</v>
      </c>
      <c r="M81" s="259">
        <v>17.57024</v>
      </c>
      <c r="N81" s="259">
        <v>15.98976</v>
      </c>
      <c r="O81" s="259">
        <v>16.61952</v>
      </c>
      <c r="P81" s="259">
        <v>13.5008</v>
      </c>
      <c r="Q81" s="259">
        <f>F81+E81+G81+H81+I81+J81+K81+L81+M81+N81+O81+P81</f>
        <v>162.2070216</v>
      </c>
      <c r="R81" s="260"/>
      <c r="S81" s="261"/>
    </row>
    <row r="82" outlineLevel="1" spans="1:19">
      <c r="A82" s="245" t="s">
        <v>32</v>
      </c>
      <c r="B82" s="256">
        <v>5102040000</v>
      </c>
      <c r="C82" s="256" t="s">
        <v>113</v>
      </c>
      <c r="D82" s="256" t="s">
        <v>112</v>
      </c>
      <c r="E82" s="257">
        <v>-0.0002</v>
      </c>
      <c r="F82" s="259">
        <v>0</v>
      </c>
      <c r="G82" s="259">
        <v>0</v>
      </c>
      <c r="H82" s="259">
        <v>0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>
        <v>0</v>
      </c>
      <c r="O82" s="259">
        <v>0</v>
      </c>
      <c r="P82" s="259">
        <v>0</v>
      </c>
      <c r="Q82" s="259">
        <f>F82+E82+G82+H82+I82+J82+K82+L82+M82+N82+O82+P82</f>
        <v>-0.0002</v>
      </c>
      <c r="R82" s="260"/>
      <c r="S82" s="261"/>
    </row>
    <row r="83" outlineLevel="1" spans="1:19">
      <c r="A83" s="245" t="s">
        <v>53</v>
      </c>
      <c r="B83" s="256">
        <v>6666050307</v>
      </c>
      <c r="C83" s="256" t="s">
        <v>114</v>
      </c>
      <c r="D83" s="256" t="s">
        <v>112</v>
      </c>
      <c r="E83" s="257">
        <v>-2.73228</v>
      </c>
      <c r="F83" s="259">
        <v>0</v>
      </c>
      <c r="G83" s="259">
        <v>0</v>
      </c>
      <c r="H83" s="259">
        <v>0</v>
      </c>
      <c r="I83" s="259">
        <v>0</v>
      </c>
      <c r="J83" s="259">
        <v>0</v>
      </c>
      <c r="K83" s="259">
        <v>0</v>
      </c>
      <c r="L83" s="259">
        <v>0</v>
      </c>
      <c r="M83" s="259">
        <v>0</v>
      </c>
      <c r="N83" s="259">
        <v>0</v>
      </c>
      <c r="O83" s="259">
        <v>0</v>
      </c>
      <c r="P83" s="259">
        <v>0</v>
      </c>
      <c r="Q83" s="259">
        <f>F83+E83+G83+H83+I83+J83+K83+L83+M83+N83+O83+P83</f>
        <v>-2.73228</v>
      </c>
      <c r="R83" s="260"/>
      <c r="S83" s="261"/>
    </row>
    <row r="84" outlineLevel="2" spans="1:19">
      <c r="A84" s="245" t="s">
        <v>53</v>
      </c>
      <c r="B84" s="256">
        <v>6666050312</v>
      </c>
      <c r="C84" s="256" t="s">
        <v>115</v>
      </c>
      <c r="D84" s="256" t="s">
        <v>60</v>
      </c>
      <c r="E84" s="257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f>F84+E84+G84+H84+I84+J84+K84+L84+M84+N84+O84+P84</f>
        <v>0</v>
      </c>
      <c r="R84" s="260"/>
      <c r="S84" s="261"/>
    </row>
    <row r="85" s="120" customFormat="1" spans="1:19">
      <c r="A85" s="271"/>
      <c r="B85" s="148" t="s">
        <v>52</v>
      </c>
      <c r="C85" s="149" t="s">
        <v>112</v>
      </c>
      <c r="D85" s="150"/>
      <c r="E85" s="151">
        <f>SUM(E81:E84)</f>
        <v>9.5939</v>
      </c>
      <c r="F85" s="262">
        <f t="shared" ref="F85:Q85" si="8">SUM(F81:F84)</f>
        <v>13.44000032</v>
      </c>
      <c r="G85" s="262">
        <f t="shared" si="8"/>
        <v>7.52000032</v>
      </c>
      <c r="H85" s="262">
        <f t="shared" si="8"/>
        <v>12.16000032</v>
      </c>
      <c r="I85" s="262">
        <f t="shared" si="8"/>
        <v>10.56000032</v>
      </c>
      <c r="J85" s="262">
        <f t="shared" si="8"/>
        <v>16.80000032</v>
      </c>
      <c r="K85" s="262">
        <f t="shared" si="8"/>
        <v>13.01504</v>
      </c>
      <c r="L85" s="262">
        <f t="shared" si="8"/>
        <v>12.70528</v>
      </c>
      <c r="M85" s="262">
        <f t="shared" si="8"/>
        <v>17.57024</v>
      </c>
      <c r="N85" s="262">
        <f t="shared" si="8"/>
        <v>15.98976</v>
      </c>
      <c r="O85" s="262">
        <f t="shared" si="8"/>
        <v>16.61952</v>
      </c>
      <c r="P85" s="262">
        <f t="shared" si="8"/>
        <v>13.5008</v>
      </c>
      <c r="Q85" s="262">
        <f t="shared" si="8"/>
        <v>159.4745416</v>
      </c>
      <c r="R85" s="152"/>
      <c r="S85" s="261"/>
    </row>
    <row r="86" ht="22.95" customHeight="1" outlineLevel="1" spans="1:19">
      <c r="A86" s="269" t="s">
        <v>53</v>
      </c>
      <c r="B86" s="256">
        <v>6666100203</v>
      </c>
      <c r="C86" s="256" t="s">
        <v>116</v>
      </c>
      <c r="D86" s="256" t="s">
        <v>117</v>
      </c>
      <c r="E86" s="257">
        <v>-26.06806</v>
      </c>
      <c r="F86" s="259">
        <v>8.86159095648081</v>
      </c>
      <c r="G86" s="259">
        <v>8.69636011430894</v>
      </c>
      <c r="H86" s="259">
        <v>8.56784247715166</v>
      </c>
      <c r="I86" s="259">
        <v>8.44122411542036</v>
      </c>
      <c r="J86" s="259">
        <v>8.31647696100528</v>
      </c>
      <c r="K86" s="259">
        <v>8.25047317560047</v>
      </c>
      <c r="L86" s="259">
        <v>8.18499322976238</v>
      </c>
      <c r="M86" s="259">
        <v>8.1200329660341</v>
      </c>
      <c r="N86" s="259">
        <v>7.9803763793947</v>
      </c>
      <c r="O86" s="259">
        <v>7.84312174879085</v>
      </c>
      <c r="P86" s="259">
        <v>7.70822776293941</v>
      </c>
      <c r="Q86" s="259">
        <f>F86+E86+G86+H86+I86+J86+K86+L86+M86+N86+O86+P86</f>
        <v>64.902659886889</v>
      </c>
      <c r="R86" s="260"/>
      <c r="S86" s="261"/>
    </row>
    <row r="87" s="120" customFormat="1" spans="1:19">
      <c r="A87" s="271"/>
      <c r="B87" s="148" t="s">
        <v>42</v>
      </c>
      <c r="C87" s="149" t="s">
        <v>117</v>
      </c>
      <c r="D87" s="150"/>
      <c r="E87" s="151">
        <f>+E86</f>
        <v>-26.06806</v>
      </c>
      <c r="F87" s="262">
        <f t="shared" ref="F87:Q87" si="9">+F86</f>
        <v>8.86159095648081</v>
      </c>
      <c r="G87" s="262">
        <f t="shared" si="9"/>
        <v>8.69636011430894</v>
      </c>
      <c r="H87" s="262">
        <f t="shared" si="9"/>
        <v>8.56784247715166</v>
      </c>
      <c r="I87" s="262">
        <f t="shared" si="9"/>
        <v>8.44122411542036</v>
      </c>
      <c r="J87" s="262">
        <f t="shared" si="9"/>
        <v>8.31647696100528</v>
      </c>
      <c r="K87" s="262">
        <f t="shared" si="9"/>
        <v>8.25047317560047</v>
      </c>
      <c r="L87" s="262">
        <f t="shared" si="9"/>
        <v>8.18499322976238</v>
      </c>
      <c r="M87" s="262">
        <f t="shared" si="9"/>
        <v>8.1200329660341</v>
      </c>
      <c r="N87" s="262">
        <f t="shared" si="9"/>
        <v>7.9803763793947</v>
      </c>
      <c r="O87" s="262">
        <f t="shared" si="9"/>
        <v>7.84312174879085</v>
      </c>
      <c r="P87" s="262">
        <f t="shared" si="9"/>
        <v>7.70822776293941</v>
      </c>
      <c r="Q87" s="262">
        <f t="shared" si="9"/>
        <v>64.902659886889</v>
      </c>
      <c r="R87" s="152"/>
      <c r="S87" s="261"/>
    </row>
    <row r="88" outlineLevel="2" spans="1:19">
      <c r="A88" s="269" t="s">
        <v>53</v>
      </c>
      <c r="B88" s="256">
        <v>5301070000</v>
      </c>
      <c r="C88" s="256" t="s">
        <v>118</v>
      </c>
      <c r="D88" s="256" t="s">
        <v>119</v>
      </c>
      <c r="E88" s="257">
        <v>-56.35548</v>
      </c>
      <c r="F88" s="259">
        <v>-44.2095178025498</v>
      </c>
      <c r="G88" s="259">
        <v>-24.9583156484928</v>
      </c>
      <c r="H88" s="259">
        <v>-38.8396285586974</v>
      </c>
      <c r="I88" s="259">
        <v>-33.7215989621166</v>
      </c>
      <c r="J88" s="259">
        <v>-53.4531379079849</v>
      </c>
      <c r="K88" s="259">
        <v>-41.4399636892274</v>
      </c>
      <c r="L88" s="259">
        <v>-40.4215943496468</v>
      </c>
      <c r="M88" s="259">
        <v>-55.9154971337273</v>
      </c>
      <c r="N88" s="259">
        <v>-50.8105726080056</v>
      </c>
      <c r="O88" s="259">
        <v>-52.8409900105357</v>
      </c>
      <c r="P88" s="259">
        <v>-42.6877672091031</v>
      </c>
      <c r="Q88" s="259">
        <f>F88+E88+G88+H88+I88+J88+K88+L88+M88+N88+O88+P88</f>
        <v>-535.654063880087</v>
      </c>
      <c r="R88" s="260"/>
      <c r="S88" s="261"/>
    </row>
    <row r="89" s="120" customFormat="1" spans="1:19">
      <c r="A89" s="271"/>
      <c r="B89" s="148" t="s">
        <v>52</v>
      </c>
      <c r="C89" s="149" t="s">
        <v>119</v>
      </c>
      <c r="D89" s="150"/>
      <c r="E89" s="151">
        <f>+E88</f>
        <v>-56.35548</v>
      </c>
      <c r="F89" s="262">
        <f t="shared" ref="F89:Q89" si="10">+F88</f>
        <v>-44.2095178025498</v>
      </c>
      <c r="G89" s="262">
        <f t="shared" si="10"/>
        <v>-24.9583156484928</v>
      </c>
      <c r="H89" s="262">
        <f t="shared" si="10"/>
        <v>-38.8396285586974</v>
      </c>
      <c r="I89" s="262">
        <f t="shared" si="10"/>
        <v>-33.7215989621166</v>
      </c>
      <c r="J89" s="262">
        <f t="shared" si="10"/>
        <v>-53.4531379079849</v>
      </c>
      <c r="K89" s="262">
        <f t="shared" si="10"/>
        <v>-41.4399636892274</v>
      </c>
      <c r="L89" s="262">
        <f t="shared" si="10"/>
        <v>-40.4215943496468</v>
      </c>
      <c r="M89" s="262">
        <f t="shared" si="10"/>
        <v>-55.9154971337273</v>
      </c>
      <c r="N89" s="262">
        <f t="shared" si="10"/>
        <v>-50.8105726080056</v>
      </c>
      <c r="O89" s="262">
        <f t="shared" si="10"/>
        <v>-52.8409900105357</v>
      </c>
      <c r="P89" s="262">
        <f t="shared" si="10"/>
        <v>-42.6877672091031</v>
      </c>
      <c r="Q89" s="262">
        <f t="shared" si="10"/>
        <v>-535.654063880087</v>
      </c>
      <c r="R89" s="151"/>
      <c r="S89" s="261"/>
    </row>
    <row r="90" outlineLevel="1" spans="1:19">
      <c r="A90" s="269" t="s">
        <v>32</v>
      </c>
      <c r="B90" s="256">
        <v>6666021602</v>
      </c>
      <c r="C90" s="256" t="s">
        <v>120</v>
      </c>
      <c r="D90" s="256" t="s">
        <v>121</v>
      </c>
      <c r="E90" s="257">
        <v>8.56808</v>
      </c>
      <c r="F90" s="259">
        <v>4.41672526498748</v>
      </c>
      <c r="G90" s="259">
        <v>2.50377738543291</v>
      </c>
      <c r="H90" s="259">
        <v>4.06208531421595</v>
      </c>
      <c r="I90" s="259">
        <v>3.5369520680885</v>
      </c>
      <c r="J90" s="259">
        <v>6.48379836312666</v>
      </c>
      <c r="K90" s="259">
        <v>5.03697442503752</v>
      </c>
      <c r="L90" s="259">
        <v>4.92201073476252</v>
      </c>
      <c r="M90" s="259">
        <v>6.82150788139929</v>
      </c>
      <c r="N90" s="259">
        <v>6.21097326514094</v>
      </c>
      <c r="O90" s="259">
        <v>6.4731972859223</v>
      </c>
      <c r="P90" s="259">
        <v>5.27933575995904</v>
      </c>
      <c r="Q90" s="259">
        <f>F90+E90+G90+H90+I90+J90+K90+L90+M90+N90+O90+P90</f>
        <v>64.3154177480731</v>
      </c>
      <c r="R90" s="272"/>
      <c r="S90" s="261">
        <v>1000</v>
      </c>
    </row>
    <row r="91" outlineLevel="1" spans="1:19">
      <c r="A91" s="269" t="s">
        <v>32</v>
      </c>
      <c r="B91" s="256">
        <v>6666021604</v>
      </c>
      <c r="C91" s="159" t="s">
        <v>122</v>
      </c>
      <c r="D91" s="256" t="s">
        <v>121</v>
      </c>
      <c r="E91" s="257">
        <v>0</v>
      </c>
      <c r="F91" s="259">
        <v>0.522995205966985</v>
      </c>
      <c r="G91" s="259">
        <v>0.289134371033375</v>
      </c>
      <c r="H91" s="259">
        <v>0.481001424835025</v>
      </c>
      <c r="I91" s="259">
        <v>0.316077552332171</v>
      </c>
      <c r="J91" s="259">
        <v>0.112372492445262</v>
      </c>
      <c r="K91" s="259">
        <v>0.10855215663776</v>
      </c>
      <c r="L91" s="259">
        <v>0.116176906524406</v>
      </c>
      <c r="M91" s="259">
        <v>0.118225428974967</v>
      </c>
      <c r="N91" s="259">
        <v>0.533094519391985</v>
      </c>
      <c r="O91" s="259">
        <v>0.555601489292508</v>
      </c>
      <c r="P91" s="259">
        <v>0.45812151596173</v>
      </c>
      <c r="Q91" s="259">
        <f>F91+E91+G91+H91+I91+J91+K91+L91+M91+N91+O91+P91</f>
        <v>3.61135306339617</v>
      </c>
      <c r="R91" s="273"/>
      <c r="S91" s="261"/>
    </row>
    <row r="92" s="120" customFormat="1" spans="1:19">
      <c r="A92" s="271"/>
      <c r="B92" s="148" t="s">
        <v>42</v>
      </c>
      <c r="C92" s="149" t="s">
        <v>121</v>
      </c>
      <c r="D92" s="150"/>
      <c r="E92" s="151">
        <f>SUM(E90:E91)</f>
        <v>8.56808</v>
      </c>
      <c r="F92" s="262">
        <f>+SUM(F90:F91)</f>
        <v>4.93972047095447</v>
      </c>
      <c r="G92" s="262">
        <f>+SUM(G90:G91)</f>
        <v>2.79291175646628</v>
      </c>
      <c r="H92" s="262">
        <f>+SUM(H90:H91)</f>
        <v>4.54308673905097</v>
      </c>
      <c r="I92" s="262">
        <f>+SUM(I90:I91)</f>
        <v>3.85302962042067</v>
      </c>
      <c r="J92" s="262">
        <f t="shared" ref="J92:P92" si="11">+SUM(J90:J91)</f>
        <v>6.59617085557193</v>
      </c>
      <c r="K92" s="262">
        <f t="shared" si="11"/>
        <v>5.14552658167528</v>
      </c>
      <c r="L92" s="262">
        <f t="shared" si="11"/>
        <v>5.03818764128693</v>
      </c>
      <c r="M92" s="262">
        <f t="shared" si="11"/>
        <v>6.93973331037426</v>
      </c>
      <c r="N92" s="262">
        <f t="shared" si="11"/>
        <v>6.74406778453292</v>
      </c>
      <c r="O92" s="262">
        <f t="shared" si="11"/>
        <v>7.02879877521481</v>
      </c>
      <c r="P92" s="262">
        <f t="shared" si="11"/>
        <v>5.73745727592077</v>
      </c>
      <c r="Q92" s="262">
        <f>SUM(Q90:Q91)</f>
        <v>67.9267708114693</v>
      </c>
      <c r="R92" s="151"/>
      <c r="S92" s="261"/>
    </row>
    <row r="93" outlineLevel="2" spans="1:19">
      <c r="A93" s="271" t="s">
        <v>32</v>
      </c>
      <c r="B93" s="256">
        <v>6666021600</v>
      </c>
      <c r="C93" s="256" t="s">
        <v>123</v>
      </c>
      <c r="D93" s="256" t="s">
        <v>124</v>
      </c>
      <c r="E93" s="257">
        <v>21.92376</v>
      </c>
      <c r="F93" s="259">
        <v>27.0698359067187</v>
      </c>
      <c r="G93" s="259">
        <v>15.4106737959684</v>
      </c>
      <c r="H93" s="259">
        <v>25.4324405195029</v>
      </c>
      <c r="I93" s="259">
        <v>21.3742978551862</v>
      </c>
      <c r="J93" s="259">
        <v>34.9520105115683</v>
      </c>
      <c r="K93" s="259">
        <v>27.1025940294242</v>
      </c>
      <c r="L93" s="259">
        <v>30.6873489490525</v>
      </c>
      <c r="M93" s="259">
        <v>30.1746734164626</v>
      </c>
      <c r="N93" s="259">
        <v>26.8966631965774</v>
      </c>
      <c r="O93" s="259">
        <v>30.8300251463238</v>
      </c>
      <c r="P93" s="259">
        <v>25.4488089775796</v>
      </c>
      <c r="Q93" s="259">
        <f>F93+E93+G93+H93+I93+J93+K93+L93+M93+N93+O93+P93</f>
        <v>317.303132304365</v>
      </c>
      <c r="R93" s="260"/>
      <c r="S93" s="261"/>
    </row>
    <row r="94" outlineLevel="2" spans="1:19">
      <c r="A94" s="271" t="s">
        <v>32</v>
      </c>
      <c r="B94" s="256">
        <v>6666021603</v>
      </c>
      <c r="C94" s="256" t="s">
        <v>125</v>
      </c>
      <c r="D94" s="256" t="s">
        <v>124</v>
      </c>
      <c r="E94" s="257">
        <v>0.69152</v>
      </c>
      <c r="F94" s="259">
        <v>0.977739929762718</v>
      </c>
      <c r="G94" s="259">
        <v>0.554266561332424</v>
      </c>
      <c r="H94" s="259">
        <v>0.899232524444312</v>
      </c>
      <c r="I94" s="259">
        <v>0.782982653243374</v>
      </c>
      <c r="J94" s="259">
        <v>1.24395468415446</v>
      </c>
      <c r="K94" s="259">
        <v>0.96637303923963</v>
      </c>
      <c r="L94" s="259">
        <v>0.944316582049573</v>
      </c>
      <c r="M94" s="259">
        <v>1.30874623281333</v>
      </c>
      <c r="N94" s="259">
        <v>1.19161159148145</v>
      </c>
      <c r="O94" s="259">
        <v>1.24192080541443</v>
      </c>
      <c r="P94" s="259">
        <v>1.01287148057737</v>
      </c>
      <c r="Q94" s="259">
        <f>F94+E94+G94+H94+I94+J94+K94+L94+M94+N94+O94+P94</f>
        <v>11.8155360845131</v>
      </c>
      <c r="R94" s="260"/>
      <c r="S94" s="261"/>
    </row>
    <row r="95" outlineLevel="2" spans="1:19">
      <c r="A95" s="271" t="s">
        <v>32</v>
      </c>
      <c r="B95" s="256">
        <v>6666021604</v>
      </c>
      <c r="C95" s="274" t="s">
        <v>126</v>
      </c>
      <c r="D95" s="256" t="s">
        <v>124</v>
      </c>
      <c r="E95" s="257">
        <v>3.97728</v>
      </c>
      <c r="F95" s="259">
        <v>4.22066306569848</v>
      </c>
      <c r="G95" s="259">
        <v>2.3926325730966</v>
      </c>
      <c r="H95" s="259">
        <v>3.36419710001573</v>
      </c>
      <c r="I95" s="259">
        <v>2.81661979243372</v>
      </c>
      <c r="J95" s="259">
        <v>3.22190805406967</v>
      </c>
      <c r="K95" s="259">
        <v>2.50295699515637</v>
      </c>
      <c r="L95" s="259">
        <v>2.44582961104013</v>
      </c>
      <c r="M95" s="259">
        <v>4.89626449377808</v>
      </c>
      <c r="N95" s="259">
        <v>4.80096818633718</v>
      </c>
      <c r="O95" s="259">
        <v>5.36106700194525</v>
      </c>
      <c r="P95" s="259">
        <v>4.37231733944802</v>
      </c>
      <c r="Q95" s="259">
        <f>F95+E95+G95+H95+I95+J95+K95+L95+M95+N95+O95+P95</f>
        <v>44.3727042130192</v>
      </c>
      <c r="R95" s="260"/>
      <c r="S95" s="261"/>
    </row>
    <row r="96" outlineLevel="2" spans="1:19">
      <c r="A96" s="271" t="s">
        <v>32</v>
      </c>
      <c r="B96" s="256">
        <v>6666021604</v>
      </c>
      <c r="C96" s="159" t="s">
        <v>122</v>
      </c>
      <c r="D96" s="256" t="s">
        <v>124</v>
      </c>
      <c r="E96" s="257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>
        <f>F96+E96+G96+H96+I96+J96+K96+L96+M96+N96+O96+P96</f>
        <v>0</v>
      </c>
      <c r="R96" s="260"/>
      <c r="S96" s="261"/>
    </row>
    <row r="97" s="120" customFormat="1" spans="1:19">
      <c r="A97" s="271"/>
      <c r="B97" s="148" t="s">
        <v>52</v>
      </c>
      <c r="C97" s="149" t="s">
        <v>124</v>
      </c>
      <c r="D97" s="150"/>
      <c r="E97" s="151">
        <f>SUM(E93:E96)</f>
        <v>26.59256</v>
      </c>
      <c r="F97" s="262">
        <f>SUM(F93:F96)</f>
        <v>32.2682389021799</v>
      </c>
      <c r="G97" s="262">
        <f>SUM(G93:G96)</f>
        <v>18.3575729303974</v>
      </c>
      <c r="H97" s="262">
        <f>SUM(H93:H96)</f>
        <v>29.6958701439629</v>
      </c>
      <c r="I97" s="262">
        <f>SUM(I93:I96)</f>
        <v>24.9739003008633</v>
      </c>
      <c r="J97" s="262">
        <f t="shared" ref="J97:Q97" si="12">SUM(J93:J96)</f>
        <v>39.4178732497924</v>
      </c>
      <c r="K97" s="262">
        <f t="shared" si="12"/>
        <v>30.5719240638202</v>
      </c>
      <c r="L97" s="262">
        <f t="shared" si="12"/>
        <v>34.0774951421422</v>
      </c>
      <c r="M97" s="262">
        <f t="shared" si="12"/>
        <v>36.379684143054</v>
      </c>
      <c r="N97" s="262">
        <f t="shared" si="12"/>
        <v>32.889242974396</v>
      </c>
      <c r="O97" s="262">
        <f t="shared" si="12"/>
        <v>37.4330129536835</v>
      </c>
      <c r="P97" s="262">
        <f t="shared" si="12"/>
        <v>30.833997797605</v>
      </c>
      <c r="Q97" s="262">
        <f t="shared" si="12"/>
        <v>373.491372601897</v>
      </c>
      <c r="R97" s="152"/>
      <c r="S97" s="261"/>
    </row>
    <row r="98" outlineLevel="1" spans="1:19">
      <c r="A98" s="271" t="s">
        <v>32</v>
      </c>
      <c r="B98" s="256">
        <v>5001010206</v>
      </c>
      <c r="C98" s="256" t="s">
        <v>127</v>
      </c>
      <c r="D98" s="256" t="s">
        <v>128</v>
      </c>
      <c r="E98" s="257">
        <v>3.05709</v>
      </c>
      <c r="F98" s="257">
        <v>0</v>
      </c>
      <c r="G98" s="257">
        <v>0</v>
      </c>
      <c r="H98" s="257">
        <v>0</v>
      </c>
      <c r="I98" s="257">
        <v>0</v>
      </c>
      <c r="J98" s="257">
        <v>0</v>
      </c>
      <c r="K98" s="257">
        <v>0</v>
      </c>
      <c r="L98" s="257">
        <v>0</v>
      </c>
      <c r="M98" s="257">
        <v>0</v>
      </c>
      <c r="N98" s="257">
        <v>0</v>
      </c>
      <c r="O98" s="257">
        <v>0</v>
      </c>
      <c r="P98" s="257">
        <v>0</v>
      </c>
      <c r="Q98" s="259">
        <f t="shared" ref="Q98:Q104" si="13">F98+E98+G98+H98+I98+J98+K98+L98+M98+N98+O98+P98</f>
        <v>3.05709</v>
      </c>
      <c r="R98" s="260"/>
      <c r="S98" s="261"/>
    </row>
    <row r="99" outlineLevel="1" spans="1:19">
      <c r="A99" s="271" t="s">
        <v>32</v>
      </c>
      <c r="B99" s="256">
        <v>6666010184</v>
      </c>
      <c r="C99" s="256" t="s">
        <v>129</v>
      </c>
      <c r="D99" s="256" t="s">
        <v>128</v>
      </c>
      <c r="E99" s="257">
        <v>-0.14232</v>
      </c>
      <c r="F99" s="257">
        <v>0</v>
      </c>
      <c r="G99" s="257">
        <v>0</v>
      </c>
      <c r="H99" s="257">
        <v>0</v>
      </c>
      <c r="I99" s="257">
        <v>0</v>
      </c>
      <c r="J99" s="257">
        <v>0</v>
      </c>
      <c r="K99" s="257">
        <v>0</v>
      </c>
      <c r="L99" s="257">
        <v>0</v>
      </c>
      <c r="M99" s="257">
        <v>0</v>
      </c>
      <c r="N99" s="257">
        <v>0</v>
      </c>
      <c r="O99" s="257">
        <v>0</v>
      </c>
      <c r="P99" s="257">
        <v>0</v>
      </c>
      <c r="Q99" s="259">
        <f t="shared" si="13"/>
        <v>-0.14232</v>
      </c>
      <c r="R99" s="260"/>
      <c r="S99" s="261"/>
    </row>
    <row r="100" outlineLevel="1" spans="1:19">
      <c r="A100" s="271" t="s">
        <v>32</v>
      </c>
      <c r="B100" s="256">
        <v>6666010186</v>
      </c>
      <c r="C100" s="256" t="s">
        <v>130</v>
      </c>
      <c r="D100" s="256" t="s">
        <v>128</v>
      </c>
      <c r="E100" s="257">
        <v>8.76637</v>
      </c>
      <c r="F100" s="257">
        <v>0</v>
      </c>
      <c r="G100" s="257">
        <v>0</v>
      </c>
      <c r="H100" s="257">
        <v>0</v>
      </c>
      <c r="I100" s="257">
        <v>0</v>
      </c>
      <c r="J100" s="257">
        <v>0</v>
      </c>
      <c r="K100" s="257">
        <v>0</v>
      </c>
      <c r="L100" s="257">
        <v>0</v>
      </c>
      <c r="M100" s="257">
        <v>0</v>
      </c>
      <c r="N100" s="257">
        <v>0</v>
      </c>
      <c r="O100" s="257">
        <v>0</v>
      </c>
      <c r="P100" s="257">
        <v>0</v>
      </c>
      <c r="Q100" s="259">
        <f t="shared" si="13"/>
        <v>8.76637</v>
      </c>
      <c r="R100" s="260"/>
      <c r="S100" s="261"/>
    </row>
    <row r="101" outlineLevel="1" spans="1:19">
      <c r="A101" s="271" t="s">
        <v>32</v>
      </c>
      <c r="B101" s="256">
        <v>6666010189</v>
      </c>
      <c r="C101" s="256" t="s">
        <v>131</v>
      </c>
      <c r="D101" s="256" t="s">
        <v>128</v>
      </c>
      <c r="E101" s="257">
        <v>27.21355</v>
      </c>
      <c r="F101" s="257">
        <v>0</v>
      </c>
      <c r="G101" s="257">
        <v>0</v>
      </c>
      <c r="H101" s="257">
        <v>0</v>
      </c>
      <c r="I101" s="257">
        <v>0</v>
      </c>
      <c r="J101" s="257">
        <v>0</v>
      </c>
      <c r="K101" s="257">
        <v>0</v>
      </c>
      <c r="L101" s="257">
        <v>0</v>
      </c>
      <c r="M101" s="257">
        <v>0</v>
      </c>
      <c r="N101" s="257">
        <v>0</v>
      </c>
      <c r="O101" s="257">
        <v>0</v>
      </c>
      <c r="P101" s="257">
        <v>0</v>
      </c>
      <c r="Q101" s="259">
        <f t="shared" si="13"/>
        <v>27.21355</v>
      </c>
      <c r="R101" s="260"/>
      <c r="S101" s="261"/>
    </row>
    <row r="102" outlineLevel="1" spans="1:19">
      <c r="A102" s="271" t="s">
        <v>32</v>
      </c>
      <c r="B102" s="256">
        <v>6666010012</v>
      </c>
      <c r="C102" s="256" t="s">
        <v>132</v>
      </c>
      <c r="D102" s="256" t="s">
        <v>128</v>
      </c>
      <c r="E102" s="257">
        <v>28.9222</v>
      </c>
      <c r="F102" s="257">
        <v>0</v>
      </c>
      <c r="G102" s="257">
        <v>0</v>
      </c>
      <c r="H102" s="257">
        <v>0</v>
      </c>
      <c r="I102" s="257">
        <v>0</v>
      </c>
      <c r="J102" s="257">
        <v>0</v>
      </c>
      <c r="K102" s="257">
        <v>0</v>
      </c>
      <c r="L102" s="257">
        <v>0</v>
      </c>
      <c r="M102" s="257">
        <v>0</v>
      </c>
      <c r="N102" s="257">
        <v>0</v>
      </c>
      <c r="O102" s="257">
        <v>0</v>
      </c>
      <c r="P102" s="257">
        <v>0</v>
      </c>
      <c r="Q102" s="259">
        <f t="shared" si="13"/>
        <v>28.9222</v>
      </c>
      <c r="R102" s="260"/>
      <c r="S102" s="261"/>
    </row>
    <row r="103" outlineLevel="1" spans="1:19">
      <c r="A103" s="271" t="s">
        <v>32</v>
      </c>
      <c r="B103" s="256">
        <v>6666010226</v>
      </c>
      <c r="C103" s="256" t="s">
        <v>133</v>
      </c>
      <c r="D103" s="256" t="s">
        <v>128</v>
      </c>
      <c r="E103" s="257">
        <v>6.0301</v>
      </c>
      <c r="F103" s="257">
        <v>0</v>
      </c>
      <c r="G103" s="257">
        <v>0</v>
      </c>
      <c r="H103" s="257">
        <v>0</v>
      </c>
      <c r="I103" s="257">
        <v>0</v>
      </c>
      <c r="J103" s="257">
        <v>0</v>
      </c>
      <c r="K103" s="257">
        <v>0</v>
      </c>
      <c r="L103" s="257">
        <v>0</v>
      </c>
      <c r="M103" s="257">
        <v>0</v>
      </c>
      <c r="N103" s="257">
        <v>0</v>
      </c>
      <c r="O103" s="257">
        <v>0</v>
      </c>
      <c r="P103" s="257">
        <v>0</v>
      </c>
      <c r="Q103" s="259">
        <f t="shared" si="13"/>
        <v>6.0301</v>
      </c>
      <c r="R103" s="260"/>
      <c r="S103" s="261"/>
    </row>
    <row r="104" outlineLevel="1" spans="1:19">
      <c r="A104" s="271" t="s">
        <v>32</v>
      </c>
      <c r="B104" s="256">
        <v>6666010102</v>
      </c>
      <c r="C104" s="256" t="s">
        <v>134</v>
      </c>
      <c r="D104" s="256" t="s">
        <v>128</v>
      </c>
      <c r="E104" s="257">
        <v>162.67013</v>
      </c>
      <c r="F104" s="257">
        <v>214.482410204982</v>
      </c>
      <c r="G104" s="257">
        <v>222.806169805666</v>
      </c>
      <c r="H104" s="257">
        <v>213.960387852059</v>
      </c>
      <c r="I104" s="257">
        <v>236.955140725714</v>
      </c>
      <c r="J104" s="257">
        <v>224.390627264121</v>
      </c>
      <c r="K104" s="257">
        <v>258.756905104617</v>
      </c>
      <c r="L104" s="257">
        <v>232.43646972895</v>
      </c>
      <c r="M104" s="257">
        <v>238.36332486386</v>
      </c>
      <c r="N104" s="257">
        <v>222.645994371097</v>
      </c>
      <c r="O104" s="257">
        <v>217.429644787361</v>
      </c>
      <c r="P104" s="257">
        <v>284.765131039573</v>
      </c>
      <c r="Q104" s="259">
        <f t="shared" si="13"/>
        <v>2729.662335748</v>
      </c>
      <c r="R104" s="260"/>
      <c r="S104" s="261"/>
    </row>
    <row r="105" s="120" customFormat="1" spans="1:19">
      <c r="A105" s="271"/>
      <c r="B105" s="148" t="s">
        <v>135</v>
      </c>
      <c r="C105" s="149" t="s">
        <v>128</v>
      </c>
      <c r="D105" s="150"/>
      <c r="E105" s="151">
        <f>SUM(E98:E104)</f>
        <v>236.51712</v>
      </c>
      <c r="F105" s="151">
        <f t="shared" ref="F105:Q105" si="14">SUM(F98:F104)</f>
        <v>214.482410204982</v>
      </c>
      <c r="G105" s="151">
        <f t="shared" si="14"/>
        <v>222.806169805666</v>
      </c>
      <c r="H105" s="151">
        <f t="shared" si="14"/>
        <v>213.960387852059</v>
      </c>
      <c r="I105" s="151">
        <f t="shared" si="14"/>
        <v>236.955140725714</v>
      </c>
      <c r="J105" s="151">
        <f t="shared" si="14"/>
        <v>224.390627264121</v>
      </c>
      <c r="K105" s="151">
        <f t="shared" si="14"/>
        <v>258.756905104617</v>
      </c>
      <c r="L105" s="151">
        <f t="shared" si="14"/>
        <v>232.43646972895</v>
      </c>
      <c r="M105" s="151">
        <f t="shared" si="14"/>
        <v>238.36332486386</v>
      </c>
      <c r="N105" s="151">
        <f t="shared" si="14"/>
        <v>222.645994371097</v>
      </c>
      <c r="O105" s="151">
        <f t="shared" si="14"/>
        <v>217.429644787361</v>
      </c>
      <c r="P105" s="151">
        <f t="shared" si="14"/>
        <v>284.765131039573</v>
      </c>
      <c r="Q105" s="262">
        <f t="shared" si="14"/>
        <v>2803.509325748</v>
      </c>
      <c r="R105" s="152"/>
      <c r="S105" s="261"/>
    </row>
    <row r="106" outlineLevel="1" spans="1:19">
      <c r="A106" s="271" t="s">
        <v>32</v>
      </c>
      <c r="B106" s="256">
        <v>6666010196</v>
      </c>
      <c r="C106" s="256" t="s">
        <v>136</v>
      </c>
      <c r="D106" s="256" t="s">
        <v>137</v>
      </c>
      <c r="E106" s="257">
        <v>15.8207</v>
      </c>
      <c r="F106" s="257">
        <v>0</v>
      </c>
      <c r="G106" s="257">
        <v>0</v>
      </c>
      <c r="H106" s="257">
        <v>0</v>
      </c>
      <c r="I106" s="257">
        <v>0</v>
      </c>
      <c r="J106" s="257">
        <v>0</v>
      </c>
      <c r="K106" s="257">
        <v>0</v>
      </c>
      <c r="L106" s="257">
        <v>0</v>
      </c>
      <c r="M106" s="257">
        <v>0</v>
      </c>
      <c r="N106" s="257">
        <v>0</v>
      </c>
      <c r="O106" s="257">
        <v>0</v>
      </c>
      <c r="P106" s="257">
        <v>0</v>
      </c>
      <c r="Q106" s="259">
        <f t="shared" ref="Q106:Q112" si="15">F106+E106+G106+H106+I106+J106+K106+L106+M106+N106+O106+P106</f>
        <v>15.8207</v>
      </c>
      <c r="R106" s="260"/>
      <c r="S106" s="261"/>
    </row>
    <row r="107" outlineLevel="1" spans="1:19">
      <c r="A107" s="271" t="s">
        <v>32</v>
      </c>
      <c r="B107" s="256">
        <v>6666010101</v>
      </c>
      <c r="C107" s="256" t="s">
        <v>138</v>
      </c>
      <c r="D107" s="256" t="s">
        <v>137</v>
      </c>
      <c r="E107" s="257">
        <v>83.51397</v>
      </c>
      <c r="F107" s="257">
        <v>114.336822480409</v>
      </c>
      <c r="G107" s="257">
        <v>104.530350011401</v>
      </c>
      <c r="H107" s="257">
        <v>105.614806731822</v>
      </c>
      <c r="I107" s="257">
        <v>111.61576960779</v>
      </c>
      <c r="J107" s="257">
        <v>107.928953295851</v>
      </c>
      <c r="K107" s="257">
        <v>100.075568616517</v>
      </c>
      <c r="L107" s="257">
        <v>100.551771095728</v>
      </c>
      <c r="M107" s="257">
        <v>105.387416527005</v>
      </c>
      <c r="N107" s="257">
        <v>98.7982175495358</v>
      </c>
      <c r="O107" s="257">
        <v>97.22043896832</v>
      </c>
      <c r="P107" s="257">
        <v>95.6922615935141</v>
      </c>
      <c r="Q107" s="259">
        <f t="shared" si="15"/>
        <v>1225.26634647789</v>
      </c>
      <c r="R107" s="260"/>
      <c r="S107" s="261"/>
    </row>
    <row r="108" outlineLevel="1" spans="1:19">
      <c r="A108" s="271" t="s">
        <v>32</v>
      </c>
      <c r="B108" s="256">
        <v>6666010199</v>
      </c>
      <c r="C108" s="256" t="s">
        <v>139</v>
      </c>
      <c r="D108" s="256" t="s">
        <v>137</v>
      </c>
      <c r="E108" s="257">
        <v>13.11897</v>
      </c>
      <c r="F108" s="257">
        <v>0</v>
      </c>
      <c r="G108" s="257">
        <v>0</v>
      </c>
      <c r="H108" s="257">
        <v>0</v>
      </c>
      <c r="I108" s="257">
        <v>0</v>
      </c>
      <c r="J108" s="257">
        <v>0</v>
      </c>
      <c r="K108" s="257">
        <v>0</v>
      </c>
      <c r="L108" s="257">
        <v>0</v>
      </c>
      <c r="M108" s="257">
        <v>0</v>
      </c>
      <c r="N108" s="257">
        <v>0</v>
      </c>
      <c r="O108" s="257">
        <v>0</v>
      </c>
      <c r="P108" s="257">
        <v>0</v>
      </c>
      <c r="Q108" s="259">
        <f t="shared" si="15"/>
        <v>13.11897</v>
      </c>
      <c r="R108" s="260"/>
      <c r="S108" s="261"/>
    </row>
    <row r="109" outlineLevel="1" spans="1:19">
      <c r="A109" s="271" t="s">
        <v>32</v>
      </c>
      <c r="B109" s="256">
        <v>6666010185</v>
      </c>
      <c r="C109" s="256" t="s">
        <v>140</v>
      </c>
      <c r="D109" s="256" t="s">
        <v>137</v>
      </c>
      <c r="E109" s="257">
        <v>-0.18544</v>
      </c>
      <c r="F109" s="257">
        <v>0</v>
      </c>
      <c r="G109" s="257">
        <v>0</v>
      </c>
      <c r="H109" s="257">
        <v>0</v>
      </c>
      <c r="I109" s="257">
        <v>0</v>
      </c>
      <c r="J109" s="257">
        <v>0</v>
      </c>
      <c r="K109" s="257">
        <v>0</v>
      </c>
      <c r="L109" s="257">
        <v>0</v>
      </c>
      <c r="M109" s="257">
        <v>0</v>
      </c>
      <c r="N109" s="257">
        <v>0</v>
      </c>
      <c r="O109" s="257">
        <v>0</v>
      </c>
      <c r="P109" s="257">
        <v>0</v>
      </c>
      <c r="Q109" s="259">
        <f t="shared" si="15"/>
        <v>-0.18544</v>
      </c>
      <c r="R109" s="260"/>
      <c r="S109" s="261"/>
    </row>
    <row r="110" outlineLevel="1" spans="1:19">
      <c r="A110" s="271" t="s">
        <v>32</v>
      </c>
      <c r="B110" s="256">
        <v>6666010207</v>
      </c>
      <c r="C110" s="256" t="s">
        <v>141</v>
      </c>
      <c r="D110" s="256" t="s">
        <v>137</v>
      </c>
      <c r="E110" s="257">
        <v>1.1587</v>
      </c>
      <c r="F110" s="257">
        <v>0</v>
      </c>
      <c r="G110" s="257">
        <v>0</v>
      </c>
      <c r="H110" s="257">
        <v>0</v>
      </c>
      <c r="I110" s="257">
        <v>0</v>
      </c>
      <c r="J110" s="257">
        <v>0</v>
      </c>
      <c r="K110" s="257">
        <v>0</v>
      </c>
      <c r="L110" s="257">
        <v>0</v>
      </c>
      <c r="M110" s="257">
        <v>0</v>
      </c>
      <c r="N110" s="257">
        <v>0</v>
      </c>
      <c r="O110" s="257">
        <v>0</v>
      </c>
      <c r="P110" s="257">
        <v>0</v>
      </c>
      <c r="Q110" s="259">
        <f t="shared" si="15"/>
        <v>1.1587</v>
      </c>
      <c r="R110" s="260"/>
      <c r="S110" s="261"/>
    </row>
    <row r="111" customFormat="1" outlineLevel="1" spans="1:19">
      <c r="A111" s="271" t="s">
        <v>32</v>
      </c>
      <c r="B111" s="256">
        <v>5102040406</v>
      </c>
      <c r="C111" s="256" t="s">
        <v>50</v>
      </c>
      <c r="D111" s="256" t="s">
        <v>44</v>
      </c>
      <c r="E111" s="257">
        <v>0</v>
      </c>
      <c r="F111" s="257">
        <v>0</v>
      </c>
      <c r="G111" s="257">
        <v>0</v>
      </c>
      <c r="H111" s="257">
        <v>0</v>
      </c>
      <c r="I111" s="257">
        <v>0</v>
      </c>
      <c r="J111" s="257">
        <v>0</v>
      </c>
      <c r="K111" s="257">
        <v>0</v>
      </c>
      <c r="L111" s="257">
        <v>0</v>
      </c>
      <c r="M111" s="257">
        <v>0</v>
      </c>
      <c r="N111" s="257">
        <v>0</v>
      </c>
      <c r="O111" s="257">
        <v>0</v>
      </c>
      <c r="P111" s="257">
        <v>0</v>
      </c>
      <c r="Q111" s="259">
        <f t="shared" si="15"/>
        <v>0</v>
      </c>
      <c r="R111" s="260"/>
      <c r="S111" s="261"/>
    </row>
    <row r="112" outlineLevel="1" spans="1:19">
      <c r="A112" s="271" t="s">
        <v>32</v>
      </c>
      <c r="B112" s="256">
        <v>6666010227</v>
      </c>
      <c r="C112" s="256" t="s">
        <v>142</v>
      </c>
      <c r="D112" s="256" t="s">
        <v>137</v>
      </c>
      <c r="E112" s="257">
        <v>1.74299</v>
      </c>
      <c r="F112" s="257">
        <v>0</v>
      </c>
      <c r="G112" s="257">
        <v>0</v>
      </c>
      <c r="H112" s="257">
        <v>0</v>
      </c>
      <c r="I112" s="257">
        <v>0</v>
      </c>
      <c r="J112" s="257">
        <v>0</v>
      </c>
      <c r="K112" s="257">
        <v>0</v>
      </c>
      <c r="L112" s="257">
        <v>0</v>
      </c>
      <c r="M112" s="257">
        <v>0</v>
      </c>
      <c r="N112" s="257">
        <v>0</v>
      </c>
      <c r="O112" s="257">
        <v>0</v>
      </c>
      <c r="P112" s="257">
        <v>0</v>
      </c>
      <c r="Q112" s="259">
        <f t="shared" si="15"/>
        <v>1.74299</v>
      </c>
      <c r="R112" s="260"/>
      <c r="S112" s="261"/>
    </row>
    <row r="113" s="120" customFormat="1" spans="1:19">
      <c r="A113" s="271"/>
      <c r="B113" s="148" t="s">
        <v>135</v>
      </c>
      <c r="C113" s="149" t="s">
        <v>137</v>
      </c>
      <c r="D113" s="150"/>
      <c r="E113" s="151">
        <f>SUM(E106:E112)</f>
        <v>115.16989</v>
      </c>
      <c r="F113" s="151">
        <f t="shared" ref="F113:Q113" si="16">SUM(F106:F112)</f>
        <v>114.336822480409</v>
      </c>
      <c r="G113" s="151">
        <f t="shared" si="16"/>
        <v>104.530350011401</v>
      </c>
      <c r="H113" s="151">
        <f t="shared" si="16"/>
        <v>105.614806731822</v>
      </c>
      <c r="I113" s="151">
        <f t="shared" si="16"/>
        <v>111.61576960779</v>
      </c>
      <c r="J113" s="151">
        <f t="shared" si="16"/>
        <v>107.928953295851</v>
      </c>
      <c r="K113" s="151">
        <f t="shared" si="16"/>
        <v>100.075568616517</v>
      </c>
      <c r="L113" s="151">
        <f t="shared" si="16"/>
        <v>100.551771095728</v>
      </c>
      <c r="M113" s="151">
        <f t="shared" si="16"/>
        <v>105.387416527005</v>
      </c>
      <c r="N113" s="151">
        <f t="shared" si="16"/>
        <v>98.7982175495358</v>
      </c>
      <c r="O113" s="151">
        <f t="shared" si="16"/>
        <v>97.22043896832</v>
      </c>
      <c r="P113" s="151">
        <f t="shared" si="16"/>
        <v>95.6922615935141</v>
      </c>
      <c r="Q113" s="262">
        <f t="shared" si="16"/>
        <v>1256.92226647789</v>
      </c>
      <c r="R113" s="152"/>
      <c r="S113" s="261"/>
    </row>
    <row r="114" outlineLevel="1" spans="1:19">
      <c r="A114" s="271" t="s">
        <v>32</v>
      </c>
      <c r="B114" s="256">
        <v>6666020903</v>
      </c>
      <c r="C114" s="256" t="s">
        <v>143</v>
      </c>
      <c r="D114" s="256" t="s">
        <v>144</v>
      </c>
      <c r="E114" s="257">
        <v>0</v>
      </c>
      <c r="F114" s="257">
        <v>0</v>
      </c>
      <c r="G114" s="257">
        <v>0</v>
      </c>
      <c r="H114" s="257">
        <v>0</v>
      </c>
      <c r="I114" s="257">
        <v>0</v>
      </c>
      <c r="J114" s="257">
        <v>0</v>
      </c>
      <c r="K114" s="257">
        <v>0</v>
      </c>
      <c r="L114" s="257">
        <v>0</v>
      </c>
      <c r="M114" s="257">
        <v>0</v>
      </c>
      <c r="N114" s="257">
        <v>0</v>
      </c>
      <c r="O114" s="257">
        <v>0</v>
      </c>
      <c r="P114" s="257">
        <v>0</v>
      </c>
      <c r="Q114" s="259">
        <f t="shared" ref="Q114:Q128" si="17">F114+E114+G114+H114+I114+J114+K114+L114+M114+N114+O114+P114</f>
        <v>0</v>
      </c>
      <c r="R114" s="260"/>
      <c r="S114" s="261"/>
    </row>
    <row r="115" outlineLevel="1" spans="1:19">
      <c r="A115" s="271" t="s">
        <v>32</v>
      </c>
      <c r="B115" s="256">
        <v>6666010302</v>
      </c>
      <c r="C115" s="256" t="s">
        <v>145</v>
      </c>
      <c r="D115" s="256" t="s">
        <v>144</v>
      </c>
      <c r="E115" s="257">
        <v>4.80178</v>
      </c>
      <c r="F115" s="257">
        <v>4.71224350017277</v>
      </c>
      <c r="G115" s="257">
        <v>4.62438027494875</v>
      </c>
      <c r="H115" s="257">
        <v>4.55603967975246</v>
      </c>
      <c r="I115" s="257">
        <v>4.48870904409109</v>
      </c>
      <c r="J115" s="257">
        <v>4.42237344245428</v>
      </c>
      <c r="K115" s="257">
        <v>4.38727524053004</v>
      </c>
      <c r="L115" s="257">
        <v>4.35245559576393</v>
      </c>
      <c r="M115" s="257">
        <v>4.31791229738485</v>
      </c>
      <c r="N115" s="257">
        <v>4.24364844951828</v>
      </c>
      <c r="O115" s="257">
        <v>4.17066186684843</v>
      </c>
      <c r="P115" s="257">
        <v>4.09893058166922</v>
      </c>
      <c r="Q115" s="259">
        <f t="shared" si="17"/>
        <v>53.1764099731341</v>
      </c>
      <c r="R115" s="260"/>
      <c r="S115" s="261"/>
    </row>
    <row r="116" outlineLevel="1" spans="1:19">
      <c r="A116" s="271" t="s">
        <v>32</v>
      </c>
      <c r="B116" s="256">
        <v>6666010314</v>
      </c>
      <c r="C116" s="256" t="s">
        <v>146</v>
      </c>
      <c r="D116" s="256" t="s">
        <v>144</v>
      </c>
      <c r="E116" s="257">
        <v>5.27735</v>
      </c>
      <c r="F116" s="257">
        <v>56.1288072275378</v>
      </c>
      <c r="G116" s="257">
        <v>1.62279704951778</v>
      </c>
      <c r="H116" s="257">
        <v>1.60342128060264</v>
      </c>
      <c r="I116" s="257">
        <v>1.5708795202952</v>
      </c>
      <c r="J116" s="257">
        <v>1.53963236889693</v>
      </c>
      <c r="K116" s="257">
        <v>1.50960407801418</v>
      </c>
      <c r="L116" s="257">
        <v>1.48849073426573</v>
      </c>
      <c r="M116" s="257">
        <v>1.46795982758621</v>
      </c>
      <c r="N116" s="257">
        <v>1.44798758503401</v>
      </c>
      <c r="O116" s="257">
        <v>1.42448837209302</v>
      </c>
      <c r="P116" s="257">
        <v>1.40173971024037</v>
      </c>
      <c r="Q116" s="259">
        <f t="shared" si="17"/>
        <v>76.4831577540839</v>
      </c>
      <c r="R116" s="260"/>
      <c r="S116" s="261"/>
    </row>
    <row r="117" outlineLevel="1" spans="1:19">
      <c r="A117" s="271" t="s">
        <v>32</v>
      </c>
      <c r="B117" s="256">
        <v>6666010315</v>
      </c>
      <c r="C117" s="256" t="s">
        <v>147</v>
      </c>
      <c r="D117" s="256" t="s">
        <v>144</v>
      </c>
      <c r="E117" s="257">
        <v>11.72316</v>
      </c>
      <c r="F117" s="257">
        <v>11.7231634152571</v>
      </c>
      <c r="G117" s="257">
        <v>11.5045764624702</v>
      </c>
      <c r="H117" s="257">
        <v>11.2900652232288</v>
      </c>
      <c r="I117" s="257">
        <v>11.1232169686983</v>
      </c>
      <c r="J117" s="257">
        <v>10.9588344519195</v>
      </c>
      <c r="K117" s="257">
        <v>10.7968812334183</v>
      </c>
      <c r="L117" s="257">
        <v>10.7111916998197</v>
      </c>
      <c r="M117" s="257">
        <v>10.6261822418846</v>
      </c>
      <c r="N117" s="257">
        <v>10.5418474621871</v>
      </c>
      <c r="O117" s="257">
        <v>10.3605380463756</v>
      </c>
      <c r="P117" s="257">
        <v>10.1823469743249</v>
      </c>
      <c r="Q117" s="259">
        <f t="shared" si="17"/>
        <v>131.542004179584</v>
      </c>
      <c r="R117" s="260"/>
      <c r="S117" s="261"/>
    </row>
    <row r="118" outlineLevel="1" spans="1:19">
      <c r="A118" s="271" t="s">
        <v>32</v>
      </c>
      <c r="B118" s="256">
        <v>6666020401</v>
      </c>
      <c r="C118" s="256" t="s">
        <v>148</v>
      </c>
      <c r="D118" s="256" t="s">
        <v>144</v>
      </c>
      <c r="E118" s="257">
        <v>31.34574</v>
      </c>
      <c r="F118" s="257">
        <v>33.7275696365265</v>
      </c>
      <c r="G118" s="257">
        <v>34.9117699830508</v>
      </c>
      <c r="H118" s="257">
        <v>32.6485363201107</v>
      </c>
      <c r="I118" s="257">
        <v>21.5004318607595</v>
      </c>
      <c r="J118" s="257">
        <v>32.9551861755319</v>
      </c>
      <c r="K118" s="257">
        <v>28.8143232960616</v>
      </c>
      <c r="L118" s="257">
        <v>27.2345821360153</v>
      </c>
      <c r="M118" s="257">
        <v>37.0328607745181</v>
      </c>
      <c r="N118" s="257">
        <v>32.9503040009853</v>
      </c>
      <c r="O118" s="257">
        <v>35.1958660033202</v>
      </c>
      <c r="P118" s="257">
        <v>28.0440364822467</v>
      </c>
      <c r="Q118" s="259">
        <f t="shared" si="17"/>
        <v>376.361206669127</v>
      </c>
      <c r="R118" s="260"/>
      <c r="S118" s="261"/>
    </row>
    <row r="119" outlineLevel="1" spans="1:19">
      <c r="A119" s="271" t="s">
        <v>32</v>
      </c>
      <c r="B119" s="256">
        <v>6666020402</v>
      </c>
      <c r="C119" s="256" t="s">
        <v>149</v>
      </c>
      <c r="D119" s="256" t="s">
        <v>144</v>
      </c>
      <c r="E119" s="257">
        <v>0</v>
      </c>
      <c r="F119" s="257">
        <v>0</v>
      </c>
      <c r="G119" s="257">
        <v>0</v>
      </c>
      <c r="H119" s="257">
        <v>0</v>
      </c>
      <c r="I119" s="257">
        <v>0</v>
      </c>
      <c r="J119" s="257">
        <v>0</v>
      </c>
      <c r="K119" s="257">
        <v>0</v>
      </c>
      <c r="L119" s="257">
        <v>0</v>
      </c>
      <c r="M119" s="257">
        <v>0</v>
      </c>
      <c r="N119" s="257">
        <v>0</v>
      </c>
      <c r="O119" s="257">
        <v>0</v>
      </c>
      <c r="P119" s="257">
        <v>0</v>
      </c>
      <c r="Q119" s="259">
        <f t="shared" si="17"/>
        <v>0</v>
      </c>
      <c r="R119" s="260"/>
      <c r="S119" s="261"/>
    </row>
    <row r="120" outlineLevel="1" spans="1:19">
      <c r="A120" s="271" t="s">
        <v>32</v>
      </c>
      <c r="B120" s="256">
        <v>6666020502</v>
      </c>
      <c r="C120" s="256" t="s">
        <v>150</v>
      </c>
      <c r="D120" s="256" t="s">
        <v>144</v>
      </c>
      <c r="E120" s="257">
        <v>22.04347</v>
      </c>
      <c r="F120" s="257">
        <v>30.3331201050839</v>
      </c>
      <c r="G120" s="257">
        <v>31.2719157162586</v>
      </c>
      <c r="H120" s="257">
        <v>30.3468744812423</v>
      </c>
      <c r="I120" s="257">
        <v>20.8197631506932</v>
      </c>
      <c r="J120" s="257">
        <v>30.5062178835697</v>
      </c>
      <c r="K120" s="257">
        <v>27.0909398694639</v>
      </c>
      <c r="L120" s="257">
        <v>25.7066492885057</v>
      </c>
      <c r="M120" s="257">
        <v>34.0491222437642</v>
      </c>
      <c r="N120" s="257">
        <v>30.5205379343037</v>
      </c>
      <c r="O120" s="257">
        <v>31.4938077993634</v>
      </c>
      <c r="P120" s="257">
        <v>25.5286874758278</v>
      </c>
      <c r="Q120" s="259">
        <f t="shared" si="17"/>
        <v>339.711105948077</v>
      </c>
      <c r="R120" s="260"/>
      <c r="S120" s="261"/>
    </row>
    <row r="121" outlineLevel="1" spans="1:19">
      <c r="A121" s="271" t="s">
        <v>32</v>
      </c>
      <c r="B121" s="256">
        <v>6666020503</v>
      </c>
      <c r="C121" s="256" t="s">
        <v>151</v>
      </c>
      <c r="D121" s="256" t="s">
        <v>144</v>
      </c>
      <c r="E121" s="257">
        <v>0.4098</v>
      </c>
      <c r="F121" s="257">
        <v>1.74541915450825</v>
      </c>
      <c r="G121" s="257">
        <v>1.71287453828091</v>
      </c>
      <c r="H121" s="257">
        <v>1.68756112145903</v>
      </c>
      <c r="I121" s="257">
        <v>1.66262179454091</v>
      </c>
      <c r="J121" s="257">
        <v>1.63805102910435</v>
      </c>
      <c r="K121" s="257">
        <v>1.62505062411146</v>
      </c>
      <c r="L121" s="257">
        <v>1.61215339693597</v>
      </c>
      <c r="M121" s="257">
        <v>1.59935852870632</v>
      </c>
      <c r="N121" s="257">
        <v>1.5718511338637</v>
      </c>
      <c r="O121" s="257">
        <v>1.54481683917809</v>
      </c>
      <c r="P121" s="257">
        <v>1.51824750779173</v>
      </c>
      <c r="Q121" s="259">
        <f t="shared" si="17"/>
        <v>18.3278056684807</v>
      </c>
      <c r="R121" s="260"/>
      <c r="S121" s="261"/>
    </row>
    <row r="122" outlineLevel="1" spans="1:19">
      <c r="A122" s="271" t="s">
        <v>32</v>
      </c>
      <c r="B122" s="256">
        <v>6666021500</v>
      </c>
      <c r="C122" s="256" t="s">
        <v>152</v>
      </c>
      <c r="D122" s="256" t="s">
        <v>144</v>
      </c>
      <c r="E122" s="257">
        <v>0</v>
      </c>
      <c r="F122" s="257">
        <v>10</v>
      </c>
      <c r="G122" s="257">
        <v>7</v>
      </c>
      <c r="H122" s="257">
        <v>7</v>
      </c>
      <c r="I122" s="257">
        <v>7</v>
      </c>
      <c r="J122" s="257">
        <v>7</v>
      </c>
      <c r="K122" s="257">
        <v>7</v>
      </c>
      <c r="L122" s="257">
        <v>7</v>
      </c>
      <c r="M122" s="257">
        <v>7</v>
      </c>
      <c r="N122" s="257">
        <v>7</v>
      </c>
      <c r="O122" s="257">
        <v>7</v>
      </c>
      <c r="P122" s="257">
        <v>6</v>
      </c>
      <c r="Q122" s="259">
        <f t="shared" si="17"/>
        <v>79</v>
      </c>
      <c r="R122" s="260"/>
      <c r="S122" s="261"/>
    </row>
    <row r="123" outlineLevel="1" spans="1:19">
      <c r="A123" s="271" t="s">
        <v>32</v>
      </c>
      <c r="B123" s="256">
        <v>6666021502</v>
      </c>
      <c r="C123" s="256" t="s">
        <v>153</v>
      </c>
      <c r="D123" s="256" t="s">
        <v>144</v>
      </c>
      <c r="E123" s="257">
        <v>19</v>
      </c>
      <c r="F123" s="257">
        <v>32.9212470442703</v>
      </c>
      <c r="G123" s="257">
        <v>32.3074063241121</v>
      </c>
      <c r="H123" s="257">
        <v>31.8299569695686</v>
      </c>
      <c r="I123" s="257">
        <v>31.3595635168164</v>
      </c>
      <c r="J123" s="257">
        <v>30.8961216914447</v>
      </c>
      <c r="K123" s="257">
        <v>30.6509143764332</v>
      </c>
      <c r="L123" s="257">
        <v>30.4076531512234</v>
      </c>
      <c r="M123" s="257">
        <v>30.1663225706582</v>
      </c>
      <c r="N123" s="257">
        <v>29.6474914699343</v>
      </c>
      <c r="O123" s="257">
        <v>29.1375837542352</v>
      </c>
      <c r="P123" s="257">
        <v>28.6364459501083</v>
      </c>
      <c r="Q123" s="259">
        <f t="shared" si="17"/>
        <v>356.960706818805</v>
      </c>
      <c r="R123" s="260"/>
      <c r="S123" s="261"/>
    </row>
    <row r="124" outlineLevel="1" spans="1:19">
      <c r="A124" s="271" t="s">
        <v>32</v>
      </c>
      <c r="B124" s="256">
        <v>6666021503</v>
      </c>
      <c r="C124" s="256" t="s">
        <v>154</v>
      </c>
      <c r="D124" s="256" t="s">
        <v>144</v>
      </c>
      <c r="E124" s="257">
        <v>8.95545</v>
      </c>
      <c r="F124" s="257">
        <v>7.5</v>
      </c>
      <c r="G124" s="257">
        <v>7.5</v>
      </c>
      <c r="H124" s="257">
        <v>7.5</v>
      </c>
      <c r="I124" s="257">
        <v>7.5</v>
      </c>
      <c r="J124" s="257">
        <v>7.5</v>
      </c>
      <c r="K124" s="257">
        <v>7.5</v>
      </c>
      <c r="L124" s="257">
        <v>7.5</v>
      </c>
      <c r="M124" s="257">
        <v>7.5</v>
      </c>
      <c r="N124" s="257">
        <v>7.5</v>
      </c>
      <c r="O124" s="257">
        <v>7.5</v>
      </c>
      <c r="P124" s="257">
        <v>7.5</v>
      </c>
      <c r="Q124" s="259">
        <f t="shared" si="17"/>
        <v>91.45545</v>
      </c>
      <c r="R124" s="260"/>
      <c r="S124" s="261"/>
    </row>
    <row r="125" outlineLevel="1" spans="1:19">
      <c r="A125" s="271" t="s">
        <v>32</v>
      </c>
      <c r="B125" s="256">
        <v>6666021505</v>
      </c>
      <c r="C125" s="256" t="s">
        <v>155</v>
      </c>
      <c r="D125" s="256" t="s">
        <v>144</v>
      </c>
      <c r="E125" s="257">
        <v>0</v>
      </c>
      <c r="F125" s="257">
        <v>0</v>
      </c>
      <c r="G125" s="257">
        <v>0</v>
      </c>
      <c r="H125" s="257">
        <v>0</v>
      </c>
      <c r="I125" s="257">
        <v>0</v>
      </c>
      <c r="J125" s="257">
        <v>0</v>
      </c>
      <c r="K125" s="257">
        <v>0</v>
      </c>
      <c r="L125" s="257">
        <v>0</v>
      </c>
      <c r="M125" s="257">
        <v>0</v>
      </c>
      <c r="N125" s="257">
        <v>0</v>
      </c>
      <c r="O125" s="257">
        <v>0</v>
      </c>
      <c r="P125" s="257">
        <v>0</v>
      </c>
      <c r="Q125" s="259">
        <f t="shared" si="17"/>
        <v>0</v>
      </c>
      <c r="R125" s="260"/>
      <c r="S125" s="261"/>
    </row>
    <row r="126" outlineLevel="1" spans="1:19">
      <c r="A126" s="271" t="s">
        <v>32</v>
      </c>
      <c r="B126" s="256">
        <v>6666021506</v>
      </c>
      <c r="C126" s="256" t="s">
        <v>156</v>
      </c>
      <c r="D126" s="256" t="s">
        <v>144</v>
      </c>
      <c r="E126" s="257">
        <v>52.06587</v>
      </c>
      <c r="F126" s="257">
        <v>45.3837889279906</v>
      </c>
      <c r="G126" s="257">
        <v>44.5375750029349</v>
      </c>
      <c r="H126" s="257">
        <v>43.8793842393447</v>
      </c>
      <c r="I126" s="257">
        <v>43.2309204328519</v>
      </c>
      <c r="J126" s="257">
        <v>42.5920398353221</v>
      </c>
      <c r="K126" s="257">
        <v>42.254007773137</v>
      </c>
      <c r="L126" s="257">
        <v>41.9186585050962</v>
      </c>
      <c r="M126" s="257">
        <v>41.5859707391828</v>
      </c>
      <c r="N126" s="257">
        <v>40.8707329132017</v>
      </c>
      <c r="O126" s="257">
        <v>40.1677964748911</v>
      </c>
      <c r="P126" s="257">
        <v>40.0784302868978</v>
      </c>
      <c r="Q126" s="259">
        <f t="shared" si="17"/>
        <v>518.565175130851</v>
      </c>
      <c r="R126" s="260"/>
      <c r="S126" s="261"/>
    </row>
    <row r="127" outlineLevel="2" spans="1:19">
      <c r="A127" s="271" t="s">
        <v>32</v>
      </c>
      <c r="B127" s="256">
        <v>6666030300</v>
      </c>
      <c r="C127" s="256" t="s">
        <v>157</v>
      </c>
      <c r="D127" s="256" t="s">
        <v>60</v>
      </c>
      <c r="E127" s="257">
        <v>7.7005</v>
      </c>
      <c r="F127" s="257">
        <v>6.74174</v>
      </c>
      <c r="G127" s="257">
        <v>6.69436</v>
      </c>
      <c r="H127" s="257">
        <v>6.65751</v>
      </c>
      <c r="I127" s="257">
        <v>6.6212</v>
      </c>
      <c r="J127" s="257">
        <v>6.58542</v>
      </c>
      <c r="K127" s="257">
        <v>6.56649</v>
      </c>
      <c r="L127" s="257">
        <v>6.54772</v>
      </c>
      <c r="M127" s="257">
        <v>6.52909</v>
      </c>
      <c r="N127" s="257">
        <v>6.48904</v>
      </c>
      <c r="O127" s="257">
        <v>6.44968</v>
      </c>
      <c r="P127" s="257">
        <v>6.41099</v>
      </c>
      <c r="Q127" s="259">
        <f t="shared" si="17"/>
        <v>79.99374</v>
      </c>
      <c r="R127" s="260"/>
      <c r="S127" s="261"/>
    </row>
    <row r="128" outlineLevel="1" spans="1:19">
      <c r="A128" s="271" t="s">
        <v>32</v>
      </c>
      <c r="B128" s="256">
        <v>6666091600</v>
      </c>
      <c r="C128" s="256" t="s">
        <v>158</v>
      </c>
      <c r="D128" s="256" t="s">
        <v>144</v>
      </c>
      <c r="E128" s="257">
        <v>0.7778</v>
      </c>
      <c r="F128" s="257">
        <v>0.656644656653896</v>
      </c>
      <c r="G128" s="257">
        <v>0.644401036951812</v>
      </c>
      <c r="H128" s="257">
        <v>0.634877868918041</v>
      </c>
      <c r="I128" s="257">
        <v>0.625495437357676</v>
      </c>
      <c r="J128" s="257">
        <v>0.616251662421356</v>
      </c>
      <c r="K128" s="257">
        <v>0.611360776211662</v>
      </c>
      <c r="L128" s="257">
        <v>0.606508706559189</v>
      </c>
      <c r="M128" s="257">
        <v>0.601695145396021</v>
      </c>
      <c r="N128" s="257">
        <v>0.591346580241789</v>
      </c>
      <c r="O128" s="257">
        <v>0.581176000237631</v>
      </c>
      <c r="P128" s="257">
        <v>0.571180344213888</v>
      </c>
      <c r="Q128" s="259">
        <f t="shared" si="17"/>
        <v>7.51873821516296</v>
      </c>
      <c r="R128" s="260"/>
      <c r="S128" s="261"/>
    </row>
    <row r="129" s="120" customFormat="1" spans="1:19">
      <c r="A129" s="271"/>
      <c r="B129" s="148" t="s">
        <v>135</v>
      </c>
      <c r="C129" s="149" t="s">
        <v>144</v>
      </c>
      <c r="D129" s="150"/>
      <c r="E129" s="151">
        <f>SUM(E114:E128)</f>
        <v>164.10092</v>
      </c>
      <c r="F129" s="151">
        <f t="shared" ref="F129:Q129" si="18">SUM(F114:F128)</f>
        <v>241.573743668001</v>
      </c>
      <c r="G129" s="151">
        <f t="shared" si="18"/>
        <v>184.332056388526</v>
      </c>
      <c r="H129" s="151">
        <f t="shared" si="18"/>
        <v>179.634227184227</v>
      </c>
      <c r="I129" s="151">
        <f t="shared" si="18"/>
        <v>157.502801726104</v>
      </c>
      <c r="J129" s="151">
        <f t="shared" si="18"/>
        <v>177.210128540665</v>
      </c>
      <c r="K129" s="151">
        <f t="shared" si="18"/>
        <v>168.806847267381</v>
      </c>
      <c r="L129" s="151">
        <f t="shared" si="18"/>
        <v>165.086063214185</v>
      </c>
      <c r="M129" s="151">
        <f t="shared" si="18"/>
        <v>182.476474369081</v>
      </c>
      <c r="N129" s="151">
        <f t="shared" si="18"/>
        <v>173.37478752927</v>
      </c>
      <c r="O129" s="151">
        <f t="shared" si="18"/>
        <v>175.026415156543</v>
      </c>
      <c r="P129" s="151">
        <f t="shared" si="18"/>
        <v>159.971035313321</v>
      </c>
      <c r="Q129" s="262">
        <f t="shared" si="18"/>
        <v>2129.0955003573</v>
      </c>
      <c r="R129" s="152"/>
      <c r="S129" s="261"/>
    </row>
    <row r="130" s="123" customFormat="1" spans="1:19">
      <c r="A130" s="275"/>
      <c r="B130" s="160"/>
      <c r="C130" s="160"/>
      <c r="D130" s="160" t="s">
        <v>159</v>
      </c>
      <c r="E130" s="161">
        <f>+E129+E113+E105+E97+E92+E89+E87+E85+E80+E28+E14+E23</f>
        <v>1179.76051992299</v>
      </c>
      <c r="F130" s="161">
        <f t="shared" ref="F130:Q130" si="19">+F129+F113+F105+F97+F92+F89+F87+F85+F80+F28+F14+F23</f>
        <v>1295.53096323155</v>
      </c>
      <c r="G130" s="161">
        <f t="shared" si="19"/>
        <v>1239.47556792863</v>
      </c>
      <c r="H130" s="161">
        <f t="shared" si="19"/>
        <v>1209.18834504803</v>
      </c>
      <c r="I130" s="161">
        <f t="shared" si="19"/>
        <v>1274.88449197022</v>
      </c>
      <c r="J130" s="161">
        <f t="shared" si="19"/>
        <v>1257.46347130811</v>
      </c>
      <c r="K130" s="161">
        <f t="shared" si="19"/>
        <v>1234.10113391443</v>
      </c>
      <c r="L130" s="161">
        <f t="shared" si="19"/>
        <v>1217.97376993332</v>
      </c>
      <c r="M130" s="161">
        <f t="shared" si="19"/>
        <v>1337.39694899957</v>
      </c>
      <c r="N130" s="161">
        <f t="shared" si="19"/>
        <v>1258.07158877651</v>
      </c>
      <c r="O130" s="161">
        <f t="shared" si="19"/>
        <v>1231.38495173179</v>
      </c>
      <c r="P130" s="161">
        <f t="shared" si="19"/>
        <v>1295.71391891668</v>
      </c>
      <c r="Q130" s="161">
        <f t="shared" si="19"/>
        <v>15030.9456716818</v>
      </c>
      <c r="R130" s="162"/>
      <c r="S130" s="261"/>
    </row>
    <row r="131" spans="1:19"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/>
      <c r="R131" s="276"/>
    </row>
    <row r="132" spans="1:19">
      <c r="E132" s="257"/>
      <c r="F132" s="257"/>
      <c r="G132" s="257"/>
      <c r="H132" s="278"/>
      <c r="I132" s="278"/>
      <c r="J132" s="278"/>
      <c r="K132" s="278"/>
      <c r="L132" s="278"/>
      <c r="M132" s="278"/>
      <c r="N132" s="278"/>
      <c r="O132" s="278"/>
      <c r="P132" s="278"/>
      <c r="Q132" s="257"/>
      <c r="R132" s="276"/>
    </row>
    <row r="133" spans="1:19"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76"/>
    </row>
    <row r="134" outlineLevel="1" spans="1:19">
      <c r="A134" s="269" t="s">
        <v>53</v>
      </c>
      <c r="B134" s="279">
        <v>6666110110</v>
      </c>
      <c r="C134" s="280" t="s">
        <v>37</v>
      </c>
      <c r="D134" s="280"/>
      <c r="E134" s="281">
        <v>0.0071</v>
      </c>
      <c r="F134" s="281">
        <v>0</v>
      </c>
      <c r="G134" s="281">
        <v>0</v>
      </c>
      <c r="H134" s="281">
        <v>0</v>
      </c>
      <c r="I134" s="281">
        <v>0</v>
      </c>
      <c r="J134" s="281">
        <v>0</v>
      </c>
      <c r="K134" s="281">
        <v>0</v>
      </c>
      <c r="L134" s="281">
        <v>0</v>
      </c>
      <c r="M134" s="281">
        <v>0</v>
      </c>
      <c r="N134" s="281">
        <v>0</v>
      </c>
      <c r="O134" s="281">
        <v>0</v>
      </c>
      <c r="P134" s="281">
        <v>0</v>
      </c>
      <c r="Q134" s="283">
        <f>F134+E134+G134+H134+I134+J134+K134+L134+M134+N134+O134+P134</f>
        <v>0.0071</v>
      </c>
      <c r="R134" s="282"/>
    </row>
    <row r="135" outlineLevel="1" spans="1:19">
      <c r="A135" s="269" t="s">
        <v>53</v>
      </c>
      <c r="B135" s="284">
        <v>6666110112</v>
      </c>
      <c r="C135" t="s">
        <v>38</v>
      </c>
      <c r="E135" s="285">
        <v>0.00395</v>
      </c>
      <c r="F135" s="285">
        <v>0.279895145295638</v>
      </c>
      <c r="G135" s="285">
        <v>0.279895145295638</v>
      </c>
      <c r="H135" s="285">
        <v>0.279895145295638</v>
      </c>
      <c r="I135" s="285">
        <v>0.279895145295638</v>
      </c>
      <c r="J135" s="285">
        <v>0.279895145295638</v>
      </c>
      <c r="K135" s="285">
        <v>0.279895145295638</v>
      </c>
      <c r="L135" s="285">
        <v>0.279895145295638</v>
      </c>
      <c r="M135" s="285">
        <v>0.279895145295638</v>
      </c>
      <c r="N135" s="285">
        <v>0.279895145295638</v>
      </c>
      <c r="O135" s="285">
        <v>0.279895145295638</v>
      </c>
      <c r="P135" s="285">
        <v>0.279895145295638</v>
      </c>
      <c r="Q135" s="286">
        <f>F135+E135+G135+H135+I135+J135+K135+L135+M135+N135+O135+P135</f>
        <v>3.08279659825202</v>
      </c>
      <c r="R135" s="258"/>
    </row>
    <row r="136" outlineLevel="1" spans="1:19">
      <c r="A136" s="269" t="s">
        <v>53</v>
      </c>
      <c r="B136" s="284">
        <v>6666110207</v>
      </c>
      <c r="C136" t="s">
        <v>40</v>
      </c>
      <c r="E136" s="285">
        <v>0.00013</v>
      </c>
      <c r="F136" s="285">
        <v>0</v>
      </c>
      <c r="G136" s="285">
        <v>0</v>
      </c>
      <c r="H136" s="285">
        <v>0</v>
      </c>
      <c r="I136" s="285">
        <v>0</v>
      </c>
      <c r="J136" s="285">
        <v>0</v>
      </c>
      <c r="K136" s="285">
        <v>0</v>
      </c>
      <c r="L136" s="285">
        <v>0</v>
      </c>
      <c r="M136" s="285">
        <v>0</v>
      </c>
      <c r="N136" s="285">
        <v>0</v>
      </c>
      <c r="O136" s="285">
        <v>0</v>
      </c>
      <c r="P136" s="285">
        <v>0</v>
      </c>
      <c r="Q136" s="259">
        <f>F136+E136+G136+H136+I136+J136+K136+L136+M136+N136+O136+P136</f>
        <v>0.00013</v>
      </c>
      <c r="R136" s="258"/>
    </row>
    <row r="137" outlineLevel="1" spans="1:19">
      <c r="A137" s="269" t="s">
        <v>53</v>
      </c>
      <c r="B137" s="284">
        <v>6666110506</v>
      </c>
      <c r="C137" t="s">
        <v>41</v>
      </c>
      <c r="E137" s="285">
        <v>0.00727</v>
      </c>
      <c r="F137" s="285">
        <v>0</v>
      </c>
      <c r="G137" s="285">
        <v>0</v>
      </c>
      <c r="H137" s="285">
        <v>0</v>
      </c>
      <c r="I137" s="285">
        <v>0</v>
      </c>
      <c r="J137" s="285">
        <v>0</v>
      </c>
      <c r="K137" s="285">
        <v>0</v>
      </c>
      <c r="L137" s="285">
        <v>0</v>
      </c>
      <c r="M137" s="285">
        <v>0</v>
      </c>
      <c r="N137" s="285">
        <v>0</v>
      </c>
      <c r="O137" s="285">
        <v>0</v>
      </c>
      <c r="P137" s="285">
        <v>0</v>
      </c>
      <c r="Q137" s="259">
        <f>F137+E137+G137+H137+I137+J137+K137+L137+M137+N137+O137+P137</f>
        <v>0.00727</v>
      </c>
      <c r="R137" s="287"/>
    </row>
    <row r="138" spans="1:19">
      <c r="A138" s="269"/>
      <c r="B138" s="149" t="s">
        <v>160</v>
      </c>
      <c r="C138" s="149" t="s">
        <v>34</v>
      </c>
      <c r="D138" s="150"/>
      <c r="E138" s="288">
        <f>SUM(E134:E137)</f>
        <v>0.01845</v>
      </c>
      <c r="F138" s="288">
        <f t="shared" ref="F138:Q138" si="20">SUM(F134:F137)</f>
        <v>0.279895145295638</v>
      </c>
      <c r="G138" s="288">
        <f t="shared" si="20"/>
        <v>0.279895145295638</v>
      </c>
      <c r="H138" s="288">
        <f t="shared" si="20"/>
        <v>0.279895145295638</v>
      </c>
      <c r="I138" s="288">
        <f t="shared" si="20"/>
        <v>0.279895145295638</v>
      </c>
      <c r="J138" s="288">
        <f t="shared" si="20"/>
        <v>0.279895145295638</v>
      </c>
      <c r="K138" s="288">
        <f t="shared" si="20"/>
        <v>0.279895145295638</v>
      </c>
      <c r="L138" s="288">
        <f t="shared" si="20"/>
        <v>0.279895145295638</v>
      </c>
      <c r="M138" s="288">
        <f t="shared" si="20"/>
        <v>0.279895145295638</v>
      </c>
      <c r="N138" s="288">
        <f t="shared" si="20"/>
        <v>0.279895145295638</v>
      </c>
      <c r="O138" s="288">
        <f t="shared" si="20"/>
        <v>0.279895145295638</v>
      </c>
      <c r="P138" s="288">
        <f t="shared" si="20"/>
        <v>0.279895145295638</v>
      </c>
      <c r="Q138" s="288">
        <f t="shared" si="20"/>
        <v>3.09729659825202</v>
      </c>
      <c r="R138" s="289"/>
    </row>
    <row r="139" spans="1:19">
      <c r="A139" s="269" t="s">
        <v>53</v>
      </c>
      <c r="B139" s="290">
        <v>6666010380</v>
      </c>
      <c r="C139" s="3" t="s">
        <v>45</v>
      </c>
      <c r="D139" s="120"/>
      <c r="E139" s="291">
        <v>0</v>
      </c>
      <c r="F139" s="291">
        <v>0</v>
      </c>
      <c r="G139" s="291">
        <v>0</v>
      </c>
      <c r="H139" s="291">
        <v>0</v>
      </c>
      <c r="I139" s="291">
        <v>0</v>
      </c>
      <c r="J139" s="291">
        <v>0</v>
      </c>
      <c r="K139" s="291">
        <v>0</v>
      </c>
      <c r="L139" s="291">
        <v>0</v>
      </c>
      <c r="M139" s="291">
        <v>0</v>
      </c>
      <c r="N139" s="291">
        <v>0</v>
      </c>
      <c r="O139" s="291">
        <v>0</v>
      </c>
      <c r="P139" s="291">
        <v>0</v>
      </c>
      <c r="Q139" s="259">
        <f>F139+E139+G139+H139+I139+J139+K139+L139+M139+N139+O139+P139</f>
        <v>0</v>
      </c>
      <c r="R139" s="258"/>
    </row>
    <row r="140" outlineLevel="1" spans="1:19">
      <c r="A140" s="269" t="s">
        <v>53</v>
      </c>
      <c r="B140" s="284">
        <v>5102040406</v>
      </c>
      <c r="C140" t="s">
        <v>161</v>
      </c>
      <c r="E140" s="285">
        <v>0</v>
      </c>
      <c r="F140" s="285">
        <v>0</v>
      </c>
      <c r="G140" s="285">
        <v>0</v>
      </c>
      <c r="H140" s="285">
        <v>0</v>
      </c>
      <c r="I140" s="285">
        <v>0</v>
      </c>
      <c r="J140" s="285">
        <v>0</v>
      </c>
      <c r="K140" s="285">
        <v>0</v>
      </c>
      <c r="L140" s="285">
        <v>0</v>
      </c>
      <c r="M140" s="285">
        <v>0</v>
      </c>
      <c r="N140" s="285">
        <v>0</v>
      </c>
      <c r="O140" s="285">
        <v>0</v>
      </c>
      <c r="P140" s="285">
        <v>0</v>
      </c>
      <c r="Q140" s="259">
        <f>F140+E140+G140+H140+I140+J140+K140+L140+M140+N140+O140+P140</f>
        <v>0</v>
      </c>
      <c r="R140" s="258"/>
    </row>
    <row r="141" spans="1:19">
      <c r="A141" s="269"/>
      <c r="B141" s="149" t="s">
        <v>162</v>
      </c>
      <c r="C141" s="149" t="s">
        <v>44</v>
      </c>
      <c r="D141" s="150"/>
      <c r="E141" s="288">
        <f>+E140+E139</f>
        <v>0</v>
      </c>
      <c r="F141" s="288">
        <f t="shared" ref="F141:Q141" si="21">+F140+F139</f>
        <v>0</v>
      </c>
      <c r="G141" s="288">
        <f t="shared" si="21"/>
        <v>0</v>
      </c>
      <c r="H141" s="288">
        <f t="shared" si="21"/>
        <v>0</v>
      </c>
      <c r="I141" s="288">
        <f t="shared" si="21"/>
        <v>0</v>
      </c>
      <c r="J141" s="288">
        <f t="shared" si="21"/>
        <v>0</v>
      </c>
      <c r="K141" s="288">
        <f t="shared" si="21"/>
        <v>0</v>
      </c>
      <c r="L141" s="288">
        <f t="shared" si="21"/>
        <v>0</v>
      </c>
      <c r="M141" s="288">
        <f t="shared" si="21"/>
        <v>0</v>
      </c>
      <c r="N141" s="288">
        <f t="shared" si="21"/>
        <v>0</v>
      </c>
      <c r="O141" s="288">
        <f t="shared" si="21"/>
        <v>0</v>
      </c>
      <c r="P141" s="288">
        <f t="shared" si="21"/>
        <v>0</v>
      </c>
      <c r="Q141" s="288">
        <f t="shared" si="21"/>
        <v>0</v>
      </c>
      <c r="R141" s="289"/>
    </row>
    <row r="142" outlineLevel="2" spans="1:19">
      <c r="A142" s="269" t="s">
        <v>53</v>
      </c>
      <c r="B142" s="284">
        <v>6666029996</v>
      </c>
      <c r="C142" t="s">
        <v>100</v>
      </c>
      <c r="E142" s="285">
        <v>0.07827</v>
      </c>
      <c r="F142" s="285">
        <v>0</v>
      </c>
      <c r="G142" s="285">
        <v>0</v>
      </c>
      <c r="H142" s="285">
        <v>0</v>
      </c>
      <c r="I142" s="285">
        <v>0</v>
      </c>
      <c r="J142" s="285">
        <v>0</v>
      </c>
      <c r="K142" s="285">
        <v>0</v>
      </c>
      <c r="L142" s="285">
        <v>0</v>
      </c>
      <c r="M142" s="285">
        <v>0</v>
      </c>
      <c r="N142" s="285">
        <v>0</v>
      </c>
      <c r="O142" s="285">
        <v>0</v>
      </c>
      <c r="P142" s="285">
        <v>0</v>
      </c>
      <c r="Q142" s="286">
        <f t="shared" ref="Q142:Q164" si="22">F142+E142+G142+H142+I142+J142+K142+L142+M142+N142+O142+P142</f>
        <v>0.07827</v>
      </c>
      <c r="R142" s="258"/>
    </row>
    <row r="143" spans="1:19">
      <c r="A143" s="269" t="s">
        <v>53</v>
      </c>
      <c r="B143" s="284">
        <v>6666029700</v>
      </c>
      <c r="C143" s="121" t="s">
        <v>98</v>
      </c>
      <c r="E143" s="285">
        <v>71.70073</v>
      </c>
      <c r="F143" s="285">
        <v>-7.0963690319</v>
      </c>
      <c r="G143" s="285">
        <v>9.5006269195634</v>
      </c>
      <c r="H143" s="285">
        <v>10.1446269195634</v>
      </c>
      <c r="I143" s="285">
        <v>10.1446269195634</v>
      </c>
      <c r="J143" s="285">
        <v>10.1446269195634</v>
      </c>
      <c r="K143" s="285">
        <v>10.1446269195634</v>
      </c>
      <c r="L143" s="285">
        <v>10.1446269195634</v>
      </c>
      <c r="M143" s="285">
        <v>10.1446269195634</v>
      </c>
      <c r="N143" s="285">
        <v>10.1446269195634</v>
      </c>
      <c r="O143" s="285">
        <v>10.1446269195634</v>
      </c>
      <c r="P143" s="285">
        <v>-8.19736903181788</v>
      </c>
      <c r="Q143" s="286">
        <f t="shared" si="22"/>
        <v>147.064634212353</v>
      </c>
      <c r="R143" s="258"/>
    </row>
    <row r="144" outlineLevel="3" spans="1:19">
      <c r="A144" s="269" t="s">
        <v>53</v>
      </c>
      <c r="B144" s="284">
        <v>6666010322</v>
      </c>
      <c r="C144" t="s">
        <v>74</v>
      </c>
      <c r="E144" s="285">
        <v>0.26835</v>
      </c>
      <c r="F144" s="285">
        <v>2.9365637814514</v>
      </c>
      <c r="G144" s="285">
        <v>2.9365637814514</v>
      </c>
      <c r="H144" s="285">
        <v>2.9365637814514</v>
      </c>
      <c r="I144" s="285">
        <v>2.9365637814514</v>
      </c>
      <c r="J144" s="285">
        <v>2.9365637814514</v>
      </c>
      <c r="K144" s="285">
        <v>2.9365637814514</v>
      </c>
      <c r="L144" s="285">
        <v>2.9365637814514</v>
      </c>
      <c r="M144" s="285">
        <v>2.9365637814514</v>
      </c>
      <c r="N144" s="285">
        <v>2.9365637814514</v>
      </c>
      <c r="O144" s="285">
        <v>2.9365637814514</v>
      </c>
      <c r="P144" s="285">
        <v>2.9365637814514</v>
      </c>
      <c r="Q144" s="286">
        <f t="shared" si="22"/>
        <v>32.5705515959654</v>
      </c>
      <c r="R144" s="258"/>
    </row>
    <row r="145" outlineLevel="3" spans="1:18">
      <c r="A145" s="269" t="s">
        <v>53</v>
      </c>
      <c r="B145" s="284">
        <v>6666020495</v>
      </c>
      <c r="C145" t="s">
        <v>84</v>
      </c>
      <c r="E145" s="285">
        <v>0.01877</v>
      </c>
      <c r="F145" s="285">
        <v>0</v>
      </c>
      <c r="G145" s="285">
        <v>0</v>
      </c>
      <c r="H145" s="285">
        <v>0</v>
      </c>
      <c r="I145" s="285">
        <v>0</v>
      </c>
      <c r="J145" s="285">
        <v>0</v>
      </c>
      <c r="K145" s="285">
        <v>0</v>
      </c>
      <c r="L145" s="285">
        <v>0</v>
      </c>
      <c r="M145" s="285">
        <v>0</v>
      </c>
      <c r="N145" s="285">
        <v>0</v>
      </c>
      <c r="O145" s="285">
        <v>0</v>
      </c>
      <c r="P145" s="285">
        <v>0</v>
      </c>
      <c r="Q145" s="286">
        <f t="shared" si="22"/>
        <v>0.01877</v>
      </c>
      <c r="R145" s="258"/>
    </row>
    <row r="146" outlineLevel="3" spans="1:18">
      <c r="A146" s="269" t="s">
        <v>53</v>
      </c>
      <c r="B146" s="284">
        <v>5301999999</v>
      </c>
      <c r="C146" s="3" t="s">
        <v>68</v>
      </c>
      <c r="E146" s="285">
        <v>-0.29909</v>
      </c>
      <c r="F146" s="285">
        <v>0</v>
      </c>
      <c r="G146" s="285">
        <v>0</v>
      </c>
      <c r="H146" s="285">
        <v>0</v>
      </c>
      <c r="I146" s="285">
        <v>0</v>
      </c>
      <c r="J146" s="285">
        <v>0</v>
      </c>
      <c r="K146" s="285">
        <v>0</v>
      </c>
      <c r="L146" s="285">
        <v>0</v>
      </c>
      <c r="M146" s="285">
        <v>0</v>
      </c>
      <c r="N146" s="285">
        <v>0</v>
      </c>
      <c r="O146" s="285">
        <v>0</v>
      </c>
      <c r="P146" s="285">
        <v>0</v>
      </c>
      <c r="Q146" s="286">
        <f t="shared" si="22"/>
        <v>-0.29909</v>
      </c>
      <c r="R146" s="258"/>
    </row>
    <row r="147" outlineLevel="3" spans="1:18">
      <c r="A147" s="269" t="s">
        <v>53</v>
      </c>
      <c r="B147" s="284">
        <v>5301060000</v>
      </c>
      <c r="C147" t="s">
        <v>67</v>
      </c>
      <c r="E147" s="285">
        <v>0</v>
      </c>
      <c r="F147" s="285">
        <v>0</v>
      </c>
      <c r="G147" s="285">
        <v>0</v>
      </c>
      <c r="H147" s="285">
        <v>0</v>
      </c>
      <c r="I147" s="285">
        <v>0</v>
      </c>
      <c r="J147" s="285">
        <v>0</v>
      </c>
      <c r="K147" s="285">
        <v>0</v>
      </c>
      <c r="L147" s="285">
        <v>0</v>
      </c>
      <c r="M147" s="285">
        <v>0</v>
      </c>
      <c r="N147" s="285">
        <v>0</v>
      </c>
      <c r="O147" s="285">
        <v>0</v>
      </c>
      <c r="P147" s="285">
        <v>0</v>
      </c>
      <c r="Q147" s="286">
        <f t="shared" si="22"/>
        <v>0</v>
      </c>
      <c r="R147" s="258"/>
    </row>
    <row r="148" outlineLevel="3" spans="1:18">
      <c r="A148" s="269" t="s">
        <v>53</v>
      </c>
      <c r="B148" s="284">
        <v>5601050000</v>
      </c>
      <c r="C148" t="s">
        <v>70</v>
      </c>
      <c r="E148" s="285">
        <v>0.00452</v>
      </c>
      <c r="F148" s="285">
        <v>0</v>
      </c>
      <c r="G148" s="285">
        <v>0</v>
      </c>
      <c r="H148" s="285">
        <v>0</v>
      </c>
      <c r="I148" s="285">
        <v>0</v>
      </c>
      <c r="J148" s="285">
        <v>0</v>
      </c>
      <c r="K148" s="285">
        <v>0</v>
      </c>
      <c r="L148" s="285">
        <v>0</v>
      </c>
      <c r="M148" s="285">
        <v>0</v>
      </c>
      <c r="N148" s="285">
        <v>0</v>
      </c>
      <c r="O148" s="285">
        <v>0</v>
      </c>
      <c r="P148" s="285">
        <v>0</v>
      </c>
      <c r="Q148" s="286">
        <f t="shared" si="22"/>
        <v>0.00452</v>
      </c>
      <c r="R148" s="258"/>
    </row>
    <row r="149" outlineLevel="3" spans="1:18">
      <c r="A149" s="269" t="s">
        <v>53</v>
      </c>
      <c r="B149" s="284">
        <v>5601050100</v>
      </c>
      <c r="C149" t="s">
        <v>71</v>
      </c>
      <c r="E149" s="285">
        <v>0</v>
      </c>
      <c r="F149" s="285">
        <v>0</v>
      </c>
      <c r="G149" s="285">
        <v>0</v>
      </c>
      <c r="H149" s="285">
        <v>0</v>
      </c>
      <c r="I149" s="285">
        <v>0</v>
      </c>
      <c r="J149" s="285">
        <v>0</v>
      </c>
      <c r="K149" s="285">
        <v>0</v>
      </c>
      <c r="L149" s="285">
        <v>0</v>
      </c>
      <c r="M149" s="285">
        <v>0</v>
      </c>
      <c r="N149" s="285">
        <v>0</v>
      </c>
      <c r="O149" s="285">
        <v>0</v>
      </c>
      <c r="P149" s="285">
        <v>0</v>
      </c>
      <c r="Q149" s="286">
        <f t="shared" si="22"/>
        <v>0</v>
      </c>
      <c r="R149" s="258"/>
    </row>
    <row r="150" spans="1:18">
      <c r="A150" s="269" t="s">
        <v>53</v>
      </c>
      <c r="B150" s="284">
        <v>5601080000</v>
      </c>
      <c r="C150" t="s">
        <v>163</v>
      </c>
      <c r="E150" s="285">
        <v>0.82921</v>
      </c>
      <c r="F150" s="285">
        <v>0</v>
      </c>
      <c r="G150" s="285">
        <v>0</v>
      </c>
      <c r="H150" s="285">
        <v>0</v>
      </c>
      <c r="I150" s="285">
        <v>0</v>
      </c>
      <c r="J150" s="285">
        <v>0</v>
      </c>
      <c r="K150" s="285">
        <v>0</v>
      </c>
      <c r="L150" s="285">
        <v>0</v>
      </c>
      <c r="M150" s="285">
        <v>0</v>
      </c>
      <c r="N150" s="285">
        <v>0</v>
      </c>
      <c r="O150" s="285">
        <v>0</v>
      </c>
      <c r="P150" s="285">
        <v>0</v>
      </c>
      <c r="Q150" s="286">
        <f t="shared" si="22"/>
        <v>0.82921</v>
      </c>
      <c r="R150" s="258"/>
    </row>
    <row r="151" spans="1:18">
      <c r="A151" s="269" t="s">
        <v>53</v>
      </c>
      <c r="B151" s="284">
        <v>6666020101</v>
      </c>
      <c r="C151" t="s">
        <v>75</v>
      </c>
      <c r="E151" s="285">
        <v>0</v>
      </c>
      <c r="F151" s="285">
        <v>0</v>
      </c>
      <c r="G151" s="285">
        <v>0.75516464632609</v>
      </c>
      <c r="H151" s="285">
        <v>0</v>
      </c>
      <c r="I151" s="285">
        <v>0.75516464632609</v>
      </c>
      <c r="J151" s="285">
        <v>0.75516464632609</v>
      </c>
      <c r="K151" s="285">
        <v>0</v>
      </c>
      <c r="L151" s="285">
        <v>0</v>
      </c>
      <c r="M151" s="285">
        <v>0</v>
      </c>
      <c r="N151" s="285">
        <v>0</v>
      </c>
      <c r="O151" s="285">
        <v>0</v>
      </c>
      <c r="P151" s="285">
        <v>6.796</v>
      </c>
      <c r="Q151" s="286">
        <f t="shared" si="22"/>
        <v>9.06149393897827</v>
      </c>
      <c r="R151" s="258"/>
    </row>
    <row r="152" outlineLevel="1" spans="1:18">
      <c r="A152" s="269" t="s">
        <v>53</v>
      </c>
      <c r="B152" s="284">
        <v>6666020201</v>
      </c>
      <c r="C152" t="s">
        <v>76</v>
      </c>
      <c r="E152" s="285">
        <v>0.01091</v>
      </c>
      <c r="F152" s="285">
        <v>0</v>
      </c>
      <c r="G152" s="285">
        <v>0</v>
      </c>
      <c r="H152" s="285">
        <v>0</v>
      </c>
      <c r="I152" s="285">
        <v>0</v>
      </c>
      <c r="J152" s="285">
        <v>0</v>
      </c>
      <c r="K152" s="285">
        <v>0</v>
      </c>
      <c r="L152" s="285">
        <v>0</v>
      </c>
      <c r="M152" s="285">
        <v>0</v>
      </c>
      <c r="N152" s="285">
        <v>0</v>
      </c>
      <c r="O152" s="285">
        <v>0</v>
      </c>
      <c r="P152" s="285">
        <v>0</v>
      </c>
      <c r="Q152" s="286">
        <f t="shared" si="22"/>
        <v>0.01091</v>
      </c>
      <c r="R152" s="258"/>
    </row>
    <row r="153" outlineLevel="1" spans="1:18">
      <c r="A153" s="269" t="s">
        <v>53</v>
      </c>
      <c r="B153" s="284">
        <v>6666020202</v>
      </c>
      <c r="C153" t="s">
        <v>77</v>
      </c>
      <c r="E153" s="285">
        <v>0</v>
      </c>
      <c r="F153" s="285">
        <v>0.927895355919412</v>
      </c>
      <c r="G153" s="285">
        <v>0.927895355919412</v>
      </c>
      <c r="H153" s="285">
        <v>0.927895355919412</v>
      </c>
      <c r="I153" s="285">
        <v>0.927895355919412</v>
      </c>
      <c r="J153" s="285">
        <v>0.927895355919412</v>
      </c>
      <c r="K153" s="285">
        <v>0.927895355919412</v>
      </c>
      <c r="L153" s="285">
        <v>0.927895355919412</v>
      </c>
      <c r="M153" s="285">
        <v>0.927895355919412</v>
      </c>
      <c r="N153" s="285">
        <v>0.927895355919412</v>
      </c>
      <c r="O153" s="285">
        <v>0.927895355919412</v>
      </c>
      <c r="P153" s="285">
        <v>0.927895355919412</v>
      </c>
      <c r="Q153" s="286">
        <f t="shared" si="22"/>
        <v>10.2068489151135</v>
      </c>
      <c r="R153" s="258"/>
    </row>
    <row r="154" outlineLevel="1" spans="1:18">
      <c r="A154" s="269" t="s">
        <v>53</v>
      </c>
      <c r="B154" s="284">
        <v>6666020204</v>
      </c>
      <c r="C154" t="s">
        <v>78</v>
      </c>
      <c r="E154" s="285">
        <v>0.12303</v>
      </c>
      <c r="F154" s="285">
        <v>0.512751095599367</v>
      </c>
      <c r="G154" s="285">
        <v>0.512751095599367</v>
      </c>
      <c r="H154" s="285">
        <v>0.512751095599367</v>
      </c>
      <c r="I154" s="285">
        <v>0.512751095599367</v>
      </c>
      <c r="J154" s="285">
        <v>0.512751095599367</v>
      </c>
      <c r="K154" s="285">
        <v>0.512751095599367</v>
      </c>
      <c r="L154" s="285">
        <v>0.512751095599367</v>
      </c>
      <c r="M154" s="285">
        <v>0.512751095599367</v>
      </c>
      <c r="N154" s="285">
        <v>0.512751095599367</v>
      </c>
      <c r="O154" s="285">
        <v>0.512751095599367</v>
      </c>
      <c r="P154" s="285">
        <v>0.512751095599367</v>
      </c>
      <c r="Q154" s="286">
        <f t="shared" si="22"/>
        <v>5.76329205159303</v>
      </c>
      <c r="R154" s="258"/>
    </row>
    <row r="155" outlineLevel="1" spans="1:18">
      <c r="A155" s="269" t="s">
        <v>53</v>
      </c>
      <c r="B155" s="284">
        <v>6666020301</v>
      </c>
      <c r="C155" t="s">
        <v>164</v>
      </c>
      <c r="E155" s="285">
        <v>0.01505</v>
      </c>
      <c r="F155" s="285">
        <v>0</v>
      </c>
      <c r="G155" s="285">
        <v>0</v>
      </c>
      <c r="H155" s="285">
        <v>0</v>
      </c>
      <c r="I155" s="285">
        <v>0</v>
      </c>
      <c r="J155" s="285">
        <v>0</v>
      </c>
      <c r="K155" s="285">
        <v>0</v>
      </c>
      <c r="L155" s="285">
        <v>0</v>
      </c>
      <c r="M155" s="285">
        <v>0</v>
      </c>
      <c r="N155" s="285">
        <v>0</v>
      </c>
      <c r="O155" s="285">
        <v>0</v>
      </c>
      <c r="P155" s="285">
        <v>0</v>
      </c>
      <c r="Q155" s="286">
        <f t="shared" si="22"/>
        <v>0.01505</v>
      </c>
      <c r="R155" s="258"/>
    </row>
    <row r="156" outlineLevel="1" spans="1:18">
      <c r="A156" s="269" t="s">
        <v>53</v>
      </c>
      <c r="B156" s="284">
        <v>6666020403</v>
      </c>
      <c r="C156" t="s">
        <v>82</v>
      </c>
      <c r="E156" s="285">
        <v>0</v>
      </c>
      <c r="F156" s="285">
        <v>0</v>
      </c>
      <c r="G156" s="285">
        <v>0</v>
      </c>
      <c r="H156" s="285">
        <v>0</v>
      </c>
      <c r="I156" s="285">
        <v>0</v>
      </c>
      <c r="J156" s="285">
        <v>0</v>
      </c>
      <c r="K156" s="285">
        <v>0</v>
      </c>
      <c r="L156" s="285">
        <v>0</v>
      </c>
      <c r="M156" s="285">
        <v>0</v>
      </c>
      <c r="N156" s="285">
        <v>0</v>
      </c>
      <c r="O156" s="285">
        <v>0</v>
      </c>
      <c r="P156" s="285">
        <v>0</v>
      </c>
      <c r="Q156" s="286">
        <f t="shared" si="22"/>
        <v>0</v>
      </c>
      <c r="R156" s="258"/>
    </row>
    <row r="157" outlineLevel="1" spans="1:18">
      <c r="A157" s="269" t="s">
        <v>53</v>
      </c>
      <c r="B157" s="284">
        <v>6666020504</v>
      </c>
      <c r="C157" s="3" t="s">
        <v>85</v>
      </c>
      <c r="E157" s="285">
        <v>0</v>
      </c>
      <c r="F157" s="285">
        <v>0</v>
      </c>
      <c r="G157" s="285">
        <v>0</v>
      </c>
      <c r="H157" s="285">
        <v>0</v>
      </c>
      <c r="I157" s="285">
        <v>0</v>
      </c>
      <c r="J157" s="285">
        <v>0</v>
      </c>
      <c r="K157" s="285">
        <v>0</v>
      </c>
      <c r="L157" s="285">
        <v>0</v>
      </c>
      <c r="M157" s="285">
        <v>0</v>
      </c>
      <c r="N157" s="285">
        <v>0</v>
      </c>
      <c r="O157" s="285">
        <v>0</v>
      </c>
      <c r="P157" s="285">
        <v>0</v>
      </c>
      <c r="Q157" s="286">
        <f t="shared" si="22"/>
        <v>0</v>
      </c>
      <c r="R157" s="258"/>
    </row>
    <row r="158" outlineLevel="1" spans="1:18">
      <c r="A158" s="269" t="s">
        <v>53</v>
      </c>
      <c r="B158" s="284">
        <v>6666020508</v>
      </c>
      <c r="C158" t="s">
        <v>86</v>
      </c>
      <c r="E158" s="285">
        <v>0.01704</v>
      </c>
      <c r="F158" s="285">
        <v>0.0209630038727285</v>
      </c>
      <c r="G158" s="285">
        <v>0.0209630038727285</v>
      </c>
      <c r="H158" s="285">
        <v>0.0209630038727285</v>
      </c>
      <c r="I158" s="285">
        <v>0.0209630038727285</v>
      </c>
      <c r="J158" s="285">
        <v>0.0209630038727285</v>
      </c>
      <c r="K158" s="285">
        <v>0.0209630038727285</v>
      </c>
      <c r="L158" s="285">
        <v>0.0209630038727285</v>
      </c>
      <c r="M158" s="285">
        <v>0.0209630038727285</v>
      </c>
      <c r="N158" s="285">
        <v>0.0209630038727285</v>
      </c>
      <c r="O158" s="285">
        <v>0.0209630038727285</v>
      </c>
      <c r="P158" s="285">
        <v>0.0209630038727285</v>
      </c>
      <c r="Q158" s="286">
        <f t="shared" si="22"/>
        <v>0.247633042600013</v>
      </c>
      <c r="R158" s="258"/>
    </row>
    <row r="159" outlineLevel="1" spans="1:18">
      <c r="A159" s="269" t="s">
        <v>53</v>
      </c>
      <c r="B159" s="284">
        <v>6666020602</v>
      </c>
      <c r="C159" t="s">
        <v>87</v>
      </c>
      <c r="E159" s="285">
        <v>-0.02234</v>
      </c>
      <c r="F159" s="285">
        <v>0</v>
      </c>
      <c r="G159" s="285">
        <v>0</v>
      </c>
      <c r="H159" s="285">
        <v>0</v>
      </c>
      <c r="I159" s="285">
        <v>0</v>
      </c>
      <c r="J159" s="285">
        <v>0</v>
      </c>
      <c r="K159" s="285">
        <v>0</v>
      </c>
      <c r="L159" s="285">
        <v>0</v>
      </c>
      <c r="M159" s="285">
        <v>0</v>
      </c>
      <c r="N159" s="285">
        <v>0</v>
      </c>
      <c r="O159" s="285">
        <v>0</v>
      </c>
      <c r="P159" s="285">
        <v>0</v>
      </c>
      <c r="Q159" s="286">
        <f t="shared" si="22"/>
        <v>-0.02234</v>
      </c>
      <c r="R159" s="258"/>
    </row>
    <row r="160" spans="1:18">
      <c r="A160" s="269" t="s">
        <v>53</v>
      </c>
      <c r="B160" s="284">
        <v>6666020701</v>
      </c>
      <c r="C160" t="s">
        <v>88</v>
      </c>
      <c r="E160" s="285">
        <v>19.23128</v>
      </c>
      <c r="F160" s="285">
        <v>19.23128</v>
      </c>
      <c r="G160" s="285">
        <v>19.23128</v>
      </c>
      <c r="H160" s="285">
        <v>19.23128</v>
      </c>
      <c r="I160" s="285">
        <v>19.23128</v>
      </c>
      <c r="J160" s="285">
        <v>19.23128</v>
      </c>
      <c r="K160" s="285">
        <v>19.23128</v>
      </c>
      <c r="L160" s="285">
        <v>19.23128</v>
      </c>
      <c r="M160" s="285">
        <v>19.23128</v>
      </c>
      <c r="N160" s="285">
        <v>19.23128</v>
      </c>
      <c r="O160" s="285">
        <v>19.23128</v>
      </c>
      <c r="P160" s="285">
        <v>19.23128</v>
      </c>
      <c r="Q160" s="286">
        <f t="shared" si="22"/>
        <v>230.77536</v>
      </c>
      <c r="R160" s="258"/>
    </row>
    <row r="161" spans="1:18">
      <c r="A161" s="269" t="s">
        <v>53</v>
      </c>
      <c r="B161" s="284">
        <v>6666020801</v>
      </c>
      <c r="C161" t="s">
        <v>89</v>
      </c>
      <c r="E161" s="285">
        <v>0.02777</v>
      </c>
      <c r="F161" s="285">
        <v>0.922416666666667</v>
      </c>
      <c r="G161" s="285">
        <v>0.922416666666667</v>
      </c>
      <c r="H161" s="285">
        <v>0.922416666666667</v>
      </c>
      <c r="I161" s="285">
        <v>0.922416666666667</v>
      </c>
      <c r="J161" s="285">
        <v>0.922416666666667</v>
      </c>
      <c r="K161" s="285">
        <v>0.922416666666667</v>
      </c>
      <c r="L161" s="285">
        <v>0.922416666666667</v>
      </c>
      <c r="M161" s="285">
        <v>0.922416666666667</v>
      </c>
      <c r="N161" s="285">
        <v>0.922416666666667</v>
      </c>
      <c r="O161" s="285">
        <v>0.922416666666667</v>
      </c>
      <c r="P161" s="285">
        <v>0.922416666666667</v>
      </c>
      <c r="Q161" s="286">
        <f t="shared" si="22"/>
        <v>10.1743533333333</v>
      </c>
      <c r="R161" s="258"/>
    </row>
    <row r="162" outlineLevel="3" spans="1:18">
      <c r="A162" s="269" t="s">
        <v>53</v>
      </c>
      <c r="B162" s="284">
        <v>6666020803</v>
      </c>
      <c r="C162" t="s">
        <v>91</v>
      </c>
      <c r="E162" s="285">
        <v>0.64084</v>
      </c>
      <c r="F162" s="285">
        <v>0</v>
      </c>
      <c r="G162" s="285">
        <v>0</v>
      </c>
      <c r="H162" s="285">
        <v>0</v>
      </c>
      <c r="I162" s="285">
        <v>0</v>
      </c>
      <c r="J162" s="285">
        <v>0</v>
      </c>
      <c r="K162" s="285">
        <v>0</v>
      </c>
      <c r="L162" s="285">
        <v>0</v>
      </c>
      <c r="M162" s="285">
        <v>0</v>
      </c>
      <c r="N162" s="285">
        <v>0</v>
      </c>
      <c r="O162" s="285">
        <v>0</v>
      </c>
      <c r="P162" s="285">
        <v>0</v>
      </c>
      <c r="Q162" s="286">
        <f t="shared" si="22"/>
        <v>0.64084</v>
      </c>
      <c r="R162" s="258"/>
    </row>
    <row r="163" outlineLevel="3" spans="1:18">
      <c r="A163" s="269" t="s">
        <v>53</v>
      </c>
      <c r="B163" s="284">
        <v>6666021100</v>
      </c>
      <c r="C163" t="s">
        <v>92</v>
      </c>
      <c r="E163" s="285">
        <v>1.42118</v>
      </c>
      <c r="F163" s="285">
        <v>1.05636796135884</v>
      </c>
      <c r="G163" s="285">
        <v>1.05636796135884</v>
      </c>
      <c r="H163" s="285">
        <v>1.05636796135884</v>
      </c>
      <c r="I163" s="285">
        <v>1.05636796135884</v>
      </c>
      <c r="J163" s="285">
        <v>1.05636796135884</v>
      </c>
      <c r="K163" s="285">
        <v>1.05636796135884</v>
      </c>
      <c r="L163" s="285">
        <v>1.05636796135884</v>
      </c>
      <c r="M163" s="285">
        <v>1.05636796135884</v>
      </c>
      <c r="N163" s="285">
        <v>1.05636796135884</v>
      </c>
      <c r="O163" s="285">
        <v>1.05636796135884</v>
      </c>
      <c r="P163" s="285">
        <v>1.05636796135884</v>
      </c>
      <c r="Q163" s="286">
        <f t="shared" si="22"/>
        <v>13.0412275749473</v>
      </c>
      <c r="R163" s="258"/>
    </row>
    <row r="164" outlineLevel="3" spans="1:18">
      <c r="A164" s="269" t="s">
        <v>53</v>
      </c>
      <c r="B164" s="284">
        <v>6666021102</v>
      </c>
      <c r="C164" t="s">
        <v>165</v>
      </c>
      <c r="E164" s="285">
        <v>0.16222</v>
      </c>
      <c r="F164" s="285">
        <v>2.84986521069777</v>
      </c>
      <c r="G164" s="285">
        <v>2.84986521069777</v>
      </c>
      <c r="H164" s="285">
        <v>2.84986521069777</v>
      </c>
      <c r="I164" s="285">
        <v>2.84986521069777</v>
      </c>
      <c r="J164" s="285">
        <v>2.84986521069777</v>
      </c>
      <c r="K164" s="285">
        <v>2.84986521069777</v>
      </c>
      <c r="L164" s="285">
        <v>2.84986521069777</v>
      </c>
      <c r="M164" s="285">
        <v>2.84986521069777</v>
      </c>
      <c r="N164" s="285">
        <v>2.84986521069777</v>
      </c>
      <c r="O164" s="285">
        <v>2.84986521069777</v>
      </c>
      <c r="P164" s="285">
        <v>2.84986521069777</v>
      </c>
      <c r="Q164" s="286">
        <f t="shared" si="22"/>
        <v>31.5107373176755</v>
      </c>
      <c r="R164" s="258"/>
    </row>
    <row r="165" outlineLevel="3" spans="1:18">
      <c r="A165" s="269" t="s">
        <v>53</v>
      </c>
      <c r="B165" s="284">
        <v>6666021103</v>
      </c>
      <c r="C165" s="121" t="s">
        <v>166</v>
      </c>
      <c r="E165" s="285">
        <v>0</v>
      </c>
      <c r="F165" s="285">
        <v>3.67652257410532</v>
      </c>
      <c r="G165" s="285">
        <v>3.67652257410532</v>
      </c>
      <c r="H165" s="285">
        <v>3.67652257410532</v>
      </c>
      <c r="I165" s="285">
        <v>3.67652257410532</v>
      </c>
      <c r="J165" s="285">
        <v>3.67652257410532</v>
      </c>
      <c r="K165" s="285">
        <v>3.67652257410532</v>
      </c>
      <c r="L165" s="285">
        <v>3.67652257410532</v>
      </c>
      <c r="M165" s="285">
        <v>3.67652257410532</v>
      </c>
      <c r="N165" s="285">
        <v>3.67652257410532</v>
      </c>
      <c r="O165" s="285">
        <v>3.67652257410532</v>
      </c>
      <c r="P165" s="285">
        <v>3.67652257410532</v>
      </c>
      <c r="Q165" s="286"/>
      <c r="R165" s="258"/>
    </row>
    <row r="166" outlineLevel="3" spans="1:18">
      <c r="A166" s="269" t="s">
        <v>53</v>
      </c>
      <c r="B166" s="284">
        <v>6666021104</v>
      </c>
      <c r="C166" t="s">
        <v>93</v>
      </c>
      <c r="E166" s="285">
        <v>-0.00155</v>
      </c>
      <c r="F166" s="285">
        <v>0.540986994865496</v>
      </c>
      <c r="G166" s="285">
        <v>0.540986994865496</v>
      </c>
      <c r="H166" s="285">
        <v>0.540986994865496</v>
      </c>
      <c r="I166" s="285">
        <v>0.540986994865496</v>
      </c>
      <c r="J166" s="285">
        <v>0.540986994865496</v>
      </c>
      <c r="K166" s="285">
        <v>0.540986994865496</v>
      </c>
      <c r="L166" s="285">
        <v>0.540986994865496</v>
      </c>
      <c r="M166" s="285">
        <v>0.540986994865496</v>
      </c>
      <c r="N166" s="285">
        <v>0.540986994865496</v>
      </c>
      <c r="O166" s="285">
        <v>0.540986994865496</v>
      </c>
      <c r="P166" s="285">
        <v>0.540986994865496</v>
      </c>
      <c r="Q166" s="286">
        <f t="shared" ref="Q166:Q180" si="23">F166+E166+G166+H166+I166+J166+K166+L166+M166+N166+O166+P166</f>
        <v>5.94930694352045</v>
      </c>
      <c r="R166" s="258"/>
    </row>
    <row r="167" outlineLevel="3" spans="1:18">
      <c r="A167" s="269" t="s">
        <v>53</v>
      </c>
      <c r="B167" s="284">
        <v>6666021200</v>
      </c>
      <c r="C167" s="267" t="s">
        <v>94</v>
      </c>
      <c r="E167" s="285">
        <v>0</v>
      </c>
      <c r="F167" s="285">
        <v>2.57773881136026</v>
      </c>
      <c r="G167" s="285">
        <v>2.57773881136026</v>
      </c>
      <c r="H167" s="285">
        <v>2.57773881136026</v>
      </c>
      <c r="I167" s="285">
        <v>2.57773881136026</v>
      </c>
      <c r="J167" s="285">
        <v>2.57773881136026</v>
      </c>
      <c r="K167" s="285">
        <v>2.57773881136026</v>
      </c>
      <c r="L167" s="285">
        <v>2.57773881136026</v>
      </c>
      <c r="M167" s="285">
        <v>2.57773881136026</v>
      </c>
      <c r="N167" s="285">
        <v>2.57773881136026</v>
      </c>
      <c r="O167" s="285">
        <v>2.57773881136026</v>
      </c>
      <c r="P167" s="285">
        <v>2.57773881136026</v>
      </c>
      <c r="Q167" s="286">
        <f t="shared" si="23"/>
        <v>28.3551269249629</v>
      </c>
      <c r="R167" s="258"/>
    </row>
    <row r="168" outlineLevel="3" spans="1:18">
      <c r="A168" s="269" t="s">
        <v>53</v>
      </c>
      <c r="B168" s="284">
        <v>6666021300</v>
      </c>
      <c r="C168" t="s">
        <v>167</v>
      </c>
      <c r="E168" s="285">
        <v>0.69095</v>
      </c>
      <c r="F168" s="285">
        <v>3.5101284159639</v>
      </c>
      <c r="G168" s="285">
        <v>3.5101284159639</v>
      </c>
      <c r="H168" s="285">
        <v>3.5101284159639</v>
      </c>
      <c r="I168" s="285">
        <v>3.5101284159639</v>
      </c>
      <c r="J168" s="285">
        <v>3.5101284159639</v>
      </c>
      <c r="K168" s="285">
        <v>3.5101284159639</v>
      </c>
      <c r="L168" s="285">
        <v>3.5101284159639</v>
      </c>
      <c r="M168" s="285">
        <v>3.5101284159639</v>
      </c>
      <c r="N168" s="285">
        <v>3.5101284159639</v>
      </c>
      <c r="O168" s="285">
        <v>3.5101284159639</v>
      </c>
      <c r="P168" s="285">
        <v>3.5101284159639</v>
      </c>
      <c r="Q168" s="286">
        <f t="shared" si="23"/>
        <v>39.3023625756029</v>
      </c>
      <c r="R168" s="258"/>
    </row>
    <row r="169" outlineLevel="3" spans="1:18">
      <c r="A169" s="269" t="s">
        <v>53</v>
      </c>
      <c r="B169" s="284">
        <v>6666021902</v>
      </c>
      <c r="C169" t="s">
        <v>95</v>
      </c>
      <c r="E169" s="285">
        <v>0.07785</v>
      </c>
      <c r="F169" s="285">
        <v>0</v>
      </c>
      <c r="G169" s="285">
        <v>0</v>
      </c>
      <c r="H169" s="285">
        <v>0</v>
      </c>
      <c r="I169" s="285">
        <v>0</v>
      </c>
      <c r="J169" s="285">
        <v>0</v>
      </c>
      <c r="K169" s="285">
        <v>0</v>
      </c>
      <c r="L169" s="285">
        <v>0</v>
      </c>
      <c r="M169" s="285">
        <v>0</v>
      </c>
      <c r="N169" s="285">
        <v>0</v>
      </c>
      <c r="O169" s="285">
        <v>0</v>
      </c>
      <c r="P169" s="285">
        <v>0</v>
      </c>
      <c r="Q169" s="286">
        <f t="shared" si="23"/>
        <v>0.07785</v>
      </c>
      <c r="R169" s="258"/>
    </row>
    <row r="170" outlineLevel="3" spans="1:18">
      <c r="A170" s="269" t="s">
        <v>53</v>
      </c>
      <c r="B170" s="284">
        <v>6666022100</v>
      </c>
      <c r="C170" t="s">
        <v>96</v>
      </c>
      <c r="E170" s="285">
        <v>0.07116</v>
      </c>
      <c r="F170" s="285">
        <v>0.544287023617356</v>
      </c>
      <c r="G170" s="285">
        <v>0.544287023617356</v>
      </c>
      <c r="H170" s="285">
        <v>0.544287023617356</v>
      </c>
      <c r="I170" s="285">
        <v>0.544287023617356</v>
      </c>
      <c r="J170" s="285">
        <v>0.544287023617356</v>
      </c>
      <c r="K170" s="285">
        <v>0.544287023617356</v>
      </c>
      <c r="L170" s="285">
        <v>0.544287023617356</v>
      </c>
      <c r="M170" s="285">
        <v>0.544287023617356</v>
      </c>
      <c r="N170" s="285">
        <v>0.544287023617356</v>
      </c>
      <c r="O170" s="285">
        <v>0.544287023617356</v>
      </c>
      <c r="P170" s="285">
        <v>0.544287023617356</v>
      </c>
      <c r="Q170" s="286">
        <f t="shared" si="23"/>
        <v>6.05831725979091</v>
      </c>
      <c r="R170" s="258"/>
    </row>
    <row r="171" spans="1:18">
      <c r="A171" s="269" t="s">
        <v>32</v>
      </c>
      <c r="B171" s="284">
        <v>6666022300</v>
      </c>
      <c r="C171" t="s">
        <v>97</v>
      </c>
      <c r="E171" s="285">
        <v>4.66974</v>
      </c>
      <c r="F171" s="285">
        <v>8.28966276140917</v>
      </c>
      <c r="G171" s="285">
        <v>8.27999276140917</v>
      </c>
      <c r="H171" s="285">
        <v>8.12207276140917</v>
      </c>
      <c r="I171" s="285">
        <v>8.77833276140917</v>
      </c>
      <c r="J171" s="285">
        <v>8.43617276140917</v>
      </c>
      <c r="K171" s="285">
        <v>8.28583276140917</v>
      </c>
      <c r="L171" s="285">
        <v>8.21322276140917</v>
      </c>
      <c r="M171" s="285">
        <v>8.87035276140917</v>
      </c>
      <c r="N171" s="285">
        <v>8.44941276140917</v>
      </c>
      <c r="O171" s="285">
        <v>8.27496276140917</v>
      </c>
      <c r="P171" s="285">
        <v>8.73536276140917</v>
      </c>
      <c r="Q171" s="286">
        <f t="shared" si="23"/>
        <v>97.4051203755009</v>
      </c>
      <c r="R171" s="258"/>
    </row>
    <row r="172" spans="1:18">
      <c r="A172" s="269" t="s">
        <v>53</v>
      </c>
      <c r="B172" s="284">
        <v>6666029900</v>
      </c>
      <c r="C172" t="s">
        <v>99</v>
      </c>
      <c r="E172" s="285">
        <v>0.00448</v>
      </c>
      <c r="F172" s="285">
        <v>0</v>
      </c>
      <c r="G172" s="285">
        <v>0</v>
      </c>
      <c r="H172" s="285">
        <v>0</v>
      </c>
      <c r="I172" s="285">
        <v>0</v>
      </c>
      <c r="J172" s="285">
        <v>0</v>
      </c>
      <c r="K172" s="285">
        <v>0</v>
      </c>
      <c r="L172" s="285">
        <v>0</v>
      </c>
      <c r="M172" s="285">
        <v>0</v>
      </c>
      <c r="N172" s="285">
        <v>0</v>
      </c>
      <c r="O172" s="285">
        <v>0</v>
      </c>
      <c r="P172" s="285">
        <v>0</v>
      </c>
      <c r="Q172" s="286">
        <f t="shared" si="23"/>
        <v>0.00448</v>
      </c>
      <c r="R172" s="258"/>
    </row>
    <row r="173" spans="1:18">
      <c r="A173" s="269" t="s">
        <v>53</v>
      </c>
      <c r="B173" s="284">
        <v>6666029997</v>
      </c>
      <c r="C173" t="s">
        <v>101</v>
      </c>
      <c r="E173" s="285">
        <v>0</v>
      </c>
      <c r="F173" s="285">
        <v>0</v>
      </c>
      <c r="G173" s="285">
        <v>0</v>
      </c>
      <c r="H173" s="285">
        <v>0</v>
      </c>
      <c r="I173" s="285">
        <v>0</v>
      </c>
      <c r="J173" s="285">
        <v>0</v>
      </c>
      <c r="K173" s="285">
        <v>0</v>
      </c>
      <c r="L173" s="285">
        <v>0</v>
      </c>
      <c r="M173" s="285">
        <v>0</v>
      </c>
      <c r="N173" s="285">
        <v>0</v>
      </c>
      <c r="O173" s="285">
        <v>0</v>
      </c>
      <c r="P173" s="285">
        <v>0</v>
      </c>
      <c r="Q173" s="286">
        <f t="shared" si="23"/>
        <v>0</v>
      </c>
      <c r="R173" s="258"/>
    </row>
    <row r="174" spans="1:18">
      <c r="A174" s="269" t="s">
        <v>53</v>
      </c>
      <c r="B174" s="284">
        <v>6666031100</v>
      </c>
      <c r="C174" s="3" t="s">
        <v>168</v>
      </c>
      <c r="E174" s="285">
        <v>0</v>
      </c>
      <c r="F174" s="285">
        <v>0</v>
      </c>
      <c r="G174" s="285">
        <v>0</v>
      </c>
      <c r="H174" s="285">
        <v>0</v>
      </c>
      <c r="I174" s="285">
        <v>0</v>
      </c>
      <c r="J174" s="285">
        <v>0</v>
      </c>
      <c r="K174" s="285">
        <v>0</v>
      </c>
      <c r="L174" s="285">
        <v>0</v>
      </c>
      <c r="M174" s="285">
        <v>0</v>
      </c>
      <c r="N174" s="285">
        <v>0</v>
      </c>
      <c r="O174" s="285">
        <v>0</v>
      </c>
      <c r="P174" s="285">
        <v>0</v>
      </c>
      <c r="Q174" s="286">
        <f t="shared" si="23"/>
        <v>0</v>
      </c>
      <c r="R174" s="258"/>
    </row>
    <row r="175" spans="1:18">
      <c r="A175" s="269" t="s">
        <v>53</v>
      </c>
      <c r="B175" s="284">
        <v>6666050107</v>
      </c>
      <c r="C175" t="s">
        <v>104</v>
      </c>
      <c r="E175" s="285">
        <v>0</v>
      </c>
      <c r="F175" s="285">
        <v>0</v>
      </c>
      <c r="G175" s="285">
        <v>0</v>
      </c>
      <c r="H175" s="285">
        <v>0</v>
      </c>
      <c r="I175" s="285">
        <v>0</v>
      </c>
      <c r="J175" s="285">
        <v>0</v>
      </c>
      <c r="K175" s="285">
        <v>0</v>
      </c>
      <c r="L175" s="285">
        <v>0</v>
      </c>
      <c r="M175" s="285">
        <v>0</v>
      </c>
      <c r="N175" s="285">
        <v>0</v>
      </c>
      <c r="O175" s="285">
        <v>0</v>
      </c>
      <c r="P175" s="285">
        <v>0</v>
      </c>
      <c r="Q175" s="286">
        <f t="shared" si="23"/>
        <v>0</v>
      </c>
      <c r="R175" s="258"/>
    </row>
    <row r="176" spans="1:18">
      <c r="A176" s="269" t="s">
        <v>53</v>
      </c>
      <c r="B176" s="284">
        <v>6666070400</v>
      </c>
      <c r="C176" s="3" t="s">
        <v>108</v>
      </c>
      <c r="E176" s="285">
        <v>0</v>
      </c>
      <c r="F176" s="285">
        <v>0</v>
      </c>
      <c r="G176" s="285">
        <v>0</v>
      </c>
      <c r="H176" s="285">
        <v>0</v>
      </c>
      <c r="I176" s="285">
        <v>0</v>
      </c>
      <c r="J176" s="285">
        <v>0</v>
      </c>
      <c r="K176" s="285">
        <v>0</v>
      </c>
      <c r="L176" s="285">
        <v>0</v>
      </c>
      <c r="M176" s="285">
        <v>0</v>
      </c>
      <c r="N176" s="285">
        <v>0</v>
      </c>
      <c r="O176" s="285">
        <v>0</v>
      </c>
      <c r="P176" s="285">
        <v>0</v>
      </c>
      <c r="Q176" s="286">
        <f t="shared" si="23"/>
        <v>0</v>
      </c>
      <c r="R176" s="258"/>
    </row>
    <row r="177" spans="1:18">
      <c r="A177" s="269" t="s">
        <v>53</v>
      </c>
      <c r="B177" s="284">
        <v>6666079999</v>
      </c>
      <c r="C177" t="s">
        <v>169</v>
      </c>
      <c r="E177" s="285">
        <v>88.89034</v>
      </c>
      <c r="F177" s="285">
        <v>90.6972223680049</v>
      </c>
      <c r="G177" s="285">
        <v>90.6972223680049</v>
      </c>
      <c r="H177" s="285">
        <v>90.6972223680049</v>
      </c>
      <c r="I177" s="285">
        <v>90.6972223680049</v>
      </c>
      <c r="J177" s="285">
        <v>90.6972223680049</v>
      </c>
      <c r="K177" s="285">
        <v>90.6972223680049</v>
      </c>
      <c r="L177" s="285">
        <v>90.6972223680049</v>
      </c>
      <c r="M177" s="285">
        <v>90.6972223680049</v>
      </c>
      <c r="N177" s="285">
        <v>90.6972223680049</v>
      </c>
      <c r="O177" s="285">
        <v>90.6972223680049</v>
      </c>
      <c r="P177" s="285">
        <v>90.6972223680049</v>
      </c>
      <c r="Q177" s="286">
        <f t="shared" si="23"/>
        <v>1086.55978604805</v>
      </c>
      <c r="R177" s="258"/>
    </row>
    <row r="178" spans="1:18">
      <c r="A178" s="269" t="s">
        <v>53</v>
      </c>
      <c r="B178" s="284">
        <v>6666090100</v>
      </c>
      <c r="C178" t="s">
        <v>170</v>
      </c>
      <c r="E178" s="285">
        <v>0</v>
      </c>
      <c r="F178" s="285">
        <v>0</v>
      </c>
      <c r="G178" s="285">
        <v>0</v>
      </c>
      <c r="H178" s="285">
        <v>0</v>
      </c>
      <c r="I178" s="285">
        <v>0</v>
      </c>
      <c r="J178" s="285">
        <v>0</v>
      </c>
      <c r="K178" s="285">
        <v>0</v>
      </c>
      <c r="L178" s="285">
        <v>0</v>
      </c>
      <c r="M178" s="285">
        <v>0</v>
      </c>
      <c r="N178" s="285">
        <v>0</v>
      </c>
      <c r="O178" s="285">
        <v>0</v>
      </c>
      <c r="P178" s="285">
        <v>0</v>
      </c>
      <c r="Q178" s="286">
        <f t="shared" si="23"/>
        <v>0</v>
      </c>
      <c r="R178" s="258"/>
    </row>
    <row r="179" spans="1:18">
      <c r="A179" s="269" t="s">
        <v>53</v>
      </c>
      <c r="B179" s="284">
        <v>6666093800</v>
      </c>
      <c r="C179" t="s">
        <v>171</v>
      </c>
      <c r="E179" s="285">
        <v>0.13339</v>
      </c>
      <c r="F179" s="285">
        <v>0</v>
      </c>
      <c r="G179" s="285">
        <v>0</v>
      </c>
      <c r="H179" s="285">
        <v>0</v>
      </c>
      <c r="I179" s="285">
        <v>0</v>
      </c>
      <c r="J179" s="285">
        <v>0</v>
      </c>
      <c r="K179" s="285">
        <v>0</v>
      </c>
      <c r="L179" s="285">
        <v>0</v>
      </c>
      <c r="M179" s="285">
        <v>0</v>
      </c>
      <c r="N179" s="285">
        <v>0</v>
      </c>
      <c r="O179" s="285">
        <v>0</v>
      </c>
      <c r="P179" s="285">
        <v>0</v>
      </c>
      <c r="Q179" s="286">
        <f t="shared" si="23"/>
        <v>0.13339</v>
      </c>
      <c r="R179" s="258"/>
    </row>
    <row r="180" spans="1:18">
      <c r="A180" s="269" t="s">
        <v>53</v>
      </c>
      <c r="B180" s="284">
        <v>5401050201</v>
      </c>
      <c r="C180" s="121" t="s">
        <v>172</v>
      </c>
      <c r="E180" s="285">
        <v>0</v>
      </c>
      <c r="F180" s="285">
        <v>0</v>
      </c>
      <c r="G180" s="285">
        <v>0</v>
      </c>
      <c r="H180" s="285">
        <v>0</v>
      </c>
      <c r="I180" s="285">
        <v>0</v>
      </c>
      <c r="J180" s="285">
        <v>0</v>
      </c>
      <c r="K180" s="285">
        <v>0</v>
      </c>
      <c r="L180" s="285">
        <v>0</v>
      </c>
      <c r="M180" s="285">
        <v>0</v>
      </c>
      <c r="N180" s="285">
        <v>0</v>
      </c>
      <c r="O180" s="285">
        <v>0</v>
      </c>
      <c r="P180" s="285">
        <v>0</v>
      </c>
      <c r="Q180" s="286">
        <f t="shared" si="23"/>
        <v>0</v>
      </c>
      <c r="R180" s="258"/>
    </row>
    <row r="181" spans="1:18">
      <c r="A181" s="269"/>
      <c r="B181" s="149" t="s">
        <v>173</v>
      </c>
      <c r="C181" s="149" t="s">
        <v>60</v>
      </c>
      <c r="D181" s="150"/>
      <c r="E181" s="288">
        <f>SUM(E142:E180)</f>
        <v>188.7641</v>
      </c>
      <c r="F181" s="288">
        <f t="shared" ref="F181:Q181" si="24">SUM(F142:F180)</f>
        <v>131.198282992993</v>
      </c>
      <c r="G181" s="288">
        <f t="shared" si="24"/>
        <v>148.540773590782</v>
      </c>
      <c r="H181" s="288">
        <f t="shared" si="24"/>
        <v>148.271688944456</v>
      </c>
      <c r="I181" s="288">
        <f t="shared" si="24"/>
        <v>149.683113590782</v>
      </c>
      <c r="J181" s="288">
        <f t="shared" si="24"/>
        <v>149.340953590782</v>
      </c>
      <c r="K181" s="288">
        <f t="shared" si="24"/>
        <v>148.435448944456</v>
      </c>
      <c r="L181" s="288">
        <f t="shared" si="24"/>
        <v>148.362838944456</v>
      </c>
      <c r="M181" s="288">
        <f t="shared" si="24"/>
        <v>149.019968944456</v>
      </c>
      <c r="N181" s="288">
        <f t="shared" si="24"/>
        <v>148.599028944456</v>
      </c>
      <c r="O181" s="288">
        <f t="shared" si="24"/>
        <v>148.424578944456</v>
      </c>
      <c r="P181" s="288">
        <f t="shared" si="24"/>
        <v>137.338982993075</v>
      </c>
      <c r="Q181" s="288">
        <f t="shared" si="24"/>
        <v>1755.53801210999</v>
      </c>
      <c r="R181" s="289"/>
    </row>
    <row r="182" outlineLevel="1" spans="1:18">
      <c r="A182" s="269" t="s">
        <v>53</v>
      </c>
      <c r="B182" s="284">
        <v>5102040000</v>
      </c>
      <c r="C182" t="s">
        <v>113</v>
      </c>
      <c r="E182" s="285">
        <v>-0.05709</v>
      </c>
      <c r="F182" s="285">
        <v>0</v>
      </c>
      <c r="G182" s="285">
        <v>0</v>
      </c>
      <c r="H182" s="285">
        <v>0</v>
      </c>
      <c r="I182" s="285">
        <v>0</v>
      </c>
      <c r="J182" s="285">
        <v>0</v>
      </c>
      <c r="K182" s="285">
        <v>0</v>
      </c>
      <c r="L182" s="285">
        <v>0</v>
      </c>
      <c r="M182" s="285">
        <v>0</v>
      </c>
      <c r="N182" s="285">
        <v>0</v>
      </c>
      <c r="O182" s="285">
        <v>0</v>
      </c>
      <c r="P182" s="285">
        <v>0</v>
      </c>
      <c r="Q182" s="286">
        <f>F182+E182+G182+H182+I182+J182+K182+L182+M182+N182+O182+P182</f>
        <v>-0.05709</v>
      </c>
      <c r="R182" s="258"/>
    </row>
    <row r="183" spans="1:18">
      <c r="A183" s="269"/>
      <c r="B183" s="149" t="s">
        <v>174</v>
      </c>
      <c r="C183" s="149" t="s">
        <v>112</v>
      </c>
      <c r="D183" s="150"/>
      <c r="E183" s="288">
        <f>+E182</f>
        <v>-0.05709</v>
      </c>
      <c r="F183" s="288">
        <f t="shared" ref="F183:Q183" si="25">+F182</f>
        <v>0</v>
      </c>
      <c r="G183" s="288">
        <f t="shared" si="25"/>
        <v>0</v>
      </c>
      <c r="H183" s="288">
        <f t="shared" si="25"/>
        <v>0</v>
      </c>
      <c r="I183" s="288">
        <f t="shared" si="25"/>
        <v>0</v>
      </c>
      <c r="J183" s="288">
        <f t="shared" si="25"/>
        <v>0</v>
      </c>
      <c r="K183" s="288">
        <f t="shared" si="25"/>
        <v>0</v>
      </c>
      <c r="L183" s="288">
        <f t="shared" si="25"/>
        <v>0</v>
      </c>
      <c r="M183" s="288">
        <f t="shared" si="25"/>
        <v>0</v>
      </c>
      <c r="N183" s="288">
        <f t="shared" si="25"/>
        <v>0</v>
      </c>
      <c r="O183" s="288">
        <f t="shared" si="25"/>
        <v>0</v>
      </c>
      <c r="P183" s="288">
        <f t="shared" si="25"/>
        <v>0</v>
      </c>
      <c r="Q183" s="288">
        <f t="shared" si="25"/>
        <v>-0.05709</v>
      </c>
      <c r="R183" s="289"/>
    </row>
    <row r="184" spans="1:18">
      <c r="A184" s="269" t="s">
        <v>53</v>
      </c>
      <c r="B184" s="284">
        <v>6666021602</v>
      </c>
      <c r="C184" s="266" t="s">
        <v>120</v>
      </c>
      <c r="D184" s="120"/>
      <c r="E184" s="291">
        <v>0</v>
      </c>
      <c r="F184" s="291">
        <v>0</v>
      </c>
      <c r="G184" s="291">
        <v>0</v>
      </c>
      <c r="H184" s="291">
        <v>0</v>
      </c>
      <c r="I184" s="291">
        <v>0</v>
      </c>
      <c r="J184" s="291">
        <v>0</v>
      </c>
      <c r="K184" s="291">
        <v>0</v>
      </c>
      <c r="L184" s="291">
        <v>0</v>
      </c>
      <c r="M184" s="291">
        <v>0</v>
      </c>
      <c r="N184" s="291">
        <v>0</v>
      </c>
      <c r="O184" s="291">
        <v>0</v>
      </c>
      <c r="P184" s="291">
        <v>0</v>
      </c>
      <c r="Q184" s="286">
        <f>F184+E184+G184+H184+I184+J184+K184+L184+M184+N184+O184+P184</f>
        <v>0</v>
      </c>
      <c r="R184" s="258"/>
    </row>
    <row r="185" spans="1:18">
      <c r="A185" s="269" t="s">
        <v>53</v>
      </c>
      <c r="B185" s="149" t="s">
        <v>175</v>
      </c>
      <c r="C185" s="149" t="s">
        <v>121</v>
      </c>
      <c r="D185" s="150"/>
      <c r="E185" s="288">
        <f>+E184</f>
        <v>0</v>
      </c>
      <c r="F185" s="288">
        <f t="shared" ref="F185:Q185" si="26">+F184</f>
        <v>0</v>
      </c>
      <c r="G185" s="288">
        <f t="shared" si="26"/>
        <v>0</v>
      </c>
      <c r="H185" s="288">
        <f t="shared" si="26"/>
        <v>0</v>
      </c>
      <c r="I185" s="288">
        <f t="shared" si="26"/>
        <v>0</v>
      </c>
      <c r="J185" s="288">
        <f t="shared" si="26"/>
        <v>0</v>
      </c>
      <c r="K185" s="288">
        <f t="shared" si="26"/>
        <v>0</v>
      </c>
      <c r="L185" s="288">
        <f t="shared" si="26"/>
        <v>0</v>
      </c>
      <c r="M185" s="288">
        <f t="shared" si="26"/>
        <v>0</v>
      </c>
      <c r="N185" s="288">
        <f t="shared" si="26"/>
        <v>0</v>
      </c>
      <c r="O185" s="288">
        <f t="shared" si="26"/>
        <v>0</v>
      </c>
      <c r="P185" s="288">
        <f t="shared" si="26"/>
        <v>0</v>
      </c>
      <c r="Q185" s="288">
        <f t="shared" si="26"/>
        <v>0</v>
      </c>
      <c r="R185" s="289"/>
    </row>
    <row r="186" outlineLevel="1" spans="1:18">
      <c r="A186" s="269" t="s">
        <v>53</v>
      </c>
      <c r="B186" s="284">
        <v>6666021600</v>
      </c>
      <c r="C186" t="s">
        <v>123</v>
      </c>
      <c r="E186" s="285">
        <v>-0.046</v>
      </c>
      <c r="F186" s="285">
        <v>1.36259525172735</v>
      </c>
      <c r="G186" s="285">
        <v>1.36259525172735</v>
      </c>
      <c r="H186" s="285">
        <v>1.36259525172735</v>
      </c>
      <c r="I186" s="285">
        <v>1.36259525172735</v>
      </c>
      <c r="J186" s="285">
        <v>1.36259525172735</v>
      </c>
      <c r="K186" s="285">
        <v>1.36259525172735</v>
      </c>
      <c r="L186" s="285">
        <v>1.36259525172735</v>
      </c>
      <c r="M186" s="285">
        <v>1.36259525172735</v>
      </c>
      <c r="N186" s="285">
        <v>1.36259525172735</v>
      </c>
      <c r="O186" s="285">
        <v>1.36259525172735</v>
      </c>
      <c r="P186" s="285">
        <v>1.36259525172735</v>
      </c>
      <c r="Q186" s="286">
        <f>F186+E186+G186+H186+I186+J186+K186+L186+M186+N186+O186+P186</f>
        <v>14.9425477690009</v>
      </c>
      <c r="R186" s="258"/>
    </row>
    <row r="187" outlineLevel="1" spans="1:18">
      <c r="A187" s="269" t="s">
        <v>53</v>
      </c>
      <c r="B187" s="284">
        <v>6666021604</v>
      </c>
      <c r="C187" t="s">
        <v>126</v>
      </c>
      <c r="E187" s="285">
        <v>0.00133</v>
      </c>
      <c r="F187" s="285">
        <v>0</v>
      </c>
      <c r="G187" s="285">
        <v>0</v>
      </c>
      <c r="H187" s="285">
        <v>0</v>
      </c>
      <c r="I187" s="285">
        <v>0</v>
      </c>
      <c r="J187" s="285">
        <v>0</v>
      </c>
      <c r="K187" s="285">
        <v>0</v>
      </c>
      <c r="L187" s="285">
        <v>0</v>
      </c>
      <c r="M187" s="285">
        <v>0</v>
      </c>
      <c r="N187" s="285">
        <v>0</v>
      </c>
      <c r="O187" s="285">
        <v>0</v>
      </c>
      <c r="P187" s="285">
        <v>0</v>
      </c>
      <c r="Q187" s="286">
        <f>F187+E187+G187+H187+I187+J187+K187+L187+M187+N187+O187+P187</f>
        <v>0.00133</v>
      </c>
      <c r="R187" s="258"/>
    </row>
    <row r="188" spans="1:18">
      <c r="A188" s="269"/>
      <c r="B188" s="149" t="s">
        <v>174</v>
      </c>
      <c r="C188" s="149" t="s">
        <v>124</v>
      </c>
      <c r="D188" s="150"/>
      <c r="E188" s="288">
        <f>SUM(E186:E187)</f>
        <v>-0.04467</v>
      </c>
      <c r="F188" s="288">
        <f t="shared" ref="F188:P188" si="27">SUM(F186:F187)</f>
        <v>1.36259525172735</v>
      </c>
      <c r="G188" s="288">
        <f t="shared" si="27"/>
        <v>1.36259525172735</v>
      </c>
      <c r="H188" s="288">
        <f t="shared" si="27"/>
        <v>1.36259525172735</v>
      </c>
      <c r="I188" s="288">
        <f t="shared" si="27"/>
        <v>1.36259525172735</v>
      </c>
      <c r="J188" s="288">
        <f t="shared" si="27"/>
        <v>1.36259525172735</v>
      </c>
      <c r="K188" s="288">
        <f t="shared" si="27"/>
        <v>1.36259525172735</v>
      </c>
      <c r="L188" s="288">
        <f t="shared" si="27"/>
        <v>1.36259525172735</v>
      </c>
      <c r="M188" s="288">
        <f t="shared" si="27"/>
        <v>1.36259525172735</v>
      </c>
      <c r="N188" s="288">
        <f t="shared" si="27"/>
        <v>1.36259525172735</v>
      </c>
      <c r="O188" s="288">
        <f t="shared" si="27"/>
        <v>1.36259525172735</v>
      </c>
      <c r="P188" s="288">
        <f t="shared" si="27"/>
        <v>1.36259525172735</v>
      </c>
      <c r="Q188" s="288">
        <f>+SUM(Q186:Q187)</f>
        <v>14.9438777690009</v>
      </c>
      <c r="R188" s="289"/>
    </row>
    <row r="189" outlineLevel="2" spans="1:18">
      <c r="A189" s="269" t="s">
        <v>53</v>
      </c>
      <c r="B189" s="284">
        <v>6666010012</v>
      </c>
      <c r="C189" t="s">
        <v>132</v>
      </c>
      <c r="E189" s="285">
        <v>0</v>
      </c>
      <c r="F189" s="285">
        <v>0</v>
      </c>
      <c r="G189" s="285">
        <v>0</v>
      </c>
      <c r="H189" s="285">
        <v>0</v>
      </c>
      <c r="I189" s="285">
        <v>0</v>
      </c>
      <c r="J189" s="285">
        <v>0</v>
      </c>
      <c r="K189" s="285">
        <v>0</v>
      </c>
      <c r="L189" s="285">
        <v>0</v>
      </c>
      <c r="M189" s="285">
        <v>0</v>
      </c>
      <c r="N189" s="285">
        <v>0</v>
      </c>
      <c r="O189" s="285">
        <v>0</v>
      </c>
      <c r="P189" s="285">
        <v>0</v>
      </c>
      <c r="Q189" s="286">
        <f>F189+E189+G189+H189+I189+J189+K189+L189+M189+N189+O189+P189</f>
        <v>0</v>
      </c>
      <c r="R189" s="258"/>
    </row>
    <row r="190" outlineLevel="2" spans="1:18">
      <c r="A190" s="269" t="s">
        <v>53</v>
      </c>
      <c r="B190" s="284">
        <v>6666010102</v>
      </c>
      <c r="C190" t="s">
        <v>176</v>
      </c>
      <c r="E190" s="285">
        <v>0.05037</v>
      </c>
      <c r="F190" s="285">
        <v>0</v>
      </c>
      <c r="G190" s="285">
        <v>0</v>
      </c>
      <c r="H190" s="285">
        <v>0</v>
      </c>
      <c r="I190" s="285">
        <v>0</v>
      </c>
      <c r="J190" s="285">
        <v>0</v>
      </c>
      <c r="K190" s="285">
        <v>0</v>
      </c>
      <c r="L190" s="285">
        <v>0</v>
      </c>
      <c r="M190" s="285">
        <v>0</v>
      </c>
      <c r="N190" s="285">
        <v>0</v>
      </c>
      <c r="O190" s="285">
        <v>0</v>
      </c>
      <c r="P190" s="285">
        <v>0</v>
      </c>
      <c r="Q190" s="286">
        <f>F190+E190+G190+H190+I190+J190+K190+L190+M190+N190+O190+P190</f>
        <v>0.05037</v>
      </c>
      <c r="R190" s="258"/>
    </row>
    <row r="191" spans="1:18">
      <c r="A191" s="269"/>
      <c r="B191" s="149" t="s">
        <v>177</v>
      </c>
      <c r="C191" s="149" t="s">
        <v>128</v>
      </c>
      <c r="D191" s="150"/>
      <c r="E191" s="288">
        <f>SUM(E189:E190)</f>
        <v>0.05037</v>
      </c>
      <c r="F191" s="288">
        <f t="shared" ref="F191:P191" si="28">SUM(F189:F190)</f>
        <v>0</v>
      </c>
      <c r="G191" s="288">
        <f t="shared" si="28"/>
        <v>0</v>
      </c>
      <c r="H191" s="288">
        <f t="shared" si="28"/>
        <v>0</v>
      </c>
      <c r="I191" s="288">
        <f t="shared" si="28"/>
        <v>0</v>
      </c>
      <c r="J191" s="288">
        <f t="shared" si="28"/>
        <v>0</v>
      </c>
      <c r="K191" s="288">
        <f t="shared" si="28"/>
        <v>0</v>
      </c>
      <c r="L191" s="288">
        <f t="shared" si="28"/>
        <v>0</v>
      </c>
      <c r="M191" s="288">
        <f t="shared" si="28"/>
        <v>0</v>
      </c>
      <c r="N191" s="288">
        <f t="shared" si="28"/>
        <v>0</v>
      </c>
      <c r="O191" s="288">
        <f t="shared" si="28"/>
        <v>0</v>
      </c>
      <c r="P191" s="288">
        <f t="shared" si="28"/>
        <v>0</v>
      </c>
      <c r="Q191" s="288">
        <f>+SUM(Q189:Q190)</f>
        <v>0.05037</v>
      </c>
      <c r="R191" s="289"/>
    </row>
    <row r="192" outlineLevel="2" spans="1:18">
      <c r="A192" s="269" t="s">
        <v>53</v>
      </c>
      <c r="B192" s="284">
        <v>6666010196</v>
      </c>
      <c r="C192" t="s">
        <v>136</v>
      </c>
      <c r="E192" s="285">
        <v>2.81961</v>
      </c>
      <c r="F192" s="285">
        <v>0</v>
      </c>
      <c r="G192" s="285">
        <v>0</v>
      </c>
      <c r="H192" s="285">
        <v>0</v>
      </c>
      <c r="I192" s="285">
        <v>0</v>
      </c>
      <c r="J192" s="285">
        <v>0</v>
      </c>
      <c r="K192" s="285">
        <v>0</v>
      </c>
      <c r="L192" s="285">
        <v>0</v>
      </c>
      <c r="M192" s="285">
        <v>0</v>
      </c>
      <c r="N192" s="285">
        <v>0</v>
      </c>
      <c r="O192" s="285">
        <v>0</v>
      </c>
      <c r="P192" s="285">
        <v>0</v>
      </c>
      <c r="Q192" s="286">
        <f t="shared" ref="Q192:Q197" si="29">F192+E192+G192+H192+I192+J192+K192+L192+M192+N192+O192+P192</f>
        <v>2.81961</v>
      </c>
      <c r="R192" s="258"/>
    </row>
    <row r="193" outlineLevel="2" spans="1:18">
      <c r="A193" s="269" t="s">
        <v>53</v>
      </c>
      <c r="B193" s="284">
        <v>6666010101</v>
      </c>
      <c r="C193" t="s">
        <v>138</v>
      </c>
      <c r="E193" s="285">
        <v>15.7327</v>
      </c>
      <c r="F193" s="285">
        <v>39.390918880799</v>
      </c>
      <c r="G193" s="285">
        <v>38.9206016949153</v>
      </c>
      <c r="H193" s="285">
        <v>38.1307001845018</v>
      </c>
      <c r="I193" s="285">
        <v>37.3722233273056</v>
      </c>
      <c r="J193" s="285">
        <v>36.6433324468085</v>
      </c>
      <c r="K193" s="285">
        <v>36.1308382867133</v>
      </c>
      <c r="L193" s="285">
        <v>35.6324818965517</v>
      </c>
      <c r="M193" s="285">
        <v>35.1476862244898</v>
      </c>
      <c r="N193" s="285">
        <v>34.5772787351514</v>
      </c>
      <c r="O193" s="285">
        <v>34.025089726704</v>
      </c>
      <c r="P193" s="285">
        <v>33.4902600875061</v>
      </c>
      <c r="Q193" s="286">
        <f t="shared" si="29"/>
        <v>415.194111491447</v>
      </c>
      <c r="R193" s="258"/>
    </row>
    <row r="194" outlineLevel="2" spans="1:18">
      <c r="A194" s="269" t="s">
        <v>53</v>
      </c>
      <c r="B194" s="284">
        <v>6666010199</v>
      </c>
      <c r="C194" t="s">
        <v>139</v>
      </c>
      <c r="E194" s="285">
        <v>3.96245</v>
      </c>
      <c r="F194" s="285">
        <v>0</v>
      </c>
      <c r="G194" s="285">
        <v>0</v>
      </c>
      <c r="H194" s="285">
        <v>0</v>
      </c>
      <c r="I194" s="285">
        <v>0</v>
      </c>
      <c r="J194" s="285">
        <v>0</v>
      </c>
      <c r="K194" s="285">
        <v>0</v>
      </c>
      <c r="L194" s="285">
        <v>0</v>
      </c>
      <c r="M194" s="285">
        <v>0</v>
      </c>
      <c r="N194" s="285">
        <v>0</v>
      </c>
      <c r="O194" s="285">
        <v>0</v>
      </c>
      <c r="P194" s="285">
        <v>0</v>
      </c>
      <c r="Q194" s="286">
        <f t="shared" si="29"/>
        <v>3.96245</v>
      </c>
      <c r="R194" s="258"/>
    </row>
    <row r="195" outlineLevel="2" spans="1:18">
      <c r="A195" s="269" t="s">
        <v>53</v>
      </c>
      <c r="B195" s="284">
        <v>6666010185</v>
      </c>
      <c r="C195" s="267" t="s">
        <v>140</v>
      </c>
      <c r="E195" s="285">
        <v>0</v>
      </c>
      <c r="F195" s="285">
        <v>0</v>
      </c>
      <c r="G195" s="285">
        <v>0</v>
      </c>
      <c r="H195" s="285">
        <v>0</v>
      </c>
      <c r="I195" s="285">
        <v>0</v>
      </c>
      <c r="J195" s="285">
        <v>0</v>
      </c>
      <c r="K195" s="285">
        <v>0</v>
      </c>
      <c r="L195" s="285">
        <v>0</v>
      </c>
      <c r="M195" s="285">
        <v>0</v>
      </c>
      <c r="N195" s="285">
        <v>0</v>
      </c>
      <c r="O195" s="285">
        <v>0</v>
      </c>
      <c r="P195" s="285">
        <v>0</v>
      </c>
      <c r="Q195" s="286">
        <f t="shared" si="29"/>
        <v>0</v>
      </c>
      <c r="R195" s="258"/>
    </row>
    <row r="196" outlineLevel="2" spans="1:18">
      <c r="A196" s="269" t="s">
        <v>53</v>
      </c>
      <c r="B196" s="284">
        <v>6666010207</v>
      </c>
      <c r="C196" t="s">
        <v>141</v>
      </c>
      <c r="E196" s="285">
        <v>0.25683</v>
      </c>
      <c r="F196" s="285">
        <v>0</v>
      </c>
      <c r="G196" s="285">
        <v>0</v>
      </c>
      <c r="H196" s="285">
        <v>0</v>
      </c>
      <c r="I196" s="285">
        <v>0</v>
      </c>
      <c r="J196" s="285">
        <v>0</v>
      </c>
      <c r="K196" s="285">
        <v>0</v>
      </c>
      <c r="L196" s="285">
        <v>0</v>
      </c>
      <c r="M196" s="285">
        <v>0</v>
      </c>
      <c r="N196" s="285">
        <v>0</v>
      </c>
      <c r="O196" s="285">
        <v>0</v>
      </c>
      <c r="P196" s="285">
        <v>0</v>
      </c>
      <c r="Q196" s="286">
        <f t="shared" si="29"/>
        <v>0.25683</v>
      </c>
      <c r="R196" s="258"/>
    </row>
    <row r="197" outlineLevel="2" spans="1:18">
      <c r="A197" s="269" t="s">
        <v>53</v>
      </c>
      <c r="B197" s="284">
        <v>6666010227</v>
      </c>
      <c r="C197" t="s">
        <v>178</v>
      </c>
      <c r="E197" s="285">
        <v>0.25233</v>
      </c>
      <c r="F197" s="285">
        <v>0</v>
      </c>
      <c r="G197" s="285">
        <v>0</v>
      </c>
      <c r="H197" s="285">
        <v>0</v>
      </c>
      <c r="I197" s="285">
        <v>0</v>
      </c>
      <c r="J197" s="285">
        <v>0</v>
      </c>
      <c r="K197" s="285">
        <v>0</v>
      </c>
      <c r="L197" s="285">
        <v>0</v>
      </c>
      <c r="M197" s="285">
        <v>0</v>
      </c>
      <c r="N197" s="285">
        <v>0</v>
      </c>
      <c r="O197" s="285">
        <v>0</v>
      </c>
      <c r="P197" s="285">
        <v>0</v>
      </c>
      <c r="Q197" s="286">
        <f t="shared" si="29"/>
        <v>0.25233</v>
      </c>
      <c r="R197" s="258"/>
    </row>
    <row r="198" spans="1:18">
      <c r="A198" s="269"/>
      <c r="B198" s="149" t="s">
        <v>179</v>
      </c>
      <c r="C198" s="149" t="s">
        <v>137</v>
      </c>
      <c r="D198" s="150"/>
      <c r="E198" s="288">
        <f>SUM(E192:E197)</f>
        <v>23.02392</v>
      </c>
      <c r="F198" s="288">
        <f t="shared" ref="F198:Q198" si="30">SUM(F192:F197)</f>
        <v>39.390918880799</v>
      </c>
      <c r="G198" s="288">
        <f t="shared" si="30"/>
        <v>38.9206016949153</v>
      </c>
      <c r="H198" s="288">
        <f t="shared" si="30"/>
        <v>38.1307001845018</v>
      </c>
      <c r="I198" s="288">
        <f t="shared" si="30"/>
        <v>37.3722233273056</v>
      </c>
      <c r="J198" s="288">
        <f t="shared" si="30"/>
        <v>36.6433324468085</v>
      </c>
      <c r="K198" s="288">
        <f t="shared" si="30"/>
        <v>36.1308382867133</v>
      </c>
      <c r="L198" s="288">
        <f t="shared" si="30"/>
        <v>35.6324818965517</v>
      </c>
      <c r="M198" s="288">
        <f t="shared" si="30"/>
        <v>35.1476862244898</v>
      </c>
      <c r="N198" s="288">
        <f t="shared" si="30"/>
        <v>34.5772787351514</v>
      </c>
      <c r="O198" s="288">
        <f t="shared" si="30"/>
        <v>34.025089726704</v>
      </c>
      <c r="P198" s="288">
        <f t="shared" si="30"/>
        <v>33.4902600875061</v>
      </c>
      <c r="Q198" s="288">
        <f t="shared" si="30"/>
        <v>422.485331491446</v>
      </c>
      <c r="R198" s="289"/>
    </row>
    <row r="199" outlineLevel="2" spans="1:18">
      <c r="A199" s="269" t="s">
        <v>53</v>
      </c>
      <c r="B199" s="284">
        <v>6666010314</v>
      </c>
      <c r="C199" t="s">
        <v>146</v>
      </c>
      <c r="E199" s="285">
        <v>0.63149</v>
      </c>
      <c r="F199" s="285">
        <v>0.469713995524043</v>
      </c>
      <c r="G199" s="285">
        <v>0.469713995524043</v>
      </c>
      <c r="H199" s="285">
        <v>0.469713995524043</v>
      </c>
      <c r="I199" s="285">
        <v>0.469713995524043</v>
      </c>
      <c r="J199" s="285">
        <v>0.469713995524043</v>
      </c>
      <c r="K199" s="285">
        <v>0.469713995524043</v>
      </c>
      <c r="L199" s="285">
        <v>0.469713995524043</v>
      </c>
      <c r="M199" s="285">
        <v>0.469713995524043</v>
      </c>
      <c r="N199" s="285">
        <v>0.469713995524043</v>
      </c>
      <c r="O199" s="285">
        <v>0.469713995524043</v>
      </c>
      <c r="P199" s="285">
        <v>0.469713995524043</v>
      </c>
      <c r="Q199" s="286">
        <f>F199+E199+G199+H199+I199+J199+K199+L199+M199+N199+O199+P199</f>
        <v>5.79834395076448</v>
      </c>
      <c r="R199" s="258"/>
    </row>
    <row r="200" outlineLevel="2" spans="1:18">
      <c r="A200" s="269" t="s">
        <v>53</v>
      </c>
      <c r="B200" s="284">
        <v>6666010315</v>
      </c>
      <c r="C200" s="267" t="s">
        <v>180</v>
      </c>
      <c r="E200" s="285">
        <v>0</v>
      </c>
      <c r="F200" s="285">
        <v>0</v>
      </c>
      <c r="G200" s="285">
        <v>0</v>
      </c>
      <c r="H200" s="285">
        <v>0</v>
      </c>
      <c r="I200" s="285">
        <v>0</v>
      </c>
      <c r="J200" s="285">
        <v>0</v>
      </c>
      <c r="K200" s="285">
        <v>0</v>
      </c>
      <c r="L200" s="285">
        <v>0</v>
      </c>
      <c r="M200" s="285">
        <v>0</v>
      </c>
      <c r="N200" s="285">
        <v>0</v>
      </c>
      <c r="O200" s="285">
        <v>0</v>
      </c>
      <c r="P200" s="285">
        <v>0</v>
      </c>
      <c r="Q200" s="286"/>
      <c r="R200" s="258"/>
    </row>
    <row r="201" outlineLevel="2" spans="1:18">
      <c r="A201" s="269" t="s">
        <v>53</v>
      </c>
      <c r="B201" s="284">
        <v>6666020401</v>
      </c>
      <c r="C201" t="s">
        <v>148</v>
      </c>
      <c r="E201" s="285">
        <v>0</v>
      </c>
      <c r="F201" s="285">
        <v>1.52280256576784</v>
      </c>
      <c r="G201" s="285">
        <v>1.52280256576784</v>
      </c>
      <c r="H201" s="285">
        <v>1.52280256576784</v>
      </c>
      <c r="I201" s="285">
        <v>1.58464257921524</v>
      </c>
      <c r="J201" s="285">
        <v>1.49974903342664</v>
      </c>
      <c r="K201" s="285">
        <v>1.66091537809949</v>
      </c>
      <c r="L201" s="285">
        <v>1.65533535746337</v>
      </c>
      <c r="M201" s="285">
        <v>1.66091537809949</v>
      </c>
      <c r="N201" s="285">
        <v>1.64975533682725</v>
      </c>
      <c r="O201" s="285">
        <v>1.7001441470641</v>
      </c>
      <c r="P201" s="285">
        <v>1.69439035415903</v>
      </c>
      <c r="Q201" s="286">
        <f t="shared" ref="Q201:Q206" si="31">F201+E201+G201+H201+I201+J201+K201+L201+M201+N201+O201+P201</f>
        <v>17.6742552616581</v>
      </c>
      <c r="R201" s="258"/>
    </row>
    <row r="202" outlineLevel="2" spans="1:18">
      <c r="A202" s="269" t="s">
        <v>53</v>
      </c>
      <c r="B202" s="284">
        <v>6666020502</v>
      </c>
      <c r="C202" t="s">
        <v>150</v>
      </c>
      <c r="E202" s="285">
        <v>0.03233</v>
      </c>
      <c r="F202" s="285">
        <v>2.18172081800783</v>
      </c>
      <c r="G202" s="285">
        <v>2.18172081800783</v>
      </c>
      <c r="H202" s="285">
        <v>2.18172081800783</v>
      </c>
      <c r="I202" s="285">
        <v>2.20066347817953</v>
      </c>
      <c r="J202" s="285">
        <v>1.89758091543235</v>
      </c>
      <c r="K202" s="285">
        <v>2.48368130959396</v>
      </c>
      <c r="L202" s="285">
        <v>2.46181992405379</v>
      </c>
      <c r="M202" s="285">
        <v>2.48368130959396</v>
      </c>
      <c r="N202" s="285">
        <v>2.43995853851362</v>
      </c>
      <c r="O202" s="285">
        <v>2.46181992405379</v>
      </c>
      <c r="P202" s="285">
        <v>2.43995853851362</v>
      </c>
      <c r="Q202" s="286">
        <f t="shared" si="31"/>
        <v>25.4466563919581</v>
      </c>
      <c r="R202" s="258"/>
    </row>
    <row r="203" outlineLevel="2" spans="1:18">
      <c r="A203" s="269" t="s">
        <v>53</v>
      </c>
      <c r="B203" s="284">
        <v>6666020503</v>
      </c>
      <c r="C203" t="s">
        <v>151</v>
      </c>
      <c r="E203" s="285">
        <v>0.1876</v>
      </c>
      <c r="F203" s="285">
        <v>0</v>
      </c>
      <c r="G203" s="285">
        <v>0</v>
      </c>
      <c r="H203" s="285">
        <v>0</v>
      </c>
      <c r="I203" s="285">
        <v>0</v>
      </c>
      <c r="J203" s="285">
        <v>0</v>
      </c>
      <c r="K203" s="285">
        <v>0</v>
      </c>
      <c r="L203" s="285">
        <v>0</v>
      </c>
      <c r="M203" s="285">
        <v>0</v>
      </c>
      <c r="N203" s="285">
        <v>0</v>
      </c>
      <c r="O203" s="285">
        <v>0</v>
      </c>
      <c r="P203" s="285">
        <v>0</v>
      </c>
      <c r="Q203" s="286">
        <f t="shared" si="31"/>
        <v>0.1876</v>
      </c>
      <c r="R203" s="258"/>
    </row>
    <row r="204" outlineLevel="2" spans="1:18">
      <c r="A204" s="269" t="s">
        <v>53</v>
      </c>
      <c r="B204" s="284">
        <v>6666021502</v>
      </c>
      <c r="C204" t="s">
        <v>153</v>
      </c>
      <c r="E204" s="285">
        <v>-0.13535</v>
      </c>
      <c r="F204" s="285">
        <v>0</v>
      </c>
      <c r="G204" s="285">
        <v>0</v>
      </c>
      <c r="H204" s="285">
        <v>0</v>
      </c>
      <c r="I204" s="285">
        <v>0</v>
      </c>
      <c r="J204" s="285">
        <v>0</v>
      </c>
      <c r="K204" s="285">
        <v>0</v>
      </c>
      <c r="L204" s="285">
        <v>0</v>
      </c>
      <c r="M204" s="285">
        <v>0</v>
      </c>
      <c r="N204" s="285">
        <v>0</v>
      </c>
      <c r="O204" s="285">
        <v>0</v>
      </c>
      <c r="P204" s="285">
        <v>0</v>
      </c>
      <c r="Q204" s="286">
        <f t="shared" si="31"/>
        <v>-0.13535</v>
      </c>
      <c r="R204" s="258"/>
    </row>
    <row r="205" outlineLevel="2" spans="1:18">
      <c r="A205" s="269" t="s">
        <v>53</v>
      </c>
      <c r="B205" s="284">
        <v>6666021505</v>
      </c>
      <c r="C205" t="s">
        <v>155</v>
      </c>
      <c r="E205" s="285">
        <v>0</v>
      </c>
      <c r="F205" s="285">
        <v>0</v>
      </c>
      <c r="G205" s="285">
        <v>0</v>
      </c>
      <c r="H205" s="285">
        <v>0</v>
      </c>
      <c r="I205" s="285">
        <v>0</v>
      </c>
      <c r="J205" s="285">
        <v>0</v>
      </c>
      <c r="K205" s="285">
        <v>0</v>
      </c>
      <c r="L205" s="285">
        <v>0</v>
      </c>
      <c r="M205" s="285">
        <v>0</v>
      </c>
      <c r="N205" s="285">
        <v>0</v>
      </c>
      <c r="O205" s="285">
        <v>0</v>
      </c>
      <c r="P205" s="285">
        <v>0</v>
      </c>
      <c r="Q205" s="286">
        <f t="shared" si="31"/>
        <v>0</v>
      </c>
      <c r="R205" s="258"/>
    </row>
    <row r="206" outlineLevel="2" spans="1:18">
      <c r="A206" s="269" t="s">
        <v>53</v>
      </c>
      <c r="B206" s="284">
        <v>6666091600</v>
      </c>
      <c r="C206" t="s">
        <v>158</v>
      </c>
      <c r="E206" s="285">
        <v>0.00178</v>
      </c>
      <c r="F206" s="285">
        <v>0.39782963391474</v>
      </c>
      <c r="G206" s="285">
        <v>0.39782963391474</v>
      </c>
      <c r="H206" s="285">
        <v>0.39782963391474</v>
      </c>
      <c r="I206" s="285">
        <v>0.39782963391474</v>
      </c>
      <c r="J206" s="285">
        <v>0.39782963391474</v>
      </c>
      <c r="K206" s="285">
        <v>0.39782963391474</v>
      </c>
      <c r="L206" s="285">
        <v>0.39782963391474</v>
      </c>
      <c r="M206" s="285">
        <v>0.39782963391474</v>
      </c>
      <c r="N206" s="285">
        <v>0.39782963391474</v>
      </c>
      <c r="O206" s="285">
        <v>0.39782963391474</v>
      </c>
      <c r="P206" s="285">
        <v>0.39782963391474</v>
      </c>
      <c r="Q206" s="286">
        <f t="shared" si="31"/>
        <v>4.37790597306214</v>
      </c>
      <c r="R206" s="258"/>
    </row>
    <row r="207" spans="1:18">
      <c r="A207" s="269"/>
      <c r="B207" s="149" t="s">
        <v>181</v>
      </c>
      <c r="C207" s="149" t="s">
        <v>144</v>
      </c>
      <c r="D207" s="150"/>
      <c r="E207" s="288">
        <f>SUM(E199:E206)</f>
        <v>0.71785</v>
      </c>
      <c r="F207" s="288">
        <f t="shared" ref="F207:Q207" si="32">SUM(F199:F206)</f>
        <v>4.57206701321445</v>
      </c>
      <c r="G207" s="288">
        <f t="shared" si="32"/>
        <v>4.57206701321445</v>
      </c>
      <c r="H207" s="288">
        <f t="shared" si="32"/>
        <v>4.57206701321445</v>
      </c>
      <c r="I207" s="288">
        <f t="shared" si="32"/>
        <v>4.65284968683355</v>
      </c>
      <c r="J207" s="288">
        <f t="shared" si="32"/>
        <v>4.26487357829778</v>
      </c>
      <c r="K207" s="288">
        <f t="shared" si="32"/>
        <v>5.01214031713223</v>
      </c>
      <c r="L207" s="288">
        <f t="shared" si="32"/>
        <v>4.98469891095594</v>
      </c>
      <c r="M207" s="288">
        <f t="shared" si="32"/>
        <v>5.01214031713223</v>
      </c>
      <c r="N207" s="288">
        <f t="shared" si="32"/>
        <v>4.95725750477965</v>
      </c>
      <c r="O207" s="288">
        <f t="shared" si="32"/>
        <v>5.02950770055667</v>
      </c>
      <c r="P207" s="288">
        <f t="shared" si="32"/>
        <v>5.00189252211143</v>
      </c>
      <c r="Q207" s="288">
        <f t="shared" si="32"/>
        <v>53.3494115774428</v>
      </c>
      <c r="R207" s="289"/>
    </row>
    <row r="208" s="123" customFormat="1" spans="1:18">
      <c r="A208" s="269"/>
      <c r="B208" s="195"/>
      <c r="C208" s="196"/>
      <c r="D208" s="196" t="s">
        <v>182</v>
      </c>
      <c r="E208" s="204">
        <f>+E138+E141+E181+E183+E188+E191+E198+E207</f>
        <v>212.47293</v>
      </c>
      <c r="F208" s="204">
        <f t="shared" ref="F208:Q208" si="33">+F138+F141+F181+F183+F188+F191+F198+F207</f>
        <v>176.803759284029</v>
      </c>
      <c r="G208" s="204">
        <f t="shared" si="33"/>
        <v>193.675932695935</v>
      </c>
      <c r="H208" s="204">
        <f t="shared" si="33"/>
        <v>192.616946539195</v>
      </c>
      <c r="I208" s="204">
        <f t="shared" si="33"/>
        <v>193.350677001944</v>
      </c>
      <c r="J208" s="204">
        <f t="shared" si="33"/>
        <v>191.891650012911</v>
      </c>
      <c r="K208" s="204">
        <f t="shared" si="33"/>
        <v>191.220917945325</v>
      </c>
      <c r="L208" s="204">
        <f t="shared" si="33"/>
        <v>190.622510148987</v>
      </c>
      <c r="M208" s="204">
        <f t="shared" si="33"/>
        <v>190.822285883101</v>
      </c>
      <c r="N208" s="204">
        <f t="shared" si="33"/>
        <v>189.77605558141</v>
      </c>
      <c r="O208" s="204">
        <f t="shared" si="33"/>
        <v>189.12166676874</v>
      </c>
      <c r="P208" s="204">
        <f t="shared" si="33"/>
        <v>177.473625999715</v>
      </c>
      <c r="Q208" s="204">
        <f t="shared" si="33"/>
        <v>2249.40720954613</v>
      </c>
      <c r="R208" s="205"/>
    </row>
    <row r="209" spans="1:18">
      <c r="E209" s="278"/>
      <c r="F209" s="257"/>
      <c r="G209" s="257"/>
      <c r="H209" s="278"/>
      <c r="I209" s="278"/>
      <c r="J209" s="278"/>
      <c r="K209" s="278"/>
      <c r="L209" s="278"/>
      <c r="M209" s="278"/>
      <c r="N209" s="278"/>
      <c r="O209" s="278"/>
      <c r="P209" s="278"/>
      <c r="Q209" s="257"/>
      <c r="R209" s="276"/>
    </row>
    <row r="210" spans="1:18">
      <c r="E210" s="257"/>
      <c r="F210" s="257"/>
      <c r="G210" s="278"/>
      <c r="H210" s="257"/>
      <c r="I210" s="257"/>
      <c r="J210" s="257"/>
      <c r="K210" s="257"/>
      <c r="L210" s="257"/>
      <c r="M210" s="257"/>
      <c r="N210" s="257"/>
      <c r="O210" s="257"/>
      <c r="P210" s="257"/>
      <c r="Q210" s="257"/>
      <c r="R210" s="276"/>
    </row>
    <row r="211" spans="1:18"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76"/>
    </row>
    <row r="212" s="123" customFormat="1" spans="1:18">
      <c r="A212" s="269"/>
      <c r="B212" s="194"/>
      <c r="C212" s="194"/>
      <c r="D212" s="194" t="s">
        <v>183</v>
      </c>
      <c r="E212" s="204">
        <f>E208+E130</f>
        <v>1392.23344992299</v>
      </c>
      <c r="F212" s="204">
        <f>F208+F130</f>
        <v>1472.33472251558</v>
      </c>
      <c r="G212" s="204">
        <f>G208+G130</f>
        <v>1433.15150062457</v>
      </c>
      <c r="H212" s="204">
        <f>H208+H130</f>
        <v>1401.80529158722</v>
      </c>
      <c r="I212" s="204">
        <f>I208+I130</f>
        <v>1468.23516897216</v>
      </c>
      <c r="J212" s="204">
        <f t="shared" ref="J212:P212" si="34">J208+J130</f>
        <v>1449.35512132102</v>
      </c>
      <c r="K212" s="204">
        <f t="shared" si="34"/>
        <v>1425.32205185975</v>
      </c>
      <c r="L212" s="204">
        <f t="shared" si="34"/>
        <v>1408.59628008231</v>
      </c>
      <c r="M212" s="204">
        <f t="shared" si="34"/>
        <v>1528.21923488267</v>
      </c>
      <c r="N212" s="204">
        <f t="shared" si="34"/>
        <v>1447.84764435792</v>
      </c>
      <c r="O212" s="204">
        <f t="shared" si="34"/>
        <v>1420.50661850053</v>
      </c>
      <c r="P212" s="204">
        <f t="shared" si="34"/>
        <v>1473.18754491639</v>
      </c>
      <c r="Q212" s="204">
        <f>+E212+F212+G212+H212+I212+J212+K212+L212+M212+N212+O212</f>
        <v>15847.6070846267</v>
      </c>
      <c r="R212" s="162"/>
    </row>
    <row r="213" spans="1:18"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7"/>
    </row>
    <row r="214" spans="1:18"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</row>
    <row r="215" spans="1:18">
      <c r="C215" s="298"/>
      <c r="F215" s="278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</row>
    <row r="216" spans="1:18">
      <c r="C216" s="29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</row>
    <row r="217" spans="1:18">
      <c r="E217" s="278"/>
    </row>
    <row r="218" s="242" customFormat="1" spans="1:18">
      <c r="A218" s="243"/>
      <c r="B218" s="299"/>
      <c r="C218" s="300"/>
      <c r="D218" s="207" t="s">
        <v>184</v>
      </c>
      <c r="E218" s="301" t="s">
        <v>185</v>
      </c>
      <c r="F218" s="301" t="s">
        <v>185</v>
      </c>
      <c r="G218" s="301" t="s">
        <v>185</v>
      </c>
      <c r="H218" s="301" t="s">
        <v>185</v>
      </c>
      <c r="I218" s="301" t="s">
        <v>185</v>
      </c>
      <c r="J218" s="301" t="s">
        <v>185</v>
      </c>
      <c r="K218" s="301" t="s">
        <v>185</v>
      </c>
      <c r="L218" s="301" t="s">
        <v>185</v>
      </c>
      <c r="M218" s="301" t="s">
        <v>185</v>
      </c>
      <c r="N218" s="301" t="s">
        <v>185</v>
      </c>
      <c r="O218" s="301" t="s">
        <v>185</v>
      </c>
      <c r="P218" s="301" t="s">
        <v>185</v>
      </c>
      <c r="Q218" s="301" t="s">
        <v>185</v>
      </c>
      <c r="R218" s="302"/>
    </row>
    <row r="219" s="242" customFormat="1" spans="1:18">
      <c r="A219" s="243"/>
      <c r="B219" s="299"/>
      <c r="C219" s="306"/>
      <c r="D219" s="307" t="s">
        <v>186</v>
      </c>
      <c r="E219" s="308">
        <f t="shared" ref="E219:Q219" si="35">E23</f>
        <v>451.11424</v>
      </c>
      <c r="F219" s="308">
        <f t="shared" si="35"/>
        <v>483.167544221378</v>
      </c>
      <c r="G219" s="308">
        <f t="shared" si="35"/>
        <v>486.956716717969</v>
      </c>
      <c r="H219" s="308">
        <f t="shared" si="35"/>
        <v>464.960808310702</v>
      </c>
      <c r="I219" s="308">
        <f t="shared" si="35"/>
        <v>528.140551588301</v>
      </c>
      <c r="J219" s="308">
        <f t="shared" si="35"/>
        <v>497.003513045872</v>
      </c>
      <c r="K219" s="308">
        <f t="shared" si="35"/>
        <v>446.301874665663</v>
      </c>
      <c r="L219" s="308">
        <f t="shared" si="35"/>
        <v>457.457476299572</v>
      </c>
      <c r="M219" s="308">
        <f t="shared" si="35"/>
        <v>552.862555661492</v>
      </c>
      <c r="N219" s="308">
        <f t="shared" si="35"/>
        <v>505.686429113339</v>
      </c>
      <c r="O219" s="308">
        <f t="shared" si="35"/>
        <v>482.523767502193</v>
      </c>
      <c r="P219" s="308">
        <f t="shared" si="35"/>
        <v>489.090361758075</v>
      </c>
      <c r="Q219" s="308">
        <f t="shared" si="35"/>
        <v>5845.26583888455</v>
      </c>
      <c r="R219" s="309"/>
    </row>
    <row r="220" s="242" customFormat="1" spans="1:18">
      <c r="A220" s="243"/>
      <c r="B220" s="299"/>
      <c r="C220" s="299"/>
      <c r="D220" s="307" t="s">
        <v>187</v>
      </c>
      <c r="E220" s="308">
        <f t="shared" ref="E220:Q220" si="36">E28+E97+E85+E89</f>
        <v>-1.94337</v>
      </c>
      <c r="F220" s="308">
        <f t="shared" si="36"/>
        <v>19.9787218596301</v>
      </c>
      <c r="G220" s="308">
        <f t="shared" si="36"/>
        <v>11.2592580419046</v>
      </c>
      <c r="H220" s="308">
        <f t="shared" si="36"/>
        <v>19.7362423452655</v>
      </c>
      <c r="I220" s="308">
        <f t="shared" si="36"/>
        <v>16.3323020987467</v>
      </c>
      <c r="J220" s="308">
        <f t="shared" si="36"/>
        <v>25.8647361018075</v>
      </c>
      <c r="K220" s="308">
        <f t="shared" si="36"/>
        <v>20.0426803745928</v>
      </c>
      <c r="L220" s="308">
        <f t="shared" si="36"/>
        <v>23.8309407924954</v>
      </c>
      <c r="M220" s="308">
        <f t="shared" si="36"/>
        <v>22.1935070093267</v>
      </c>
      <c r="N220" s="308">
        <f t="shared" si="36"/>
        <v>20.0543503663904</v>
      </c>
      <c r="O220" s="308">
        <f t="shared" si="36"/>
        <v>24.0633829431478</v>
      </c>
      <c r="P220" s="308">
        <f t="shared" si="36"/>
        <v>20.2106305885019</v>
      </c>
      <c r="Q220" s="308">
        <f t="shared" si="36"/>
        <v>221.623382521809</v>
      </c>
      <c r="R220" s="309"/>
    </row>
    <row r="221" s="242" customFormat="1" spans="1:18">
      <c r="A221" s="243"/>
      <c r="B221" s="299"/>
      <c r="C221" s="299"/>
      <c r="D221" s="313" t="s">
        <v>188</v>
      </c>
      <c r="E221" s="314">
        <f t="shared" ref="E221:Q221" si="37">E105</f>
        <v>236.51712</v>
      </c>
      <c r="F221" s="314">
        <f t="shared" si="37"/>
        <v>214.482410204982</v>
      </c>
      <c r="G221" s="314">
        <f t="shared" si="37"/>
        <v>222.806169805666</v>
      </c>
      <c r="H221" s="314">
        <f t="shared" si="37"/>
        <v>213.960387852059</v>
      </c>
      <c r="I221" s="314">
        <f t="shared" si="37"/>
        <v>236.955140725714</v>
      </c>
      <c r="J221" s="314">
        <f t="shared" si="37"/>
        <v>224.390627264121</v>
      </c>
      <c r="K221" s="314">
        <f t="shared" si="37"/>
        <v>258.756905104617</v>
      </c>
      <c r="L221" s="314">
        <f t="shared" si="37"/>
        <v>232.43646972895</v>
      </c>
      <c r="M221" s="314">
        <f t="shared" si="37"/>
        <v>238.36332486386</v>
      </c>
      <c r="N221" s="314">
        <f t="shared" si="37"/>
        <v>222.645994371097</v>
      </c>
      <c r="O221" s="314">
        <f t="shared" si="37"/>
        <v>217.429644787361</v>
      </c>
      <c r="P221" s="314">
        <f t="shared" si="37"/>
        <v>284.765131039573</v>
      </c>
      <c r="Q221" s="314">
        <f t="shared" si="37"/>
        <v>2803.509325748</v>
      </c>
      <c r="R221" s="315"/>
    </row>
    <row r="222" s="242" customFormat="1" spans="1:18">
      <c r="A222" s="243"/>
      <c r="B222" s="299"/>
      <c r="C222" s="299"/>
      <c r="D222" s="313" t="s">
        <v>189</v>
      </c>
      <c r="E222" s="314">
        <f t="shared" ref="E222:Q222" si="38">E113</f>
        <v>115.16989</v>
      </c>
      <c r="F222" s="314">
        <f t="shared" si="38"/>
        <v>114.336822480409</v>
      </c>
      <c r="G222" s="314">
        <f t="shared" si="38"/>
        <v>104.530350011401</v>
      </c>
      <c r="H222" s="314">
        <f t="shared" si="38"/>
        <v>105.614806731822</v>
      </c>
      <c r="I222" s="314">
        <f t="shared" si="38"/>
        <v>111.61576960779</v>
      </c>
      <c r="J222" s="314">
        <f t="shared" si="38"/>
        <v>107.928953295851</v>
      </c>
      <c r="K222" s="314">
        <f t="shared" si="38"/>
        <v>100.075568616517</v>
      </c>
      <c r="L222" s="314">
        <f t="shared" si="38"/>
        <v>100.551771095728</v>
      </c>
      <c r="M222" s="314">
        <f t="shared" si="38"/>
        <v>105.387416527005</v>
      </c>
      <c r="N222" s="314">
        <f t="shared" si="38"/>
        <v>98.7982175495358</v>
      </c>
      <c r="O222" s="314">
        <f t="shared" si="38"/>
        <v>97.22043896832</v>
      </c>
      <c r="P222" s="314">
        <f t="shared" si="38"/>
        <v>95.6922615935141</v>
      </c>
      <c r="Q222" s="314">
        <f t="shared" si="38"/>
        <v>1256.92226647789</v>
      </c>
      <c r="R222" s="315"/>
    </row>
    <row r="223" s="242" customFormat="1" spans="1:18">
      <c r="A223" s="243"/>
      <c r="B223" s="299"/>
      <c r="C223" s="299"/>
      <c r="D223" s="313" t="s">
        <v>190</v>
      </c>
      <c r="E223" s="314">
        <f t="shared" ref="E223:Q223" si="39">E80+E129+E87+E92</f>
        <v>207.55441</v>
      </c>
      <c r="F223" s="314">
        <f t="shared" si="39"/>
        <v>313.972373153801</v>
      </c>
      <c r="G223" s="314">
        <f t="shared" si="39"/>
        <v>253.56440486221</v>
      </c>
      <c r="H223" s="314">
        <f t="shared" si="39"/>
        <v>249.823798373739</v>
      </c>
      <c r="I223" s="314">
        <f t="shared" si="39"/>
        <v>226.221082036634</v>
      </c>
      <c r="J223" s="314">
        <f t="shared" si="39"/>
        <v>249.401861652502</v>
      </c>
      <c r="K223" s="314">
        <f t="shared" si="39"/>
        <v>237.640693547733</v>
      </c>
      <c r="L223" s="314">
        <f t="shared" si="39"/>
        <v>233.408560080349</v>
      </c>
      <c r="M223" s="314">
        <f t="shared" si="39"/>
        <v>252.299712862865</v>
      </c>
      <c r="N223" s="314">
        <f t="shared" si="39"/>
        <v>242.140681046884</v>
      </c>
      <c r="O223" s="314">
        <f t="shared" si="39"/>
        <v>243.230180254196</v>
      </c>
      <c r="P223" s="314">
        <f t="shared" si="39"/>
        <v>229.032853083275</v>
      </c>
      <c r="Q223" s="314">
        <f t="shared" si="39"/>
        <v>2938.29061095419</v>
      </c>
      <c r="R223" s="315"/>
    </row>
    <row r="224" s="242" customFormat="1" spans="1:18">
      <c r="A224" s="243"/>
      <c r="B224" s="299"/>
      <c r="C224" s="299"/>
      <c r="D224" s="313" t="s">
        <v>191</v>
      </c>
      <c r="E224" s="314">
        <f t="shared" ref="E224:Q224" si="40">E14</f>
        <v>171.348229922989</v>
      </c>
      <c r="F224" s="314">
        <f t="shared" si="40"/>
        <v>149.593091311351</v>
      </c>
      <c r="G224" s="314">
        <f t="shared" si="40"/>
        <v>160.358668489482</v>
      </c>
      <c r="H224" s="314">
        <f t="shared" si="40"/>
        <v>155.09230143444</v>
      </c>
      <c r="I224" s="314">
        <f t="shared" si="40"/>
        <v>155.61964591303</v>
      </c>
      <c r="J224" s="314">
        <f t="shared" si="40"/>
        <v>152.873779947958</v>
      </c>
      <c r="K224" s="314">
        <f t="shared" si="40"/>
        <v>171.283411605306</v>
      </c>
      <c r="L224" s="314">
        <f t="shared" si="40"/>
        <v>170.288551936229</v>
      </c>
      <c r="M224" s="314">
        <f t="shared" si="40"/>
        <v>166.290432075023</v>
      </c>
      <c r="N224" s="314">
        <f t="shared" si="40"/>
        <v>168.74591632926</v>
      </c>
      <c r="O224" s="314">
        <f t="shared" si="40"/>
        <v>166.917537276572</v>
      </c>
      <c r="P224" s="314">
        <f t="shared" si="40"/>
        <v>176.92268085374</v>
      </c>
      <c r="Q224" s="314">
        <f t="shared" si="40"/>
        <v>1965.33424709538</v>
      </c>
      <c r="R224" s="315"/>
    </row>
    <row r="225" s="242" customFormat="1" spans="1:18">
      <c r="A225" s="243"/>
      <c r="B225" s="299"/>
      <c r="C225" s="299"/>
      <c r="D225" s="316" t="s">
        <v>192</v>
      </c>
      <c r="E225" s="317">
        <f t="shared" ref="E225:Q225" si="41">E208</f>
        <v>212.47293</v>
      </c>
      <c r="F225" s="317">
        <f t="shared" si="41"/>
        <v>176.803759284029</v>
      </c>
      <c r="G225" s="317">
        <f t="shared" si="41"/>
        <v>193.675932695935</v>
      </c>
      <c r="H225" s="317">
        <f t="shared" si="41"/>
        <v>192.616946539195</v>
      </c>
      <c r="I225" s="317">
        <f t="shared" si="41"/>
        <v>193.350677001944</v>
      </c>
      <c r="J225" s="317">
        <f t="shared" si="41"/>
        <v>191.891650012911</v>
      </c>
      <c r="K225" s="317">
        <f t="shared" si="41"/>
        <v>191.220917945325</v>
      </c>
      <c r="L225" s="317">
        <f t="shared" si="41"/>
        <v>190.622510148987</v>
      </c>
      <c r="M225" s="317">
        <f t="shared" si="41"/>
        <v>190.822285883101</v>
      </c>
      <c r="N225" s="317">
        <f t="shared" si="41"/>
        <v>189.77605558141</v>
      </c>
      <c r="O225" s="317">
        <f t="shared" si="41"/>
        <v>189.12166676874</v>
      </c>
      <c r="P225" s="317">
        <f t="shared" si="41"/>
        <v>177.473625999715</v>
      </c>
      <c r="Q225" s="317">
        <f t="shared" si="41"/>
        <v>2249.40720954613</v>
      </c>
      <c r="R225" s="318"/>
    </row>
    <row r="226" s="243" customFormat="1" spans="1:18">
      <c r="B226" s="299"/>
      <c r="C226" s="299"/>
      <c r="D226" s="319" t="s">
        <v>193</v>
      </c>
      <c r="E226" s="222">
        <f t="shared" ref="E226:Q226" si="42">SUM(E219:E225)</f>
        <v>1392.23344992299</v>
      </c>
      <c r="F226" s="222">
        <f t="shared" si="42"/>
        <v>1472.33472251558</v>
      </c>
      <c r="G226" s="222">
        <f t="shared" si="42"/>
        <v>1433.15150062457</v>
      </c>
      <c r="H226" s="320">
        <f t="shared" si="42"/>
        <v>1401.80529158722</v>
      </c>
      <c r="I226" s="320">
        <f t="shared" si="42"/>
        <v>1468.23516897216</v>
      </c>
      <c r="J226" s="320">
        <f t="shared" si="42"/>
        <v>1449.35512132102</v>
      </c>
      <c r="K226" s="320">
        <f t="shared" si="42"/>
        <v>1425.32205185975</v>
      </c>
      <c r="L226" s="320">
        <f t="shared" si="42"/>
        <v>1408.59628008231</v>
      </c>
      <c r="M226" s="320">
        <f t="shared" si="42"/>
        <v>1528.21923488267</v>
      </c>
      <c r="N226" s="320">
        <f t="shared" si="42"/>
        <v>1447.84764435792</v>
      </c>
      <c r="O226" s="320">
        <f t="shared" si="42"/>
        <v>1420.50661850053</v>
      </c>
      <c r="P226" s="320">
        <f t="shared" si="42"/>
        <v>1473.18754491639</v>
      </c>
      <c r="Q226" s="320">
        <f t="shared" si="42"/>
        <v>17280.352881228</v>
      </c>
      <c r="R226" s="223"/>
    </row>
    <row r="227" spans="1:18">
      <c r="E227" s="257">
        <f t="shared" ref="E227:Q227" si="43">SUM(E219:E225)-E226</f>
        <v>0</v>
      </c>
      <c r="F227" s="257">
        <f t="shared" si="43"/>
        <v>0</v>
      </c>
      <c r="G227" s="257">
        <f t="shared" si="43"/>
        <v>0</v>
      </c>
      <c r="H227" s="257">
        <f t="shared" si="43"/>
        <v>0</v>
      </c>
      <c r="I227" s="257">
        <f t="shared" si="43"/>
        <v>0</v>
      </c>
      <c r="J227" s="257">
        <f t="shared" si="43"/>
        <v>0</v>
      </c>
      <c r="K227" s="257">
        <f t="shared" si="43"/>
        <v>0</v>
      </c>
      <c r="L227" s="257">
        <f t="shared" si="43"/>
        <v>0</v>
      </c>
      <c r="M227" s="257">
        <f t="shared" si="43"/>
        <v>0</v>
      </c>
      <c r="N227" s="257">
        <f t="shared" si="43"/>
        <v>0</v>
      </c>
      <c r="O227" s="257">
        <f t="shared" si="43"/>
        <v>0</v>
      </c>
      <c r="P227" s="257">
        <f t="shared" si="43"/>
        <v>0</v>
      </c>
      <c r="Q227" s="257">
        <f t="shared" si="43"/>
        <v>0</v>
      </c>
      <c r="R227" s="257"/>
    </row>
    <row r="229" spans="1:18">
      <c r="D229" s="321"/>
      <c r="E229" s="322"/>
      <c r="F229" s="322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3"/>
    </row>
    <row r="230" spans="1:18">
      <c r="D230" s="324" t="s">
        <v>52</v>
      </c>
      <c r="E230" s="325">
        <f t="shared" ref="E230:Q230" si="44">E23+E28+E85+E89+E97</f>
        <v>449.17087</v>
      </c>
      <c r="F230" s="325">
        <f t="shared" si="44"/>
        <v>503.146266081008</v>
      </c>
      <c r="G230" s="325">
        <f t="shared" si="44"/>
        <v>498.215974759873</v>
      </c>
      <c r="H230" s="325">
        <f t="shared" si="44"/>
        <v>484.697050655967</v>
      </c>
      <c r="I230" s="325">
        <f t="shared" si="44"/>
        <v>544.472853687048</v>
      </c>
      <c r="J230" s="325">
        <f t="shared" si="44"/>
        <v>522.86824914768</v>
      </c>
      <c r="K230" s="325">
        <f t="shared" si="44"/>
        <v>466.344555040256</v>
      </c>
      <c r="L230" s="325">
        <f t="shared" si="44"/>
        <v>481.288417092067</v>
      </c>
      <c r="M230" s="325">
        <f t="shared" si="44"/>
        <v>575.056062670819</v>
      </c>
      <c r="N230" s="325">
        <f t="shared" si="44"/>
        <v>525.740779479729</v>
      </c>
      <c r="O230" s="325">
        <f t="shared" si="44"/>
        <v>506.587150445341</v>
      </c>
      <c r="P230" s="325">
        <f t="shared" si="44"/>
        <v>509.300992346577</v>
      </c>
      <c r="Q230" s="325">
        <f t="shared" si="44"/>
        <v>6066.88922140636</v>
      </c>
      <c r="R230" s="326"/>
    </row>
    <row r="231" spans="1:18">
      <c r="D231" s="327" t="s">
        <v>42</v>
      </c>
      <c r="E231" s="328">
        <f t="shared" ref="E231:Q231" si="45">SUM(E14,E80,E87,E92,E105,E113,E129)</f>
        <v>730.589649922989</v>
      </c>
      <c r="F231" s="328">
        <f t="shared" si="45"/>
        <v>792.384697150543</v>
      </c>
      <c r="G231" s="328">
        <f t="shared" si="45"/>
        <v>741.259593168761</v>
      </c>
      <c r="H231" s="328">
        <f t="shared" si="45"/>
        <v>724.49129439206</v>
      </c>
      <c r="I231" s="328">
        <f t="shared" si="45"/>
        <v>730.411638283168</v>
      </c>
      <c r="J231" s="328">
        <f t="shared" si="45"/>
        <v>734.595222160433</v>
      </c>
      <c r="K231" s="328">
        <f t="shared" si="45"/>
        <v>767.756578874173</v>
      </c>
      <c r="L231" s="328">
        <f t="shared" si="45"/>
        <v>736.685352841257</v>
      </c>
      <c r="M231" s="328">
        <f t="shared" si="45"/>
        <v>762.340886328752</v>
      </c>
      <c r="N231" s="328">
        <f t="shared" si="45"/>
        <v>732.330809296777</v>
      </c>
      <c r="O231" s="328">
        <f t="shared" si="45"/>
        <v>724.797801286449</v>
      </c>
      <c r="P231" s="328">
        <f t="shared" si="45"/>
        <v>786.412926570102</v>
      </c>
      <c r="Q231" s="328">
        <f t="shared" si="45"/>
        <v>8964.05645027546</v>
      </c>
      <c r="R231" s="329"/>
    </row>
    <row r="232" spans="1:18">
      <c r="D232" s="330" t="s">
        <v>194</v>
      </c>
      <c r="E232" s="331">
        <f t="shared" ref="E232:Q232" si="46">E225</f>
        <v>212.47293</v>
      </c>
      <c r="F232" s="331">
        <f t="shared" si="46"/>
        <v>176.803759284029</v>
      </c>
      <c r="G232" s="331">
        <f t="shared" si="46"/>
        <v>193.675932695935</v>
      </c>
      <c r="H232" s="331">
        <f t="shared" si="46"/>
        <v>192.616946539195</v>
      </c>
      <c r="I232" s="331">
        <f t="shared" si="46"/>
        <v>193.350677001944</v>
      </c>
      <c r="J232" s="331">
        <f t="shared" si="46"/>
        <v>191.891650012911</v>
      </c>
      <c r="K232" s="331">
        <f t="shared" si="46"/>
        <v>191.220917945325</v>
      </c>
      <c r="L232" s="331">
        <f t="shared" si="46"/>
        <v>190.622510148987</v>
      </c>
      <c r="M232" s="331">
        <f t="shared" si="46"/>
        <v>190.822285883101</v>
      </c>
      <c r="N232" s="331">
        <f t="shared" si="46"/>
        <v>189.77605558141</v>
      </c>
      <c r="O232" s="331">
        <f t="shared" si="46"/>
        <v>189.12166676874</v>
      </c>
      <c r="P232" s="331">
        <f t="shared" si="46"/>
        <v>177.473625999715</v>
      </c>
      <c r="Q232" s="331">
        <f t="shared" si="46"/>
        <v>2249.40720954613</v>
      </c>
      <c r="R232" s="332"/>
    </row>
    <row r="233" spans="1:18">
      <c r="D233" s="333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5"/>
    </row>
    <row r="234" spans="1:18">
      <c r="D234" s="336" t="s">
        <v>195</v>
      </c>
      <c r="E234" s="337">
        <f t="shared" ref="E234:Q234" si="47">SUM(E229:E233)</f>
        <v>1392.23344992299</v>
      </c>
      <c r="F234" s="337">
        <f t="shared" si="47"/>
        <v>1472.33472251558</v>
      </c>
      <c r="G234" s="337">
        <f t="shared" si="47"/>
        <v>1433.15150062457</v>
      </c>
      <c r="H234" s="337">
        <f t="shared" si="47"/>
        <v>1401.80529158722</v>
      </c>
      <c r="I234" s="337">
        <f t="shared" si="47"/>
        <v>1468.23516897216</v>
      </c>
      <c r="J234" s="337">
        <f t="shared" si="47"/>
        <v>1449.35512132102</v>
      </c>
      <c r="K234" s="337">
        <f t="shared" si="47"/>
        <v>1425.32205185975</v>
      </c>
      <c r="L234" s="337">
        <f t="shared" si="47"/>
        <v>1408.59628008231</v>
      </c>
      <c r="M234" s="337">
        <f t="shared" si="47"/>
        <v>1528.21923488267</v>
      </c>
      <c r="N234" s="337">
        <f t="shared" si="47"/>
        <v>1447.84764435792</v>
      </c>
      <c r="O234" s="337">
        <f t="shared" si="47"/>
        <v>1420.50661850053</v>
      </c>
      <c r="P234" s="337">
        <f t="shared" si="47"/>
        <v>1473.18754491639</v>
      </c>
      <c r="Q234" s="337">
        <f t="shared" si="47"/>
        <v>17280.352881228</v>
      </c>
      <c r="R234" s="339"/>
    </row>
    <row r="235" spans="1:18">
      <c r="J235" s="278"/>
      <c r="K235" s="278"/>
      <c r="L235" s="278"/>
      <c r="M235" s="278"/>
      <c r="N235" s="278"/>
      <c r="O235" s="278"/>
      <c r="P235" s="278"/>
      <c r="Q235" s="278"/>
    </row>
    <row r="236" s="244" customFormat="1" spans="1:18">
      <c r="A236" s="340"/>
      <c r="B236" s="298"/>
      <c r="C236" s="298"/>
      <c r="D236" t="s">
        <v>196</v>
      </c>
      <c r="E236" s="278">
        <f t="shared" ref="E236:Q236" si="48">+E234*1000</f>
        <v>1392233.44992299</v>
      </c>
      <c r="F236" s="278">
        <f t="shared" si="48"/>
        <v>1472334.72251558</v>
      </c>
      <c r="G236" s="278">
        <f t="shared" si="48"/>
        <v>1433151.50062457</v>
      </c>
      <c r="H236" s="278">
        <f t="shared" si="48"/>
        <v>1401805.29158722</v>
      </c>
      <c r="I236" s="278">
        <f t="shared" si="48"/>
        <v>1468235.16897216</v>
      </c>
      <c r="J236" s="278">
        <f t="shared" si="48"/>
        <v>1449355.12132102</v>
      </c>
      <c r="K236" s="278">
        <f t="shared" si="48"/>
        <v>1425322.05185975</v>
      </c>
      <c r="L236" s="278">
        <f t="shared" si="48"/>
        <v>1408596.28008231</v>
      </c>
      <c r="M236" s="278">
        <f t="shared" si="48"/>
        <v>1528219.23488267</v>
      </c>
      <c r="N236" s="278">
        <f t="shared" si="48"/>
        <v>1447847.64435792</v>
      </c>
      <c r="O236" s="278">
        <f t="shared" si="48"/>
        <v>1420506.61850053</v>
      </c>
      <c r="P236" s="278">
        <f t="shared" si="48"/>
        <v>1473187.54491639</v>
      </c>
      <c r="Q236" s="278">
        <f t="shared" si="48"/>
        <v>17280352.881228</v>
      </c>
      <c r="R236" s="278"/>
    </row>
    <row r="237" spans="1:18">
      <c r="D237" t="s">
        <v>197</v>
      </c>
      <c r="E237" s="278">
        <v>76774263.48</v>
      </c>
      <c r="F237" s="278">
        <v>73270182.12</v>
      </c>
      <c r="G237" s="278">
        <v>69204227.88</v>
      </c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</row>
    <row r="238" spans="1:18">
      <c r="E238" s="257"/>
      <c r="F238" s="278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341"/>
    </row>
    <row r="239" spans="1:18">
      <c r="D239" t="s">
        <v>198</v>
      </c>
      <c r="E239" s="342">
        <f t="shared" ref="E239:Q239" si="49">+E237/E236</f>
        <v>55.1446766950232</v>
      </c>
      <c r="F239" s="342">
        <f t="shared" si="49"/>
        <v>49.7646228126802</v>
      </c>
      <c r="G239" s="342">
        <f t="shared" si="49"/>
        <v>48.2881452866921</v>
      </c>
      <c r="H239" s="342">
        <f t="shared" si="49"/>
        <v>0</v>
      </c>
      <c r="I239" s="342">
        <f t="shared" si="49"/>
        <v>0</v>
      </c>
      <c r="J239" s="342">
        <f t="shared" si="49"/>
        <v>0</v>
      </c>
      <c r="K239" s="342">
        <f t="shared" si="49"/>
        <v>0</v>
      </c>
      <c r="L239" s="342">
        <f t="shared" si="49"/>
        <v>0</v>
      </c>
      <c r="M239" s="342">
        <f t="shared" si="49"/>
        <v>0</v>
      </c>
      <c r="N239" s="342">
        <f t="shared" si="49"/>
        <v>0</v>
      </c>
      <c r="O239" s="342">
        <f t="shared" si="49"/>
        <v>0</v>
      </c>
      <c r="P239" s="342">
        <f t="shared" si="49"/>
        <v>0</v>
      </c>
      <c r="Q239" s="342">
        <f t="shared" si="49"/>
        <v>0</v>
      </c>
    </row>
    <row r="240" spans="1:18">
      <c r="E240" s="343"/>
      <c r="F240" s="278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</row>
    <row r="241" spans="1:18">
      <c r="E241" s="278"/>
    </row>
    <row r="242" spans="1:18">
      <c r="E242" s="342"/>
      <c r="F242" s="278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</row>
    <row r="243" spans="1:18">
      <c r="E243" s="278"/>
    </row>
    <row r="244" ht="17.4" spans="1:18">
      <c r="B244" s="344" t="s">
        <v>199</v>
      </c>
      <c r="C244" s="344"/>
      <c r="D244" s="344"/>
      <c r="E244" s="278"/>
    </row>
    <row r="245" spans="1:18">
      <c r="A245" s="269" t="s">
        <v>32</v>
      </c>
      <c r="B245" s="256">
        <v>6666110101</v>
      </c>
      <c r="C245" s="256" t="s">
        <v>33</v>
      </c>
      <c r="D245" s="256" t="s">
        <v>34</v>
      </c>
      <c r="E245" s="345">
        <v>22.9373798925231</v>
      </c>
      <c r="F245" s="345">
        <v>20.8651916663665</v>
      </c>
      <c r="G245" s="345">
        <v>22.9878262122702</v>
      </c>
      <c r="H245" s="345">
        <v>22.4298637548123</v>
      </c>
      <c r="I245" s="345">
        <v>23.3288877313699</v>
      </c>
      <c r="J245" s="345">
        <v>22.7394703530313</v>
      </c>
      <c r="K245" s="345">
        <v>23.5937758391732</v>
      </c>
      <c r="L245" s="345">
        <v>23.6992844364268</v>
      </c>
      <c r="M245" s="345">
        <v>23.0470417281695</v>
      </c>
      <c r="N245" s="345">
        <v>23.8972812994137</v>
      </c>
      <c r="O245" s="345">
        <v>23.2301582156071</v>
      </c>
      <c r="P245" s="345">
        <v>24.0805942219558</v>
      </c>
      <c r="Q245" s="345">
        <f t="shared" ref="Q245:Q252" si="50">+E245+F245+G245+H245+I245+J245+K245+L245+M245+N245+O245+P245</f>
        <v>276.836755351119</v>
      </c>
      <c r="R245" s="323"/>
    </row>
    <row r="246" spans="1:18">
      <c r="A246" s="269" t="s">
        <v>32</v>
      </c>
      <c r="B246" s="256">
        <v>6666110106</v>
      </c>
      <c r="C246" s="256" t="s">
        <v>35</v>
      </c>
      <c r="D246" s="256" t="s">
        <v>34</v>
      </c>
      <c r="E246" s="259">
        <v>0</v>
      </c>
      <c r="F246" s="259">
        <v>0</v>
      </c>
      <c r="G246" s="259">
        <v>0</v>
      </c>
      <c r="H246" s="259">
        <v>0</v>
      </c>
      <c r="I246" s="259">
        <v>0</v>
      </c>
      <c r="J246" s="259">
        <v>0</v>
      </c>
      <c r="K246" s="259">
        <v>0</v>
      </c>
      <c r="L246" s="259">
        <v>0</v>
      </c>
      <c r="M246" s="259">
        <v>0</v>
      </c>
      <c r="N246" s="259">
        <v>0</v>
      </c>
      <c r="O246" s="259">
        <v>0</v>
      </c>
      <c r="P246" s="259">
        <v>0</v>
      </c>
      <c r="Q246" s="259">
        <f t="shared" si="50"/>
        <v>0</v>
      </c>
      <c r="R246" s="346"/>
    </row>
    <row r="247" spans="1:18">
      <c r="A247" s="269" t="s">
        <v>32</v>
      </c>
      <c r="B247" s="256">
        <v>6666110107</v>
      </c>
      <c r="C247" s="256" t="s">
        <v>36</v>
      </c>
      <c r="D247" s="256" t="s">
        <v>34</v>
      </c>
      <c r="E247" s="259">
        <v>131.959493997099</v>
      </c>
      <c r="F247" s="259">
        <v>128.50944426501</v>
      </c>
      <c r="G247" s="259">
        <v>132.59646448935</v>
      </c>
      <c r="H247" s="259">
        <v>133.139949428635</v>
      </c>
      <c r="I247" s="259">
        <v>136.890708699943</v>
      </c>
      <c r="J247" s="259">
        <v>137.102936159895</v>
      </c>
      <c r="K247" s="259">
        <v>140.223027192383</v>
      </c>
      <c r="L247" s="259">
        <v>141.552311842547</v>
      </c>
      <c r="M247" s="259">
        <v>141.040425563791</v>
      </c>
      <c r="N247" s="259">
        <v>144.044456211129</v>
      </c>
      <c r="O247" s="259">
        <v>143.383870637935</v>
      </c>
      <c r="P247" s="259">
        <v>146.350319921396</v>
      </c>
      <c r="Q247" s="259">
        <f t="shared" si="50"/>
        <v>1656.79340840911</v>
      </c>
      <c r="R247" s="346"/>
    </row>
    <row r="248" spans="1:18">
      <c r="A248" s="269" t="s">
        <v>32</v>
      </c>
      <c r="B248" s="256">
        <v>6666110110</v>
      </c>
      <c r="C248" s="256" t="s">
        <v>37</v>
      </c>
      <c r="D248" s="256" t="s">
        <v>34</v>
      </c>
      <c r="E248" s="259">
        <v>232.00885862227</v>
      </c>
      <c r="F248" s="259">
        <v>231.740419633937</v>
      </c>
      <c r="G248" s="259">
        <v>259.883246732321</v>
      </c>
      <c r="H248" s="259">
        <v>251.508389357985</v>
      </c>
      <c r="I248" s="259">
        <v>259.515465172618</v>
      </c>
      <c r="J248" s="259">
        <v>251.338339151601</v>
      </c>
      <c r="K248" s="259">
        <v>259.081950814328</v>
      </c>
      <c r="L248" s="259">
        <v>258.728279127425</v>
      </c>
      <c r="M248" s="259">
        <v>250.197282338632</v>
      </c>
      <c r="N248" s="259">
        <v>259.464352537887</v>
      </c>
      <c r="O248" s="259">
        <v>251.886622143475</v>
      </c>
      <c r="P248" s="259">
        <v>261.158151638824</v>
      </c>
      <c r="Q248" s="259">
        <f t="shared" si="50"/>
        <v>3026.5113572713</v>
      </c>
      <c r="R248" s="346"/>
    </row>
    <row r="249" spans="1:18">
      <c r="A249" s="269" t="s">
        <v>32</v>
      </c>
      <c r="B249" s="256">
        <v>6666110112</v>
      </c>
      <c r="C249" s="256" t="s">
        <v>38</v>
      </c>
      <c r="D249" s="256" t="s">
        <v>34</v>
      </c>
      <c r="E249" s="259">
        <v>4.69540224404778</v>
      </c>
      <c r="F249" s="259">
        <v>4.45049747090506</v>
      </c>
      <c r="G249" s="259">
        <v>4.72289274016475</v>
      </c>
      <c r="H249" s="259">
        <v>4.71905663679139</v>
      </c>
      <c r="I249" s="259">
        <v>3.50974911436112</v>
      </c>
      <c r="J249" s="259">
        <v>3.77386511338965</v>
      </c>
      <c r="K249" s="259">
        <v>3.80433447154082</v>
      </c>
      <c r="L249" s="259">
        <v>3.87991282861603</v>
      </c>
      <c r="M249" s="259">
        <v>3.8599245320737</v>
      </c>
      <c r="N249" s="259">
        <v>3.96322339801831</v>
      </c>
      <c r="O249" s="259">
        <v>3.93412176648477</v>
      </c>
      <c r="P249" s="259">
        <v>3.74006806021849</v>
      </c>
      <c r="Q249" s="259">
        <f t="shared" si="50"/>
        <v>49.0530483766119</v>
      </c>
      <c r="R249" s="346"/>
    </row>
    <row r="250" spans="1:18">
      <c r="A250" s="269" t="s">
        <v>32</v>
      </c>
      <c r="B250" s="256">
        <v>6666110204</v>
      </c>
      <c r="C250" s="256" t="s">
        <v>39</v>
      </c>
      <c r="D250" s="256" t="s">
        <v>34</v>
      </c>
      <c r="E250" s="259">
        <v>0.0783991860607184</v>
      </c>
      <c r="F250" s="259">
        <v>0.0813800765212743</v>
      </c>
      <c r="G250" s="259">
        <v>0.079585154130931</v>
      </c>
      <c r="H250" s="259">
        <v>0.0837860409834396</v>
      </c>
      <c r="I250" s="259">
        <v>0.0876257245997737</v>
      </c>
      <c r="J250" s="259">
        <v>0.0913133079126453</v>
      </c>
      <c r="K250" s="259">
        <v>0.0938852984159091</v>
      </c>
      <c r="L250" s="259">
        <v>0.0963665075251082</v>
      </c>
      <c r="M250" s="259">
        <v>0.0987906821859179</v>
      </c>
      <c r="N250" s="259">
        <v>0.101049159666747</v>
      </c>
      <c r="O250" s="259">
        <v>0.103232238178101</v>
      </c>
      <c r="P250" s="259">
        <v>0.105372717825739</v>
      </c>
      <c r="Q250" s="259">
        <f t="shared" si="50"/>
        <v>1.10078609400631</v>
      </c>
      <c r="R250" s="346"/>
    </row>
    <row r="251" spans="1:18">
      <c r="A251" s="269" t="s">
        <v>32</v>
      </c>
      <c r="B251" s="256">
        <v>6666110207</v>
      </c>
      <c r="C251" s="256" t="s">
        <v>40</v>
      </c>
      <c r="D251" s="256" t="s">
        <v>34</v>
      </c>
      <c r="E251" s="259">
        <v>1.22344613501019</v>
      </c>
      <c r="F251" s="259">
        <v>1.24198140924259</v>
      </c>
      <c r="G251" s="259">
        <v>1.23113868228298</v>
      </c>
      <c r="H251" s="259">
        <v>1.25800584635284</v>
      </c>
      <c r="I251" s="259">
        <v>1.2832001440796</v>
      </c>
      <c r="J251" s="259">
        <v>1.30673679954754</v>
      </c>
      <c r="K251" s="259">
        <v>1.32362276315238</v>
      </c>
      <c r="L251" s="259">
        <v>1.43819797219686</v>
      </c>
      <c r="M251" s="259">
        <v>1.04526773109244</v>
      </c>
      <c r="N251" s="259">
        <v>1.21956904892516</v>
      </c>
      <c r="O251" s="259">
        <v>1.26538903938099</v>
      </c>
      <c r="P251" s="259">
        <v>1.27467599786837</v>
      </c>
      <c r="Q251" s="259">
        <f t="shared" si="50"/>
        <v>15.1112315691319</v>
      </c>
      <c r="R251" s="346"/>
    </row>
    <row r="252" spans="1:18">
      <c r="A252" s="269" t="s">
        <v>32</v>
      </c>
      <c r="B252" s="256">
        <v>6666110506</v>
      </c>
      <c r="C252" s="256" t="s">
        <v>41</v>
      </c>
      <c r="D252" s="256" t="s">
        <v>34</v>
      </c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>
        <f t="shared" si="50"/>
        <v>0</v>
      </c>
      <c r="R252" s="346"/>
    </row>
    <row r="253" spans="1:18">
      <c r="E253" s="364">
        <f t="shared" ref="E253:Q253" si="51">SUM(E245:E252)</f>
        <v>392.902980077011</v>
      </c>
      <c r="F253" s="288">
        <f t="shared" si="51"/>
        <v>386.888914521982</v>
      </c>
      <c r="G253" s="288">
        <f t="shared" si="51"/>
        <v>421.50115401052</v>
      </c>
      <c r="H253" s="288">
        <f t="shared" si="51"/>
        <v>413.139051065561</v>
      </c>
      <c r="I253" s="288">
        <f t="shared" si="51"/>
        <v>424.615636586972</v>
      </c>
      <c r="J253" s="288">
        <f t="shared" si="51"/>
        <v>416.352660885377</v>
      </c>
      <c r="K253" s="288">
        <f t="shared" si="51"/>
        <v>428.120596378994</v>
      </c>
      <c r="L253" s="288">
        <f t="shared" si="51"/>
        <v>429.394352714737</v>
      </c>
      <c r="M253" s="288">
        <f t="shared" si="51"/>
        <v>419.288732575944</v>
      </c>
      <c r="N253" s="288">
        <f t="shared" si="51"/>
        <v>432.68993165504</v>
      </c>
      <c r="O253" s="288">
        <f t="shared" si="51"/>
        <v>423.803394041061</v>
      </c>
      <c r="P253" s="288">
        <f t="shared" si="51"/>
        <v>436.709182558089</v>
      </c>
      <c r="Q253" s="288">
        <f t="shared" si="51"/>
        <v>5025.40658707129</v>
      </c>
      <c r="R253" s="349"/>
    </row>
    <row r="255" spans="1:18">
      <c r="Q255" s="297"/>
    </row>
    <row r="258" spans="1:19">
      <c r="C258" s="350" t="s">
        <v>200</v>
      </c>
      <c r="D258" s="350" t="s">
        <v>32</v>
      </c>
      <c r="E258" s="351">
        <f>+SUMIF($A$6:$A$252,D258,E6:E253)</f>
        <v>1644.26341</v>
      </c>
      <c r="F258" s="351">
        <f t="shared" ref="F258:P258" si="52">+SUMIF($A$6:$A$252,$D$258,F6:F253)</f>
        <v>1707.57746692101</v>
      </c>
      <c r="G258" s="351">
        <f t="shared" si="52"/>
        <v>1675.17866979475</v>
      </c>
      <c r="H258" s="351">
        <f t="shared" si="52"/>
        <v>1644.00125451654</v>
      </c>
      <c r="I258" s="351">
        <f t="shared" si="52"/>
        <v>1719.03883572529</v>
      </c>
      <c r="J258" s="351">
        <f t="shared" si="52"/>
        <v>1704.28896546188</v>
      </c>
      <c r="K258" s="351">
        <f t="shared" si="52"/>
        <v>1685.80137356846</v>
      </c>
      <c r="L258" s="351">
        <f t="shared" si="52"/>
        <v>1670.34818652936</v>
      </c>
      <c r="M258" s="351">
        <f t="shared" si="52"/>
        <v>1789.19241850462</v>
      </c>
      <c r="N258" s="351">
        <f t="shared" si="52"/>
        <v>1720.05520942157</v>
      </c>
      <c r="O258" s="351">
        <f t="shared" si="52"/>
        <v>1685.609336796</v>
      </c>
      <c r="P258" s="351">
        <f t="shared" si="52"/>
        <v>1757.57440368234</v>
      </c>
      <c r="Q258" s="353">
        <f>+E258+F258+G258+H258+I258+J258+K258+L258+M258+N258+O258+P258</f>
        <v>20402.9295309218</v>
      </c>
      <c r="R258" s="352"/>
    </row>
    <row r="259" spans="1:19">
      <c r="C259" s="350" t="s">
        <v>201</v>
      </c>
      <c r="D259" s="350" t="s">
        <v>53</v>
      </c>
      <c r="E259" s="354">
        <f>+SUMIF($A$6:$A$253,D259,E6:E254)</f>
        <v>140.87302</v>
      </c>
      <c r="F259" s="354">
        <f t="shared" ref="F259:P259" si="53">+SUMIF($A$6:$A$253,$D$259,F6:F254)</f>
        <v>151.646170116551</v>
      </c>
      <c r="G259" s="354">
        <f t="shared" si="53"/>
        <v>179.473984840342</v>
      </c>
      <c r="H259" s="354">
        <f t="shared" si="53"/>
        <v>170.94308813624</v>
      </c>
      <c r="I259" s="354">
        <f t="shared" si="53"/>
        <v>173.811969833839</v>
      </c>
      <c r="J259" s="354">
        <f t="shared" si="53"/>
        <v>161.418816744523</v>
      </c>
      <c r="K259" s="354">
        <f t="shared" si="53"/>
        <v>167.641274670288</v>
      </c>
      <c r="L259" s="354">
        <f t="shared" si="53"/>
        <v>167.642446267693</v>
      </c>
      <c r="M259" s="354">
        <f t="shared" si="53"/>
        <v>158.315548953999</v>
      </c>
      <c r="N259" s="354">
        <f t="shared" si="53"/>
        <v>160.48236659139</v>
      </c>
      <c r="O259" s="354">
        <f t="shared" si="53"/>
        <v>158.700675745586</v>
      </c>
      <c r="P259" s="354">
        <f t="shared" si="53"/>
        <v>152.322323792142</v>
      </c>
      <c r="Q259" s="356">
        <f>+E259+F259+G259+H259+I259+J259+K259+L259+M259+N259+O259+P259</f>
        <v>1943.27168569259</v>
      </c>
      <c r="R259" s="355"/>
    </row>
    <row r="260" spans="1:19">
      <c r="C260" s="350" t="s">
        <v>193</v>
      </c>
      <c r="E260" s="357">
        <f t="shared" ref="E260:Q260" si="54">+E259+E258</f>
        <v>1785.13643</v>
      </c>
      <c r="F260" s="357">
        <f t="shared" si="54"/>
        <v>1859.22363703756</v>
      </c>
      <c r="G260" s="357">
        <f t="shared" si="54"/>
        <v>1854.65265463509</v>
      </c>
      <c r="H260" s="357">
        <f t="shared" si="54"/>
        <v>1814.94434265278</v>
      </c>
      <c r="I260" s="357">
        <f t="shared" si="54"/>
        <v>1892.85080555913</v>
      </c>
      <c r="J260" s="357">
        <f t="shared" si="54"/>
        <v>1865.7077822064</v>
      </c>
      <c r="K260" s="357">
        <f t="shared" si="54"/>
        <v>1853.44264823875</v>
      </c>
      <c r="L260" s="357">
        <f t="shared" si="54"/>
        <v>1837.99063279705</v>
      </c>
      <c r="M260" s="357">
        <f t="shared" si="54"/>
        <v>1947.50796745862</v>
      </c>
      <c r="N260" s="357">
        <f t="shared" si="54"/>
        <v>1880.53757601296</v>
      </c>
      <c r="O260" s="357">
        <f t="shared" si="54"/>
        <v>1844.31001254159</v>
      </c>
      <c r="P260" s="357">
        <f t="shared" si="54"/>
        <v>1909.89672747448</v>
      </c>
      <c r="Q260" s="358">
        <f t="shared" si="54"/>
        <v>22346.2012166144</v>
      </c>
      <c r="R260" s="357"/>
    </row>
    <row r="261" spans="1:19">
      <c r="F261" s="278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57"/>
    </row>
    <row r="262" s="244" customFormat="1" spans="1:19">
      <c r="A262" s="340"/>
      <c r="B262" s="298"/>
      <c r="C262" s="298"/>
      <c r="D262" s="359" t="s">
        <v>202</v>
      </c>
      <c r="E262" s="357">
        <v>1779.7048</v>
      </c>
      <c r="F262" s="357">
        <v>1859.22363703756</v>
      </c>
      <c r="G262" s="357">
        <v>1854.65265463509</v>
      </c>
      <c r="H262" s="357">
        <v>1814.94434265278</v>
      </c>
      <c r="I262" s="357">
        <v>1892.85080555913</v>
      </c>
      <c r="J262" s="357">
        <v>1865.7077822064</v>
      </c>
      <c r="K262" s="357">
        <v>1853.44264823875</v>
      </c>
      <c r="L262" s="357">
        <v>1837.99063279705</v>
      </c>
      <c r="M262" s="357">
        <v>1947.50796745862</v>
      </c>
      <c r="N262" s="357">
        <v>1880.53757601296</v>
      </c>
      <c r="O262" s="357">
        <v>1844.31001254159</v>
      </c>
      <c r="P262" s="357">
        <v>1909.89672747448</v>
      </c>
      <c r="Q262" s="358">
        <f>+Q234+Q253</f>
        <v>22305.7594682992</v>
      </c>
      <c r="R262" s="357"/>
    </row>
    <row r="263" spans="1:19">
      <c r="D263" s="121" t="s">
        <v>203</v>
      </c>
      <c r="E263" s="357">
        <f t="shared" ref="E263:Q263" si="55">+E262-E260</f>
        <v>-5.43162999999936</v>
      </c>
      <c r="F263" s="357">
        <f t="shared" si="55"/>
        <v>0</v>
      </c>
      <c r="G263" s="357">
        <f t="shared" si="55"/>
        <v>0</v>
      </c>
      <c r="H263" s="357">
        <f t="shared" si="55"/>
        <v>0</v>
      </c>
      <c r="I263" s="357">
        <f t="shared" si="55"/>
        <v>0</v>
      </c>
      <c r="J263" s="357">
        <f t="shared" si="55"/>
        <v>0</v>
      </c>
      <c r="K263" s="357">
        <f t="shared" si="55"/>
        <v>0</v>
      </c>
      <c r="L263" s="357">
        <f t="shared" si="55"/>
        <v>0</v>
      </c>
      <c r="M263" s="357">
        <f t="shared" si="55"/>
        <v>0</v>
      </c>
      <c r="N263" s="357">
        <f t="shared" si="55"/>
        <v>0</v>
      </c>
      <c r="O263" s="357">
        <f t="shared" si="55"/>
        <v>0</v>
      </c>
      <c r="P263" s="357">
        <f t="shared" si="55"/>
        <v>0</v>
      </c>
      <c r="Q263" s="358">
        <f t="shared" si="55"/>
        <v>-40.4417483151701</v>
      </c>
      <c r="R263" s="357"/>
    </row>
    <row r="265" spans="1:19">
      <c r="E265" s="297"/>
      <c r="F265" s="278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</row>
    <row r="266" s="244" customFormat="1" spans="1:19">
      <c r="A266" s="340"/>
      <c r="B266" s="298"/>
      <c r="C266" s="298"/>
      <c r="D266" s="29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8"/>
      <c r="O266" s="278"/>
      <c r="P266" s="278"/>
      <c r="Q266" s="297"/>
      <c r="R266" s="278"/>
    </row>
    <row r="267" s="246" customFormat="1" spans="1:19">
      <c r="A267" s="245"/>
      <c r="B267"/>
      <c r="C267"/>
      <c r="D267"/>
      <c r="E267" s="361"/>
      <c r="F267" s="278"/>
      <c r="G267" s="278"/>
      <c r="S267" s="249"/>
    </row>
    <row r="268" s="246" customFormat="1" spans="1:19">
      <c r="A268" s="245"/>
      <c r="B268"/>
      <c r="C268"/>
      <c r="D268"/>
      <c r="E268" s="297">
        <v>392.902980077011</v>
      </c>
      <c r="F268" s="360">
        <v>386.888914521982</v>
      </c>
      <c r="G268" s="360">
        <v>421.50115401052</v>
      </c>
      <c r="H268" s="297">
        <v>413.139051065561</v>
      </c>
      <c r="I268" s="278">
        <v>424.615636586972</v>
      </c>
      <c r="J268" s="246">
        <v>416.352660885377</v>
      </c>
      <c r="K268" s="246">
        <v>428.120596378994</v>
      </c>
      <c r="L268" s="246">
        <v>429.394352714737</v>
      </c>
      <c r="M268" s="246">
        <v>419.288732575944</v>
      </c>
      <c r="N268" s="246">
        <v>432.68993165504</v>
      </c>
      <c r="O268" s="246">
        <v>423.803394041061</v>
      </c>
      <c r="P268" s="246">
        <v>436.709182558089</v>
      </c>
      <c r="Q268" s="297"/>
      <c r="S268" s="249"/>
    </row>
    <row r="269" s="246" customFormat="1" spans="1:19">
      <c r="A269" s="245"/>
      <c r="B269"/>
      <c r="C269"/>
      <c r="D269"/>
      <c r="F269" s="278">
        <f>F268-F253</f>
        <v>0</v>
      </c>
      <c r="G269" s="278">
        <f t="shared" ref="G269:P269" si="56">G268-G253</f>
        <v>0</v>
      </c>
      <c r="H269" s="278">
        <f t="shared" si="56"/>
        <v>0</v>
      </c>
      <c r="I269" s="278">
        <f t="shared" si="56"/>
        <v>0</v>
      </c>
      <c r="J269" s="278">
        <f t="shared" si="56"/>
        <v>0</v>
      </c>
      <c r="K269" s="278">
        <f t="shared" si="56"/>
        <v>0</v>
      </c>
      <c r="L269" s="278">
        <f t="shared" si="56"/>
        <v>0</v>
      </c>
      <c r="M269" s="278">
        <f t="shared" si="56"/>
        <v>0</v>
      </c>
      <c r="N269" s="278">
        <f t="shared" si="56"/>
        <v>0</v>
      </c>
      <c r="O269" s="278">
        <f t="shared" si="56"/>
        <v>0</v>
      </c>
      <c r="P269" s="278">
        <f t="shared" si="56"/>
        <v>0</v>
      </c>
      <c r="Q269" s="278"/>
      <c r="S269" s="249"/>
    </row>
    <row r="270" s="246" customFormat="1" spans="1:19">
      <c r="A270" s="245"/>
      <c r="B270"/>
      <c r="C270"/>
      <c r="D270"/>
      <c r="E270" s="297"/>
      <c r="F270" s="297"/>
      <c r="G270" s="297"/>
      <c r="H270" s="297"/>
      <c r="S270" s="249"/>
    </row>
    <row r="272" s="246" customFormat="1" spans="1:19">
      <c r="A272" s="245"/>
      <c r="B272"/>
      <c r="C272"/>
      <c r="D272"/>
      <c r="E272" s="297"/>
      <c r="S272" s="249"/>
    </row>
    <row r="274" s="246" customFormat="1" spans="1:19">
      <c r="A274" s="245"/>
      <c r="B274"/>
      <c r="C274"/>
      <c r="D274"/>
      <c r="E274" s="361"/>
      <c r="S274" s="249"/>
    </row>
  </sheetData>
  <autoFilter xmlns:etc="http://www.wps.cn/officeDocument/2017/etCustomData" ref="A1:T253" etc:filterBottomFollowUsedRange="0">
    <extLst/>
  </autoFilter>
  <mergeCells count="1">
    <mergeCell ref="B244:D244"/>
  </mergeCells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Q264"/>
  <sheetViews>
    <sheetView showGridLines="0" zoomScale="70" zoomScaleNormal="70" workbookViewId="0">
      <pane xSplit="4" ySplit="4" topLeftCell="E5" activePane="bottomRight" state="frozen"/>
      <selection/>
      <selection pane="topRight"/>
      <selection pane="bottomLeft"/>
      <selection pane="bottomRight" activeCell="C248" sqref="C248"/>
    </sheetView>
  </sheetViews>
  <sheetFormatPr defaultColWidth="8.77777777777778" defaultRowHeight="14.4"/>
  <cols>
    <col min="1" max="1" width="12.2222222222222" style="245" customWidth="1"/>
    <col min="2" max="2" width="13.8888888888889" customWidth="1"/>
    <col min="3" max="3" width="51.8888888888889" customWidth="1"/>
    <col min="4" max="4" width="50" customWidth="1"/>
    <col min="5" max="5" width="18.3333333333333" style="246" customWidth="1"/>
    <col min="6" max="6" width="13.8888888888889" style="246" customWidth="1"/>
    <col min="7" max="7" width="5.22222222222222" style="247" customWidth="1"/>
    <col min="8" max="8" width="13.8888888888889" style="246" customWidth="1"/>
    <col min="9" max="9" width="14.5555555555556" style="246" customWidth="1"/>
    <col min="10" max="10" width="5.22222222222222" style="247" customWidth="1"/>
    <col min="11" max="11" width="13.8888888888889" style="246" customWidth="1"/>
    <col min="12" max="12" width="14.8888888888889" style="246" customWidth="1"/>
    <col min="13" max="13" width="5.22222222222222" style="248" customWidth="1"/>
    <col min="14" max="14" width="13.8888888888889" style="246" customWidth="1"/>
    <col min="15" max="15" width="14.5555555555556" style="246" customWidth="1"/>
    <col min="16" max="16" width="5.44444444444444" style="249" customWidth="1"/>
    <col min="17" max="17" width="13.8888888888889" style="246" customWidth="1"/>
    <col min="18" max="18" width="15" style="246" customWidth="1"/>
    <col min="19" max="19" width="5.77777777777778" style="249" customWidth="1"/>
    <col min="20" max="20" width="13.8888888888889" style="246" customWidth="1"/>
    <col min="21" max="21" width="15.3333333333333" style="246" customWidth="1"/>
    <col min="22" max="22" width="5.77777777777778" style="249" customWidth="1"/>
    <col min="23" max="23" width="13.8888888888889" style="246" customWidth="1"/>
    <col min="24" max="24" width="14.5555555555556" style="246" customWidth="1"/>
    <col min="25" max="25" width="5.77777777777778" style="249" customWidth="1"/>
    <col min="26" max="26" width="16.3333333333333" style="246" customWidth="1"/>
    <col min="27" max="27" width="17.8888888888889" style="246" customWidth="1"/>
    <col min="28" max="28" width="5.77777777777778" style="249" customWidth="1"/>
    <col min="29" max="29" width="16.3333333333333" style="246" customWidth="1"/>
    <col min="30" max="30" width="17.8888888888889" style="246" customWidth="1"/>
    <col min="31" max="31" width="5.77777777777778" style="249" customWidth="1"/>
    <col min="32" max="32" width="16.3333333333333" style="246" customWidth="1"/>
    <col min="33" max="33" width="17.8888888888889" style="246" customWidth="1"/>
    <col min="34" max="34" width="5.77777777777778" style="249" customWidth="1"/>
    <col min="35" max="35" width="16.3333333333333" style="246" customWidth="1"/>
    <col min="36" max="36" width="17.8888888888889" style="246" customWidth="1"/>
    <col min="37" max="37" width="7.88888888888889" style="248" customWidth="1"/>
    <col min="38" max="38" width="16.3333333333333" style="246" customWidth="1"/>
    <col min="39" max="39" width="17.8888888888889" style="246" customWidth="1"/>
    <col min="40" max="40" width="7.88888888888889" style="248" customWidth="1"/>
    <col min="41" max="41" width="16.3333333333333" style="246" customWidth="1"/>
    <col min="42" max="42" width="17.8888888888889" style="246" customWidth="1"/>
    <col min="43" max="16384" width="8.77777777777778" style="249"/>
  </cols>
  <sheetData>
    <row r="1" s="119" customFormat="1" ht="15" spans="1:43">
      <c r="A1" s="134"/>
      <c r="B1" s="129" t="s">
        <v>14</v>
      </c>
      <c r="C1" s="128"/>
      <c r="D1" s="130" t="s">
        <v>15</v>
      </c>
      <c r="E1" s="250">
        <v>48571</v>
      </c>
      <c r="F1" s="133"/>
      <c r="G1" s="251"/>
      <c r="H1" s="250">
        <v>46033</v>
      </c>
      <c r="I1" s="133"/>
      <c r="J1" s="251"/>
      <c r="K1" s="250">
        <v>46337</v>
      </c>
      <c r="L1" s="133"/>
      <c r="M1" s="252"/>
      <c r="N1" s="250">
        <v>49363</v>
      </c>
      <c r="O1" s="133"/>
      <c r="P1" s="134"/>
      <c r="Q1" s="250">
        <v>53704</v>
      </c>
      <c r="R1" s="133"/>
      <c r="S1" s="134"/>
      <c r="T1" s="250">
        <v>29664</v>
      </c>
      <c r="U1" s="133"/>
      <c r="V1" s="134"/>
      <c r="W1" s="250">
        <v>41857</v>
      </c>
      <c r="X1" s="133"/>
      <c r="Y1" s="134"/>
      <c r="Z1" s="250">
        <v>31977</v>
      </c>
      <c r="AA1" s="133"/>
      <c r="AB1" s="134"/>
      <c r="AC1" s="250">
        <v>28268</v>
      </c>
      <c r="AD1" s="133"/>
      <c r="AE1" s="134"/>
      <c r="AF1" s="250">
        <v>26211</v>
      </c>
      <c r="AG1" s="133"/>
      <c r="AH1" s="134"/>
      <c r="AI1" s="250">
        <v>34024</v>
      </c>
      <c r="AJ1" s="133"/>
      <c r="AK1" s="252"/>
      <c r="AL1" s="250">
        <v>42093</v>
      </c>
      <c r="AM1" s="133"/>
      <c r="AN1" s="252"/>
      <c r="AO1" s="250">
        <f>+E1+H1+K1+N1+Q1+T1+W1+Z1+AC1+AF1+AI1+AL1</f>
        <v>478102</v>
      </c>
      <c r="AP1" s="133"/>
    </row>
    <row r="2" s="119" customFormat="1" spans="1:43">
      <c r="A2" s="134"/>
      <c r="B2" s="128"/>
      <c r="C2" s="128"/>
      <c r="D2" s="130" t="s">
        <v>204</v>
      </c>
      <c r="E2" s="131">
        <v>38.2722360306781</v>
      </c>
      <c r="F2" s="131"/>
      <c r="G2" s="253"/>
      <c r="H2" s="131">
        <v>39.0483751217173</v>
      </c>
      <c r="I2" s="131"/>
      <c r="J2" s="253"/>
      <c r="K2" s="131">
        <v>41.5978689270394</v>
      </c>
      <c r="L2" s="131"/>
      <c r="M2" s="254"/>
      <c r="N2" s="131">
        <v>43.93</v>
      </c>
      <c r="O2" s="131"/>
      <c r="P2" s="136"/>
      <c r="Q2" s="131">
        <f>+Q229</f>
        <v>44.7354183793424</v>
      </c>
      <c r="R2" s="131"/>
      <c r="S2" s="136"/>
      <c r="T2" s="131">
        <f>+T229</f>
        <v>46.4375638601238</v>
      </c>
      <c r="U2" s="131"/>
      <c r="V2" s="136"/>
      <c r="W2" s="131">
        <f>+W229</f>
        <v>45.9698191394824</v>
      </c>
      <c r="X2" s="131"/>
      <c r="Y2" s="136"/>
      <c r="Z2" s="131">
        <f>+Z229</f>
        <v>47.6715028478229</v>
      </c>
      <c r="AA2" s="131"/>
      <c r="AB2" s="136"/>
      <c r="AC2" s="131">
        <f>+AC229</f>
        <v>49.274771229413</v>
      </c>
      <c r="AD2" s="131"/>
      <c r="AE2" s="136"/>
      <c r="AF2" s="131">
        <f>+AF229</f>
        <v>47.3141016101498</v>
      </c>
      <c r="AG2" s="131"/>
      <c r="AH2" s="136"/>
      <c r="AI2" s="131">
        <f>+AI229</f>
        <v>48.0402472543971</v>
      </c>
      <c r="AJ2" s="131"/>
      <c r="AK2" s="254"/>
      <c r="AL2" s="131">
        <f>+AL229</f>
        <v>48.6089332699693</v>
      </c>
      <c r="AM2" s="131"/>
      <c r="AN2" s="254"/>
      <c r="AO2" s="131">
        <f>+AO229</f>
        <v>44.9346809134056</v>
      </c>
      <c r="AP2" s="131"/>
    </row>
    <row r="4" ht="28.8" spans="1:43">
      <c r="A4" s="255" t="s">
        <v>18</v>
      </c>
      <c r="E4" s="139" t="s">
        <v>19</v>
      </c>
      <c r="F4" s="139" t="s">
        <v>205</v>
      </c>
      <c r="H4" s="139" t="s">
        <v>20</v>
      </c>
      <c r="I4" s="139" t="s">
        <v>206</v>
      </c>
      <c r="K4" s="139" t="s">
        <v>21</v>
      </c>
      <c r="L4" s="139" t="s">
        <v>207</v>
      </c>
      <c r="N4" s="139" t="s">
        <v>22</v>
      </c>
      <c r="O4" s="139" t="s">
        <v>208</v>
      </c>
      <c r="Q4" s="139" t="s">
        <v>23</v>
      </c>
      <c r="R4" s="139" t="s">
        <v>209</v>
      </c>
      <c r="T4" s="139" t="s">
        <v>24</v>
      </c>
      <c r="U4" s="139" t="s">
        <v>210</v>
      </c>
      <c r="W4" s="139" t="s">
        <v>25</v>
      </c>
      <c r="X4" s="139" t="s">
        <v>211</v>
      </c>
      <c r="Z4" s="139" t="s">
        <v>26</v>
      </c>
      <c r="AA4" s="139" t="s">
        <v>212</v>
      </c>
      <c r="AC4" s="139" t="s">
        <v>27</v>
      </c>
      <c r="AD4" s="139" t="s">
        <v>213</v>
      </c>
      <c r="AF4" s="139" t="s">
        <v>28</v>
      </c>
      <c r="AG4" s="139" t="s">
        <v>214</v>
      </c>
      <c r="AI4" s="139" t="s">
        <v>29</v>
      </c>
      <c r="AJ4" s="139" t="s">
        <v>215</v>
      </c>
      <c r="AL4" s="139" t="s">
        <v>30</v>
      </c>
      <c r="AM4" s="139" t="s">
        <v>216</v>
      </c>
      <c r="AO4" s="139" t="s">
        <v>31</v>
      </c>
      <c r="AP4" s="139" t="s">
        <v>217</v>
      </c>
    </row>
    <row r="5" outlineLevel="1" spans="1:43">
      <c r="A5" s="245" t="s">
        <v>32</v>
      </c>
      <c r="B5" s="256">
        <v>6666110101</v>
      </c>
      <c r="C5" s="256" t="s">
        <v>33</v>
      </c>
      <c r="D5" s="256" t="s">
        <v>34</v>
      </c>
      <c r="E5" s="257">
        <v>8.58079</v>
      </c>
      <c r="F5" s="258">
        <f>E5/$E$1*1000</f>
        <v>0.176664882337197</v>
      </c>
      <c r="H5" s="259">
        <f>27.05117-18.6560404444444</f>
        <v>8.3951295555556</v>
      </c>
      <c r="I5" s="260">
        <f>H5/$H$1*1000</f>
        <v>0.182371984349393</v>
      </c>
      <c r="K5" s="259">
        <f>29.88156-21.3282004444444</f>
        <v>8.5533595555556</v>
      </c>
      <c r="L5" s="260">
        <f>K5/$K$1*1000</f>
        <v>0.184590274630546</v>
      </c>
      <c r="N5" s="259">
        <f>28.96203-20.445</f>
        <v>8.51703</v>
      </c>
      <c r="O5" s="260">
        <f>N5/$N$1*1000</f>
        <v>0.17253874359338</v>
      </c>
      <c r="Q5" s="259">
        <f>30.08167-21.15308</f>
        <v>8.92859</v>
      </c>
      <c r="R5" s="260">
        <f>Q5/$Q$1*1000</f>
        <v>0.166255586176076</v>
      </c>
      <c r="T5" s="259">
        <f>29.67008-T235</f>
        <v>8.93354255142986</v>
      </c>
      <c r="U5" s="260">
        <f>T5/$T$1*1000</f>
        <v>0.301157718157695</v>
      </c>
      <c r="W5" s="259">
        <f>30.71618-W235</f>
        <v>9.04416036491534</v>
      </c>
      <c r="X5" s="260">
        <f>W5/$W$1*1000</f>
        <v>0.216072828079302</v>
      </c>
      <c r="Z5" s="259">
        <f>30.72552-Z235</f>
        <v>8.98829028906297</v>
      </c>
      <c r="AA5" s="260">
        <f>Z5/$Z$1*1000</f>
        <v>0.281086102169152</v>
      </c>
      <c r="AC5" s="259">
        <f>31.25161-AC235</f>
        <v>9.43073</v>
      </c>
      <c r="AD5" s="260">
        <f>AC5/$AC$1*1000</f>
        <v>0.333618579312296</v>
      </c>
      <c r="AF5" s="259">
        <f>32.26937-AF235</f>
        <v>9.69996904391752</v>
      </c>
      <c r="AG5" s="260">
        <f>AF5/$AF$1*1000</f>
        <v>0.37007245217342</v>
      </c>
      <c r="AI5" s="143">
        <f>31.25416-AI235</f>
        <v>9.3732236414213</v>
      </c>
      <c r="AJ5" s="260">
        <f>AI5/$AI$1*1000</f>
        <v>0.275488585745982</v>
      </c>
      <c r="AL5" s="143">
        <f>32.52616-AL235</f>
        <v>9.70322551356327</v>
      </c>
      <c r="AM5" s="260">
        <f>AL5/$AL$1*1000</f>
        <v>0.230518744531473</v>
      </c>
      <c r="AO5" s="259">
        <f>H5+E5+K5+N5+Q5+T5+W5+Z5+AC5+AF5+AI5+AL5</f>
        <v>108.148040515421</v>
      </c>
      <c r="AP5" s="260">
        <f>AO5/$AO$1*1000</f>
        <v>0.226202861555529</v>
      </c>
      <c r="AQ5" s="261"/>
    </row>
    <row r="6" outlineLevel="1" spans="1:43">
      <c r="A6" s="245" t="s">
        <v>32</v>
      </c>
      <c r="B6" s="256">
        <v>6666110106</v>
      </c>
      <c r="C6" s="256" t="s">
        <v>35</v>
      </c>
      <c r="D6" s="256" t="s">
        <v>34</v>
      </c>
      <c r="E6" s="257">
        <v>0</v>
      </c>
      <c r="F6" s="258">
        <f t="shared" ref="F6:F74" si="0">E6/$E$1*1000</f>
        <v>0</v>
      </c>
      <c r="H6" s="259">
        <v>0</v>
      </c>
      <c r="I6" s="260">
        <f t="shared" ref="I6:I77" si="1">H6/$H$1*1000</f>
        <v>0</v>
      </c>
      <c r="K6" s="259">
        <v>0</v>
      </c>
      <c r="L6" s="260">
        <f t="shared" ref="L6:L77" si="2">K6/$K$1*1000</f>
        <v>0</v>
      </c>
      <c r="N6" s="259">
        <v>0</v>
      </c>
      <c r="O6" s="260">
        <f t="shared" ref="O6:O77" si="3">N6/$N$1*1000</f>
        <v>0</v>
      </c>
      <c r="Q6" s="259">
        <v>0</v>
      </c>
      <c r="R6" s="260">
        <f t="shared" ref="R6:R77" si="4">Q6/$Q$1*1000</f>
        <v>0</v>
      </c>
      <c r="T6" s="259">
        <v>0</v>
      </c>
      <c r="U6" s="260">
        <f t="shared" ref="U6:U77" si="5">T6/$T$1*1000</f>
        <v>0</v>
      </c>
      <c r="W6" s="259">
        <v>0</v>
      </c>
      <c r="X6" s="260">
        <f t="shared" ref="X6:X73" si="6">W6/$W$1*1000</f>
        <v>0</v>
      </c>
      <c r="Z6" s="259">
        <v>0</v>
      </c>
      <c r="AA6" s="260">
        <f t="shared" ref="AA6:AA13" si="7">Z6/$Z$1*1000</f>
        <v>0</v>
      </c>
      <c r="AC6" s="259">
        <v>0</v>
      </c>
      <c r="AD6" s="260">
        <f t="shared" ref="AD6:AD72" si="8">AC6/$AC$1*1000</f>
        <v>0</v>
      </c>
      <c r="AF6" s="259">
        <v>0</v>
      </c>
      <c r="AG6" s="260">
        <f t="shared" ref="AG6:AG72" si="9">AF6/$AF$1*1000</f>
        <v>0</v>
      </c>
      <c r="AI6" s="259">
        <v>0</v>
      </c>
      <c r="AJ6" s="260">
        <f t="shared" ref="AJ6:AJ70" si="10">AI6/$AI$1*1000</f>
        <v>0</v>
      </c>
      <c r="AL6" s="259">
        <v>0</v>
      </c>
      <c r="AM6" s="260">
        <f t="shared" ref="AM6:AM71" si="11">AL6/$AL$1*1000</f>
        <v>0</v>
      </c>
      <c r="AO6" s="259">
        <f t="shared" ref="AO6:AO70" si="12">H6+E6+K6+N6+Q6+T6+W6+Z6+AC6+AF6+AI6+AL6</f>
        <v>0</v>
      </c>
      <c r="AP6" s="260">
        <f>AO6/$AO$1*1000</f>
        <v>0</v>
      </c>
      <c r="AQ6" s="261"/>
    </row>
    <row r="7" outlineLevel="1" spans="1:43">
      <c r="A7" s="245" t="s">
        <v>32</v>
      </c>
      <c r="B7" s="256">
        <v>6666110107</v>
      </c>
      <c r="C7" s="256" t="s">
        <v>36</v>
      </c>
      <c r="D7" s="256" t="s">
        <v>34</v>
      </c>
      <c r="E7" s="257">
        <v>90.54188</v>
      </c>
      <c r="F7" s="258">
        <f t="shared" si="0"/>
        <v>1.86411397747627</v>
      </c>
      <c r="H7" s="259">
        <f>208.59611-109.209985777778</f>
        <v>99.386124222222</v>
      </c>
      <c r="I7" s="260">
        <f t="shared" si="1"/>
        <v>2.15901905637743</v>
      </c>
      <c r="K7" s="259">
        <f>222.76497-119.675125777778</f>
        <v>103.089844222222</v>
      </c>
      <c r="L7" s="260">
        <f t="shared" si="2"/>
        <v>2.22478460457565</v>
      </c>
      <c r="N7" s="259">
        <f>221.08877-117.086</f>
        <v>104.00277</v>
      </c>
      <c r="O7" s="260">
        <f t="shared" si="3"/>
        <v>2.10689727123554</v>
      </c>
      <c r="Q7" s="259">
        <f>230.92979-126.57762</f>
        <v>104.35217</v>
      </c>
      <c r="R7" s="260">
        <f t="shared" si="4"/>
        <v>1.94309865186951</v>
      </c>
      <c r="T7" s="259">
        <f>226.52287-T237</f>
        <v>98.204950480003</v>
      </c>
      <c r="U7" s="260">
        <f t="shared" si="5"/>
        <v>3.31057680960096</v>
      </c>
      <c r="W7" s="259">
        <f>232.94505-W237</f>
        <v>98.4502401907052</v>
      </c>
      <c r="X7" s="260">
        <f t="shared" si="6"/>
        <v>2.35206154742827</v>
      </c>
      <c r="Z7" s="259">
        <f>233.08123-Z237</f>
        <v>97.3334632896968</v>
      </c>
      <c r="AA7" s="260">
        <f t="shared" si="7"/>
        <v>3.04385850110069</v>
      </c>
      <c r="AC7" s="259">
        <f>229.28602-AC237</f>
        <v>94.49625</v>
      </c>
      <c r="AD7" s="260">
        <f t="shared" si="8"/>
        <v>3.34287002971558</v>
      </c>
      <c r="AF7" s="259">
        <f>118.01548-AF237</f>
        <v>74.032201948196</v>
      </c>
      <c r="AG7" s="260">
        <f t="shared" si="9"/>
        <v>2.82447071642425</v>
      </c>
      <c r="AI7" s="259">
        <f>219.16417-AI237</f>
        <v>92.9298180843842</v>
      </c>
      <c r="AJ7" s="260">
        <f t="shared" si="10"/>
        <v>2.73130196580015</v>
      </c>
      <c r="AL7" s="259">
        <f>223.42017-AL237</f>
        <v>92.9371528632464</v>
      </c>
      <c r="AM7" s="260">
        <f t="shared" si="11"/>
        <v>2.20790043150278</v>
      </c>
      <c r="AO7" s="259">
        <f t="shared" si="12"/>
        <v>1149.75686530068</v>
      </c>
      <c r="AP7" s="260">
        <f t="shared" ref="AP7:AP77" si="13">AO7/$AO$1*1000</f>
        <v>2.40483592476224</v>
      </c>
      <c r="AQ7" s="261"/>
    </row>
    <row r="8" outlineLevel="1" spans="1:43">
      <c r="A8" s="245" t="s">
        <v>32</v>
      </c>
      <c r="B8" s="256">
        <v>6666110110</v>
      </c>
      <c r="C8" s="256" t="s">
        <v>37</v>
      </c>
      <c r="D8" s="256" t="s">
        <v>34</v>
      </c>
      <c r="E8" s="257">
        <v>62.82441</v>
      </c>
      <c r="F8" s="258">
        <f t="shared" si="0"/>
        <v>1.29345514813366</v>
      </c>
      <c r="H8" s="259">
        <f>261.00381-198.482281111111</f>
        <v>62.521528888889</v>
      </c>
      <c r="I8" s="260">
        <f t="shared" si="1"/>
        <v>1.35818931829099</v>
      </c>
      <c r="K8" s="259">
        <f>290.93886-225.680081111111</f>
        <v>65.258778888889</v>
      </c>
      <c r="L8" s="260">
        <f t="shared" si="2"/>
        <v>1.40835140144785</v>
      </c>
      <c r="N8" s="259">
        <f>284.06253-216.6537</f>
        <v>67.40883</v>
      </c>
      <c r="O8" s="260">
        <f t="shared" si="3"/>
        <v>1.36557401292466</v>
      </c>
      <c r="Q8" s="259">
        <f>299.32499-228.57031</f>
        <v>70.75468</v>
      </c>
      <c r="R8" s="260">
        <f t="shared" si="4"/>
        <v>1.31749366900045</v>
      </c>
      <c r="T8" s="259">
        <f>288.81974-T238</f>
        <v>66.0243950943211</v>
      </c>
      <c r="U8" s="260">
        <f t="shared" si="5"/>
        <v>2.22574147432312</v>
      </c>
      <c r="W8" s="259">
        <f>297.80019-W238</f>
        <v>65.6130571707089</v>
      </c>
      <c r="X8" s="260">
        <f t="shared" si="6"/>
        <v>1.56755279094796</v>
      </c>
      <c r="Z8" s="259">
        <f>297.85265-Z238</f>
        <v>64.7159155472934</v>
      </c>
      <c r="AA8" s="260">
        <f t="shared" si="7"/>
        <v>2.02382698649946</v>
      </c>
      <c r="AC8" s="259">
        <f>291.39958-AC238</f>
        <v>63.49677</v>
      </c>
      <c r="AD8" s="260">
        <f t="shared" si="8"/>
        <v>2.24624204046979</v>
      </c>
      <c r="AF8" s="259">
        <f>207.60475-AF238</f>
        <v>39.993225042102</v>
      </c>
      <c r="AG8" s="260">
        <f t="shared" si="9"/>
        <v>1.52581836031063</v>
      </c>
      <c r="AI8" s="259">
        <f>283.72663-AI238</f>
        <v>61.6710350035589</v>
      </c>
      <c r="AJ8" s="260">
        <f t="shared" si="10"/>
        <v>1.8125745063355</v>
      </c>
      <c r="AL8" s="259">
        <f>294.42037-AL238</f>
        <v>63.391044587098</v>
      </c>
      <c r="AM8" s="260">
        <f t="shared" si="11"/>
        <v>1.50597592443157</v>
      </c>
      <c r="AO8" s="259">
        <f t="shared" si="12"/>
        <v>753.67367022286</v>
      </c>
      <c r="AP8" s="260">
        <f t="shared" si="13"/>
        <v>1.5763867756731</v>
      </c>
      <c r="AQ8" s="261"/>
    </row>
    <row r="9" outlineLevel="1" spans="1:43">
      <c r="A9" s="245" t="s">
        <v>32</v>
      </c>
      <c r="B9" s="256">
        <v>6666110112</v>
      </c>
      <c r="C9" s="256" t="s">
        <v>38</v>
      </c>
      <c r="D9" s="256" t="s">
        <v>34</v>
      </c>
      <c r="E9" s="257">
        <v>3.19741</v>
      </c>
      <c r="F9" s="258">
        <f t="shared" si="0"/>
        <v>0.065829610261267</v>
      </c>
      <c r="H9" s="259">
        <f>6.81703-3.61013311111111</f>
        <v>3.20689688888889</v>
      </c>
      <c r="I9" s="260">
        <f t="shared" si="1"/>
        <v>0.0696651725694369</v>
      </c>
      <c r="K9" s="259">
        <f>8.46919-4.13525311111111</f>
        <v>4.33393688888889</v>
      </c>
      <c r="L9" s="260">
        <f t="shared" si="2"/>
        <v>0.093530804516669</v>
      </c>
      <c r="N9" s="259">
        <f>8.46194-3.8942</f>
        <v>4.56774</v>
      </c>
      <c r="O9" s="260">
        <f t="shared" si="3"/>
        <v>0.0925336790713693</v>
      </c>
      <c r="Q9" s="259">
        <f>11.26201-5.21228</f>
        <v>6.04973</v>
      </c>
      <c r="R9" s="260">
        <f t="shared" si="4"/>
        <v>0.112649523312975</v>
      </c>
      <c r="T9" s="259">
        <f>11.52002-T239</f>
        <v>6.15887186377387</v>
      </c>
      <c r="U9" s="260">
        <f t="shared" si="5"/>
        <v>0.207621084943833</v>
      </c>
      <c r="W9" s="259">
        <f>11.70987-W239</f>
        <v>6.02468071780519</v>
      </c>
      <c r="X9" s="260">
        <f t="shared" si="6"/>
        <v>0.143934842865117</v>
      </c>
      <c r="Z9" s="259">
        <f>11.77284-Z239</f>
        <v>5.46106327083285</v>
      </c>
      <c r="AA9" s="260">
        <f t="shared" si="7"/>
        <v>0.170780976040055</v>
      </c>
      <c r="AC9" s="259">
        <f>9.89618-AC239</f>
        <v>4.84602</v>
      </c>
      <c r="AD9" s="260">
        <f t="shared" si="8"/>
        <v>0.171431300410358</v>
      </c>
      <c r="AF9" s="259">
        <f>9.79722-AF239</f>
        <v>5.06337138465773</v>
      </c>
      <c r="AG9" s="260">
        <f t="shared" si="9"/>
        <v>0.193177344804003</v>
      </c>
      <c r="AI9" s="259">
        <f>10.12633-AI239</f>
        <v>5.06876012812227</v>
      </c>
      <c r="AJ9" s="260">
        <f t="shared" si="10"/>
        <v>0.14897602069487</v>
      </c>
      <c r="AL9" s="259">
        <f>8.94347-AL239</f>
        <v>4.31079404506749</v>
      </c>
      <c r="AM9" s="260">
        <f t="shared" si="11"/>
        <v>0.102411185828225</v>
      </c>
      <c r="AO9" s="259">
        <f t="shared" si="12"/>
        <v>58.2892751880372</v>
      </c>
      <c r="AP9" s="260">
        <f t="shared" si="13"/>
        <v>0.121918074360779</v>
      </c>
      <c r="AQ9" s="261"/>
    </row>
    <row r="10" outlineLevel="1" spans="1:43">
      <c r="A10" s="245" t="s">
        <v>32</v>
      </c>
      <c r="B10" s="256">
        <v>6666110204</v>
      </c>
      <c r="C10" s="256" t="s">
        <v>39</v>
      </c>
      <c r="D10" s="256" t="s">
        <v>34</v>
      </c>
      <c r="E10" s="257">
        <v>0.00252000000000002</v>
      </c>
      <c r="F10" s="258">
        <f t="shared" si="0"/>
        <v>5.18828107306834e-5</v>
      </c>
      <c r="H10" s="259">
        <f>0.25251--0.0561566666666667</f>
        <v>0.308666666666667</v>
      </c>
      <c r="I10" s="260">
        <f t="shared" si="1"/>
        <v>0.00670533457881665</v>
      </c>
      <c r="K10" s="259">
        <f>0.25252-0.0561666666666667</f>
        <v>0.196353333333333</v>
      </c>
      <c r="L10" s="260">
        <f t="shared" si="2"/>
        <v>0.00423750638438685</v>
      </c>
      <c r="N10" s="259">
        <f>0.25252-0.0562</f>
        <v>0.19632</v>
      </c>
      <c r="O10" s="260">
        <f t="shared" si="3"/>
        <v>0.00397706784433685</v>
      </c>
      <c r="Q10" s="259">
        <f>0.25251-(50.73/1000)</f>
        <v>0.20178</v>
      </c>
      <c r="R10" s="260">
        <f t="shared" si="4"/>
        <v>0.00375726202889915</v>
      </c>
      <c r="T10" s="259">
        <f>0.25252-T240</f>
        <v>0.194474503833179</v>
      </c>
      <c r="U10" s="260">
        <f t="shared" si="5"/>
        <v>0.00655590964917675</v>
      </c>
      <c r="W10" s="259">
        <f>0.25252-W240</f>
        <v>0.188063894771569</v>
      </c>
      <c r="X10" s="260">
        <f t="shared" si="6"/>
        <v>0.00449300940754399</v>
      </c>
      <c r="Z10" s="259">
        <f>0.25251-Z240</f>
        <v>0.18602560512692</v>
      </c>
      <c r="AA10" s="260">
        <f t="shared" si="7"/>
        <v>0.00581748147502644</v>
      </c>
      <c r="AC10" s="259">
        <f>0.25252-AC240</f>
        <v>0.18222</v>
      </c>
      <c r="AD10" s="260">
        <f t="shared" si="8"/>
        <v>0.0064461582000849</v>
      </c>
      <c r="AF10" s="259">
        <f>0.25252-AF240</f>
        <v>0.181510233176321</v>
      </c>
      <c r="AG10" s="260">
        <f t="shared" si="9"/>
        <v>0.00692496406761746</v>
      </c>
      <c r="AI10" s="259">
        <f>0.25251-AI240</f>
        <v>0.180727253389186</v>
      </c>
      <c r="AJ10" s="260">
        <f t="shared" si="10"/>
        <v>0.00531175797640447</v>
      </c>
      <c r="AL10" s="259">
        <f>0.25252-AL240</f>
        <v>0.176825863776904</v>
      </c>
      <c r="AM10" s="260">
        <f t="shared" si="11"/>
        <v>0.00420083775869869</v>
      </c>
      <c r="AO10" s="259">
        <f t="shared" si="12"/>
        <v>2.19548735407408</v>
      </c>
      <c r="AP10" s="260">
        <f t="shared" si="13"/>
        <v>0.00459208987637383</v>
      </c>
      <c r="AQ10" s="261"/>
    </row>
    <row r="11" outlineLevel="1" spans="1:43">
      <c r="A11" s="245" t="s">
        <v>32</v>
      </c>
      <c r="B11" s="256">
        <v>6666110207</v>
      </c>
      <c r="C11" s="256" t="s">
        <v>40</v>
      </c>
      <c r="D11" s="256" t="s">
        <v>34</v>
      </c>
      <c r="E11" s="257">
        <v>3.61797</v>
      </c>
      <c r="F11" s="258">
        <f t="shared" si="0"/>
        <v>0.0744882748965432</v>
      </c>
      <c r="H11" s="259">
        <f>7.67016-4.05927644444445</f>
        <v>3.61088355555555</v>
      </c>
      <c r="I11" s="260">
        <f t="shared" si="1"/>
        <v>0.078441195567431</v>
      </c>
      <c r="K11" s="259">
        <f>8.28781-4.67692644444444</f>
        <v>3.61088355555556</v>
      </c>
      <c r="L11" s="260">
        <f t="shared" si="2"/>
        <v>0.0779265717581104</v>
      </c>
      <c r="N11" s="259">
        <f>6.89599-3.2851</f>
        <v>3.61089</v>
      </c>
      <c r="O11" s="260">
        <f t="shared" si="3"/>
        <v>0.0731497275287158</v>
      </c>
      <c r="Q11" s="259">
        <f>6.78395-(3308.9/1000)</f>
        <v>3.47505</v>
      </c>
      <c r="R11" s="260">
        <f t="shared" si="4"/>
        <v>0.0647074705794727</v>
      </c>
      <c r="T11" s="259">
        <f>6.30245-T241</f>
        <v>3.05081544993307</v>
      </c>
      <c r="U11" s="260">
        <f t="shared" si="5"/>
        <v>0.102845720399577</v>
      </c>
      <c r="W11" s="259">
        <f>4.61586-W241</f>
        <v>2.8164364085264</v>
      </c>
      <c r="X11" s="260">
        <f t="shared" si="6"/>
        <v>0.0672871063030412</v>
      </c>
      <c r="Z11" s="259">
        <f>2.82269-Z241</f>
        <v>2.04400431173326</v>
      </c>
      <c r="AA11" s="260">
        <f t="shared" si="7"/>
        <v>0.0639210780164888</v>
      </c>
      <c r="AC11" s="259">
        <f>2.28113-AC241</f>
        <v>1.19932</v>
      </c>
      <c r="AD11" s="260">
        <f t="shared" si="8"/>
        <v>0.0424267723220603</v>
      </c>
      <c r="AF11" s="259">
        <f>2.34755-AF241</f>
        <v>1.23464263484518</v>
      </c>
      <c r="AG11" s="260">
        <f t="shared" si="9"/>
        <v>0.0471039882051498</v>
      </c>
      <c r="AI11" s="259">
        <f>2.31588-AI241</f>
        <v>1.21582956302617</v>
      </c>
      <c r="AJ11" s="260">
        <f t="shared" si="10"/>
        <v>0.035734468699335</v>
      </c>
      <c r="AL11" s="259">
        <f>2.35319-AL241</f>
        <v>1.14396401805101</v>
      </c>
      <c r="AM11" s="260">
        <f t="shared" si="11"/>
        <v>0.0271770607476543</v>
      </c>
      <c r="AO11" s="259">
        <f t="shared" si="12"/>
        <v>30.6306894972262</v>
      </c>
      <c r="AP11" s="260">
        <f t="shared" si="13"/>
        <v>0.0640672691125036</v>
      </c>
      <c r="AQ11" s="261"/>
    </row>
    <row r="12" outlineLevel="1" spans="1:43">
      <c r="A12" s="245" t="s">
        <v>32</v>
      </c>
      <c r="B12" s="256">
        <v>6666110506</v>
      </c>
      <c r="C12" s="256" t="s">
        <v>41</v>
      </c>
      <c r="D12" s="256" t="s">
        <v>34</v>
      </c>
      <c r="E12" s="257">
        <v>0.91407</v>
      </c>
      <c r="F12" s="258">
        <f t="shared" si="0"/>
        <v>0.0188192542875378</v>
      </c>
      <c r="H12" s="259">
        <f>0.91407-0.250798</f>
        <v>0.663272</v>
      </c>
      <c r="I12" s="260">
        <f t="shared" si="1"/>
        <v>0.014408619903113</v>
      </c>
      <c r="K12" s="259">
        <f>0.91407-0.250798</f>
        <v>0.663272</v>
      </c>
      <c r="L12" s="260">
        <f t="shared" si="2"/>
        <v>0.0143140902518506</v>
      </c>
      <c r="N12" s="259">
        <f>0.91407-0.2508</f>
        <v>0.66327</v>
      </c>
      <c r="O12" s="260">
        <f t="shared" si="3"/>
        <v>0.0134365820553856</v>
      </c>
      <c r="Q12" s="259">
        <f>0.91407-(232.48/1000)</f>
        <v>0.68159</v>
      </c>
      <c r="R12" s="260">
        <f t="shared" si="4"/>
        <v>0.0126916058394161</v>
      </c>
      <c r="T12" s="259">
        <f>0.91407-T242</f>
        <v>0.656925405424441</v>
      </c>
      <c r="U12" s="260">
        <f t="shared" si="5"/>
        <v>0.022145543602496</v>
      </c>
      <c r="W12" s="259">
        <f>0.91407-W242</f>
        <v>0.635270680132387</v>
      </c>
      <c r="X12" s="260">
        <f t="shared" si="6"/>
        <v>0.0151771670242107</v>
      </c>
      <c r="Z12" s="259">
        <f>0.91408-Z242</f>
        <v>0.62838543695248</v>
      </c>
      <c r="AA12" s="260">
        <f t="shared" si="7"/>
        <v>0.019651169182615</v>
      </c>
      <c r="AC12" s="259">
        <v>0</v>
      </c>
      <c r="AD12" s="260">
        <f t="shared" si="8"/>
        <v>0</v>
      </c>
      <c r="AF12" s="259">
        <v>0</v>
      </c>
      <c r="AG12" s="260">
        <f t="shared" si="9"/>
        <v>0</v>
      </c>
      <c r="AI12" s="259">
        <v>0</v>
      </c>
      <c r="AJ12" s="260">
        <f t="shared" si="10"/>
        <v>0</v>
      </c>
      <c r="AL12" s="259">
        <v>0</v>
      </c>
      <c r="AM12" s="260">
        <f t="shared" si="11"/>
        <v>0</v>
      </c>
      <c r="AO12" s="259">
        <f t="shared" si="12"/>
        <v>5.50605552250931</v>
      </c>
      <c r="AP12" s="260">
        <f t="shared" si="13"/>
        <v>0.0115164871146937</v>
      </c>
      <c r="AQ12" s="261"/>
    </row>
    <row r="13" s="120" customFormat="1" spans="1:43">
      <c r="A13" s="245"/>
      <c r="B13" s="148" t="s">
        <v>42</v>
      </c>
      <c r="C13" s="149" t="s">
        <v>34</v>
      </c>
      <c r="D13" s="150"/>
      <c r="E13" s="151">
        <v>169.67905</v>
      </c>
      <c r="F13" s="152">
        <f t="shared" si="0"/>
        <v>3.49342303020321</v>
      </c>
      <c r="G13" s="247"/>
      <c r="H13" s="262">
        <f>SUM(H5:H12)</f>
        <v>178.092501777778</v>
      </c>
      <c r="I13" s="152">
        <f t="shared" si="1"/>
        <v>3.8688006816366</v>
      </c>
      <c r="J13" s="247"/>
      <c r="K13" s="262">
        <f>SUM(K5:K12)</f>
        <v>185.706428444444</v>
      </c>
      <c r="L13" s="152">
        <f t="shared" si="2"/>
        <v>4.00773525356506</v>
      </c>
      <c r="M13" s="248"/>
      <c r="N13" s="262">
        <f>SUM(N5:N12)</f>
        <v>188.96685</v>
      </c>
      <c r="O13" s="152">
        <f t="shared" si="3"/>
        <v>3.82810708425339</v>
      </c>
      <c r="P13" s="249"/>
      <c r="Q13" s="262">
        <f>SUM(Q5:Q12)</f>
        <v>194.44359</v>
      </c>
      <c r="R13" s="152">
        <f t="shared" si="4"/>
        <v>3.62065376880679</v>
      </c>
      <c r="S13" s="249"/>
      <c r="T13" s="262">
        <f>SUM(T5:T12)</f>
        <v>183.223975348718</v>
      </c>
      <c r="U13" s="152">
        <f t="shared" si="5"/>
        <v>6.17664426067686</v>
      </c>
      <c r="V13" s="249"/>
      <c r="W13" s="262">
        <f>SUM(W5:W12)</f>
        <v>182.771909427565</v>
      </c>
      <c r="X13" s="152">
        <f t="shared" si="6"/>
        <v>4.36657929205545</v>
      </c>
      <c r="Y13" s="249"/>
      <c r="Z13" s="262">
        <f>SUM(Z5:Z12)</f>
        <v>179.357147750699</v>
      </c>
      <c r="AA13" s="152">
        <f t="shared" si="7"/>
        <v>5.60894229448349</v>
      </c>
      <c r="AB13" s="249"/>
      <c r="AC13" s="262">
        <f>SUM(AC5:AC12)</f>
        <v>173.65131</v>
      </c>
      <c r="AD13" s="152">
        <f t="shared" si="8"/>
        <v>6.14303488043017</v>
      </c>
      <c r="AE13" s="249"/>
      <c r="AF13" s="262">
        <f>SUM(AF5:AF12)</f>
        <v>130.204920286895</v>
      </c>
      <c r="AG13" s="152">
        <f t="shared" si="9"/>
        <v>4.96756782598507</v>
      </c>
      <c r="AH13" s="249"/>
      <c r="AI13" s="262">
        <f>SUM(AI5:AI12)</f>
        <v>170.439393673902</v>
      </c>
      <c r="AJ13" s="152">
        <f t="shared" si="10"/>
        <v>5.00938730525224</v>
      </c>
      <c r="AK13" s="248"/>
      <c r="AL13" s="262">
        <f>SUM(AL5:AL12)</f>
        <v>171.663006890803</v>
      </c>
      <c r="AM13" s="152">
        <f t="shared" si="11"/>
        <v>4.0781841848004</v>
      </c>
      <c r="AN13" s="248"/>
      <c r="AO13" s="262">
        <f>SUM(AO5:AO12)</f>
        <v>2108.2000836008</v>
      </c>
      <c r="AP13" s="152">
        <f t="shared" si="13"/>
        <v>4.40951948245521</v>
      </c>
      <c r="AQ13" s="261"/>
    </row>
    <row r="14" outlineLevel="1" spans="1:43">
      <c r="A14" s="245" t="s">
        <v>32</v>
      </c>
      <c r="B14" s="256">
        <v>5001010205</v>
      </c>
      <c r="C14" s="256" t="s">
        <v>43</v>
      </c>
      <c r="D14" s="256" t="s">
        <v>44</v>
      </c>
      <c r="E14" s="257">
        <v>7.24866</v>
      </c>
      <c r="F14" s="258">
        <f t="shared" si="0"/>
        <v>0.149238434456775</v>
      </c>
      <c r="H14" s="259">
        <v>6.31439</v>
      </c>
      <c r="I14" s="260">
        <f t="shared" si="1"/>
        <v>0.137170942584668</v>
      </c>
      <c r="K14" s="259">
        <v>8.11537</v>
      </c>
      <c r="L14" s="260">
        <f t="shared" si="2"/>
        <v>0.175138010661027</v>
      </c>
      <c r="N14" s="259">
        <v>7.33205</v>
      </c>
      <c r="O14" s="260">
        <f t="shared" si="3"/>
        <v>0.148533314425785</v>
      </c>
      <c r="Q14" s="259">
        <v>9.34405</v>
      </c>
      <c r="R14" s="260">
        <f t="shared" si="4"/>
        <v>0.173991695218233</v>
      </c>
      <c r="T14" s="259">
        <v>7.35114</v>
      </c>
      <c r="U14" s="260">
        <f t="shared" si="5"/>
        <v>0.247813511326861</v>
      </c>
      <c r="W14" s="259">
        <v>6.70939</v>
      </c>
      <c r="X14" s="260">
        <f t="shared" si="6"/>
        <v>0.160293140932222</v>
      </c>
      <c r="Z14" s="259">
        <v>4.55939</v>
      </c>
      <c r="AA14" s="260">
        <f t="shared" ref="AA14:AA82" si="14">Z14/$Z$1*1000</f>
        <v>0.142583419332645</v>
      </c>
      <c r="AC14" s="259">
        <v>4.69046</v>
      </c>
      <c r="AD14" s="260">
        <f t="shared" si="8"/>
        <v>0.165928258101033</v>
      </c>
      <c r="AF14" s="259">
        <v>4.86146</v>
      </c>
      <c r="AG14" s="260">
        <f t="shared" si="9"/>
        <v>0.185474037617794</v>
      </c>
      <c r="AI14" s="259">
        <v>7.98073</v>
      </c>
      <c r="AJ14" s="260">
        <f t="shared" si="10"/>
        <v>0.234561779920056</v>
      </c>
      <c r="AL14" s="259">
        <v>8.07355</v>
      </c>
      <c r="AM14" s="260">
        <f t="shared" si="11"/>
        <v>0.191802675029102</v>
      </c>
      <c r="AO14" s="259">
        <f t="shared" si="12"/>
        <v>82.58064</v>
      </c>
      <c r="AP14" s="260">
        <f t="shared" si="13"/>
        <v>0.172725987341613</v>
      </c>
      <c r="AQ14" s="261"/>
    </row>
    <row r="15" outlineLevel="1" spans="1:43">
      <c r="A15" s="245" t="s">
        <v>32</v>
      </c>
      <c r="B15" s="256">
        <v>6666010380</v>
      </c>
      <c r="C15" s="256" t="s">
        <v>45</v>
      </c>
      <c r="D15" s="256" t="s">
        <v>44</v>
      </c>
      <c r="E15" s="257">
        <v>-1.66916</v>
      </c>
      <c r="F15" s="258">
        <f t="shared" si="0"/>
        <v>-0.0343653620473122</v>
      </c>
      <c r="H15" s="259">
        <v>-1.5004</v>
      </c>
      <c r="I15" s="260">
        <f t="shared" si="1"/>
        <v>-0.0325940086459714</v>
      </c>
      <c r="K15" s="259">
        <v>-1.56596</v>
      </c>
      <c r="L15" s="260">
        <f t="shared" si="2"/>
        <v>-0.0337950234154132</v>
      </c>
      <c r="N15" s="259">
        <v>-1.42469</v>
      </c>
      <c r="O15" s="260">
        <f t="shared" si="3"/>
        <v>-0.0288614954520592</v>
      </c>
      <c r="Q15" s="259">
        <v>-0.35328</v>
      </c>
      <c r="R15" s="260">
        <f t="shared" si="4"/>
        <v>-0.00657828094741546</v>
      </c>
      <c r="T15" s="259">
        <v>-1.15203</v>
      </c>
      <c r="U15" s="260">
        <f t="shared" si="5"/>
        <v>-0.0388359627831715</v>
      </c>
      <c r="W15" s="259">
        <v>-1.09401</v>
      </c>
      <c r="X15" s="260">
        <f t="shared" si="6"/>
        <v>-0.0261368468834365</v>
      </c>
      <c r="Z15" s="259">
        <v>-0.95339</v>
      </c>
      <c r="AA15" s="260">
        <f t="shared" si="14"/>
        <v>-0.02981486693561</v>
      </c>
      <c r="AC15" s="259">
        <v>4.29009</v>
      </c>
      <c r="AD15" s="260">
        <f t="shared" si="8"/>
        <v>0.151764893165417</v>
      </c>
      <c r="AF15" s="259">
        <v>4.40298</v>
      </c>
      <c r="AG15" s="260">
        <f t="shared" si="9"/>
        <v>0.167982144900996</v>
      </c>
      <c r="AI15" s="259">
        <v>3.89863</v>
      </c>
      <c r="AJ15" s="260">
        <f t="shared" si="10"/>
        <v>0.114584704914178</v>
      </c>
      <c r="AL15" s="259">
        <v>3.47141</v>
      </c>
      <c r="AM15" s="260">
        <f t="shared" si="11"/>
        <v>0.0824700068895066</v>
      </c>
      <c r="AO15" s="259">
        <f t="shared" si="12"/>
        <v>6.35019</v>
      </c>
      <c r="AP15" s="260">
        <f t="shared" si="13"/>
        <v>0.01328208206617</v>
      </c>
      <c r="AQ15" s="261"/>
    </row>
    <row r="16" outlineLevel="1" spans="1:43">
      <c r="A16" s="245" t="s">
        <v>32</v>
      </c>
      <c r="B16" s="256">
        <v>6666010019</v>
      </c>
      <c r="C16" s="256" t="s">
        <v>46</v>
      </c>
      <c r="D16" s="256" t="s">
        <v>44</v>
      </c>
      <c r="E16" s="257">
        <v>57.92585</v>
      </c>
      <c r="F16" s="258">
        <f t="shared" si="0"/>
        <v>1.19260155236664</v>
      </c>
      <c r="H16" s="259">
        <v>50.47935</v>
      </c>
      <c r="I16" s="260">
        <f t="shared" si="1"/>
        <v>1.09659048943149</v>
      </c>
      <c r="K16" s="259">
        <v>64.9104</v>
      </c>
      <c r="L16" s="260">
        <f t="shared" si="2"/>
        <v>1.40083302760213</v>
      </c>
      <c r="N16" s="259">
        <v>58.63925</v>
      </c>
      <c r="O16" s="260">
        <f t="shared" si="3"/>
        <v>1.18791908919636</v>
      </c>
      <c r="Q16" s="259">
        <v>73.69048</v>
      </c>
      <c r="R16" s="260">
        <f t="shared" si="4"/>
        <v>1.37215998808282</v>
      </c>
      <c r="T16" s="259">
        <v>58.78984</v>
      </c>
      <c r="U16" s="260">
        <f t="shared" si="5"/>
        <v>1.98185814455232</v>
      </c>
      <c r="W16" s="259">
        <v>53.64949</v>
      </c>
      <c r="X16" s="260">
        <f t="shared" si="6"/>
        <v>1.28173280454882</v>
      </c>
      <c r="Z16" s="259">
        <v>36.41908</v>
      </c>
      <c r="AA16" s="260">
        <f t="shared" si="14"/>
        <v>1.13891484504488</v>
      </c>
      <c r="AC16" s="259">
        <v>37.40107</v>
      </c>
      <c r="AD16" s="260">
        <f t="shared" si="8"/>
        <v>1.3230886514787</v>
      </c>
      <c r="AF16" s="259">
        <v>38.74085</v>
      </c>
      <c r="AG16" s="260">
        <f t="shared" si="9"/>
        <v>1.47803784670558</v>
      </c>
      <c r="AI16" s="259">
        <v>63.85492</v>
      </c>
      <c r="AJ16" s="260">
        <f t="shared" si="10"/>
        <v>1.87676110980484</v>
      </c>
      <c r="AL16" s="259">
        <v>64.57704</v>
      </c>
      <c r="AM16" s="260">
        <f t="shared" si="11"/>
        <v>1.53415152163067</v>
      </c>
      <c r="AO16" s="259">
        <f t="shared" si="12"/>
        <v>659.07762</v>
      </c>
      <c r="AP16" s="260">
        <f t="shared" si="13"/>
        <v>1.37852930964522</v>
      </c>
      <c r="AQ16" s="261"/>
    </row>
    <row r="17" outlineLevel="1" spans="1:43">
      <c r="A17" s="245" t="s">
        <v>32</v>
      </c>
      <c r="B17" s="256">
        <v>6666010183</v>
      </c>
      <c r="C17" s="256" t="s">
        <v>47</v>
      </c>
      <c r="D17" s="256" t="s">
        <v>44</v>
      </c>
      <c r="E17" s="257">
        <v>13.55408</v>
      </c>
      <c r="F17" s="258">
        <f t="shared" si="0"/>
        <v>0.279057050503387</v>
      </c>
      <c r="H17" s="259">
        <v>18.85745</v>
      </c>
      <c r="I17" s="260">
        <f t="shared" si="1"/>
        <v>0.409650685377881</v>
      </c>
      <c r="K17" s="259">
        <v>26.26231</v>
      </c>
      <c r="L17" s="260">
        <f t="shared" si="2"/>
        <v>0.566767593931416</v>
      </c>
      <c r="N17" s="259">
        <v>51.24566</v>
      </c>
      <c r="O17" s="260">
        <f t="shared" si="3"/>
        <v>1.03813909203249</v>
      </c>
      <c r="Q17" s="259">
        <v>94.37846</v>
      </c>
      <c r="R17" s="260">
        <f t="shared" si="4"/>
        <v>1.75738231789066</v>
      </c>
      <c r="T17" s="259">
        <v>20.87175</v>
      </c>
      <c r="U17" s="260">
        <f t="shared" si="5"/>
        <v>0.7036053802589</v>
      </c>
      <c r="W17" s="259">
        <v>15.76442</v>
      </c>
      <c r="X17" s="260">
        <f t="shared" si="6"/>
        <v>0.376625654012471</v>
      </c>
      <c r="Z17" s="259">
        <v>11.10426</v>
      </c>
      <c r="AA17" s="260">
        <f t="shared" si="14"/>
        <v>0.347257716483723</v>
      </c>
      <c r="AC17" s="259">
        <v>11.05797</v>
      </c>
      <c r="AD17" s="260">
        <f t="shared" si="8"/>
        <v>0.391183316824678</v>
      </c>
      <c r="AF17" s="259">
        <v>10.29058</v>
      </c>
      <c r="AG17" s="260">
        <f t="shared" si="9"/>
        <v>0.392605394681622</v>
      </c>
      <c r="AI17" s="259">
        <v>24.6245</v>
      </c>
      <c r="AJ17" s="260">
        <f t="shared" si="10"/>
        <v>0.723739125323301</v>
      </c>
      <c r="AL17" s="259">
        <v>19.13579</v>
      </c>
      <c r="AM17" s="260">
        <f t="shared" si="11"/>
        <v>0.454607416910175</v>
      </c>
      <c r="AO17" s="259">
        <f t="shared" si="12"/>
        <v>317.14723</v>
      </c>
      <c r="AP17" s="260">
        <f t="shared" si="13"/>
        <v>0.663346377969555</v>
      </c>
      <c r="AQ17" s="261"/>
    </row>
    <row r="18" outlineLevel="1" spans="1:43">
      <c r="A18" s="245" t="s">
        <v>32</v>
      </c>
      <c r="B18" s="256">
        <v>6666010229</v>
      </c>
      <c r="C18" s="256" t="s">
        <v>48</v>
      </c>
      <c r="D18" s="256" t="s">
        <v>44</v>
      </c>
      <c r="E18" s="257">
        <v>31.74454</v>
      </c>
      <c r="F18" s="258">
        <f t="shared" si="0"/>
        <v>0.653569825616108</v>
      </c>
      <c r="H18" s="259">
        <v>-40.04254</v>
      </c>
      <c r="I18" s="260">
        <f t="shared" si="1"/>
        <v>-0.869865965720244</v>
      </c>
      <c r="K18" s="259">
        <v>11.24318</v>
      </c>
      <c r="L18" s="260">
        <f t="shared" si="2"/>
        <v>0.242639359475149</v>
      </c>
      <c r="N18" s="259">
        <v>10.77437</v>
      </c>
      <c r="O18" s="260">
        <f t="shared" si="3"/>
        <v>0.218268136053319</v>
      </c>
      <c r="Q18" s="259">
        <v>10.89326</v>
      </c>
      <c r="R18" s="260">
        <f t="shared" si="4"/>
        <v>0.20283889468196</v>
      </c>
      <c r="T18" s="259">
        <v>11.22168</v>
      </c>
      <c r="U18" s="260">
        <f t="shared" si="5"/>
        <v>0.3782928802589</v>
      </c>
      <c r="W18" s="259">
        <v>23.15531</v>
      </c>
      <c r="X18" s="260">
        <f t="shared" si="6"/>
        <v>0.553200420479251</v>
      </c>
      <c r="Z18" s="259">
        <v>7.05833</v>
      </c>
      <c r="AA18" s="260">
        <f t="shared" si="14"/>
        <v>0.220731463239203</v>
      </c>
      <c r="AC18" s="259">
        <v>7.16637</v>
      </c>
      <c r="AD18" s="260">
        <f t="shared" si="8"/>
        <v>0.253515282298005</v>
      </c>
      <c r="AF18" s="259">
        <v>7.24789</v>
      </c>
      <c r="AG18" s="260">
        <f t="shared" si="9"/>
        <v>0.276520926328641</v>
      </c>
      <c r="AI18" s="259">
        <v>13.57379</v>
      </c>
      <c r="AJ18" s="260">
        <f t="shared" si="10"/>
        <v>0.398947507641665</v>
      </c>
      <c r="AL18" s="259">
        <v>14.07397</v>
      </c>
      <c r="AM18" s="260">
        <f t="shared" si="11"/>
        <v>0.334354168151474</v>
      </c>
      <c r="AO18" s="259">
        <f t="shared" si="12"/>
        <v>108.11015</v>
      </c>
      <c r="AP18" s="260">
        <f t="shared" si="13"/>
        <v>0.226123609606318</v>
      </c>
      <c r="AQ18" s="261"/>
    </row>
    <row r="19" outlineLevel="1" spans="1:43">
      <c r="A19" s="245" t="s">
        <v>32</v>
      </c>
      <c r="B19" s="256">
        <v>6666010188</v>
      </c>
      <c r="C19" s="256" t="s">
        <v>49</v>
      </c>
      <c r="D19" s="256" t="s">
        <v>44</v>
      </c>
      <c r="E19" s="257">
        <v>362.36537</v>
      </c>
      <c r="F19" s="258">
        <f t="shared" si="0"/>
        <v>7.46052932819995</v>
      </c>
      <c r="H19" s="259">
        <v>309.36539</v>
      </c>
      <c r="I19" s="260">
        <f t="shared" si="1"/>
        <v>6.72051332739556</v>
      </c>
      <c r="K19" s="259">
        <v>408.16624</v>
      </c>
      <c r="L19" s="260">
        <f t="shared" si="2"/>
        <v>8.80864622224141</v>
      </c>
      <c r="N19" s="259">
        <v>342.65633</v>
      </c>
      <c r="O19" s="260">
        <f t="shared" si="3"/>
        <v>6.94156210116889</v>
      </c>
      <c r="Q19" s="259">
        <v>370.23077</v>
      </c>
      <c r="R19" s="260">
        <f t="shared" si="4"/>
        <v>6.89391423357664</v>
      </c>
      <c r="T19" s="259">
        <v>287.47624</v>
      </c>
      <c r="U19" s="260">
        <f t="shared" si="5"/>
        <v>9.69108144552319</v>
      </c>
      <c r="W19" s="259">
        <v>348.43376</v>
      </c>
      <c r="X19" s="260">
        <f t="shared" si="6"/>
        <v>8.32438445182407</v>
      </c>
      <c r="Z19" s="259">
        <v>294.87662</v>
      </c>
      <c r="AA19" s="260">
        <f t="shared" si="14"/>
        <v>9.22152234418488</v>
      </c>
      <c r="AC19" s="259">
        <v>283.45492</v>
      </c>
      <c r="AD19" s="260">
        <f t="shared" si="8"/>
        <v>10.0274133295599</v>
      </c>
      <c r="AF19" s="259">
        <v>316.22481</v>
      </c>
      <c r="AG19" s="260">
        <f t="shared" si="9"/>
        <v>12.064583953302</v>
      </c>
      <c r="AI19" s="259">
        <v>362.38001</v>
      </c>
      <c r="AJ19" s="260">
        <f t="shared" si="10"/>
        <v>10.6507174347519</v>
      </c>
      <c r="AL19" s="259">
        <v>377.54838</v>
      </c>
      <c r="AM19" s="260">
        <f t="shared" si="11"/>
        <v>8.96938635877699</v>
      </c>
      <c r="AO19" s="259">
        <f t="shared" si="12"/>
        <v>4063.17884</v>
      </c>
      <c r="AP19" s="260">
        <f t="shared" si="13"/>
        <v>8.4985606418714</v>
      </c>
      <c r="AQ19" s="261"/>
    </row>
    <row r="20" s="121" customFormat="1" outlineLevel="1" spans="1:43">
      <c r="A20" s="245" t="s">
        <v>32</v>
      </c>
      <c r="B20" s="140">
        <v>5102040406</v>
      </c>
      <c r="C20" s="140" t="s">
        <v>50</v>
      </c>
      <c r="D20" s="140" t="s">
        <v>44</v>
      </c>
      <c r="E20" s="141">
        <v>0</v>
      </c>
      <c r="F20" s="142">
        <f t="shared" si="0"/>
        <v>0</v>
      </c>
      <c r="G20" s="263"/>
      <c r="H20" s="143">
        <v>0</v>
      </c>
      <c r="I20" s="264">
        <f t="shared" si="1"/>
        <v>0</v>
      </c>
      <c r="J20" s="247"/>
      <c r="K20" s="143">
        <v>0</v>
      </c>
      <c r="L20" s="264">
        <f t="shared" si="2"/>
        <v>0</v>
      </c>
      <c r="M20" s="248"/>
      <c r="N20" s="143">
        <v>0</v>
      </c>
      <c r="O20" s="264">
        <f t="shared" si="3"/>
        <v>0</v>
      </c>
      <c r="P20" s="127"/>
      <c r="Q20" s="143">
        <v>0</v>
      </c>
      <c r="R20" s="264">
        <f t="shared" si="4"/>
        <v>0</v>
      </c>
      <c r="S20" s="127"/>
      <c r="T20" s="143">
        <v>0</v>
      </c>
      <c r="U20" s="264">
        <f t="shared" si="5"/>
        <v>0</v>
      </c>
      <c r="V20" s="127"/>
      <c r="W20" s="143">
        <v>0</v>
      </c>
      <c r="X20" s="264">
        <f t="shared" si="6"/>
        <v>0</v>
      </c>
      <c r="Y20" s="127"/>
      <c r="Z20" s="259">
        <v>0</v>
      </c>
      <c r="AA20" s="264">
        <f t="shared" si="14"/>
        <v>0</v>
      </c>
      <c r="AB20" s="127"/>
      <c r="AC20" s="259">
        <v>0</v>
      </c>
      <c r="AD20" s="264">
        <f t="shared" si="8"/>
        <v>0</v>
      </c>
      <c r="AE20" s="127"/>
      <c r="AF20" s="259">
        <v>0</v>
      </c>
      <c r="AG20" s="264">
        <f t="shared" si="9"/>
        <v>0</v>
      </c>
      <c r="AH20" s="127"/>
      <c r="AI20" s="259">
        <v>0</v>
      </c>
      <c r="AJ20" s="264">
        <f t="shared" si="10"/>
        <v>0</v>
      </c>
      <c r="AK20" s="265"/>
      <c r="AL20" s="259">
        <v>0</v>
      </c>
      <c r="AM20" s="264">
        <f t="shared" si="11"/>
        <v>0</v>
      </c>
      <c r="AN20" s="265"/>
      <c r="AO20" s="259">
        <f t="shared" si="12"/>
        <v>0</v>
      </c>
      <c r="AP20" s="264">
        <f t="shared" si="13"/>
        <v>0</v>
      </c>
      <c r="AQ20" s="261"/>
    </row>
    <row r="21" outlineLevel="1" spans="1:43">
      <c r="A21" s="245" t="s">
        <v>32</v>
      </c>
      <c r="B21" s="256">
        <v>6666010115</v>
      </c>
      <c r="C21" s="256" t="s">
        <v>51</v>
      </c>
      <c r="D21" s="256" t="s">
        <v>44</v>
      </c>
      <c r="E21" s="257">
        <v>0.78963</v>
      </c>
      <c r="F21" s="258">
        <f t="shared" si="0"/>
        <v>0.016257231681456</v>
      </c>
      <c r="H21" s="259">
        <v>-0.08295</v>
      </c>
      <c r="I21" s="260">
        <f t="shared" si="1"/>
        <v>-0.00180196815328134</v>
      </c>
      <c r="K21" s="259">
        <v>0.08153</v>
      </c>
      <c r="L21" s="260">
        <f t="shared" si="2"/>
        <v>0.00175950104667976</v>
      </c>
      <c r="N21" s="259">
        <v>-0.12195</v>
      </c>
      <c r="O21" s="260">
        <f t="shared" si="3"/>
        <v>-0.00247047383667929</v>
      </c>
      <c r="Q21" s="259">
        <v>4.82629</v>
      </c>
      <c r="R21" s="260">
        <f t="shared" si="4"/>
        <v>0.0898683524504692</v>
      </c>
      <c r="T21" s="259">
        <v>-2.497</v>
      </c>
      <c r="U21" s="260">
        <f t="shared" si="5"/>
        <v>-0.0841761057173678</v>
      </c>
      <c r="W21" s="259">
        <v>-1.46614</v>
      </c>
      <c r="X21" s="260">
        <f t="shared" si="6"/>
        <v>-0.0350273550421674</v>
      </c>
      <c r="Z21" s="259">
        <v>-1.28806</v>
      </c>
      <c r="AA21" s="260">
        <f t="shared" si="14"/>
        <v>-0.0402808268442943</v>
      </c>
      <c r="AC21" s="259">
        <v>0.75016</v>
      </c>
      <c r="AD21" s="260">
        <f t="shared" si="8"/>
        <v>0.0265374274798359</v>
      </c>
      <c r="AF21" s="259">
        <v>1.48075</v>
      </c>
      <c r="AG21" s="260">
        <f t="shared" si="9"/>
        <v>0.0564934569455572</v>
      </c>
      <c r="AI21" s="259">
        <v>3.04219</v>
      </c>
      <c r="AJ21" s="260">
        <f t="shared" si="10"/>
        <v>0.0894130613684458</v>
      </c>
      <c r="AL21" s="259">
        <v>-60.95212</v>
      </c>
      <c r="AM21" s="260">
        <f t="shared" si="11"/>
        <v>-1.44803459007436</v>
      </c>
      <c r="AO21" s="259">
        <f t="shared" si="12"/>
        <v>-55.43767</v>
      </c>
      <c r="AP21" s="260">
        <f t="shared" si="13"/>
        <v>-0.11595364587473</v>
      </c>
      <c r="AQ21" s="261"/>
    </row>
    <row r="22" s="122" customFormat="1" spans="1:43">
      <c r="A22" s="245"/>
      <c r="B22" s="148" t="s">
        <v>52</v>
      </c>
      <c r="C22" s="149" t="s">
        <v>44</v>
      </c>
      <c r="D22" s="150"/>
      <c r="E22" s="151">
        <v>471.95897</v>
      </c>
      <c r="F22" s="152">
        <f t="shared" si="0"/>
        <v>9.71688806077701</v>
      </c>
      <c r="G22" s="247"/>
      <c r="H22" s="262">
        <f>SUM(H14:H21)</f>
        <v>343.39069</v>
      </c>
      <c r="I22" s="152">
        <f t="shared" si="1"/>
        <v>7.45966350227011</v>
      </c>
      <c r="J22" s="247"/>
      <c r="K22" s="262">
        <f>SUM(K14:K21)</f>
        <v>517.21307</v>
      </c>
      <c r="L22" s="152">
        <f t="shared" si="2"/>
        <v>11.1619886915424</v>
      </c>
      <c r="M22" s="248"/>
      <c r="N22" s="262">
        <f>SUM(N14:N21)</f>
        <v>469.10102</v>
      </c>
      <c r="O22" s="152">
        <f t="shared" si="3"/>
        <v>9.50308976358811</v>
      </c>
      <c r="P22" s="249"/>
      <c r="Q22" s="262">
        <f>SUM(Q14:Q21)</f>
        <v>563.01003</v>
      </c>
      <c r="R22" s="152">
        <f t="shared" si="4"/>
        <v>10.4835772009534</v>
      </c>
      <c r="S22" s="249"/>
      <c r="T22" s="262">
        <f>SUM(T14:T21)</f>
        <v>382.06162</v>
      </c>
      <c r="U22" s="152">
        <f t="shared" si="5"/>
        <v>12.8796392934196</v>
      </c>
      <c r="V22" s="249"/>
      <c r="W22" s="262">
        <f>SUM(W14:W21)</f>
        <v>445.15222</v>
      </c>
      <c r="X22" s="152">
        <f t="shared" si="6"/>
        <v>10.6350722698712</v>
      </c>
      <c r="Y22" s="249"/>
      <c r="Z22" s="262">
        <f>SUM(Z14:Z21)</f>
        <v>351.77623</v>
      </c>
      <c r="AA22" s="152">
        <f t="shared" si="14"/>
        <v>11.0009140945054</v>
      </c>
      <c r="AB22" s="249"/>
      <c r="AC22" s="262">
        <f>SUM(AC14:AC21)</f>
        <v>348.81104</v>
      </c>
      <c r="AD22" s="152">
        <f t="shared" si="8"/>
        <v>12.3394311589076</v>
      </c>
      <c r="AE22" s="249"/>
      <c r="AF22" s="262">
        <f>SUM(AF14:AF21)</f>
        <v>383.24932</v>
      </c>
      <c r="AG22" s="152">
        <f t="shared" si="9"/>
        <v>14.6216977604822</v>
      </c>
      <c r="AH22" s="249"/>
      <c r="AI22" s="262">
        <f>SUM(AI14:AI21)</f>
        <v>479.35477</v>
      </c>
      <c r="AJ22" s="152">
        <f t="shared" si="10"/>
        <v>14.0887247237244</v>
      </c>
      <c r="AK22" s="248"/>
      <c r="AL22" s="262">
        <f>SUM(AL14:AL21)</f>
        <v>425.92802</v>
      </c>
      <c r="AM22" s="152">
        <f t="shared" si="11"/>
        <v>10.1187375573136</v>
      </c>
      <c r="AN22" s="248"/>
      <c r="AO22" s="262">
        <f>SUM(AO14:AO21)</f>
        <v>5181.007</v>
      </c>
      <c r="AP22" s="152">
        <f t="shared" si="13"/>
        <v>10.8366143626255</v>
      </c>
      <c r="AQ22" s="261"/>
    </row>
    <row r="23" outlineLevel="2" spans="1:43">
      <c r="A23" s="245" t="s">
        <v>53</v>
      </c>
      <c r="B23" s="256">
        <v>8701530201</v>
      </c>
      <c r="C23" s="256" t="s">
        <v>54</v>
      </c>
      <c r="D23" s="256" t="s">
        <v>55</v>
      </c>
      <c r="E23" s="257">
        <v>0</v>
      </c>
      <c r="F23" s="258">
        <f t="shared" si="0"/>
        <v>0</v>
      </c>
      <c r="H23" s="259">
        <v>0</v>
      </c>
      <c r="I23" s="260">
        <f t="shared" si="1"/>
        <v>0</v>
      </c>
      <c r="K23" s="259">
        <v>0</v>
      </c>
      <c r="L23" s="260">
        <f t="shared" si="2"/>
        <v>0</v>
      </c>
      <c r="N23" s="259">
        <v>0</v>
      </c>
      <c r="O23" s="260">
        <f t="shared" si="3"/>
        <v>0</v>
      </c>
      <c r="Q23" s="259">
        <v>0</v>
      </c>
      <c r="R23" s="260">
        <f t="shared" si="4"/>
        <v>0</v>
      </c>
      <c r="T23" s="259">
        <v>0</v>
      </c>
      <c r="U23" s="260">
        <f t="shared" si="5"/>
        <v>0</v>
      </c>
      <c r="W23" s="259">
        <v>0</v>
      </c>
      <c r="X23" s="260">
        <f t="shared" si="6"/>
        <v>0</v>
      </c>
      <c r="Z23" s="259"/>
      <c r="AA23" s="260">
        <f t="shared" si="14"/>
        <v>0</v>
      </c>
      <c r="AC23" s="259">
        <v>0</v>
      </c>
      <c r="AD23" s="260">
        <f t="shared" si="8"/>
        <v>0</v>
      </c>
      <c r="AF23" s="259">
        <v>0</v>
      </c>
      <c r="AG23" s="260">
        <f t="shared" si="9"/>
        <v>0</v>
      </c>
      <c r="AI23" s="259">
        <v>0</v>
      </c>
      <c r="AJ23" s="260">
        <f t="shared" si="10"/>
        <v>0</v>
      </c>
      <c r="AL23" s="259">
        <v>0</v>
      </c>
      <c r="AM23" s="260">
        <f t="shared" si="11"/>
        <v>0</v>
      </c>
      <c r="AO23" s="259">
        <f t="shared" si="12"/>
        <v>0</v>
      </c>
      <c r="AP23" s="260">
        <f t="shared" si="13"/>
        <v>0</v>
      </c>
      <c r="AQ23" s="261"/>
    </row>
    <row r="24" outlineLevel="2" spans="1:43">
      <c r="A24" s="245" t="s">
        <v>53</v>
      </c>
      <c r="B24" s="256">
        <v>6666050309</v>
      </c>
      <c r="C24" s="256" t="s">
        <v>56</v>
      </c>
      <c r="D24" s="256" t="s">
        <v>55</v>
      </c>
      <c r="E24" s="257">
        <v>11.07122</v>
      </c>
      <c r="F24" s="258">
        <f t="shared" si="0"/>
        <v>0.227938893578473</v>
      </c>
      <c r="H24" s="259">
        <v>15.19826</v>
      </c>
      <c r="I24" s="260">
        <f t="shared" si="1"/>
        <v>0.330160102535138</v>
      </c>
      <c r="K24" s="259">
        <v>16.14383</v>
      </c>
      <c r="L24" s="260">
        <f t="shared" si="2"/>
        <v>0.348400414355698</v>
      </c>
      <c r="N24" s="259">
        <v>12.85146</v>
      </c>
      <c r="O24" s="260">
        <f t="shared" si="3"/>
        <v>0.260346008143751</v>
      </c>
      <c r="Q24" s="259">
        <v>15.24772</v>
      </c>
      <c r="R24" s="260">
        <f t="shared" si="4"/>
        <v>0.283921495605541</v>
      </c>
      <c r="T24" s="259">
        <v>5.09867</v>
      </c>
      <c r="U24" s="260">
        <f t="shared" si="5"/>
        <v>0.171880730852211</v>
      </c>
      <c r="W24" s="259">
        <v>5.68261</v>
      </c>
      <c r="X24" s="260">
        <f t="shared" si="6"/>
        <v>0.135762477005041</v>
      </c>
      <c r="Z24" s="259">
        <v>4.55538</v>
      </c>
      <c r="AA24" s="260">
        <f t="shared" si="14"/>
        <v>0.142458016699503</v>
      </c>
      <c r="AC24" s="259">
        <v>4.17634</v>
      </c>
      <c r="AD24" s="260">
        <f t="shared" si="8"/>
        <v>0.147740908447715</v>
      </c>
      <c r="AF24" s="259">
        <v>6.77505</v>
      </c>
      <c r="AG24" s="260">
        <f t="shared" si="9"/>
        <v>0.258481172027012</v>
      </c>
      <c r="AI24" s="259">
        <v>6.67286</v>
      </c>
      <c r="AJ24" s="260">
        <f t="shared" si="10"/>
        <v>0.196122149071244</v>
      </c>
      <c r="AL24" s="259">
        <v>20.85026</v>
      </c>
      <c r="AM24" s="260">
        <f t="shared" si="11"/>
        <v>0.495337942175659</v>
      </c>
      <c r="AO24" s="259">
        <f t="shared" si="12"/>
        <v>124.32366</v>
      </c>
      <c r="AP24" s="260">
        <f t="shared" si="13"/>
        <v>0.260035850090566</v>
      </c>
      <c r="AQ24" s="261"/>
    </row>
    <row r="25" outlineLevel="2" spans="1:43">
      <c r="A25" s="245" t="s">
        <v>53</v>
      </c>
      <c r="B25" s="256">
        <v>6666050308</v>
      </c>
      <c r="C25" s="256" t="s">
        <v>57</v>
      </c>
      <c r="D25" s="256" t="s">
        <v>55</v>
      </c>
      <c r="E25" s="257">
        <v>12.13983</v>
      </c>
      <c r="F25" s="258">
        <f t="shared" si="0"/>
        <v>0.249939881822487</v>
      </c>
      <c r="H25" s="259">
        <v>7.13567</v>
      </c>
      <c r="I25" s="260">
        <f t="shared" si="1"/>
        <v>0.155012056568114</v>
      </c>
      <c r="K25" s="259">
        <v>6.75416</v>
      </c>
      <c r="L25" s="260">
        <f t="shared" si="2"/>
        <v>0.145761702311328</v>
      </c>
      <c r="N25" s="259">
        <v>9.48485</v>
      </c>
      <c r="O25" s="260">
        <f t="shared" si="3"/>
        <v>0.19214492636185</v>
      </c>
      <c r="Q25" s="259">
        <v>12.98944</v>
      </c>
      <c r="R25" s="260">
        <f t="shared" si="4"/>
        <v>0.241870996573812</v>
      </c>
      <c r="T25" s="259">
        <v>15.08068</v>
      </c>
      <c r="U25" s="260">
        <f t="shared" si="5"/>
        <v>0.508383225458468</v>
      </c>
      <c r="W25" s="259">
        <v>11.5278</v>
      </c>
      <c r="X25" s="260">
        <f t="shared" si="6"/>
        <v>0.275409131089185</v>
      </c>
      <c r="Z25" s="259">
        <v>12.4678</v>
      </c>
      <c r="AA25" s="260">
        <f t="shared" si="14"/>
        <v>0.38989898989899</v>
      </c>
      <c r="AC25" s="259">
        <v>13.43581</v>
      </c>
      <c r="AD25" s="260">
        <f t="shared" si="8"/>
        <v>0.475301047120419</v>
      </c>
      <c r="AF25" s="259">
        <v>9.35193</v>
      </c>
      <c r="AG25" s="260">
        <f t="shared" si="9"/>
        <v>0.356794094082637</v>
      </c>
      <c r="AI25" s="259">
        <v>10.2868</v>
      </c>
      <c r="AJ25" s="260">
        <f t="shared" si="10"/>
        <v>0.302339525041147</v>
      </c>
      <c r="AL25" s="259">
        <v>24.54833</v>
      </c>
      <c r="AM25" s="260">
        <f t="shared" si="11"/>
        <v>0.583192692371653</v>
      </c>
      <c r="AO25" s="259">
        <f t="shared" si="12"/>
        <v>145.2031</v>
      </c>
      <c r="AP25" s="260">
        <f t="shared" si="13"/>
        <v>0.303707367883841</v>
      </c>
      <c r="AQ25" s="261"/>
    </row>
    <row r="26" outlineLevel="2" spans="1:43">
      <c r="A26" s="245" t="s">
        <v>53</v>
      </c>
      <c r="B26" s="256">
        <v>6666050306</v>
      </c>
      <c r="C26" s="256" t="s">
        <v>58</v>
      </c>
      <c r="D26" s="256" t="s">
        <v>55</v>
      </c>
      <c r="E26" s="257">
        <v>-0.01268</v>
      </c>
      <c r="F26" s="258">
        <f t="shared" si="0"/>
        <v>-0.000261061127009944</v>
      </c>
      <c r="H26" s="259">
        <v>0.25906</v>
      </c>
      <c r="I26" s="260">
        <f t="shared" si="1"/>
        <v>0.00562770186605261</v>
      </c>
      <c r="K26" s="259">
        <v>0</v>
      </c>
      <c r="L26" s="260">
        <f t="shared" si="2"/>
        <v>0</v>
      </c>
      <c r="N26" s="259">
        <v>0.26438</v>
      </c>
      <c r="O26" s="260">
        <f t="shared" si="3"/>
        <v>0.00535583331645159</v>
      </c>
      <c r="Q26" s="259">
        <v>0</v>
      </c>
      <c r="R26" s="260">
        <f t="shared" si="4"/>
        <v>0</v>
      </c>
      <c r="T26" s="259">
        <v>0.18359</v>
      </c>
      <c r="U26" s="260">
        <f t="shared" si="5"/>
        <v>0.0061889832793959</v>
      </c>
      <c r="W26" s="259">
        <v>0.20456</v>
      </c>
      <c r="X26" s="260">
        <f t="shared" si="6"/>
        <v>0.00488711565568483</v>
      </c>
      <c r="Z26" s="259"/>
      <c r="AA26" s="260">
        <f t="shared" si="14"/>
        <v>0</v>
      </c>
      <c r="AC26" s="259">
        <v>0.22243</v>
      </c>
      <c r="AD26" s="260">
        <f t="shared" si="8"/>
        <v>0.00786861468798642</v>
      </c>
      <c r="AF26" s="259">
        <v>0.36773</v>
      </c>
      <c r="AG26" s="260">
        <f t="shared" si="9"/>
        <v>0.0140296058906566</v>
      </c>
      <c r="AI26" s="259">
        <v>0.41342</v>
      </c>
      <c r="AJ26" s="260">
        <f t="shared" si="10"/>
        <v>0.0121508347049142</v>
      </c>
      <c r="AL26" s="259">
        <v>0.95812</v>
      </c>
      <c r="AM26" s="260">
        <f t="shared" si="11"/>
        <v>0.022761979426508</v>
      </c>
      <c r="AO26" s="259">
        <f t="shared" si="12"/>
        <v>2.86061</v>
      </c>
      <c r="AP26" s="260">
        <f t="shared" si="13"/>
        <v>0.00598326298572271</v>
      </c>
      <c r="AQ26" s="261"/>
    </row>
    <row r="27" s="120" customFormat="1" spans="1:43">
      <c r="A27" s="245"/>
      <c r="B27" s="148" t="s">
        <v>52</v>
      </c>
      <c r="C27" s="149" t="s">
        <v>55</v>
      </c>
      <c r="D27" s="150"/>
      <c r="E27" s="151">
        <v>23.19837</v>
      </c>
      <c r="F27" s="152">
        <f t="shared" si="0"/>
        <v>0.47761771427395</v>
      </c>
      <c r="G27" s="247"/>
      <c r="H27" s="262">
        <f>SUM(H23:H26)</f>
        <v>22.59299</v>
      </c>
      <c r="I27" s="152">
        <f t="shared" si="1"/>
        <v>0.490799860969305</v>
      </c>
      <c r="J27" s="247"/>
      <c r="K27" s="262">
        <f>SUM(K23:K26)</f>
        <v>22.89799</v>
      </c>
      <c r="L27" s="152">
        <f t="shared" si="2"/>
        <v>0.494162116667026</v>
      </c>
      <c r="M27" s="248"/>
      <c r="N27" s="262">
        <f>SUM(N23:N26)</f>
        <v>22.60069</v>
      </c>
      <c r="O27" s="152">
        <f t="shared" si="3"/>
        <v>0.457846767822053</v>
      </c>
      <c r="P27" s="249"/>
      <c r="Q27" s="262">
        <f>SUM(Q23:Q26)</f>
        <v>28.23716</v>
      </c>
      <c r="R27" s="152">
        <f t="shared" si="4"/>
        <v>0.525792492179353</v>
      </c>
      <c r="S27" s="249"/>
      <c r="T27" s="262">
        <f>SUM(T23:T26)</f>
        <v>20.36294</v>
      </c>
      <c r="U27" s="152">
        <f t="shared" si="5"/>
        <v>0.686452939590076</v>
      </c>
      <c r="V27" s="249"/>
      <c r="W27" s="262">
        <f>SUM(W23:W26)</f>
        <v>17.41497</v>
      </c>
      <c r="X27" s="152">
        <f t="shared" si="6"/>
        <v>0.41605872374991</v>
      </c>
      <c r="Y27" s="249"/>
      <c r="Z27" s="262">
        <f>SUM(Z23:Z26)</f>
        <v>17.02318</v>
      </c>
      <c r="AA27" s="152">
        <f t="shared" si="14"/>
        <v>0.532357006598493</v>
      </c>
      <c r="AB27" s="249"/>
      <c r="AC27" s="262">
        <f>SUM(AC23:AC26)</f>
        <v>17.83458</v>
      </c>
      <c r="AD27" s="152">
        <f t="shared" si="8"/>
        <v>0.63091057025612</v>
      </c>
      <c r="AE27" s="249"/>
      <c r="AF27" s="262">
        <f>SUM(AF23:AF26)</f>
        <v>16.49471</v>
      </c>
      <c r="AG27" s="152">
        <f t="shared" si="9"/>
        <v>0.629304872000305</v>
      </c>
      <c r="AH27" s="249"/>
      <c r="AI27" s="262">
        <f>SUM(AI23:AI26)</f>
        <v>17.37308</v>
      </c>
      <c r="AJ27" s="152">
        <f t="shared" si="10"/>
        <v>0.510612508817305</v>
      </c>
      <c r="AK27" s="248"/>
      <c r="AL27" s="262">
        <f>SUM(AL23:AL26)</f>
        <v>46.35671</v>
      </c>
      <c r="AM27" s="152">
        <f t="shared" si="11"/>
        <v>1.10129261397382</v>
      </c>
      <c r="AN27" s="248"/>
      <c r="AO27" s="262">
        <f>SUM(AO23:AO26)</f>
        <v>272.38737</v>
      </c>
      <c r="AP27" s="152">
        <f t="shared" si="13"/>
        <v>0.56972648096013</v>
      </c>
      <c r="AQ27" s="261"/>
    </row>
    <row r="28" outlineLevel="2" spans="1:43">
      <c r="A28" s="245" t="s">
        <v>32</v>
      </c>
      <c r="B28" s="256">
        <v>5102010151</v>
      </c>
      <c r="C28" s="256" t="s">
        <v>59</v>
      </c>
      <c r="D28" s="256" t="s">
        <v>60</v>
      </c>
      <c r="E28" s="257">
        <v>0</v>
      </c>
      <c r="F28" s="258">
        <f t="shared" si="0"/>
        <v>0</v>
      </c>
      <c r="H28" s="259">
        <v>0</v>
      </c>
      <c r="I28" s="260">
        <f t="shared" si="1"/>
        <v>0</v>
      </c>
      <c r="K28" s="259">
        <v>0</v>
      </c>
      <c r="L28" s="260">
        <f t="shared" si="2"/>
        <v>0</v>
      </c>
      <c r="N28" s="259">
        <v>0</v>
      </c>
      <c r="O28" s="260">
        <f t="shared" si="3"/>
        <v>0</v>
      </c>
      <c r="Q28" s="259">
        <v>0</v>
      </c>
      <c r="R28" s="260">
        <f t="shared" si="4"/>
        <v>0</v>
      </c>
      <c r="T28" s="259">
        <v>0</v>
      </c>
      <c r="U28" s="260">
        <f t="shared" si="5"/>
        <v>0</v>
      </c>
      <c r="W28" s="259">
        <v>0</v>
      </c>
      <c r="X28" s="260">
        <f t="shared" si="6"/>
        <v>0</v>
      </c>
      <c r="Z28" s="259">
        <v>0</v>
      </c>
      <c r="AA28" s="260">
        <f t="shared" si="14"/>
        <v>0</v>
      </c>
      <c r="AC28" s="259">
        <v>0</v>
      </c>
      <c r="AD28" s="260">
        <f t="shared" si="8"/>
        <v>0</v>
      </c>
      <c r="AF28" s="259">
        <v>0</v>
      </c>
      <c r="AG28" s="260">
        <f t="shared" si="9"/>
        <v>0</v>
      </c>
      <c r="AI28" s="259">
        <v>0</v>
      </c>
      <c r="AJ28" s="260">
        <f t="shared" si="10"/>
        <v>0</v>
      </c>
      <c r="AL28" s="259">
        <v>0</v>
      </c>
      <c r="AM28" s="260">
        <f t="shared" si="11"/>
        <v>0</v>
      </c>
      <c r="AO28" s="259">
        <f t="shared" si="12"/>
        <v>0</v>
      </c>
      <c r="AP28" s="260">
        <f t="shared" si="13"/>
        <v>0</v>
      </c>
      <c r="AQ28" s="261"/>
    </row>
    <row r="29" outlineLevel="2" spans="1:43">
      <c r="A29" s="245" t="s">
        <v>32</v>
      </c>
      <c r="B29" s="256">
        <v>5001010200</v>
      </c>
      <c r="C29" s="256" t="s">
        <v>61</v>
      </c>
      <c r="D29" s="256" t="s">
        <v>60</v>
      </c>
      <c r="E29" s="257">
        <v>0.17197</v>
      </c>
      <c r="F29" s="258">
        <f t="shared" si="0"/>
        <v>0.00354059006402998</v>
      </c>
      <c r="H29" s="259">
        <v>0</v>
      </c>
      <c r="I29" s="260">
        <f t="shared" si="1"/>
        <v>0</v>
      </c>
      <c r="K29" s="259">
        <v>0</v>
      </c>
      <c r="L29" s="260">
        <f t="shared" si="2"/>
        <v>0</v>
      </c>
      <c r="N29" s="259">
        <v>0</v>
      </c>
      <c r="O29" s="260">
        <f t="shared" si="3"/>
        <v>0</v>
      </c>
      <c r="Q29" s="259">
        <v>0.01851</v>
      </c>
      <c r="R29" s="260">
        <f t="shared" si="4"/>
        <v>0.000344667063905854</v>
      </c>
      <c r="T29" s="259">
        <v>0.00921</v>
      </c>
      <c r="U29" s="260">
        <f t="shared" si="5"/>
        <v>0.000310477346278317</v>
      </c>
      <c r="W29" s="259">
        <v>0</v>
      </c>
      <c r="X29" s="260">
        <f t="shared" si="6"/>
        <v>0</v>
      </c>
      <c r="Z29" s="259">
        <v>0</v>
      </c>
      <c r="AA29" s="260">
        <f t="shared" si="14"/>
        <v>0</v>
      </c>
      <c r="AC29" s="259">
        <v>0.01387</v>
      </c>
      <c r="AD29" s="260">
        <f t="shared" si="8"/>
        <v>0.000490660817885949</v>
      </c>
      <c r="AF29" s="259">
        <v>0.01495</v>
      </c>
      <c r="AG29" s="260">
        <f t="shared" si="9"/>
        <v>0.000570371218190836</v>
      </c>
      <c r="AI29" s="259">
        <v>0</v>
      </c>
      <c r="AJ29" s="260">
        <f t="shared" si="10"/>
        <v>0</v>
      </c>
      <c r="AL29" s="259">
        <v>0</v>
      </c>
      <c r="AM29" s="260">
        <f t="shared" si="11"/>
        <v>0</v>
      </c>
      <c r="AO29" s="259">
        <f t="shared" si="12"/>
        <v>0.22851</v>
      </c>
      <c r="AP29" s="260">
        <f t="shared" si="13"/>
        <v>0.000477952403462023</v>
      </c>
      <c r="AQ29" s="261"/>
    </row>
    <row r="30" outlineLevel="2" spans="1:43">
      <c r="A30" s="245" t="s">
        <v>32</v>
      </c>
      <c r="B30" s="256">
        <v>5001010201</v>
      </c>
      <c r="C30" s="256" t="s">
        <v>62</v>
      </c>
      <c r="D30" s="256" t="s">
        <v>60</v>
      </c>
      <c r="E30" s="257">
        <v>0.00056</v>
      </c>
      <c r="F30" s="258">
        <f t="shared" si="0"/>
        <v>1.15295134957073e-5</v>
      </c>
      <c r="H30" s="259">
        <v>0</v>
      </c>
      <c r="I30" s="260">
        <f t="shared" si="1"/>
        <v>0</v>
      </c>
      <c r="K30" s="259">
        <v>0</v>
      </c>
      <c r="L30" s="260">
        <f t="shared" si="2"/>
        <v>0</v>
      </c>
      <c r="N30" s="259">
        <v>0</v>
      </c>
      <c r="O30" s="260">
        <f t="shared" si="3"/>
        <v>0</v>
      </c>
      <c r="Q30" s="259">
        <v>0.00247</v>
      </c>
      <c r="R30" s="260">
        <f t="shared" si="4"/>
        <v>4.59928496946224e-5</v>
      </c>
      <c r="T30" s="259">
        <v>0.17793</v>
      </c>
      <c r="U30" s="260">
        <f t="shared" si="5"/>
        <v>0.00599817961165048</v>
      </c>
      <c r="W30" s="259">
        <v>0</v>
      </c>
      <c r="X30" s="260">
        <f t="shared" si="6"/>
        <v>0</v>
      </c>
      <c r="Z30" s="259">
        <v>0</v>
      </c>
      <c r="AA30" s="260">
        <f t="shared" si="14"/>
        <v>0</v>
      </c>
      <c r="AC30" s="259">
        <v>0.00228</v>
      </c>
      <c r="AD30" s="260">
        <f t="shared" si="8"/>
        <v>8.06565728031697e-5</v>
      </c>
      <c r="AF30" s="259">
        <v>0</v>
      </c>
      <c r="AG30" s="260">
        <f t="shared" si="9"/>
        <v>0</v>
      </c>
      <c r="AI30" s="259">
        <v>0</v>
      </c>
      <c r="AJ30" s="260">
        <f t="shared" si="10"/>
        <v>0</v>
      </c>
      <c r="AL30" s="259">
        <v>0</v>
      </c>
      <c r="AM30" s="260">
        <f t="shared" si="11"/>
        <v>0</v>
      </c>
      <c r="AO30" s="259">
        <f t="shared" si="12"/>
        <v>0.18324</v>
      </c>
      <c r="AP30" s="260">
        <f t="shared" si="13"/>
        <v>0.000383265495647372</v>
      </c>
      <c r="AQ30" s="261"/>
    </row>
    <row r="31" outlineLevel="2" spans="1:43">
      <c r="A31" s="245" t="s">
        <v>32</v>
      </c>
      <c r="B31" s="256">
        <v>5207000011</v>
      </c>
      <c r="C31" s="256" t="s">
        <v>64</v>
      </c>
      <c r="D31" s="256" t="s">
        <v>60</v>
      </c>
      <c r="E31" s="257">
        <v>0</v>
      </c>
      <c r="F31" s="258">
        <f t="shared" si="0"/>
        <v>0</v>
      </c>
      <c r="H31" s="259">
        <v>0</v>
      </c>
      <c r="I31" s="260">
        <f t="shared" si="1"/>
        <v>0</v>
      </c>
      <c r="K31" s="259">
        <v>0</v>
      </c>
      <c r="L31" s="260">
        <f t="shared" si="2"/>
        <v>0</v>
      </c>
      <c r="N31" s="259">
        <v>0</v>
      </c>
      <c r="O31" s="260">
        <f t="shared" si="3"/>
        <v>0</v>
      </c>
      <c r="Q31" s="259">
        <v>0</v>
      </c>
      <c r="R31" s="260">
        <f t="shared" si="4"/>
        <v>0</v>
      </c>
      <c r="T31" s="259">
        <v>0</v>
      </c>
      <c r="U31" s="260">
        <f t="shared" si="5"/>
        <v>0</v>
      </c>
      <c r="W31" s="259">
        <v>0</v>
      </c>
      <c r="X31" s="260">
        <f t="shared" si="6"/>
        <v>0</v>
      </c>
      <c r="Z31" s="259">
        <v>0</v>
      </c>
      <c r="AA31" s="260">
        <f t="shared" si="14"/>
        <v>0</v>
      </c>
      <c r="AC31" s="259">
        <v>0</v>
      </c>
      <c r="AD31" s="260">
        <f t="shared" si="8"/>
        <v>0</v>
      </c>
      <c r="AF31" s="259">
        <v>0</v>
      </c>
      <c r="AG31" s="260">
        <f t="shared" si="9"/>
        <v>0</v>
      </c>
      <c r="AI31" s="259">
        <v>0</v>
      </c>
      <c r="AJ31" s="260">
        <f t="shared" si="10"/>
        <v>0</v>
      </c>
      <c r="AL31" s="259">
        <v>0</v>
      </c>
      <c r="AM31" s="260">
        <f t="shared" si="11"/>
        <v>0</v>
      </c>
      <c r="AO31" s="259">
        <f t="shared" si="12"/>
        <v>0</v>
      </c>
      <c r="AP31" s="260">
        <f t="shared" si="13"/>
        <v>0</v>
      </c>
      <c r="AQ31" s="261"/>
    </row>
    <row r="32" outlineLevel="2" spans="1:43">
      <c r="A32" s="245" t="s">
        <v>32</v>
      </c>
      <c r="B32" s="256">
        <v>5207000012</v>
      </c>
      <c r="C32" s="256" t="s">
        <v>65</v>
      </c>
      <c r="D32" s="256" t="s">
        <v>60</v>
      </c>
      <c r="E32" s="257">
        <v>0</v>
      </c>
      <c r="F32" s="258">
        <f t="shared" si="0"/>
        <v>0</v>
      </c>
      <c r="H32" s="259">
        <v>0</v>
      </c>
      <c r="I32" s="260">
        <f t="shared" si="1"/>
        <v>0</v>
      </c>
      <c r="K32" s="259">
        <v>0</v>
      </c>
      <c r="L32" s="260">
        <f t="shared" si="2"/>
        <v>0</v>
      </c>
      <c r="N32" s="259">
        <v>0</v>
      </c>
      <c r="O32" s="260">
        <f t="shared" si="3"/>
        <v>0</v>
      </c>
      <c r="Q32" s="259">
        <v>0</v>
      </c>
      <c r="R32" s="260">
        <f t="shared" si="4"/>
        <v>0</v>
      </c>
      <c r="T32" s="259">
        <v>0</v>
      </c>
      <c r="U32" s="260">
        <f t="shared" si="5"/>
        <v>0</v>
      </c>
      <c r="W32" s="259">
        <v>0</v>
      </c>
      <c r="X32" s="260">
        <f t="shared" si="6"/>
        <v>0</v>
      </c>
      <c r="Z32" s="259">
        <v>0</v>
      </c>
      <c r="AA32" s="260">
        <f t="shared" si="14"/>
        <v>0</v>
      </c>
      <c r="AC32" s="259">
        <v>0</v>
      </c>
      <c r="AD32" s="260">
        <f t="shared" si="8"/>
        <v>0</v>
      </c>
      <c r="AF32" s="259">
        <v>0</v>
      </c>
      <c r="AG32" s="260">
        <f t="shared" si="9"/>
        <v>0</v>
      </c>
      <c r="AI32" s="259">
        <v>0</v>
      </c>
      <c r="AJ32" s="260">
        <f t="shared" si="10"/>
        <v>0</v>
      </c>
      <c r="AL32" s="259">
        <v>0</v>
      </c>
      <c r="AM32" s="260">
        <f t="shared" si="11"/>
        <v>0</v>
      </c>
      <c r="AO32" s="259">
        <f t="shared" si="12"/>
        <v>0</v>
      </c>
      <c r="AP32" s="260">
        <f t="shared" si="13"/>
        <v>0</v>
      </c>
      <c r="AQ32" s="261"/>
    </row>
    <row r="33" outlineLevel="2" spans="1:43">
      <c r="A33" s="245" t="s">
        <v>32</v>
      </c>
      <c r="B33" s="256">
        <v>5207000022</v>
      </c>
      <c r="C33" s="256" t="s">
        <v>66</v>
      </c>
      <c r="D33" s="256" t="s">
        <v>60</v>
      </c>
      <c r="E33" s="257">
        <v>0</v>
      </c>
      <c r="F33" s="258">
        <f t="shared" si="0"/>
        <v>0</v>
      </c>
      <c r="H33" s="259">
        <v>0</v>
      </c>
      <c r="I33" s="260">
        <f t="shared" si="1"/>
        <v>0</v>
      </c>
      <c r="K33" s="259">
        <v>0</v>
      </c>
      <c r="L33" s="260">
        <f t="shared" si="2"/>
        <v>0</v>
      </c>
      <c r="N33" s="259">
        <v>0</v>
      </c>
      <c r="O33" s="260">
        <f t="shared" si="3"/>
        <v>0</v>
      </c>
      <c r="Q33" s="259">
        <v>0</v>
      </c>
      <c r="R33" s="260">
        <f t="shared" si="4"/>
        <v>0</v>
      </c>
      <c r="T33" s="259">
        <v>0</v>
      </c>
      <c r="U33" s="260">
        <f t="shared" si="5"/>
        <v>0</v>
      </c>
      <c r="W33" s="259">
        <v>0</v>
      </c>
      <c r="X33" s="260">
        <f t="shared" si="6"/>
        <v>0</v>
      </c>
      <c r="Z33" s="259">
        <v>0</v>
      </c>
      <c r="AA33" s="260">
        <f t="shared" si="14"/>
        <v>0</v>
      </c>
      <c r="AC33" s="259">
        <v>0</v>
      </c>
      <c r="AD33" s="260">
        <f t="shared" si="8"/>
        <v>0</v>
      </c>
      <c r="AF33" s="259">
        <v>0</v>
      </c>
      <c r="AG33" s="260">
        <f t="shared" si="9"/>
        <v>0</v>
      </c>
      <c r="AI33" s="259">
        <v>0</v>
      </c>
      <c r="AJ33" s="260">
        <f t="shared" si="10"/>
        <v>0</v>
      </c>
      <c r="AL33" s="259">
        <v>0</v>
      </c>
      <c r="AM33" s="260">
        <f t="shared" si="11"/>
        <v>0</v>
      </c>
      <c r="AO33" s="259">
        <f t="shared" si="12"/>
        <v>0</v>
      </c>
      <c r="AP33" s="260">
        <f t="shared" si="13"/>
        <v>0</v>
      </c>
      <c r="AQ33" s="261"/>
    </row>
    <row r="34" outlineLevel="2" spans="1:43">
      <c r="A34" s="245" t="s">
        <v>32</v>
      </c>
      <c r="B34" s="256">
        <v>5301060000</v>
      </c>
      <c r="C34" s="256" t="s">
        <v>67</v>
      </c>
      <c r="D34" s="256" t="s">
        <v>60</v>
      </c>
      <c r="E34" s="257">
        <v>0</v>
      </c>
      <c r="F34" s="258">
        <f t="shared" si="0"/>
        <v>0</v>
      </c>
      <c r="H34" s="259">
        <v>0</v>
      </c>
      <c r="I34" s="260">
        <f t="shared" si="1"/>
        <v>0</v>
      </c>
      <c r="K34" s="259">
        <v>0</v>
      </c>
      <c r="L34" s="260">
        <f t="shared" si="2"/>
        <v>0</v>
      </c>
      <c r="N34" s="259">
        <v>0</v>
      </c>
      <c r="O34" s="260">
        <f t="shared" si="3"/>
        <v>0</v>
      </c>
      <c r="Q34" s="259">
        <v>0</v>
      </c>
      <c r="R34" s="260">
        <f t="shared" si="4"/>
        <v>0</v>
      </c>
      <c r="T34" s="259">
        <v>0</v>
      </c>
      <c r="U34" s="260">
        <f t="shared" si="5"/>
        <v>0</v>
      </c>
      <c r="W34" s="259">
        <v>0</v>
      </c>
      <c r="X34" s="260">
        <f t="shared" si="6"/>
        <v>0</v>
      </c>
      <c r="Z34" s="259">
        <v>0</v>
      </c>
      <c r="AA34" s="260">
        <f t="shared" si="14"/>
        <v>0</v>
      </c>
      <c r="AC34" s="259">
        <v>0</v>
      </c>
      <c r="AD34" s="260">
        <f t="shared" si="8"/>
        <v>0</v>
      </c>
      <c r="AF34" s="259">
        <v>0</v>
      </c>
      <c r="AG34" s="260">
        <f t="shared" si="9"/>
        <v>0</v>
      </c>
      <c r="AI34" s="259">
        <v>0</v>
      </c>
      <c r="AJ34" s="260">
        <f t="shared" si="10"/>
        <v>0</v>
      </c>
      <c r="AL34" s="259">
        <v>0</v>
      </c>
      <c r="AM34" s="260">
        <f t="shared" si="11"/>
        <v>0</v>
      </c>
      <c r="AO34" s="259">
        <f t="shared" si="12"/>
        <v>0</v>
      </c>
      <c r="AP34" s="260">
        <f t="shared" si="13"/>
        <v>0</v>
      </c>
      <c r="AQ34" s="261"/>
    </row>
    <row r="35" outlineLevel="2" spans="1:43">
      <c r="A35" s="245" t="s">
        <v>32</v>
      </c>
      <c r="B35" s="256">
        <v>5301999999</v>
      </c>
      <c r="C35" s="256" t="s">
        <v>68</v>
      </c>
      <c r="D35" s="256" t="s">
        <v>60</v>
      </c>
      <c r="E35" s="257">
        <v>0</v>
      </c>
      <c r="F35" s="258">
        <f t="shared" si="0"/>
        <v>0</v>
      </c>
      <c r="H35" s="259">
        <v>0</v>
      </c>
      <c r="I35" s="260">
        <f t="shared" si="1"/>
        <v>0</v>
      </c>
      <c r="K35" s="259">
        <v>0</v>
      </c>
      <c r="L35" s="260">
        <f t="shared" si="2"/>
        <v>0</v>
      </c>
      <c r="N35" s="259">
        <v>0</v>
      </c>
      <c r="O35" s="260">
        <f t="shared" si="3"/>
        <v>0</v>
      </c>
      <c r="Q35" s="259">
        <v>0</v>
      </c>
      <c r="R35" s="260">
        <f t="shared" si="4"/>
        <v>0</v>
      </c>
      <c r="T35" s="259">
        <v>0</v>
      </c>
      <c r="U35" s="260">
        <f t="shared" si="5"/>
        <v>0</v>
      </c>
      <c r="W35" s="259">
        <v>0</v>
      </c>
      <c r="X35" s="260">
        <f t="shared" si="6"/>
        <v>0</v>
      </c>
      <c r="Z35" s="259">
        <v>0</v>
      </c>
      <c r="AA35" s="260">
        <f t="shared" si="14"/>
        <v>0</v>
      </c>
      <c r="AC35" s="259">
        <v>0</v>
      </c>
      <c r="AD35" s="260">
        <f t="shared" si="8"/>
        <v>0</v>
      </c>
      <c r="AF35" s="259">
        <v>0</v>
      </c>
      <c r="AG35" s="260">
        <f t="shared" si="9"/>
        <v>0</v>
      </c>
      <c r="AI35" s="259">
        <v>-0.06594</v>
      </c>
      <c r="AJ35" s="260">
        <f t="shared" si="10"/>
        <v>-0.00193804373383494</v>
      </c>
      <c r="AL35" s="259">
        <v>0</v>
      </c>
      <c r="AM35" s="260">
        <f t="shared" si="11"/>
        <v>0</v>
      </c>
      <c r="AO35" s="259">
        <f t="shared" si="12"/>
        <v>-0.06594</v>
      </c>
      <c r="AP35" s="260">
        <f t="shared" si="13"/>
        <v>-0.000137920360090525</v>
      </c>
      <c r="AQ35" s="261"/>
    </row>
    <row r="36" outlineLevel="2" spans="1:43">
      <c r="A36" s="245" t="s">
        <v>32</v>
      </c>
      <c r="B36" s="256">
        <v>5405030000</v>
      </c>
      <c r="C36" s="256" t="s">
        <v>69</v>
      </c>
      <c r="D36" s="256" t="s">
        <v>60</v>
      </c>
      <c r="E36" s="257">
        <v>0.0094</v>
      </c>
      <c r="F36" s="258">
        <f t="shared" si="0"/>
        <v>0.00019353111939223</v>
      </c>
      <c r="H36" s="259">
        <f>13.41/1000</f>
        <v>0.01341</v>
      </c>
      <c r="I36" s="260">
        <f t="shared" si="1"/>
        <v>0.000291312753893946</v>
      </c>
      <c r="K36" s="259">
        <f>738.36/1000</f>
        <v>0.73836</v>
      </c>
      <c r="L36" s="260">
        <f t="shared" si="2"/>
        <v>0.0159345663292833</v>
      </c>
      <c r="N36" s="259">
        <v>0.04654</v>
      </c>
      <c r="O36" s="260">
        <f t="shared" si="3"/>
        <v>0.00094281141745842</v>
      </c>
      <c r="Q36" s="259">
        <v>0.00024</v>
      </c>
      <c r="R36" s="260">
        <f t="shared" si="4"/>
        <v>4.46894086101594e-6</v>
      </c>
      <c r="T36" s="259">
        <v>-0.03325</v>
      </c>
      <c r="U36" s="260">
        <f t="shared" si="5"/>
        <v>-0.00112088727076591</v>
      </c>
      <c r="W36" s="259">
        <v>0.1626</v>
      </c>
      <c r="X36" s="260">
        <f t="shared" si="6"/>
        <v>0.00388465489643309</v>
      </c>
      <c r="Z36" s="259">
        <v>0.10378</v>
      </c>
      <c r="AA36" s="260">
        <f t="shared" si="14"/>
        <v>0.00324545767270225</v>
      </c>
      <c r="AC36" s="259">
        <v>0.13156</v>
      </c>
      <c r="AD36" s="260">
        <f t="shared" si="8"/>
        <v>0.00465402575350219</v>
      </c>
      <c r="AF36" s="259">
        <v>0</v>
      </c>
      <c r="AG36" s="260">
        <f t="shared" si="9"/>
        <v>0</v>
      </c>
      <c r="AI36" s="259">
        <v>0.29868</v>
      </c>
      <c r="AJ36" s="260">
        <f t="shared" si="10"/>
        <v>0.00877850928756172</v>
      </c>
      <c r="AL36" s="259">
        <v>0.00145</v>
      </c>
      <c r="AM36" s="260">
        <f t="shared" si="11"/>
        <v>3.44475328439408e-5</v>
      </c>
      <c r="AO36" s="259">
        <f t="shared" si="12"/>
        <v>1.47277</v>
      </c>
      <c r="AP36" s="260">
        <f t="shared" si="13"/>
        <v>0.00308045145178226</v>
      </c>
      <c r="AQ36" s="261"/>
    </row>
    <row r="37" outlineLevel="2" spans="1:43">
      <c r="A37" s="245" t="s">
        <v>32</v>
      </c>
      <c r="B37" s="256">
        <v>5601050000</v>
      </c>
      <c r="C37" s="256" t="s">
        <v>70</v>
      </c>
      <c r="D37" s="256" t="s">
        <v>60</v>
      </c>
      <c r="E37" s="257">
        <v>0</v>
      </c>
      <c r="F37" s="258">
        <f t="shared" si="0"/>
        <v>0</v>
      </c>
      <c r="H37" s="259">
        <v>0</v>
      </c>
      <c r="I37" s="260">
        <f t="shared" si="1"/>
        <v>0</v>
      </c>
      <c r="K37" s="259">
        <v>0</v>
      </c>
      <c r="L37" s="260">
        <f t="shared" si="2"/>
        <v>0</v>
      </c>
      <c r="N37" s="259">
        <v>0</v>
      </c>
      <c r="O37" s="260">
        <f t="shared" si="3"/>
        <v>0</v>
      </c>
      <c r="Q37" s="259">
        <v>0</v>
      </c>
      <c r="R37" s="260">
        <f t="shared" si="4"/>
        <v>0</v>
      </c>
      <c r="T37" s="259">
        <v>0.002</v>
      </c>
      <c r="U37" s="260">
        <f t="shared" si="5"/>
        <v>6.74217907227616e-5</v>
      </c>
      <c r="W37" s="259">
        <v>0.01063</v>
      </c>
      <c r="X37" s="260">
        <f t="shared" si="6"/>
        <v>0.000253959911125977</v>
      </c>
      <c r="Z37" s="259">
        <v>0</v>
      </c>
      <c r="AA37" s="260">
        <f t="shared" si="14"/>
        <v>0</v>
      </c>
      <c r="AC37" s="259">
        <v>0.05263</v>
      </c>
      <c r="AD37" s="260">
        <f t="shared" si="8"/>
        <v>0.00186182255553983</v>
      </c>
      <c r="AF37" s="259">
        <v>0</v>
      </c>
      <c r="AG37" s="260">
        <f t="shared" si="9"/>
        <v>0</v>
      </c>
      <c r="AI37" s="259">
        <v>0</v>
      </c>
      <c r="AJ37" s="260">
        <f t="shared" si="10"/>
        <v>0</v>
      </c>
      <c r="AL37" s="259">
        <v>0</v>
      </c>
      <c r="AM37" s="260">
        <f t="shared" si="11"/>
        <v>0</v>
      </c>
      <c r="AO37" s="259">
        <f t="shared" si="12"/>
        <v>0.06526</v>
      </c>
      <c r="AP37" s="260">
        <f t="shared" si="13"/>
        <v>0.000136498069449615</v>
      </c>
      <c r="AQ37" s="261"/>
    </row>
    <row r="38" outlineLevel="2" spans="1:43">
      <c r="A38" s="245" t="s">
        <v>32</v>
      </c>
      <c r="B38" s="256">
        <v>5601050100</v>
      </c>
      <c r="C38" s="256" t="s">
        <v>71</v>
      </c>
      <c r="D38" s="256" t="s">
        <v>60</v>
      </c>
      <c r="E38" s="257">
        <v>0.01682</v>
      </c>
      <c r="F38" s="258">
        <f t="shared" si="0"/>
        <v>0.000346297173210352</v>
      </c>
      <c r="H38" s="259">
        <v>0</v>
      </c>
      <c r="I38" s="260">
        <f t="shared" si="1"/>
        <v>0</v>
      </c>
      <c r="K38" s="259">
        <v>0</v>
      </c>
      <c r="L38" s="260">
        <f t="shared" si="2"/>
        <v>0</v>
      </c>
      <c r="N38" s="259">
        <v>0</v>
      </c>
      <c r="O38" s="260">
        <f t="shared" si="3"/>
        <v>0</v>
      </c>
      <c r="Q38" s="259">
        <v>0</v>
      </c>
      <c r="R38" s="260">
        <f t="shared" si="4"/>
        <v>0</v>
      </c>
      <c r="T38" s="259">
        <v>0</v>
      </c>
      <c r="U38" s="260">
        <f t="shared" si="5"/>
        <v>0</v>
      </c>
      <c r="W38" s="259">
        <v>0</v>
      </c>
      <c r="X38" s="260">
        <f t="shared" si="6"/>
        <v>0</v>
      </c>
      <c r="Z38" s="259">
        <v>0</v>
      </c>
      <c r="AA38" s="260">
        <f t="shared" si="14"/>
        <v>0</v>
      </c>
      <c r="AC38" s="259">
        <v>0</v>
      </c>
      <c r="AD38" s="260">
        <f t="shared" si="8"/>
        <v>0</v>
      </c>
      <c r="AF38" s="259">
        <v>0</v>
      </c>
      <c r="AG38" s="260">
        <f t="shared" si="9"/>
        <v>0</v>
      </c>
      <c r="AI38" s="259">
        <v>0</v>
      </c>
      <c r="AJ38" s="260">
        <f t="shared" si="10"/>
        <v>0</v>
      </c>
      <c r="AL38" s="259">
        <v>0.03479</v>
      </c>
      <c r="AM38" s="260">
        <f t="shared" si="11"/>
        <v>0.000826503219062552</v>
      </c>
      <c r="AO38" s="259">
        <f t="shared" si="12"/>
        <v>0.05161</v>
      </c>
      <c r="AP38" s="260">
        <f t="shared" si="13"/>
        <v>0.000107947676437246</v>
      </c>
      <c r="AQ38" s="261"/>
    </row>
    <row r="39" outlineLevel="2" spans="1:43">
      <c r="A39" s="245" t="s">
        <v>32</v>
      </c>
      <c r="B39" s="256">
        <v>5102040893</v>
      </c>
      <c r="C39" s="266" t="s">
        <v>72</v>
      </c>
      <c r="D39" s="256" t="s">
        <v>60</v>
      </c>
      <c r="E39" s="257"/>
      <c r="F39" s="258"/>
      <c r="H39" s="259"/>
      <c r="I39" s="260"/>
      <c r="K39" s="259"/>
      <c r="L39" s="260"/>
      <c r="N39" s="259"/>
      <c r="O39" s="260"/>
      <c r="Q39" s="259"/>
      <c r="R39" s="260"/>
      <c r="T39" s="259">
        <v>0</v>
      </c>
      <c r="U39" s="260">
        <f t="shared" si="5"/>
        <v>0</v>
      </c>
      <c r="W39" s="259">
        <v>0</v>
      </c>
      <c r="X39" s="260">
        <f t="shared" si="6"/>
        <v>0</v>
      </c>
      <c r="Z39" s="259">
        <v>0</v>
      </c>
      <c r="AA39" s="260">
        <f t="shared" si="14"/>
        <v>0</v>
      </c>
      <c r="AC39" s="259">
        <v>0</v>
      </c>
      <c r="AD39" s="260">
        <f t="shared" si="8"/>
        <v>0</v>
      </c>
      <c r="AF39" s="259">
        <v>0</v>
      </c>
      <c r="AG39" s="260">
        <f t="shared" si="9"/>
        <v>0</v>
      </c>
      <c r="AI39" s="259">
        <v>0</v>
      </c>
      <c r="AJ39" s="260">
        <f t="shared" si="10"/>
        <v>0</v>
      </c>
      <c r="AL39" s="259">
        <v>0</v>
      </c>
      <c r="AM39" s="260">
        <f t="shared" si="11"/>
        <v>0</v>
      </c>
      <c r="AO39" s="259">
        <f t="shared" si="12"/>
        <v>0</v>
      </c>
      <c r="AP39" s="260">
        <f t="shared" ref="AP39" si="15">AO39/$AO$1*1000</f>
        <v>0</v>
      </c>
      <c r="AQ39" s="261"/>
    </row>
    <row r="40" outlineLevel="2" spans="1:43">
      <c r="A40" s="245" t="s">
        <v>32</v>
      </c>
      <c r="B40" s="256">
        <v>5801000041</v>
      </c>
      <c r="C40" s="256" t="s">
        <v>73</v>
      </c>
      <c r="D40" s="256" t="s">
        <v>60</v>
      </c>
      <c r="E40" s="257">
        <v>0</v>
      </c>
      <c r="F40" s="258">
        <f t="shared" si="0"/>
        <v>0</v>
      </c>
      <c r="H40" s="259">
        <v>0</v>
      </c>
      <c r="I40" s="260">
        <f t="shared" si="1"/>
        <v>0</v>
      </c>
      <c r="K40" s="259">
        <v>0</v>
      </c>
      <c r="L40" s="260">
        <f t="shared" si="2"/>
        <v>0</v>
      </c>
      <c r="N40" s="259">
        <v>0</v>
      </c>
      <c r="O40" s="260">
        <f t="shared" si="3"/>
        <v>0</v>
      </c>
      <c r="Q40" s="259">
        <v>0</v>
      </c>
      <c r="R40" s="260">
        <f t="shared" si="4"/>
        <v>0</v>
      </c>
      <c r="T40" s="259">
        <v>0</v>
      </c>
      <c r="U40" s="260">
        <f t="shared" si="5"/>
        <v>0</v>
      </c>
      <c r="W40" s="259">
        <v>0</v>
      </c>
      <c r="X40" s="260">
        <f t="shared" si="6"/>
        <v>0</v>
      </c>
      <c r="Z40" s="259">
        <v>0</v>
      </c>
      <c r="AA40" s="260">
        <f t="shared" si="14"/>
        <v>0</v>
      </c>
      <c r="AC40" s="259">
        <v>0</v>
      </c>
      <c r="AD40" s="260">
        <f t="shared" si="8"/>
        <v>0</v>
      </c>
      <c r="AF40" s="259">
        <v>0</v>
      </c>
      <c r="AG40" s="260">
        <f t="shared" si="9"/>
        <v>0</v>
      </c>
      <c r="AI40" s="259">
        <v>0</v>
      </c>
      <c r="AJ40" s="260">
        <f t="shared" si="10"/>
        <v>0</v>
      </c>
      <c r="AL40" s="259">
        <v>0</v>
      </c>
      <c r="AM40" s="260">
        <f t="shared" si="11"/>
        <v>0</v>
      </c>
      <c r="AO40" s="259">
        <f t="shared" si="12"/>
        <v>0</v>
      </c>
      <c r="AP40" s="260">
        <f t="shared" si="13"/>
        <v>0</v>
      </c>
      <c r="AQ40" s="261"/>
    </row>
    <row r="41" outlineLevel="2" spans="1:43">
      <c r="A41" s="245" t="s">
        <v>32</v>
      </c>
      <c r="B41" s="256">
        <v>6666010322</v>
      </c>
      <c r="C41" s="256" t="s">
        <v>74</v>
      </c>
      <c r="D41" s="256" t="s">
        <v>60</v>
      </c>
      <c r="E41" s="257">
        <v>2.19309</v>
      </c>
      <c r="F41" s="258">
        <f t="shared" si="0"/>
        <v>0.0451522513433942</v>
      </c>
      <c r="H41" s="259">
        <v>0.51196</v>
      </c>
      <c r="I41" s="260">
        <f t="shared" si="1"/>
        <v>0.0111215866878109</v>
      </c>
      <c r="K41" s="259">
        <v>2.69789</v>
      </c>
      <c r="L41" s="260">
        <f t="shared" si="2"/>
        <v>0.0582232341325507</v>
      </c>
      <c r="N41" s="259">
        <v>1.01857</v>
      </c>
      <c r="O41" s="260">
        <f t="shared" si="3"/>
        <v>0.0206342807365841</v>
      </c>
      <c r="Q41" s="259">
        <v>1.25877</v>
      </c>
      <c r="R41" s="260">
        <f t="shared" si="4"/>
        <v>0.023439036198421</v>
      </c>
      <c r="T41" s="259">
        <v>1.28891</v>
      </c>
      <c r="U41" s="260">
        <f t="shared" si="5"/>
        <v>0.0434503101402373</v>
      </c>
      <c r="W41" s="259">
        <v>0.95107</v>
      </c>
      <c r="X41" s="260">
        <f t="shared" si="6"/>
        <v>0.0227218864228206</v>
      </c>
      <c r="Z41" s="259">
        <v>1.49429</v>
      </c>
      <c r="AA41" s="260">
        <f t="shared" si="14"/>
        <v>0.0467301497951653</v>
      </c>
      <c r="AC41" s="259">
        <v>1.20561</v>
      </c>
      <c r="AD41" s="260">
        <f t="shared" si="8"/>
        <v>0.0426492854110655</v>
      </c>
      <c r="AF41" s="259">
        <v>1.3803</v>
      </c>
      <c r="AG41" s="260">
        <f t="shared" si="9"/>
        <v>0.0526610964862081</v>
      </c>
      <c r="AI41" s="259">
        <v>0.62515</v>
      </c>
      <c r="AJ41" s="260">
        <f t="shared" si="10"/>
        <v>0.0183737949682577</v>
      </c>
      <c r="AL41" s="259">
        <v>1.46341</v>
      </c>
      <c r="AM41" s="260">
        <f t="shared" si="11"/>
        <v>0.0347661131304492</v>
      </c>
      <c r="AO41" s="259">
        <f t="shared" si="12"/>
        <v>16.08902</v>
      </c>
      <c r="AP41" s="260">
        <f t="shared" si="13"/>
        <v>0.0336518567167675</v>
      </c>
      <c r="AQ41" s="261"/>
    </row>
    <row r="42" outlineLevel="2" spans="1:43">
      <c r="A42" s="245" t="s">
        <v>32</v>
      </c>
      <c r="B42" s="256">
        <v>6666020101</v>
      </c>
      <c r="C42" s="256" t="s">
        <v>75</v>
      </c>
      <c r="D42" s="256" t="s">
        <v>60</v>
      </c>
      <c r="E42" s="257">
        <v>0</v>
      </c>
      <c r="F42" s="258">
        <f t="shared" si="0"/>
        <v>0</v>
      </c>
      <c r="H42" s="259">
        <v>6.83876</v>
      </c>
      <c r="I42" s="260">
        <f t="shared" si="1"/>
        <v>0.148562118480221</v>
      </c>
      <c r="K42" s="259">
        <v>5.84951</v>
      </c>
      <c r="L42" s="260">
        <f t="shared" si="2"/>
        <v>0.126238427174828</v>
      </c>
      <c r="N42" s="259">
        <v>5.145</v>
      </c>
      <c r="O42" s="260">
        <f t="shared" si="3"/>
        <v>0.104227862974292</v>
      </c>
      <c r="Q42" s="259">
        <v>5.07662</v>
      </c>
      <c r="R42" s="260">
        <f t="shared" si="4"/>
        <v>0.0945296439743781</v>
      </c>
      <c r="T42" s="259">
        <v>-4.30157</v>
      </c>
      <c r="U42" s="260">
        <f t="shared" si="5"/>
        <v>-0.145009776159655</v>
      </c>
      <c r="W42" s="259">
        <v>4.26751</v>
      </c>
      <c r="X42" s="260">
        <f t="shared" si="6"/>
        <v>0.101954511790143</v>
      </c>
      <c r="Z42" s="259">
        <v>3.52541</v>
      </c>
      <c r="AA42" s="260">
        <f t="shared" si="14"/>
        <v>0.110248303468118</v>
      </c>
      <c r="AC42" s="259">
        <v>-0.60928</v>
      </c>
      <c r="AD42" s="260">
        <f t="shared" si="8"/>
        <v>-0.0215537002971558</v>
      </c>
      <c r="AF42" s="259">
        <v>0.16573</v>
      </c>
      <c r="AG42" s="260">
        <f t="shared" si="9"/>
        <v>0.0063229178589142</v>
      </c>
      <c r="AI42" s="259">
        <v>-0.39021</v>
      </c>
      <c r="AJ42" s="260">
        <f t="shared" si="10"/>
        <v>-0.0114686691747002</v>
      </c>
      <c r="AL42" s="259">
        <v>-33.39257</v>
      </c>
      <c r="AM42" s="260">
        <f t="shared" si="11"/>
        <v>-0.793304587461098</v>
      </c>
      <c r="AO42" s="259">
        <f t="shared" si="12"/>
        <v>-7.82509</v>
      </c>
      <c r="AP42" s="260">
        <f t="shared" si="13"/>
        <v>-0.0163669886342245</v>
      </c>
      <c r="AQ42" s="261"/>
    </row>
    <row r="43" outlineLevel="2" spans="1:43">
      <c r="A43" s="245" t="s">
        <v>32</v>
      </c>
      <c r="B43" s="256">
        <v>6666020201</v>
      </c>
      <c r="C43" s="256" t="s">
        <v>76</v>
      </c>
      <c r="D43" s="256" t="s">
        <v>60</v>
      </c>
      <c r="E43" s="257">
        <v>0.0026</v>
      </c>
      <c r="F43" s="258">
        <f t="shared" si="0"/>
        <v>5.35298840872125e-5</v>
      </c>
      <c r="H43" s="259">
        <v>0.3025</v>
      </c>
      <c r="I43" s="260">
        <f t="shared" si="1"/>
        <v>0.00657137271088132</v>
      </c>
      <c r="K43" s="259">
        <v>0.13764</v>
      </c>
      <c r="L43" s="260">
        <f t="shared" si="2"/>
        <v>0.00297041241340613</v>
      </c>
      <c r="N43" s="259">
        <v>0</v>
      </c>
      <c r="O43" s="260">
        <f t="shared" si="3"/>
        <v>0</v>
      </c>
      <c r="Q43" s="259">
        <v>0</v>
      </c>
      <c r="R43" s="260">
        <f t="shared" si="4"/>
        <v>0</v>
      </c>
      <c r="T43" s="259">
        <v>8.55229</v>
      </c>
      <c r="U43" s="260">
        <f t="shared" si="5"/>
        <v>0.288305353290183</v>
      </c>
      <c r="W43" s="259">
        <v>0</v>
      </c>
      <c r="X43" s="260">
        <f t="shared" si="6"/>
        <v>0</v>
      </c>
      <c r="Z43" s="259">
        <v>0.07903</v>
      </c>
      <c r="AA43" s="260">
        <f t="shared" si="14"/>
        <v>0.00247146386465272</v>
      </c>
      <c r="AC43" s="259">
        <v>0.00309</v>
      </c>
      <c r="AD43" s="260">
        <f t="shared" si="8"/>
        <v>0.00010931088156219</v>
      </c>
      <c r="AF43" s="259">
        <v>0.18618</v>
      </c>
      <c r="AG43" s="260">
        <f t="shared" si="9"/>
        <v>0.00710312464232574</v>
      </c>
      <c r="AI43" s="259">
        <v>0.01529</v>
      </c>
      <c r="AJ43" s="260">
        <f t="shared" si="10"/>
        <v>0.000449388666823419</v>
      </c>
      <c r="AL43" s="259">
        <v>0.21907</v>
      </c>
      <c r="AM43" s="260">
        <f t="shared" si="11"/>
        <v>0.00520442828973939</v>
      </c>
      <c r="AO43" s="259">
        <f t="shared" si="12"/>
        <v>9.49769</v>
      </c>
      <c r="AP43" s="260">
        <f t="shared" si="13"/>
        <v>0.0198654052900845</v>
      </c>
      <c r="AQ43" s="261"/>
    </row>
    <row r="44" outlineLevel="2" spans="1:43">
      <c r="A44" s="245" t="s">
        <v>32</v>
      </c>
      <c r="B44" s="256">
        <v>6666020202</v>
      </c>
      <c r="C44" s="256" t="s">
        <v>77</v>
      </c>
      <c r="D44" s="256" t="s">
        <v>60</v>
      </c>
      <c r="E44" s="257">
        <v>0</v>
      </c>
      <c r="F44" s="258">
        <f t="shared" si="0"/>
        <v>0</v>
      </c>
      <c r="H44" s="259">
        <v>0</v>
      </c>
      <c r="I44" s="260">
        <f t="shared" si="1"/>
        <v>0</v>
      </c>
      <c r="K44" s="259">
        <v>0.16911</v>
      </c>
      <c r="L44" s="260">
        <f t="shared" si="2"/>
        <v>0.00364956730042946</v>
      </c>
      <c r="N44" s="259">
        <v>0</v>
      </c>
      <c r="O44" s="260">
        <f t="shared" si="3"/>
        <v>0</v>
      </c>
      <c r="Q44" s="259">
        <v>0.0106</v>
      </c>
      <c r="R44" s="260">
        <f t="shared" si="4"/>
        <v>0.000197378221361537</v>
      </c>
      <c r="T44" s="259">
        <v>0.23982</v>
      </c>
      <c r="U44" s="260">
        <f t="shared" si="5"/>
        <v>0.00808454692556634</v>
      </c>
      <c r="W44" s="259">
        <v>0.61255</v>
      </c>
      <c r="X44" s="260">
        <f t="shared" si="6"/>
        <v>0.0146343502878849</v>
      </c>
      <c r="Z44" s="259">
        <v>0.1768</v>
      </c>
      <c r="AA44" s="260">
        <f t="shared" si="14"/>
        <v>0.00552897395002658</v>
      </c>
      <c r="AC44" s="259">
        <v>0</v>
      </c>
      <c r="AD44" s="260">
        <f t="shared" si="8"/>
        <v>0</v>
      </c>
      <c r="AF44" s="259">
        <v>0</v>
      </c>
      <c r="AG44" s="260">
        <f t="shared" si="9"/>
        <v>0</v>
      </c>
      <c r="AI44" s="259">
        <v>0</v>
      </c>
      <c r="AJ44" s="260">
        <f t="shared" si="10"/>
        <v>0</v>
      </c>
      <c r="AL44" s="259">
        <v>0.17168</v>
      </c>
      <c r="AM44" s="260">
        <f t="shared" si="11"/>
        <v>0.00407858788872259</v>
      </c>
      <c r="AO44" s="259">
        <f t="shared" si="12"/>
        <v>1.38056</v>
      </c>
      <c r="AP44" s="260">
        <f t="shared" si="13"/>
        <v>0.00288758465766719</v>
      </c>
      <c r="AQ44" s="261"/>
    </row>
    <row r="45" outlineLevel="2" spans="1:43">
      <c r="A45" s="245" t="s">
        <v>32</v>
      </c>
      <c r="B45" s="256">
        <v>6666020204</v>
      </c>
      <c r="C45" s="256" t="s">
        <v>78</v>
      </c>
      <c r="D45" s="256" t="s">
        <v>60</v>
      </c>
      <c r="E45" s="257">
        <v>0.02159</v>
      </c>
      <c r="F45" s="258">
        <f t="shared" si="0"/>
        <v>0.00044450392209343</v>
      </c>
      <c r="H45" s="259">
        <v>0.02007</v>
      </c>
      <c r="I45" s="260">
        <f t="shared" si="1"/>
        <v>0.000435991571264093</v>
      </c>
      <c r="K45" s="259">
        <v>0</v>
      </c>
      <c r="L45" s="260">
        <f t="shared" si="2"/>
        <v>0</v>
      </c>
      <c r="N45" s="259">
        <v>0.01149</v>
      </c>
      <c r="O45" s="260">
        <f t="shared" si="3"/>
        <v>0.000232765431598566</v>
      </c>
      <c r="Q45" s="259">
        <v>0.05588</v>
      </c>
      <c r="R45" s="260">
        <f t="shared" si="4"/>
        <v>0.00104051839713988</v>
      </c>
      <c r="T45" s="259">
        <v>0.04219</v>
      </c>
      <c r="U45" s="260">
        <f t="shared" si="5"/>
        <v>0.00142226267529666</v>
      </c>
      <c r="W45" s="259">
        <v>0.23422</v>
      </c>
      <c r="X45" s="260">
        <f t="shared" si="6"/>
        <v>0.00559571875671931</v>
      </c>
      <c r="Z45" s="259">
        <v>3.81721</v>
      </c>
      <c r="AA45" s="260">
        <f t="shared" si="14"/>
        <v>0.119373612283829</v>
      </c>
      <c r="AC45" s="259">
        <v>0.17052</v>
      </c>
      <c r="AD45" s="260">
        <f t="shared" si="8"/>
        <v>0.00603226262912127</v>
      </c>
      <c r="AF45" s="259">
        <v>-0.00016</v>
      </c>
      <c r="AG45" s="260">
        <f t="shared" si="9"/>
        <v>-6.10430735187517e-6</v>
      </c>
      <c r="AI45" s="259">
        <v>0</v>
      </c>
      <c r="AJ45" s="260">
        <f t="shared" si="10"/>
        <v>0</v>
      </c>
      <c r="AL45" s="259">
        <v>0.15381</v>
      </c>
      <c r="AM45" s="260">
        <f t="shared" si="11"/>
        <v>0.00365405174257002</v>
      </c>
      <c r="AO45" s="259">
        <f t="shared" si="12"/>
        <v>4.52682</v>
      </c>
      <c r="AP45" s="260">
        <f t="shared" si="13"/>
        <v>0.00946831429276598</v>
      </c>
      <c r="AQ45" s="261"/>
    </row>
    <row r="46" outlineLevel="2" spans="1:43">
      <c r="A46" s="245" t="s">
        <v>32</v>
      </c>
      <c r="B46" s="256">
        <v>6666020205</v>
      </c>
      <c r="C46" s="256" t="s">
        <v>79</v>
      </c>
      <c r="D46" s="256" t="s">
        <v>60</v>
      </c>
      <c r="E46" s="257">
        <v>0</v>
      </c>
      <c r="F46" s="258">
        <f t="shared" si="0"/>
        <v>0</v>
      </c>
      <c r="H46" s="259">
        <v>0</v>
      </c>
      <c r="I46" s="260">
        <f t="shared" si="1"/>
        <v>0</v>
      </c>
      <c r="K46" s="259">
        <v>0</v>
      </c>
      <c r="L46" s="260">
        <f t="shared" si="2"/>
        <v>0</v>
      </c>
      <c r="N46" s="259">
        <v>0</v>
      </c>
      <c r="O46" s="260">
        <f t="shared" si="3"/>
        <v>0</v>
      </c>
      <c r="Q46" s="259">
        <v>0</v>
      </c>
      <c r="R46" s="260">
        <f t="shared" si="4"/>
        <v>0</v>
      </c>
      <c r="T46" s="259">
        <v>0</v>
      </c>
      <c r="U46" s="260">
        <f t="shared" si="5"/>
        <v>0</v>
      </c>
      <c r="W46" s="259">
        <v>0</v>
      </c>
      <c r="X46" s="260">
        <f t="shared" si="6"/>
        <v>0</v>
      </c>
      <c r="Z46" s="259">
        <v>0</v>
      </c>
      <c r="AA46" s="260">
        <f t="shared" si="14"/>
        <v>0</v>
      </c>
      <c r="AC46" s="259">
        <v>0</v>
      </c>
      <c r="AD46" s="260">
        <f t="shared" si="8"/>
        <v>0</v>
      </c>
      <c r="AF46" s="259">
        <v>0</v>
      </c>
      <c r="AG46" s="260">
        <f t="shared" si="9"/>
        <v>0</v>
      </c>
      <c r="AI46" s="259">
        <v>-0.18314</v>
      </c>
      <c r="AJ46" s="260">
        <f t="shared" si="10"/>
        <v>-0.00538267105572537</v>
      </c>
      <c r="AL46" s="259">
        <v>0</v>
      </c>
      <c r="AM46" s="260">
        <f t="shared" si="11"/>
        <v>0</v>
      </c>
      <c r="AO46" s="259">
        <f t="shared" si="12"/>
        <v>-0.18314</v>
      </c>
      <c r="AP46" s="260">
        <f t="shared" si="13"/>
        <v>-0.000383056335259003</v>
      </c>
      <c r="AQ46" s="261"/>
    </row>
    <row r="47" outlineLevel="2" spans="1:43">
      <c r="A47" s="245" t="s">
        <v>32</v>
      </c>
      <c r="B47" s="256">
        <v>6666020301</v>
      </c>
      <c r="C47" s="256" t="s">
        <v>80</v>
      </c>
      <c r="D47" s="256" t="s">
        <v>60</v>
      </c>
      <c r="E47" s="257">
        <v>0</v>
      </c>
      <c r="F47" s="258">
        <f t="shared" si="0"/>
        <v>0</v>
      </c>
      <c r="H47" s="259">
        <v>1.18363</v>
      </c>
      <c r="I47" s="260">
        <f t="shared" si="1"/>
        <v>0.0257126409315057</v>
      </c>
      <c r="K47" s="259">
        <v>1.00936</v>
      </c>
      <c r="L47" s="260">
        <f t="shared" si="2"/>
        <v>0.0217830243649783</v>
      </c>
      <c r="N47" s="259">
        <v>0.50942</v>
      </c>
      <c r="O47" s="260">
        <f t="shared" si="3"/>
        <v>0.0103198752101777</v>
      </c>
      <c r="Q47" s="259">
        <v>0.66441</v>
      </c>
      <c r="R47" s="260">
        <f t="shared" si="4"/>
        <v>0.012371704156115</v>
      </c>
      <c r="T47" s="259">
        <v>-0.12345</v>
      </c>
      <c r="U47" s="260">
        <f t="shared" si="5"/>
        <v>-0.00416161003236246</v>
      </c>
      <c r="W47" s="259">
        <v>0.36291</v>
      </c>
      <c r="X47" s="260">
        <f t="shared" si="6"/>
        <v>0.00867023436940058</v>
      </c>
      <c r="Z47" s="259">
        <v>0.07827</v>
      </c>
      <c r="AA47" s="260">
        <f t="shared" si="14"/>
        <v>0.00244769678206211</v>
      </c>
      <c r="AC47" s="259">
        <v>0.29109</v>
      </c>
      <c r="AD47" s="260">
        <f t="shared" si="8"/>
        <v>0.0102975095514363</v>
      </c>
      <c r="AF47" s="259">
        <v>0.77172</v>
      </c>
      <c r="AG47" s="260">
        <f t="shared" si="9"/>
        <v>0.0294426004349319</v>
      </c>
      <c r="AI47" s="259">
        <v>0.41515</v>
      </c>
      <c r="AJ47" s="260">
        <f t="shared" si="10"/>
        <v>0.0122016811662356</v>
      </c>
      <c r="AL47" s="259">
        <v>-0.40917</v>
      </c>
      <c r="AM47" s="260">
        <f t="shared" si="11"/>
        <v>-0.00972061863017604</v>
      </c>
      <c r="AO47" s="259">
        <f t="shared" si="12"/>
        <v>4.75334</v>
      </c>
      <c r="AP47" s="260">
        <f t="shared" si="13"/>
        <v>0.00994210440449946</v>
      </c>
      <c r="AQ47" s="261"/>
    </row>
    <row r="48" outlineLevel="2" spans="1:43">
      <c r="A48" s="245" t="s">
        <v>32</v>
      </c>
      <c r="B48" s="256">
        <v>6666020302</v>
      </c>
      <c r="C48" s="256" t="s">
        <v>81</v>
      </c>
      <c r="D48" s="256" t="s">
        <v>60</v>
      </c>
      <c r="E48" s="257">
        <v>0</v>
      </c>
      <c r="F48" s="258">
        <f t="shared" si="0"/>
        <v>0</v>
      </c>
      <c r="H48" s="259">
        <v>0</v>
      </c>
      <c r="I48" s="260">
        <f t="shared" si="1"/>
        <v>0</v>
      </c>
      <c r="K48" s="259">
        <v>0</v>
      </c>
      <c r="L48" s="260">
        <f t="shared" si="2"/>
        <v>0</v>
      </c>
      <c r="N48" s="259">
        <v>0</v>
      </c>
      <c r="O48" s="260">
        <f t="shared" si="3"/>
        <v>0</v>
      </c>
      <c r="Q48" s="259">
        <v>0</v>
      </c>
      <c r="R48" s="260">
        <f t="shared" si="4"/>
        <v>0</v>
      </c>
      <c r="T48" s="259">
        <v>0</v>
      </c>
      <c r="U48" s="260">
        <f t="shared" si="5"/>
        <v>0</v>
      </c>
      <c r="W48" s="259">
        <v>0</v>
      </c>
      <c r="X48" s="260">
        <f t="shared" si="6"/>
        <v>0</v>
      </c>
      <c r="Z48" s="259">
        <v>0</v>
      </c>
      <c r="AA48" s="260">
        <f t="shared" si="14"/>
        <v>0</v>
      </c>
      <c r="AC48" s="259">
        <v>0</v>
      </c>
      <c r="AD48" s="260">
        <f t="shared" si="8"/>
        <v>0</v>
      </c>
      <c r="AF48" s="259">
        <v>0</v>
      </c>
      <c r="AG48" s="260">
        <f t="shared" si="9"/>
        <v>0</v>
      </c>
      <c r="AI48" s="259">
        <v>0</v>
      </c>
      <c r="AJ48" s="260">
        <f t="shared" si="10"/>
        <v>0</v>
      </c>
      <c r="AL48" s="259">
        <v>0</v>
      </c>
      <c r="AM48" s="260">
        <f t="shared" si="11"/>
        <v>0</v>
      </c>
      <c r="AO48" s="259">
        <f t="shared" si="12"/>
        <v>0</v>
      </c>
      <c r="AP48" s="260">
        <f t="shared" si="13"/>
        <v>0</v>
      </c>
      <c r="AQ48" s="261"/>
    </row>
    <row r="49" outlineLevel="2" spans="1:43">
      <c r="A49" s="245" t="s">
        <v>32</v>
      </c>
      <c r="B49" s="256">
        <v>6666020403</v>
      </c>
      <c r="C49" s="267" t="s">
        <v>82</v>
      </c>
      <c r="D49" s="256" t="s">
        <v>60</v>
      </c>
      <c r="E49" s="257"/>
      <c r="F49" s="258"/>
      <c r="H49" s="259"/>
      <c r="I49" s="260"/>
      <c r="K49" s="259"/>
      <c r="L49" s="260"/>
      <c r="N49" s="259"/>
      <c r="O49" s="260"/>
      <c r="Q49" s="259"/>
      <c r="R49" s="260"/>
      <c r="T49" s="259">
        <v>0.00718</v>
      </c>
      <c r="U49" s="260"/>
      <c r="W49" s="259">
        <v>0.02701</v>
      </c>
      <c r="X49" s="260">
        <f t="shared" si="6"/>
        <v>0.000645292304751893</v>
      </c>
      <c r="Z49" s="259">
        <v>0</v>
      </c>
      <c r="AA49" s="260">
        <f t="shared" si="14"/>
        <v>0</v>
      </c>
      <c r="AC49" s="259">
        <v>0</v>
      </c>
      <c r="AD49" s="260">
        <f t="shared" si="8"/>
        <v>0</v>
      </c>
      <c r="AF49" s="259">
        <v>0</v>
      </c>
      <c r="AG49" s="260">
        <f t="shared" si="9"/>
        <v>0</v>
      </c>
      <c r="AI49" s="259">
        <v>0</v>
      </c>
      <c r="AJ49" s="260">
        <f t="shared" si="10"/>
        <v>0</v>
      </c>
      <c r="AK49" s="268"/>
      <c r="AL49" s="259">
        <v>0.13012</v>
      </c>
      <c r="AM49" s="260">
        <f t="shared" si="11"/>
        <v>0.00309125032665764</v>
      </c>
      <c r="AO49" s="259">
        <f t="shared" si="12"/>
        <v>0.16431</v>
      </c>
      <c r="AP49" s="260">
        <f t="shared" ref="AP49" si="16">AO49/$AO$1*1000</f>
        <v>0.000343671434129119</v>
      </c>
      <c r="AQ49" s="261"/>
    </row>
    <row r="50" outlineLevel="2" spans="1:43">
      <c r="A50" s="245" t="s">
        <v>32</v>
      </c>
      <c r="B50" s="256">
        <v>6666020405</v>
      </c>
      <c r="C50" s="256" t="s">
        <v>83</v>
      </c>
      <c r="D50" s="256" t="s">
        <v>60</v>
      </c>
      <c r="E50" s="257">
        <v>0</v>
      </c>
      <c r="F50" s="258">
        <f t="shared" si="0"/>
        <v>0</v>
      </c>
      <c r="H50" s="259">
        <v>0</v>
      </c>
      <c r="I50" s="260">
        <f t="shared" si="1"/>
        <v>0</v>
      </c>
      <c r="K50" s="259">
        <v>0</v>
      </c>
      <c r="L50" s="260">
        <f t="shared" si="2"/>
        <v>0</v>
      </c>
      <c r="N50" s="259">
        <v>0</v>
      </c>
      <c r="O50" s="260">
        <f t="shared" si="3"/>
        <v>0</v>
      </c>
      <c r="Q50" s="259">
        <v>0</v>
      </c>
      <c r="R50" s="260">
        <f t="shared" si="4"/>
        <v>0</v>
      </c>
      <c r="T50" s="259">
        <v>0</v>
      </c>
      <c r="U50" s="260">
        <f t="shared" si="5"/>
        <v>0</v>
      </c>
      <c r="W50" s="259">
        <v>0</v>
      </c>
      <c r="X50" s="260">
        <f t="shared" si="6"/>
        <v>0</v>
      </c>
      <c r="Z50" s="259">
        <v>0</v>
      </c>
      <c r="AA50" s="260">
        <f t="shared" si="14"/>
        <v>0</v>
      </c>
      <c r="AC50" s="259">
        <v>0</v>
      </c>
      <c r="AD50" s="260">
        <f t="shared" si="8"/>
        <v>0</v>
      </c>
      <c r="AF50" s="259">
        <v>0</v>
      </c>
      <c r="AG50" s="260">
        <f t="shared" si="9"/>
        <v>0</v>
      </c>
      <c r="AI50" s="259">
        <v>0</v>
      </c>
      <c r="AJ50" s="260">
        <f t="shared" si="10"/>
        <v>0</v>
      </c>
      <c r="AL50" s="259">
        <v>0</v>
      </c>
      <c r="AM50" s="260">
        <f t="shared" si="11"/>
        <v>0</v>
      </c>
      <c r="AO50" s="259">
        <f t="shared" si="12"/>
        <v>0</v>
      </c>
      <c r="AP50" s="260">
        <f t="shared" si="13"/>
        <v>0</v>
      </c>
      <c r="AQ50" s="261"/>
    </row>
    <row r="51" outlineLevel="2" spans="1:43">
      <c r="A51" s="245" t="s">
        <v>32</v>
      </c>
      <c r="B51" s="256">
        <v>6666020495</v>
      </c>
      <c r="C51" s="256" t="s">
        <v>84</v>
      </c>
      <c r="D51" s="256" t="s">
        <v>60</v>
      </c>
      <c r="E51" s="257">
        <v>0.03156</v>
      </c>
      <c r="F51" s="258">
        <f t="shared" si="0"/>
        <v>0.000649770439150934</v>
      </c>
      <c r="H51" s="259">
        <v>0.09104</v>
      </c>
      <c r="I51" s="260">
        <f t="shared" si="1"/>
        <v>0.00197771164164838</v>
      </c>
      <c r="K51" s="259">
        <v>0.25476</v>
      </c>
      <c r="L51" s="260">
        <f t="shared" si="2"/>
        <v>0.00549798217407256</v>
      </c>
      <c r="N51" s="259">
        <v>0.2377</v>
      </c>
      <c r="O51" s="260">
        <f t="shared" si="3"/>
        <v>0.00481534752750035</v>
      </c>
      <c r="Q51" s="259">
        <v>0.10084</v>
      </c>
      <c r="R51" s="260">
        <f t="shared" si="4"/>
        <v>0.00187769998510353</v>
      </c>
      <c r="T51" s="259">
        <v>0.12813</v>
      </c>
      <c r="U51" s="260">
        <f t="shared" si="5"/>
        <v>0.00431937702265372</v>
      </c>
      <c r="W51" s="259">
        <v>0.11208</v>
      </c>
      <c r="X51" s="260">
        <f t="shared" si="6"/>
        <v>0.00267768831975536</v>
      </c>
      <c r="Z51" s="259">
        <v>0.80861</v>
      </c>
      <c r="AA51" s="260">
        <f t="shared" si="14"/>
        <v>0.0252872377020984</v>
      </c>
      <c r="AC51" s="259">
        <v>0.21574</v>
      </c>
      <c r="AD51" s="260">
        <f t="shared" si="8"/>
        <v>0.0076319513230508</v>
      </c>
      <c r="AF51" s="259">
        <v>0.00656</v>
      </c>
      <c r="AG51" s="260">
        <f t="shared" si="9"/>
        <v>0.000250276601426882</v>
      </c>
      <c r="AI51" s="259">
        <v>0.08485</v>
      </c>
      <c r="AJ51" s="260">
        <f t="shared" si="10"/>
        <v>0.00249382788619798</v>
      </c>
      <c r="AL51" s="259">
        <v>1.14024</v>
      </c>
      <c r="AM51" s="260">
        <f t="shared" si="11"/>
        <v>0.0270885895517069</v>
      </c>
      <c r="AO51" s="259">
        <f t="shared" si="12"/>
        <v>3.21211</v>
      </c>
      <c r="AP51" s="260">
        <f t="shared" si="13"/>
        <v>0.00671846175083978</v>
      </c>
      <c r="AQ51" s="261"/>
    </row>
    <row r="52" outlineLevel="2" spans="1:43">
      <c r="A52" s="245" t="s">
        <v>32</v>
      </c>
      <c r="B52" s="256">
        <v>6666020504</v>
      </c>
      <c r="C52" s="256" t="s">
        <v>85</v>
      </c>
      <c r="D52" s="256" t="s">
        <v>60</v>
      </c>
      <c r="E52" s="257">
        <v>0</v>
      </c>
      <c r="F52" s="258">
        <f t="shared" si="0"/>
        <v>0</v>
      </c>
      <c r="H52" s="259">
        <v>0</v>
      </c>
      <c r="I52" s="260">
        <f t="shared" si="1"/>
        <v>0</v>
      </c>
      <c r="K52" s="259">
        <v>0</v>
      </c>
      <c r="L52" s="260">
        <f t="shared" si="2"/>
        <v>0</v>
      </c>
      <c r="N52" s="259">
        <v>0</v>
      </c>
      <c r="O52" s="260">
        <f t="shared" si="3"/>
        <v>0</v>
      </c>
      <c r="Q52" s="259">
        <v>0.02649</v>
      </c>
      <c r="R52" s="260">
        <f t="shared" si="4"/>
        <v>0.000493259347534634</v>
      </c>
      <c r="T52" s="259">
        <v>0</v>
      </c>
      <c r="U52" s="260">
        <f t="shared" si="5"/>
        <v>0</v>
      </c>
      <c r="W52" s="259">
        <v>0.01248</v>
      </c>
      <c r="X52" s="260">
        <f t="shared" si="6"/>
        <v>0.000298158014191175</v>
      </c>
      <c r="Z52" s="259">
        <v>0.26041</v>
      </c>
      <c r="AA52" s="260">
        <f t="shared" si="14"/>
        <v>0.00814366575976483</v>
      </c>
      <c r="AC52" s="259">
        <v>0</v>
      </c>
      <c r="AD52" s="260">
        <f t="shared" si="8"/>
        <v>0</v>
      </c>
      <c r="AF52" s="259">
        <v>0</v>
      </c>
      <c r="AG52" s="260">
        <f t="shared" si="9"/>
        <v>0</v>
      </c>
      <c r="AI52" s="259">
        <v>0</v>
      </c>
      <c r="AJ52" s="260">
        <f t="shared" si="10"/>
        <v>0</v>
      </c>
      <c r="AL52" s="259">
        <v>0</v>
      </c>
      <c r="AM52" s="260">
        <f t="shared" si="11"/>
        <v>0</v>
      </c>
      <c r="AO52" s="259">
        <f t="shared" si="12"/>
        <v>0.29938</v>
      </c>
      <c r="AP52" s="260">
        <f t="shared" si="13"/>
        <v>0.00062618437069914</v>
      </c>
      <c r="AQ52" s="261"/>
    </row>
    <row r="53" outlineLevel="2" spans="1:43">
      <c r="A53" s="245" t="s">
        <v>32</v>
      </c>
      <c r="B53" s="256">
        <v>6666020508</v>
      </c>
      <c r="C53" s="256" t="s">
        <v>86</v>
      </c>
      <c r="D53" s="256" t="s">
        <v>60</v>
      </c>
      <c r="E53" s="257">
        <v>0</v>
      </c>
      <c r="F53" s="258">
        <f t="shared" si="0"/>
        <v>0</v>
      </c>
      <c r="H53" s="259">
        <v>0</v>
      </c>
      <c r="I53" s="260">
        <f t="shared" si="1"/>
        <v>0</v>
      </c>
      <c r="K53" s="259">
        <v>0</v>
      </c>
      <c r="L53" s="260">
        <f t="shared" si="2"/>
        <v>0</v>
      </c>
      <c r="N53" s="259">
        <v>0.00496</v>
      </c>
      <c r="O53" s="260">
        <f t="shared" si="3"/>
        <v>0.000100480116686587</v>
      </c>
      <c r="Q53" s="259">
        <v>0</v>
      </c>
      <c r="R53" s="260">
        <f t="shared" si="4"/>
        <v>0</v>
      </c>
      <c r="T53" s="259">
        <v>0</v>
      </c>
      <c r="U53" s="260">
        <f t="shared" si="5"/>
        <v>0</v>
      </c>
      <c r="W53" s="259">
        <v>0.01197</v>
      </c>
      <c r="X53" s="260">
        <f t="shared" si="6"/>
        <v>0.000285973672265093</v>
      </c>
      <c r="Z53" s="259">
        <v>0</v>
      </c>
      <c r="AA53" s="260">
        <f t="shared" si="14"/>
        <v>0</v>
      </c>
      <c r="AC53" s="259">
        <v>0.00744</v>
      </c>
      <c r="AD53" s="260">
        <f t="shared" si="8"/>
        <v>0.00026319513230508</v>
      </c>
      <c r="AF53" s="259">
        <v>0</v>
      </c>
      <c r="AG53" s="260">
        <f t="shared" si="9"/>
        <v>0</v>
      </c>
      <c r="AI53" s="259">
        <v>0</v>
      </c>
      <c r="AJ53" s="260">
        <f t="shared" si="10"/>
        <v>0</v>
      </c>
      <c r="AL53" s="259">
        <v>0.0243</v>
      </c>
      <c r="AM53" s="260">
        <f t="shared" si="11"/>
        <v>0.000577293136626042</v>
      </c>
      <c r="AO53" s="259">
        <f t="shared" si="12"/>
        <v>0.04867</v>
      </c>
      <c r="AP53" s="260">
        <f t="shared" si="13"/>
        <v>0.000101798361019197</v>
      </c>
      <c r="AQ53" s="261"/>
    </row>
    <row r="54" outlineLevel="2" spans="1:43">
      <c r="A54" s="245" t="s">
        <v>32</v>
      </c>
      <c r="B54" s="256">
        <v>6666020602</v>
      </c>
      <c r="C54" s="256" t="s">
        <v>87</v>
      </c>
      <c r="D54" s="256" t="s">
        <v>60</v>
      </c>
      <c r="E54" s="257">
        <v>0</v>
      </c>
      <c r="F54" s="258">
        <f t="shared" si="0"/>
        <v>0</v>
      </c>
      <c r="H54" s="259">
        <v>0.55286</v>
      </c>
      <c r="I54" s="260">
        <f t="shared" si="1"/>
        <v>0.0120100797254144</v>
      </c>
      <c r="K54" s="259">
        <v>0.08608</v>
      </c>
      <c r="L54" s="260">
        <f t="shared" si="2"/>
        <v>0.00185769471480674</v>
      </c>
      <c r="N54" s="259">
        <v>0</v>
      </c>
      <c r="O54" s="260">
        <f t="shared" si="3"/>
        <v>0</v>
      </c>
      <c r="Q54" s="259">
        <v>0</v>
      </c>
      <c r="R54" s="260">
        <f t="shared" si="4"/>
        <v>0</v>
      </c>
      <c r="T54" s="259">
        <v>0.1525</v>
      </c>
      <c r="U54" s="260">
        <f t="shared" si="5"/>
        <v>0.00514091154261057</v>
      </c>
      <c r="W54" s="259">
        <v>1.40706</v>
      </c>
      <c r="X54" s="260">
        <f t="shared" si="6"/>
        <v>0.0336158826480636</v>
      </c>
      <c r="Z54" s="259">
        <v>1.37209</v>
      </c>
      <c r="AA54" s="260">
        <f t="shared" si="14"/>
        <v>0.0429086530944116</v>
      </c>
      <c r="AC54" s="259">
        <v>0.10931</v>
      </c>
      <c r="AD54" s="260">
        <f t="shared" si="8"/>
        <v>0.00386691665487477</v>
      </c>
      <c r="AF54" s="259">
        <v>0.58105</v>
      </c>
      <c r="AG54" s="260">
        <f t="shared" si="9"/>
        <v>0.0221681736675442</v>
      </c>
      <c r="AI54" s="259">
        <v>0.44964</v>
      </c>
      <c r="AJ54" s="260">
        <f t="shared" si="10"/>
        <v>0.0132153773806725</v>
      </c>
      <c r="AL54" s="259">
        <v>-0.00355</v>
      </c>
      <c r="AM54" s="260">
        <f t="shared" si="11"/>
        <v>-8.43370631696482e-5</v>
      </c>
      <c r="AO54" s="259">
        <f t="shared" si="12"/>
        <v>4.70704</v>
      </c>
      <c r="AP54" s="260">
        <f t="shared" si="13"/>
        <v>0.00984526314468461</v>
      </c>
      <c r="AQ54" s="261"/>
    </row>
    <row r="55" outlineLevel="2" spans="1:43">
      <c r="A55" s="245" t="s">
        <v>32</v>
      </c>
      <c r="B55" s="256">
        <v>6666020701</v>
      </c>
      <c r="C55" s="256" t="s">
        <v>88</v>
      </c>
      <c r="D55" s="256" t="s">
        <v>60</v>
      </c>
      <c r="E55" s="257">
        <v>0</v>
      </c>
      <c r="F55" s="258">
        <f t="shared" si="0"/>
        <v>0</v>
      </c>
      <c r="H55" s="259">
        <v>0</v>
      </c>
      <c r="I55" s="260">
        <f t="shared" si="1"/>
        <v>0</v>
      </c>
      <c r="K55" s="259">
        <v>0</v>
      </c>
      <c r="L55" s="260">
        <f t="shared" si="2"/>
        <v>0</v>
      </c>
      <c r="N55" s="259">
        <v>0</v>
      </c>
      <c r="O55" s="260">
        <f t="shared" si="3"/>
        <v>0</v>
      </c>
      <c r="Q55" s="259">
        <v>0</v>
      </c>
      <c r="R55" s="260">
        <f t="shared" si="4"/>
        <v>0</v>
      </c>
      <c r="T55" s="259">
        <v>0</v>
      </c>
      <c r="U55" s="260">
        <f t="shared" si="5"/>
        <v>0</v>
      </c>
      <c r="W55" s="259">
        <v>0</v>
      </c>
      <c r="X55" s="260">
        <f t="shared" si="6"/>
        <v>0</v>
      </c>
      <c r="Z55" s="259">
        <v>0</v>
      </c>
      <c r="AA55" s="260">
        <f t="shared" si="14"/>
        <v>0</v>
      </c>
      <c r="AC55" s="259">
        <v>0</v>
      </c>
      <c r="AD55" s="260">
        <f t="shared" si="8"/>
        <v>0</v>
      </c>
      <c r="AF55" s="259">
        <v>0</v>
      </c>
      <c r="AG55" s="260">
        <f t="shared" si="9"/>
        <v>0</v>
      </c>
      <c r="AI55" s="259">
        <v>0</v>
      </c>
      <c r="AJ55" s="260">
        <f t="shared" si="10"/>
        <v>0</v>
      </c>
      <c r="AL55" s="259">
        <v>0</v>
      </c>
      <c r="AM55" s="260">
        <f t="shared" si="11"/>
        <v>0</v>
      </c>
      <c r="AO55" s="259">
        <f t="shared" si="12"/>
        <v>0</v>
      </c>
      <c r="AP55" s="260">
        <f t="shared" si="13"/>
        <v>0</v>
      </c>
      <c r="AQ55" s="261"/>
    </row>
    <row r="56" outlineLevel="2" spans="1:43">
      <c r="A56" s="245" t="s">
        <v>32</v>
      </c>
      <c r="B56" s="256">
        <v>6666020802</v>
      </c>
      <c r="C56" s="256" t="s">
        <v>90</v>
      </c>
      <c r="D56" s="256" t="s">
        <v>60</v>
      </c>
      <c r="E56" s="257">
        <v>15.5325</v>
      </c>
      <c r="F56" s="258">
        <f t="shared" si="0"/>
        <v>0.319789586378703</v>
      </c>
      <c r="H56" s="259">
        <v>15.04068</v>
      </c>
      <c r="I56" s="260">
        <f t="shared" si="1"/>
        <v>0.326736906132557</v>
      </c>
      <c r="K56" s="259">
        <v>5.99021</v>
      </c>
      <c r="L56" s="260">
        <f t="shared" si="2"/>
        <v>0.129274877527678</v>
      </c>
      <c r="N56" s="259">
        <v>10.50561</v>
      </c>
      <c r="O56" s="260">
        <f t="shared" si="3"/>
        <v>0.212823572311245</v>
      </c>
      <c r="Q56" s="259">
        <v>11.03322</v>
      </c>
      <c r="R56" s="260">
        <f t="shared" si="4"/>
        <v>0.20544503202741</v>
      </c>
      <c r="T56" s="259">
        <v>7.36439</v>
      </c>
      <c r="U56" s="260">
        <f t="shared" si="5"/>
        <v>0.248260180690399</v>
      </c>
      <c r="W56" s="259">
        <v>12.21214</v>
      </c>
      <c r="X56" s="260">
        <f t="shared" si="6"/>
        <v>0.291758606684664</v>
      </c>
      <c r="Z56" s="259">
        <v>10.97025</v>
      </c>
      <c r="AA56" s="260">
        <f t="shared" si="14"/>
        <v>0.343066891828502</v>
      </c>
      <c r="AC56" s="259">
        <v>10.758</v>
      </c>
      <c r="AD56" s="260">
        <f t="shared" si="8"/>
        <v>0.380571671147587</v>
      </c>
      <c r="AF56" s="259">
        <v>10.8062</v>
      </c>
      <c r="AG56" s="260">
        <f t="shared" si="9"/>
        <v>0.412277288161459</v>
      </c>
      <c r="AI56" s="259">
        <v>10.7098</v>
      </c>
      <c r="AJ56" s="260">
        <f t="shared" si="10"/>
        <v>0.314771925699506</v>
      </c>
      <c r="AL56" s="259">
        <v>12.50106</v>
      </c>
      <c r="AM56" s="260">
        <f t="shared" si="11"/>
        <v>0.296986672368327</v>
      </c>
      <c r="AO56" s="259">
        <f t="shared" si="12"/>
        <v>133.42406</v>
      </c>
      <c r="AP56" s="260">
        <f t="shared" si="13"/>
        <v>0.2790702820737</v>
      </c>
      <c r="AQ56" s="261"/>
    </row>
    <row r="57" outlineLevel="2" spans="1:43">
      <c r="A57" s="245" t="s">
        <v>32</v>
      </c>
      <c r="B57" s="256">
        <v>6666020803</v>
      </c>
      <c r="C57" s="256" t="s">
        <v>91</v>
      </c>
      <c r="D57" s="256" t="s">
        <v>60</v>
      </c>
      <c r="E57" s="257">
        <v>4.81971</v>
      </c>
      <c r="F57" s="258">
        <f t="shared" si="0"/>
        <v>0.099230199089992</v>
      </c>
      <c r="H57" s="259">
        <v>4.86478</v>
      </c>
      <c r="I57" s="260">
        <f t="shared" si="1"/>
        <v>0.10568027284774</v>
      </c>
      <c r="K57" s="259">
        <v>4.7008</v>
      </c>
      <c r="L57" s="260">
        <f t="shared" si="2"/>
        <v>0.101448086842048</v>
      </c>
      <c r="N57" s="259">
        <v>3.00868</v>
      </c>
      <c r="O57" s="260">
        <f t="shared" si="3"/>
        <v>0.0609501043291534</v>
      </c>
      <c r="Q57" s="259">
        <v>3.58813</v>
      </c>
      <c r="R57" s="260">
        <f t="shared" si="4"/>
        <v>0.066813086548488</v>
      </c>
      <c r="T57" s="259">
        <v>4.63247</v>
      </c>
      <c r="U57" s="260">
        <f t="shared" si="5"/>
        <v>0.156164711434736</v>
      </c>
      <c r="W57" s="259">
        <v>4.19444</v>
      </c>
      <c r="X57" s="260">
        <f t="shared" si="6"/>
        <v>0.1002088061734</v>
      </c>
      <c r="Z57" s="259">
        <v>9.68104</v>
      </c>
      <c r="AA57" s="260">
        <f t="shared" si="14"/>
        <v>0.302750101635551</v>
      </c>
      <c r="AC57" s="259">
        <v>6.35918</v>
      </c>
      <c r="AD57" s="260">
        <f t="shared" si="8"/>
        <v>0.224960379227395</v>
      </c>
      <c r="AF57" s="259">
        <v>-0.24146</v>
      </c>
      <c r="AG57" s="260">
        <f t="shared" si="9"/>
        <v>-0.00921216283239861</v>
      </c>
      <c r="AI57" s="259">
        <v>4.73164</v>
      </c>
      <c r="AJ57" s="260">
        <f t="shared" si="10"/>
        <v>0.139067716905714</v>
      </c>
      <c r="AL57" s="259">
        <v>0.19891</v>
      </c>
      <c r="AM57" s="260">
        <f t="shared" si="11"/>
        <v>0.0047254887986126</v>
      </c>
      <c r="AO57" s="259">
        <f t="shared" si="12"/>
        <v>50.53832</v>
      </c>
      <c r="AP57" s="260">
        <f t="shared" si="13"/>
        <v>0.105706146387173</v>
      </c>
      <c r="AQ57" s="261"/>
    </row>
    <row r="58" outlineLevel="2" spans="1:43">
      <c r="A58" s="245" t="s">
        <v>32</v>
      </c>
      <c r="B58" s="256">
        <v>6666021100</v>
      </c>
      <c r="C58" s="256" t="s">
        <v>92</v>
      </c>
      <c r="D58" s="256" t="s">
        <v>60</v>
      </c>
      <c r="E58" s="257">
        <v>10.57577</v>
      </c>
      <c r="F58" s="258">
        <f t="shared" si="0"/>
        <v>0.217738362397315</v>
      </c>
      <c r="H58" s="259">
        <v>9.71594</v>
      </c>
      <c r="I58" s="260">
        <f t="shared" si="1"/>
        <v>0.211064670996894</v>
      </c>
      <c r="K58" s="259">
        <v>8.5915</v>
      </c>
      <c r="L58" s="260">
        <f t="shared" si="2"/>
        <v>0.185413384552302</v>
      </c>
      <c r="N58" s="259">
        <v>6.58522</v>
      </c>
      <c r="O58" s="260">
        <f t="shared" si="3"/>
        <v>0.133403966533639</v>
      </c>
      <c r="Q58" s="259">
        <v>6.37014</v>
      </c>
      <c r="R58" s="260">
        <f t="shared" si="4"/>
        <v>0.1186157455683</v>
      </c>
      <c r="T58" s="259">
        <v>5.96825</v>
      </c>
      <c r="U58" s="260">
        <f t="shared" si="5"/>
        <v>0.201195051240561</v>
      </c>
      <c r="W58" s="259">
        <v>6.48555</v>
      </c>
      <c r="X58" s="260">
        <f t="shared" si="6"/>
        <v>0.154945409369998</v>
      </c>
      <c r="Z58" s="259">
        <v>6.32448</v>
      </c>
      <c r="AA58" s="260">
        <f t="shared" si="14"/>
        <v>0.197782155924571</v>
      </c>
      <c r="AC58" s="259">
        <v>4.10628</v>
      </c>
      <c r="AD58" s="260">
        <f t="shared" si="8"/>
        <v>0.145262487618509</v>
      </c>
      <c r="AF58" s="259">
        <v>4.06163</v>
      </c>
      <c r="AG58" s="260">
        <f t="shared" si="9"/>
        <v>0.15495898668498</v>
      </c>
      <c r="AI58" s="259">
        <v>4.43257</v>
      </c>
      <c r="AJ58" s="260">
        <f t="shared" si="10"/>
        <v>0.130277745121091</v>
      </c>
      <c r="AL58" s="259">
        <v>-0.31331</v>
      </c>
      <c r="AM58" s="260">
        <f t="shared" si="11"/>
        <v>-0.00744328035540351</v>
      </c>
      <c r="AO58" s="259">
        <f t="shared" si="12"/>
        <v>72.90402</v>
      </c>
      <c r="AP58" s="260">
        <f t="shared" si="13"/>
        <v>0.15248633136862</v>
      </c>
      <c r="AQ58" s="261"/>
    </row>
    <row r="59" outlineLevel="2" spans="1:43">
      <c r="A59" s="245" t="s">
        <v>32</v>
      </c>
      <c r="B59" s="256">
        <v>6666021104</v>
      </c>
      <c r="C59" s="267" t="s">
        <v>93</v>
      </c>
      <c r="D59" s="256" t="s">
        <v>60</v>
      </c>
      <c r="E59" s="257"/>
      <c r="F59" s="258"/>
      <c r="H59" s="259"/>
      <c r="I59" s="260"/>
      <c r="K59" s="259"/>
      <c r="L59" s="260"/>
      <c r="N59" s="259"/>
      <c r="O59" s="260"/>
      <c r="Q59" s="259"/>
      <c r="R59" s="260"/>
      <c r="T59" s="259"/>
      <c r="U59" s="260"/>
      <c r="W59" s="259">
        <v>-0.03701</v>
      </c>
      <c r="X59" s="260">
        <f t="shared" si="6"/>
        <v>-0.000884200969969181</v>
      </c>
      <c r="Z59" s="259">
        <v>0</v>
      </c>
      <c r="AA59" s="260">
        <f t="shared" si="14"/>
        <v>0</v>
      </c>
      <c r="AC59" s="259">
        <v>0</v>
      </c>
      <c r="AD59" s="260">
        <f t="shared" si="8"/>
        <v>0</v>
      </c>
      <c r="AF59" s="259">
        <v>0</v>
      </c>
      <c r="AG59" s="260">
        <f t="shared" si="9"/>
        <v>0</v>
      </c>
      <c r="AI59" s="259">
        <v>0</v>
      </c>
      <c r="AJ59" s="260">
        <f t="shared" si="10"/>
        <v>0</v>
      </c>
      <c r="AL59" s="259">
        <v>0</v>
      </c>
      <c r="AM59" s="260">
        <f t="shared" si="11"/>
        <v>0</v>
      </c>
      <c r="AO59" s="259">
        <f t="shared" si="12"/>
        <v>-0.03701</v>
      </c>
      <c r="AP59" s="260">
        <f t="shared" ref="AP59" si="17">AO59/$AO$1*1000</f>
        <v>-7.74102597353703e-5</v>
      </c>
      <c r="AQ59" s="261"/>
    </row>
    <row r="60" outlineLevel="2" spans="1:43">
      <c r="A60" s="269" t="s">
        <v>32</v>
      </c>
      <c r="B60" s="256">
        <v>6666021200</v>
      </c>
      <c r="C60" s="270" t="s">
        <v>94</v>
      </c>
      <c r="D60" s="256" t="s">
        <v>60</v>
      </c>
      <c r="E60" s="257"/>
      <c r="F60" s="258"/>
      <c r="H60" s="259"/>
      <c r="I60" s="260"/>
      <c r="K60" s="259"/>
      <c r="L60" s="260"/>
      <c r="N60" s="259"/>
      <c r="O60" s="260"/>
      <c r="Q60" s="259"/>
      <c r="R60" s="260"/>
      <c r="T60" s="259"/>
      <c r="U60" s="260"/>
      <c r="W60" s="259"/>
      <c r="X60" s="260"/>
      <c r="Z60" s="259"/>
      <c r="AA60" s="260"/>
      <c r="AC60" s="259"/>
      <c r="AD60" s="260"/>
      <c r="AF60" s="259"/>
      <c r="AG60" s="260"/>
      <c r="AI60" s="259"/>
      <c r="AJ60" s="260"/>
      <c r="AL60" s="259">
        <v>-0.02719</v>
      </c>
      <c r="AM60" s="260">
        <f t="shared" si="11"/>
        <v>-0.000645950633121897</v>
      </c>
      <c r="AO60" s="259">
        <f t="shared" ref="AO60" si="18">H60+E60+K60+N60+Q60+T60+W60+Z60+AC60+AF60+AI60+AL60</f>
        <v>-0.02719</v>
      </c>
      <c r="AP60" s="260">
        <f t="shared" ref="AP60" si="19">AO60/$AO$1*1000</f>
        <v>-5.68707095975336e-5</v>
      </c>
      <c r="AQ60" s="261"/>
    </row>
    <row r="61" outlineLevel="2" spans="1:43">
      <c r="A61" s="245" t="s">
        <v>32</v>
      </c>
      <c r="B61" s="256">
        <v>6666021902</v>
      </c>
      <c r="C61" s="256" t="s">
        <v>95</v>
      </c>
      <c r="D61" s="256" t="s">
        <v>60</v>
      </c>
      <c r="E61" s="257">
        <v>7.13263</v>
      </c>
      <c r="F61" s="258">
        <f t="shared" si="0"/>
        <v>0.146849560437298</v>
      </c>
      <c r="H61" s="259">
        <v>8.15543</v>
      </c>
      <c r="I61" s="260">
        <f t="shared" si="1"/>
        <v>0.177164859991745</v>
      </c>
      <c r="K61" s="259">
        <v>8.7418</v>
      </c>
      <c r="L61" s="260">
        <f t="shared" si="2"/>
        <v>0.188657012754386</v>
      </c>
      <c r="N61" s="259">
        <v>7.40652</v>
      </c>
      <c r="O61" s="260">
        <f t="shared" si="3"/>
        <v>0.150041934242246</v>
      </c>
      <c r="Q61" s="259">
        <v>6.65347</v>
      </c>
      <c r="R61" s="260">
        <f t="shared" si="4"/>
        <v>0.123891516460599</v>
      </c>
      <c r="T61" s="259">
        <v>6.07902</v>
      </c>
      <c r="U61" s="260">
        <f t="shared" si="5"/>
        <v>0.204929207119741</v>
      </c>
      <c r="W61" s="259">
        <v>5.90889</v>
      </c>
      <c r="X61" s="260">
        <f t="shared" si="6"/>
        <v>0.141168502281578</v>
      </c>
      <c r="Z61" s="259">
        <v>8.01798</v>
      </c>
      <c r="AA61" s="260">
        <f t="shared" si="14"/>
        <v>0.250742095881415</v>
      </c>
      <c r="AC61" s="259">
        <v>6.6217</v>
      </c>
      <c r="AD61" s="260">
        <f t="shared" si="8"/>
        <v>0.234247205320504</v>
      </c>
      <c r="AF61" s="259">
        <v>7.09478</v>
      </c>
      <c r="AG61" s="260">
        <f t="shared" si="9"/>
        <v>0.270679485712106</v>
      </c>
      <c r="AI61" s="259">
        <v>7.77853</v>
      </c>
      <c r="AJ61" s="260">
        <f t="shared" si="10"/>
        <v>0.228618916059252</v>
      </c>
      <c r="AL61" s="259">
        <v>3.87362</v>
      </c>
      <c r="AM61" s="260">
        <f t="shared" si="11"/>
        <v>0.0920252773620317</v>
      </c>
      <c r="AO61" s="259">
        <f t="shared" si="12"/>
        <v>83.46437</v>
      </c>
      <c r="AP61" s="260">
        <f t="shared" si="13"/>
        <v>0.174574400441747</v>
      </c>
      <c r="AQ61" s="261"/>
    </row>
    <row r="62" outlineLevel="2" spans="1:43">
      <c r="A62" s="269" t="s">
        <v>32</v>
      </c>
      <c r="B62" s="256">
        <v>6666022100</v>
      </c>
      <c r="C62" s="256" t="s">
        <v>96</v>
      </c>
      <c r="D62" s="256" t="s">
        <v>60</v>
      </c>
      <c r="E62" s="257">
        <v>1.47911</v>
      </c>
      <c r="F62" s="258">
        <f t="shared" si="0"/>
        <v>0.0304525334047065</v>
      </c>
      <c r="H62" s="259">
        <v>1.22778</v>
      </c>
      <c r="I62" s="260">
        <f t="shared" si="1"/>
        <v>0.0266717354941021</v>
      </c>
      <c r="K62" s="259">
        <v>1.33541</v>
      </c>
      <c r="L62" s="260">
        <f t="shared" si="2"/>
        <v>0.02881951787988</v>
      </c>
      <c r="N62" s="259">
        <v>1.29905</v>
      </c>
      <c r="O62" s="260">
        <f t="shared" si="3"/>
        <v>0.0263162692705062</v>
      </c>
      <c r="Q62" s="259">
        <v>1.32657</v>
      </c>
      <c r="R62" s="260">
        <f t="shared" si="4"/>
        <v>0.024701511991658</v>
      </c>
      <c r="T62" s="259">
        <v>1.12761</v>
      </c>
      <c r="U62" s="260">
        <f t="shared" si="5"/>
        <v>0.0380127427184466</v>
      </c>
      <c r="W62" s="259">
        <v>1.03947</v>
      </c>
      <c r="X62" s="260">
        <f t="shared" si="6"/>
        <v>0.0248338390233414</v>
      </c>
      <c r="Z62" s="259">
        <v>0.82146</v>
      </c>
      <c r="AA62" s="260">
        <f t="shared" si="14"/>
        <v>0.0256890890327423</v>
      </c>
      <c r="AC62" s="259">
        <v>1.01704</v>
      </c>
      <c r="AD62" s="260">
        <f t="shared" si="8"/>
        <v>0.0359784915805858</v>
      </c>
      <c r="AF62" s="259">
        <v>1.11421</v>
      </c>
      <c r="AG62" s="260">
        <f t="shared" si="9"/>
        <v>0.0425092518408302</v>
      </c>
      <c r="AI62" s="259">
        <v>1.05209</v>
      </c>
      <c r="AJ62" s="260">
        <f t="shared" si="10"/>
        <v>0.0309219962379497</v>
      </c>
      <c r="AL62" s="259">
        <v>0.97938</v>
      </c>
      <c r="AM62" s="260">
        <f t="shared" si="11"/>
        <v>0.0232670515287577</v>
      </c>
      <c r="AO62" s="259">
        <f t="shared" si="12"/>
        <v>13.81918</v>
      </c>
      <c r="AP62" s="260">
        <f t="shared" si="13"/>
        <v>0.0289042505574124</v>
      </c>
      <c r="AQ62" s="261"/>
    </row>
    <row r="63" outlineLevel="2" spans="1:43">
      <c r="A63" s="245" t="s">
        <v>32</v>
      </c>
      <c r="B63" s="256">
        <v>6666022300</v>
      </c>
      <c r="C63" s="256" t="s">
        <v>97</v>
      </c>
      <c r="D63" s="256" t="s">
        <v>60</v>
      </c>
      <c r="E63" s="257">
        <v>0</v>
      </c>
      <c r="F63" s="258">
        <f t="shared" si="0"/>
        <v>0</v>
      </c>
      <c r="H63" s="259">
        <v>0</v>
      </c>
      <c r="I63" s="260">
        <f t="shared" si="1"/>
        <v>0</v>
      </c>
      <c r="K63" s="259">
        <v>0</v>
      </c>
      <c r="L63" s="260">
        <f t="shared" si="2"/>
        <v>0</v>
      </c>
      <c r="N63" s="259">
        <v>0</v>
      </c>
      <c r="O63" s="260">
        <f t="shared" si="3"/>
        <v>0</v>
      </c>
      <c r="Q63" s="259">
        <v>0</v>
      </c>
      <c r="R63" s="260">
        <f t="shared" si="4"/>
        <v>0</v>
      </c>
      <c r="T63" s="259">
        <v>0</v>
      </c>
      <c r="U63" s="260">
        <f t="shared" si="5"/>
        <v>0</v>
      </c>
      <c r="W63" s="259">
        <v>0</v>
      </c>
      <c r="X63" s="260">
        <f t="shared" si="6"/>
        <v>0</v>
      </c>
      <c r="Z63" s="259">
        <v>0</v>
      </c>
      <c r="AA63" s="260">
        <f t="shared" si="14"/>
        <v>0</v>
      </c>
      <c r="AC63" s="259">
        <v>0</v>
      </c>
      <c r="AD63" s="260">
        <f t="shared" si="8"/>
        <v>0</v>
      </c>
      <c r="AF63" s="259">
        <v>0</v>
      </c>
      <c r="AG63" s="260">
        <f t="shared" si="9"/>
        <v>0</v>
      </c>
      <c r="AI63" s="259">
        <v>0</v>
      </c>
      <c r="AJ63" s="260">
        <f t="shared" si="10"/>
        <v>0</v>
      </c>
      <c r="AL63" s="259">
        <v>0</v>
      </c>
      <c r="AM63" s="260">
        <f t="shared" si="11"/>
        <v>0</v>
      </c>
      <c r="AO63" s="259">
        <f t="shared" si="12"/>
        <v>0</v>
      </c>
      <c r="AP63" s="260">
        <f t="shared" si="13"/>
        <v>0</v>
      </c>
      <c r="AQ63" s="261"/>
    </row>
    <row r="64" outlineLevel="2" spans="1:43">
      <c r="A64" s="245" t="s">
        <v>32</v>
      </c>
      <c r="B64" s="256">
        <v>6666029700</v>
      </c>
      <c r="C64" s="256" t="s">
        <v>98</v>
      </c>
      <c r="D64" s="256" t="s">
        <v>60</v>
      </c>
      <c r="E64" s="257">
        <v>0</v>
      </c>
      <c r="F64" s="258">
        <f t="shared" si="0"/>
        <v>0</v>
      </c>
      <c r="H64" s="259">
        <v>0</v>
      </c>
      <c r="I64" s="260">
        <f t="shared" si="1"/>
        <v>0</v>
      </c>
      <c r="K64" s="259">
        <v>0</v>
      </c>
      <c r="L64" s="260">
        <f t="shared" si="2"/>
        <v>0</v>
      </c>
      <c r="N64" s="259">
        <v>0</v>
      </c>
      <c r="O64" s="260">
        <f t="shared" si="3"/>
        <v>0</v>
      </c>
      <c r="Q64" s="259">
        <v>0</v>
      </c>
      <c r="R64" s="260">
        <f t="shared" si="4"/>
        <v>0</v>
      </c>
      <c r="T64" s="259">
        <v>0</v>
      </c>
      <c r="U64" s="260">
        <f t="shared" si="5"/>
        <v>0</v>
      </c>
      <c r="W64" s="259">
        <v>0</v>
      </c>
      <c r="X64" s="260">
        <f t="shared" si="6"/>
        <v>0</v>
      </c>
      <c r="Z64" s="259">
        <v>0</v>
      </c>
      <c r="AA64" s="260">
        <f t="shared" si="14"/>
        <v>0</v>
      </c>
      <c r="AC64" s="259">
        <v>0</v>
      </c>
      <c r="AD64" s="260">
        <f t="shared" si="8"/>
        <v>0</v>
      </c>
      <c r="AF64" s="259">
        <v>0</v>
      </c>
      <c r="AG64" s="260">
        <f t="shared" si="9"/>
        <v>0</v>
      </c>
      <c r="AI64" s="259">
        <v>0</v>
      </c>
      <c r="AJ64" s="260">
        <f t="shared" si="10"/>
        <v>0</v>
      </c>
      <c r="AL64" s="259">
        <v>0</v>
      </c>
      <c r="AM64" s="260">
        <f t="shared" si="11"/>
        <v>0</v>
      </c>
      <c r="AO64" s="259">
        <f t="shared" si="12"/>
        <v>0</v>
      </c>
      <c r="AP64" s="260">
        <f t="shared" si="13"/>
        <v>0</v>
      </c>
      <c r="AQ64" s="261"/>
    </row>
    <row r="65" outlineLevel="2" spans="1:43">
      <c r="A65" s="245" t="s">
        <v>32</v>
      </c>
      <c r="B65" s="256">
        <v>6666029900</v>
      </c>
      <c r="C65" s="256" t="s">
        <v>99</v>
      </c>
      <c r="D65" s="256" t="s">
        <v>60</v>
      </c>
      <c r="E65" s="257">
        <v>0</v>
      </c>
      <c r="F65" s="258">
        <f t="shared" si="0"/>
        <v>0</v>
      </c>
      <c r="H65" s="259">
        <v>0</v>
      </c>
      <c r="I65" s="260">
        <f t="shared" si="1"/>
        <v>0</v>
      </c>
      <c r="K65" s="259">
        <v>0</v>
      </c>
      <c r="L65" s="260">
        <f t="shared" si="2"/>
        <v>0</v>
      </c>
      <c r="N65" s="259">
        <v>0</v>
      </c>
      <c r="O65" s="260">
        <f t="shared" si="3"/>
        <v>0</v>
      </c>
      <c r="Q65" s="259">
        <v>0</v>
      </c>
      <c r="R65" s="260">
        <f t="shared" si="4"/>
        <v>0</v>
      </c>
      <c r="T65" s="259">
        <v>0.0167</v>
      </c>
      <c r="U65" s="260">
        <f t="shared" si="5"/>
        <v>0.000562971952535059</v>
      </c>
      <c r="W65" s="259">
        <v>0</v>
      </c>
      <c r="X65" s="260">
        <f t="shared" si="6"/>
        <v>0</v>
      </c>
      <c r="Z65" s="259">
        <v>0</v>
      </c>
      <c r="AA65" s="260">
        <f t="shared" si="14"/>
        <v>0</v>
      </c>
      <c r="AC65" s="259">
        <v>0</v>
      </c>
      <c r="AD65" s="260">
        <f t="shared" si="8"/>
        <v>0</v>
      </c>
      <c r="AF65" s="259">
        <v>0</v>
      </c>
      <c r="AG65" s="260">
        <f t="shared" si="9"/>
        <v>0</v>
      </c>
      <c r="AI65" s="259">
        <v>0</v>
      </c>
      <c r="AJ65" s="260">
        <f t="shared" si="10"/>
        <v>0</v>
      </c>
      <c r="AL65" s="259">
        <v>0.05916</v>
      </c>
      <c r="AM65" s="260">
        <f t="shared" si="11"/>
        <v>0.00140545934003278</v>
      </c>
      <c r="AO65" s="259">
        <f t="shared" si="12"/>
        <v>0.07586</v>
      </c>
      <c r="AP65" s="260">
        <f t="shared" si="13"/>
        <v>0.00015866907061673</v>
      </c>
      <c r="AQ65" s="261"/>
    </row>
    <row r="66" outlineLevel="2" spans="1:43">
      <c r="A66" s="245" t="s">
        <v>32</v>
      </c>
      <c r="B66" s="256">
        <v>6666029996</v>
      </c>
      <c r="C66" s="256" t="s">
        <v>100</v>
      </c>
      <c r="D66" s="256" t="s">
        <v>60</v>
      </c>
      <c r="E66" s="257"/>
      <c r="F66" s="258"/>
      <c r="H66" s="259"/>
      <c r="I66" s="260"/>
      <c r="K66" s="259"/>
      <c r="L66" s="260"/>
      <c r="N66" s="259"/>
      <c r="O66" s="260"/>
      <c r="Q66" s="259"/>
      <c r="R66" s="260"/>
      <c r="T66" s="259"/>
      <c r="U66" s="260"/>
      <c r="W66" s="259"/>
      <c r="X66" s="260"/>
      <c r="Z66" s="259"/>
      <c r="AA66" s="260"/>
      <c r="AC66" s="259"/>
      <c r="AD66" s="260"/>
      <c r="AF66" s="259">
        <v>0.103</v>
      </c>
      <c r="AG66" s="260">
        <f t="shared" si="9"/>
        <v>0.00392964785776964</v>
      </c>
      <c r="AI66" s="259">
        <v>0</v>
      </c>
      <c r="AJ66" s="260">
        <f t="shared" si="10"/>
        <v>0</v>
      </c>
      <c r="AL66" s="259">
        <v>0.07073</v>
      </c>
      <c r="AM66" s="260">
        <f t="shared" si="11"/>
        <v>0.00168032689520823</v>
      </c>
      <c r="AO66" s="259">
        <f t="shared" si="12"/>
        <v>0.17373</v>
      </c>
      <c r="AP66" s="260">
        <f t="shared" ref="AP66" si="20">AO66/$AO$1*1000</f>
        <v>0.000363374342713479</v>
      </c>
      <c r="AQ66" s="261"/>
    </row>
    <row r="67" outlineLevel="2" spans="1:43">
      <c r="A67" s="245" t="s">
        <v>32</v>
      </c>
      <c r="B67" s="256">
        <v>6666029997</v>
      </c>
      <c r="C67" s="256" t="s">
        <v>101</v>
      </c>
      <c r="D67" s="256" t="s">
        <v>60</v>
      </c>
      <c r="E67" s="257">
        <v>0.66238</v>
      </c>
      <c r="F67" s="258">
        <f t="shared" si="0"/>
        <v>0.0136373556237261</v>
      </c>
      <c r="H67" s="259">
        <v>4.5982</v>
      </c>
      <c r="I67" s="260">
        <f t="shared" si="1"/>
        <v>0.0998892099146265</v>
      </c>
      <c r="K67" s="259">
        <v>0</v>
      </c>
      <c r="L67" s="260">
        <f t="shared" si="2"/>
        <v>0</v>
      </c>
      <c r="N67" s="259">
        <v>0</v>
      </c>
      <c r="O67" s="260">
        <f t="shared" si="3"/>
        <v>0</v>
      </c>
      <c r="Q67" s="259">
        <v>0</v>
      </c>
      <c r="R67" s="260">
        <f t="shared" si="4"/>
        <v>0</v>
      </c>
      <c r="T67" s="259">
        <v>0</v>
      </c>
      <c r="U67" s="260">
        <f t="shared" si="5"/>
        <v>0</v>
      </c>
      <c r="W67" s="259">
        <v>0</v>
      </c>
      <c r="X67" s="260">
        <f t="shared" si="6"/>
        <v>0</v>
      </c>
      <c r="Z67" s="259">
        <v>0</v>
      </c>
      <c r="AA67" s="260">
        <f t="shared" si="14"/>
        <v>0</v>
      </c>
      <c r="AC67" s="259">
        <v>8.24399</v>
      </c>
      <c r="AD67" s="260">
        <f t="shared" si="8"/>
        <v>0.291636833168247</v>
      </c>
      <c r="AF67" s="259">
        <v>0</v>
      </c>
      <c r="AG67" s="260">
        <f t="shared" si="9"/>
        <v>0</v>
      </c>
      <c r="AI67" s="259">
        <v>0</v>
      </c>
      <c r="AJ67" s="260">
        <f t="shared" si="10"/>
        <v>0</v>
      </c>
      <c r="AL67" s="259">
        <v>1.43447</v>
      </c>
      <c r="AM67" s="260">
        <f t="shared" si="11"/>
        <v>0.0340785878887226</v>
      </c>
      <c r="AO67" s="259">
        <f t="shared" si="12"/>
        <v>14.93904</v>
      </c>
      <c r="AP67" s="260">
        <f t="shared" si="13"/>
        <v>0.0312465540826016</v>
      </c>
      <c r="AQ67" s="261"/>
    </row>
    <row r="68" outlineLevel="2" spans="1:43">
      <c r="A68" s="245" t="s">
        <v>32</v>
      </c>
      <c r="B68" s="256">
        <v>6666030702</v>
      </c>
      <c r="C68" s="256" t="s">
        <v>102</v>
      </c>
      <c r="D68" s="256" t="s">
        <v>60</v>
      </c>
      <c r="E68" s="257">
        <v>0</v>
      </c>
      <c r="F68" s="258">
        <f t="shared" si="0"/>
        <v>0</v>
      </c>
      <c r="H68" s="259">
        <v>0</v>
      </c>
      <c r="I68" s="260">
        <f t="shared" si="1"/>
        <v>0</v>
      </c>
      <c r="K68" s="259">
        <v>0</v>
      </c>
      <c r="L68" s="260">
        <f t="shared" si="2"/>
        <v>0</v>
      </c>
      <c r="N68" s="259">
        <v>0</v>
      </c>
      <c r="O68" s="260">
        <f t="shared" si="3"/>
        <v>0</v>
      </c>
      <c r="Q68" s="259">
        <v>0</v>
      </c>
      <c r="R68" s="260">
        <f t="shared" si="4"/>
        <v>0</v>
      </c>
      <c r="T68" s="259">
        <v>0</v>
      </c>
      <c r="U68" s="260">
        <f t="shared" si="5"/>
        <v>0</v>
      </c>
      <c r="W68" s="259">
        <v>0</v>
      </c>
      <c r="X68" s="260">
        <f t="shared" si="6"/>
        <v>0</v>
      </c>
      <c r="Z68" s="259">
        <v>0</v>
      </c>
      <c r="AA68" s="260">
        <f t="shared" si="14"/>
        <v>0</v>
      </c>
      <c r="AC68" s="259">
        <v>0</v>
      </c>
      <c r="AD68" s="260">
        <f t="shared" si="8"/>
        <v>0</v>
      </c>
      <c r="AF68" s="259">
        <v>0</v>
      </c>
      <c r="AG68" s="260">
        <f t="shared" si="9"/>
        <v>0</v>
      </c>
      <c r="AI68" s="259">
        <v>0</v>
      </c>
      <c r="AJ68" s="260">
        <f t="shared" si="10"/>
        <v>0</v>
      </c>
      <c r="AL68" s="259">
        <v>0</v>
      </c>
      <c r="AM68" s="260">
        <f t="shared" si="11"/>
        <v>0</v>
      </c>
      <c r="AO68" s="259">
        <f t="shared" si="12"/>
        <v>0</v>
      </c>
      <c r="AP68" s="260">
        <f t="shared" si="13"/>
        <v>0</v>
      </c>
      <c r="AQ68" s="261"/>
    </row>
    <row r="69" outlineLevel="2" spans="1:43">
      <c r="A69" s="245" t="s">
        <v>32</v>
      </c>
      <c r="B69" s="256">
        <v>6666031200</v>
      </c>
      <c r="C69" s="256" t="s">
        <v>103</v>
      </c>
      <c r="D69" s="256" t="s">
        <v>60</v>
      </c>
      <c r="E69" s="257">
        <v>0</v>
      </c>
      <c r="F69" s="258">
        <f t="shared" si="0"/>
        <v>0</v>
      </c>
      <c r="H69" s="259">
        <v>-0.00026</v>
      </c>
      <c r="I69" s="260">
        <f t="shared" si="1"/>
        <v>-5.64812199943519e-6</v>
      </c>
      <c r="K69" s="259">
        <v>-0.01434</v>
      </c>
      <c r="L69" s="260">
        <f t="shared" si="2"/>
        <v>-0.00030947191229471</v>
      </c>
      <c r="N69" s="259">
        <v>-0.03</v>
      </c>
      <c r="O69" s="260">
        <f t="shared" si="3"/>
        <v>-0.000607742641249519</v>
      </c>
      <c r="Q69" s="259">
        <v>0</v>
      </c>
      <c r="R69" s="260">
        <f t="shared" si="4"/>
        <v>0</v>
      </c>
      <c r="T69" s="259">
        <v>0</v>
      </c>
      <c r="U69" s="260">
        <f t="shared" si="5"/>
        <v>0</v>
      </c>
      <c r="W69" s="259">
        <v>0</v>
      </c>
      <c r="X69" s="260">
        <f t="shared" si="6"/>
        <v>0</v>
      </c>
      <c r="Z69" s="259">
        <v>0.0357</v>
      </c>
      <c r="AA69" s="260">
        <f t="shared" si="14"/>
        <v>0.00111642743221691</v>
      </c>
      <c r="AC69" s="259">
        <v>0</v>
      </c>
      <c r="AD69" s="260">
        <f t="shared" si="8"/>
        <v>0</v>
      </c>
      <c r="AF69" s="259">
        <v>0</v>
      </c>
      <c r="AG69" s="260">
        <f t="shared" si="9"/>
        <v>0</v>
      </c>
      <c r="AI69" s="259">
        <v>0</v>
      </c>
      <c r="AJ69" s="260">
        <f t="shared" si="10"/>
        <v>0</v>
      </c>
      <c r="AL69" s="259">
        <v>0</v>
      </c>
      <c r="AM69" s="260">
        <f t="shared" si="11"/>
        <v>0</v>
      </c>
      <c r="AO69" s="259">
        <f t="shared" si="12"/>
        <v>-0.0089</v>
      </c>
      <c r="AP69" s="260">
        <f t="shared" si="13"/>
        <v>-1.86152745648418e-5</v>
      </c>
      <c r="AQ69" s="261"/>
    </row>
    <row r="70" outlineLevel="2" spans="1:43">
      <c r="A70" s="245" t="s">
        <v>32</v>
      </c>
      <c r="B70" s="256">
        <v>6666050107</v>
      </c>
      <c r="C70" s="256" t="s">
        <v>104</v>
      </c>
      <c r="D70" s="256" t="s">
        <v>60</v>
      </c>
      <c r="E70" s="257">
        <v>0</v>
      </c>
      <c r="F70" s="258">
        <f t="shared" si="0"/>
        <v>0</v>
      </c>
      <c r="H70" s="259">
        <v>0</v>
      </c>
      <c r="I70" s="260">
        <f t="shared" si="1"/>
        <v>0</v>
      </c>
      <c r="K70" s="259">
        <v>0.01244</v>
      </c>
      <c r="L70" s="260">
        <f t="shared" si="2"/>
        <v>0.000268467962966959</v>
      </c>
      <c r="N70" s="259">
        <v>0</v>
      </c>
      <c r="O70" s="260">
        <f t="shared" si="3"/>
        <v>0</v>
      </c>
      <c r="Q70" s="259">
        <v>0.01125</v>
      </c>
      <c r="R70" s="260">
        <f t="shared" si="4"/>
        <v>0.000209481602860122</v>
      </c>
      <c r="T70" s="259">
        <v>0</v>
      </c>
      <c r="U70" s="260">
        <f t="shared" si="5"/>
        <v>0</v>
      </c>
      <c r="W70" s="259">
        <v>0</v>
      </c>
      <c r="X70" s="260">
        <f t="shared" si="6"/>
        <v>0</v>
      </c>
      <c r="Z70" s="259">
        <v>0</v>
      </c>
      <c r="AA70" s="260">
        <f t="shared" si="14"/>
        <v>0</v>
      </c>
      <c r="AC70" s="259">
        <v>-0.02369</v>
      </c>
      <c r="AD70" s="260">
        <f t="shared" si="8"/>
        <v>-0.000838050091976794</v>
      </c>
      <c r="AF70" s="259">
        <v>0</v>
      </c>
      <c r="AG70" s="260">
        <f t="shared" si="9"/>
        <v>0</v>
      </c>
      <c r="AI70" s="259">
        <v>0</v>
      </c>
      <c r="AJ70" s="260">
        <f t="shared" si="10"/>
        <v>0</v>
      </c>
      <c r="AL70" s="259">
        <v>0</v>
      </c>
      <c r="AM70" s="260">
        <f t="shared" si="11"/>
        <v>0</v>
      </c>
      <c r="AO70" s="259">
        <f t="shared" si="12"/>
        <v>-3.46944695195361e-18</v>
      </c>
      <c r="AP70" s="260">
        <f t="shared" si="13"/>
        <v>-7.25670871896293e-21</v>
      </c>
      <c r="AQ70" s="261"/>
    </row>
    <row r="71" outlineLevel="2" spans="1:43">
      <c r="A71" s="245" t="s">
        <v>32</v>
      </c>
      <c r="B71" s="256">
        <v>6666050202</v>
      </c>
      <c r="C71" s="256" t="s">
        <v>105</v>
      </c>
      <c r="D71" s="256" t="s">
        <v>60</v>
      </c>
      <c r="E71" s="257"/>
      <c r="F71" s="258"/>
      <c r="H71" s="259"/>
      <c r="I71" s="260"/>
      <c r="K71" s="259"/>
      <c r="L71" s="260"/>
      <c r="N71" s="259"/>
      <c r="O71" s="260"/>
      <c r="Q71" s="259"/>
      <c r="R71" s="260"/>
      <c r="T71" s="259"/>
      <c r="U71" s="260"/>
      <c r="W71" s="259"/>
      <c r="X71" s="260"/>
      <c r="Z71" s="259"/>
      <c r="AA71" s="260"/>
      <c r="AC71" s="259"/>
      <c r="AD71" s="260"/>
      <c r="AF71" s="259"/>
      <c r="AG71" s="260"/>
      <c r="AI71" s="259"/>
      <c r="AJ71" s="260"/>
      <c r="AL71" s="259">
        <v>0.04008</v>
      </c>
      <c r="AM71" s="260">
        <f t="shared" si="11"/>
        <v>0.000952177321644929</v>
      </c>
      <c r="AO71" s="259">
        <f t="shared" ref="AO71" si="21">H71+E71+K71+N71+Q71+T71+W71+Z71+AC71+AF71+AI71+AL71</f>
        <v>0.04008</v>
      </c>
      <c r="AP71" s="260">
        <f t="shared" ref="AP71" si="22">AO71/$AO$1*1000</f>
        <v>8.38314836582989e-5</v>
      </c>
      <c r="AQ71" s="261"/>
    </row>
    <row r="72" outlineLevel="2" spans="1:43">
      <c r="A72" s="245" t="s">
        <v>32</v>
      </c>
      <c r="B72" s="256">
        <v>6666070100</v>
      </c>
      <c r="C72" s="256" t="s">
        <v>106</v>
      </c>
      <c r="D72" s="256" t="s">
        <v>60</v>
      </c>
      <c r="E72" s="257">
        <v>0</v>
      </c>
      <c r="F72" s="258">
        <f t="shared" si="0"/>
        <v>0</v>
      </c>
      <c r="H72" s="259">
        <v>0</v>
      </c>
      <c r="I72" s="260">
        <f t="shared" si="1"/>
        <v>0</v>
      </c>
      <c r="K72" s="259">
        <v>0</v>
      </c>
      <c r="L72" s="260">
        <f t="shared" si="2"/>
        <v>0</v>
      </c>
      <c r="N72" s="259">
        <v>0</v>
      </c>
      <c r="O72" s="260">
        <f t="shared" si="3"/>
        <v>0</v>
      </c>
      <c r="Q72" s="259">
        <v>0</v>
      </c>
      <c r="R72" s="260">
        <f t="shared" si="4"/>
        <v>0</v>
      </c>
      <c r="T72" s="259">
        <v>0</v>
      </c>
      <c r="U72" s="260">
        <f t="shared" si="5"/>
        <v>0</v>
      </c>
      <c r="W72" s="259">
        <v>0</v>
      </c>
      <c r="X72" s="260">
        <f t="shared" si="6"/>
        <v>0</v>
      </c>
      <c r="Z72" s="259">
        <v>0</v>
      </c>
      <c r="AA72" s="260">
        <f t="shared" si="14"/>
        <v>0</v>
      </c>
      <c r="AC72" s="259">
        <v>0</v>
      </c>
      <c r="AD72" s="260">
        <f t="shared" si="8"/>
        <v>0</v>
      </c>
      <c r="AF72" s="259">
        <v>0</v>
      </c>
      <c r="AG72" s="260">
        <f t="shared" si="9"/>
        <v>0</v>
      </c>
      <c r="AI72" s="259">
        <v>0</v>
      </c>
      <c r="AJ72" s="260">
        <f t="shared" ref="AJ72:AJ126" si="23">AI72/$AI$1*1000</f>
        <v>0</v>
      </c>
      <c r="AL72" s="259">
        <v>0</v>
      </c>
      <c r="AM72" s="260">
        <f t="shared" ref="AM72:AM126" si="24">AL72/$AL$1*1000</f>
        <v>0</v>
      </c>
      <c r="AO72" s="259">
        <f t="shared" ref="AO72:AO76" si="25">H72+E72+K72+N72+Q72+T72+W72+Z72+AC72+AF72+AI72+AL72</f>
        <v>0</v>
      </c>
      <c r="AP72" s="260">
        <f t="shared" si="13"/>
        <v>0</v>
      </c>
      <c r="AQ72" s="261"/>
    </row>
    <row r="73" outlineLevel="2" spans="1:43">
      <c r="A73" s="245" t="s">
        <v>32</v>
      </c>
      <c r="B73" s="256">
        <v>6666070300</v>
      </c>
      <c r="C73" s="256" t="s">
        <v>107</v>
      </c>
      <c r="D73" s="256" t="s">
        <v>60</v>
      </c>
      <c r="E73" s="257">
        <v>0</v>
      </c>
      <c r="F73" s="258">
        <f t="shared" si="0"/>
        <v>0</v>
      </c>
      <c r="H73" s="259">
        <v>0</v>
      </c>
      <c r="I73" s="260">
        <f t="shared" si="1"/>
        <v>0</v>
      </c>
      <c r="K73" s="259">
        <v>0</v>
      </c>
      <c r="L73" s="260">
        <f t="shared" si="2"/>
        <v>0</v>
      </c>
      <c r="N73" s="259">
        <v>0</v>
      </c>
      <c r="O73" s="260">
        <f t="shared" si="3"/>
        <v>0</v>
      </c>
      <c r="Q73" s="259">
        <v>0</v>
      </c>
      <c r="R73" s="260">
        <f t="shared" si="4"/>
        <v>0</v>
      </c>
      <c r="T73" s="259">
        <v>0</v>
      </c>
      <c r="U73" s="260">
        <f t="shared" si="5"/>
        <v>0</v>
      </c>
      <c r="W73" s="259">
        <v>0</v>
      </c>
      <c r="X73" s="260">
        <f t="shared" si="6"/>
        <v>0</v>
      </c>
      <c r="Z73" s="259">
        <v>0</v>
      </c>
      <c r="AA73" s="260">
        <f t="shared" si="14"/>
        <v>0</v>
      </c>
      <c r="AC73" s="259">
        <v>0</v>
      </c>
      <c r="AD73" s="260">
        <f t="shared" ref="AD73:AD126" si="26">AC73/$AC$1*1000</f>
        <v>0</v>
      </c>
      <c r="AF73" s="259">
        <v>0</v>
      </c>
      <c r="AG73" s="260">
        <f t="shared" ref="AG73:AG126" si="27">AF73/$AF$1*1000</f>
        <v>0</v>
      </c>
      <c r="AI73" s="259">
        <v>0</v>
      </c>
      <c r="AJ73" s="260">
        <f t="shared" si="23"/>
        <v>0</v>
      </c>
      <c r="AL73" s="259">
        <v>0</v>
      </c>
      <c r="AM73" s="260">
        <f t="shared" si="24"/>
        <v>0</v>
      </c>
      <c r="AO73" s="259">
        <f t="shared" si="25"/>
        <v>0</v>
      </c>
      <c r="AP73" s="260">
        <f t="shared" si="13"/>
        <v>0</v>
      </c>
      <c r="AQ73" s="261"/>
    </row>
    <row r="74" outlineLevel="2" spans="1:43">
      <c r="A74" s="269" t="s">
        <v>32</v>
      </c>
      <c r="B74" s="256">
        <v>6666070400</v>
      </c>
      <c r="C74" s="256" t="s">
        <v>108</v>
      </c>
      <c r="D74" s="256" t="s">
        <v>60</v>
      </c>
      <c r="E74" s="257">
        <v>4.88462</v>
      </c>
      <c r="F74" s="258">
        <f t="shared" si="0"/>
        <v>0.100566593234646</v>
      </c>
      <c r="H74" s="259">
        <v>2.79422</v>
      </c>
      <c r="I74" s="260">
        <f t="shared" si="1"/>
        <v>0.06070036712793</v>
      </c>
      <c r="K74" s="259">
        <v>2.74919</v>
      </c>
      <c r="L74" s="260">
        <f t="shared" si="2"/>
        <v>0.0593303407643999</v>
      </c>
      <c r="N74" s="259">
        <v>4.85391</v>
      </c>
      <c r="O74" s="260">
        <f t="shared" si="3"/>
        <v>0.0983309361262484</v>
      </c>
      <c r="Q74" s="259">
        <v>3.51618</v>
      </c>
      <c r="R74" s="260">
        <f t="shared" si="4"/>
        <v>0.0654733353195293</v>
      </c>
      <c r="T74" s="259">
        <v>4.70276</v>
      </c>
      <c r="U74" s="260">
        <f t="shared" si="5"/>
        <v>0.158534250269687</v>
      </c>
      <c r="W74" s="259">
        <v>3.48559</v>
      </c>
      <c r="X74" s="260">
        <f t="shared" ref="X74:X126" si="28">W74/$W$1*1000</f>
        <v>0.0832737654394725</v>
      </c>
      <c r="Z74" s="259">
        <v>6.26659</v>
      </c>
      <c r="AA74" s="260">
        <f t="shared" si="14"/>
        <v>0.195971792225662</v>
      </c>
      <c r="AC74" s="259">
        <v>6.68874</v>
      </c>
      <c r="AD74" s="260">
        <f t="shared" si="26"/>
        <v>0.236618791566436</v>
      </c>
      <c r="AF74" s="259">
        <v>9.4562</v>
      </c>
      <c r="AG74" s="260">
        <f t="shared" si="27"/>
        <v>0.360772194880012</v>
      </c>
      <c r="AI74" s="259">
        <v>15.69474</v>
      </c>
      <c r="AJ74" s="260">
        <f t="shared" si="23"/>
        <v>0.461284387491183</v>
      </c>
      <c r="AL74" s="259">
        <v>-2.68317</v>
      </c>
      <c r="AM74" s="260">
        <f t="shared" si="24"/>
        <v>-0.0637438528971563</v>
      </c>
      <c r="AO74" s="259">
        <f t="shared" si="25"/>
        <v>62.40957</v>
      </c>
      <c r="AP74" s="260">
        <f t="shared" si="13"/>
        <v>0.130536098991429</v>
      </c>
      <c r="AQ74" s="261"/>
    </row>
    <row r="75" outlineLevel="2" spans="1:43">
      <c r="A75" s="269" t="s">
        <v>32</v>
      </c>
      <c r="B75" s="256">
        <v>5401050201</v>
      </c>
      <c r="C75" s="3" t="s">
        <v>109</v>
      </c>
      <c r="D75" s="256" t="s">
        <v>60</v>
      </c>
      <c r="E75" s="257"/>
      <c r="F75" s="258"/>
      <c r="H75" s="259"/>
      <c r="I75" s="260"/>
      <c r="K75" s="259"/>
      <c r="L75" s="260"/>
      <c r="N75" s="259"/>
      <c r="O75" s="260"/>
      <c r="Q75" s="259"/>
      <c r="R75" s="260"/>
      <c r="T75" s="259"/>
      <c r="U75" s="260"/>
      <c r="W75" s="259"/>
      <c r="X75" s="260"/>
      <c r="Z75" s="259"/>
      <c r="AA75" s="260"/>
      <c r="AC75" s="259">
        <f>23.69/1000</f>
        <v>0.02369</v>
      </c>
      <c r="AD75" s="260">
        <f t="shared" si="26"/>
        <v>0.000838050091976794</v>
      </c>
      <c r="AF75" s="259">
        <v>0</v>
      </c>
      <c r="AG75" s="260">
        <f t="shared" si="27"/>
        <v>0</v>
      </c>
      <c r="AI75" s="259">
        <v>0</v>
      </c>
      <c r="AJ75" s="260">
        <f t="shared" si="23"/>
        <v>0</v>
      </c>
      <c r="AL75" s="259">
        <v>0</v>
      </c>
      <c r="AM75" s="260">
        <f t="shared" si="24"/>
        <v>0</v>
      </c>
      <c r="AO75" s="259">
        <f t="shared" si="25"/>
        <v>0.02369</v>
      </c>
      <c r="AP75" s="260">
        <f t="shared" ref="AP75:AP76" si="29">AO75/$AO$1*1000</f>
        <v>4.95500960046183e-5</v>
      </c>
      <c r="AQ75" s="261"/>
    </row>
    <row r="76" outlineLevel="2" spans="1:43">
      <c r="A76" s="269" t="s">
        <v>32</v>
      </c>
      <c r="B76" s="256">
        <v>5401020212</v>
      </c>
      <c r="C76" s="3" t="s">
        <v>110</v>
      </c>
      <c r="D76" s="256" t="s">
        <v>60</v>
      </c>
      <c r="E76" s="257"/>
      <c r="F76" s="258"/>
      <c r="H76" s="259"/>
      <c r="I76" s="260"/>
      <c r="K76" s="259"/>
      <c r="L76" s="260"/>
      <c r="N76" s="259"/>
      <c r="O76" s="260"/>
      <c r="Q76" s="259"/>
      <c r="R76" s="260"/>
      <c r="T76" s="259"/>
      <c r="U76" s="260"/>
      <c r="W76" s="259"/>
      <c r="X76" s="260"/>
      <c r="Z76" s="259"/>
      <c r="AA76" s="260"/>
      <c r="AC76" s="259">
        <f>-147.76/1000</f>
        <v>-0.14776</v>
      </c>
      <c r="AD76" s="260">
        <f t="shared" si="26"/>
        <v>-0.00522711192868261</v>
      </c>
      <c r="AF76" s="259">
        <v>0</v>
      </c>
      <c r="AG76" s="260">
        <f t="shared" si="27"/>
        <v>0</v>
      </c>
      <c r="AI76" s="259">
        <v>0</v>
      </c>
      <c r="AJ76" s="260">
        <f t="shared" si="23"/>
        <v>0</v>
      </c>
      <c r="AL76" s="259">
        <v>0</v>
      </c>
      <c r="AM76" s="260">
        <f t="shared" si="24"/>
        <v>0</v>
      </c>
      <c r="AO76" s="259">
        <f t="shared" si="25"/>
        <v>-0.14776</v>
      </c>
      <c r="AP76" s="260">
        <f t="shared" si="29"/>
        <v>-0.000309055389854048</v>
      </c>
      <c r="AQ76" s="261"/>
    </row>
    <row r="77" s="119" customFormat="1" spans="1:43">
      <c r="A77" s="245"/>
      <c r="B77" s="148" t="s">
        <v>42</v>
      </c>
      <c r="C77" s="149" t="s">
        <v>60</v>
      </c>
      <c r="D77" s="150"/>
      <c r="E77" s="151">
        <v>47.53431</v>
      </c>
      <c r="F77" s="152">
        <f t="shared" ref="F77:F126" si="30">E77/$E$1*1000</f>
        <v>0.978656194025242</v>
      </c>
      <c r="G77" s="247"/>
      <c r="H77" s="262">
        <f>SUM(H28:H74)</f>
        <v>55.911</v>
      </c>
      <c r="I77" s="152">
        <f t="shared" si="1"/>
        <v>1.21458518888623</v>
      </c>
      <c r="J77" s="247"/>
      <c r="K77" s="262">
        <f>SUM(K28:K74)</f>
        <v>43.04972</v>
      </c>
      <c r="L77" s="152">
        <f t="shared" si="2"/>
        <v>0.929057124975721</v>
      </c>
      <c r="M77" s="248"/>
      <c r="N77" s="262">
        <f>SUM(N28:N74)</f>
        <v>40.60267</v>
      </c>
      <c r="O77" s="152">
        <f t="shared" si="3"/>
        <v>0.822532463586087</v>
      </c>
      <c r="P77" s="244"/>
      <c r="Q77" s="262">
        <f>SUM(Q28:Q74)</f>
        <v>39.71379</v>
      </c>
      <c r="R77" s="152">
        <f t="shared" si="4"/>
        <v>0.739494078653359</v>
      </c>
      <c r="S77" s="249"/>
      <c r="T77" s="262">
        <f>SUM(T28:T74)</f>
        <v>36.03309</v>
      </c>
      <c r="U77" s="152">
        <f t="shared" si="5"/>
        <v>1.21470772653722</v>
      </c>
      <c r="V77" s="249"/>
      <c r="W77" s="262">
        <f>SUM(W28:W74)</f>
        <v>41.46116</v>
      </c>
      <c r="X77" s="152">
        <f t="shared" si="28"/>
        <v>0.990543039396039</v>
      </c>
      <c r="Y77" s="249"/>
      <c r="Z77" s="262">
        <f>SUM(Z28:Z74)</f>
        <v>53.8334</v>
      </c>
      <c r="AA77" s="152">
        <f t="shared" si="14"/>
        <v>1.68350376833349</v>
      </c>
      <c r="AB77" s="249"/>
      <c r="AC77" s="262">
        <f>SUM(AC28:AC76)</f>
        <v>45.24103</v>
      </c>
      <c r="AD77" s="152">
        <f t="shared" si="26"/>
        <v>1.60043264468657</v>
      </c>
      <c r="AE77" s="249"/>
      <c r="AF77" s="262">
        <f>SUM(AF28:AF76)</f>
        <v>35.50089</v>
      </c>
      <c r="AG77" s="152">
        <f t="shared" si="27"/>
        <v>1.35442714890695</v>
      </c>
      <c r="AH77" s="249"/>
      <c r="AI77" s="262">
        <f>SUM(AI28:AI76)</f>
        <v>45.64884</v>
      </c>
      <c r="AJ77" s="152">
        <f t="shared" si="23"/>
        <v>1.34166588290618</v>
      </c>
      <c r="AK77" s="248"/>
      <c r="AL77" s="262">
        <f>SUM(AL28:AL76)</f>
        <v>-14.33268</v>
      </c>
      <c r="AM77" s="152">
        <f t="shared" si="24"/>
        <v>-0.340500320718409</v>
      </c>
      <c r="AN77" s="248"/>
      <c r="AO77" s="262">
        <f>SUM(AO28:AO76)</f>
        <v>470.19722</v>
      </c>
      <c r="AP77" s="152">
        <f t="shared" si="13"/>
        <v>0.983466331452284</v>
      </c>
      <c r="AQ77" s="261"/>
    </row>
    <row r="78" ht="20.55" customHeight="1" outlineLevel="1" spans="1:43">
      <c r="A78" s="245" t="s">
        <v>32</v>
      </c>
      <c r="B78" s="256">
        <v>6666110203</v>
      </c>
      <c r="C78" s="256" t="s">
        <v>111</v>
      </c>
      <c r="D78" s="256" t="s">
        <v>112</v>
      </c>
      <c r="E78" s="257">
        <v>11.78262</v>
      </c>
      <c r="F78" s="258">
        <f t="shared" si="30"/>
        <v>0.242585493401412</v>
      </c>
      <c r="H78" s="259">
        <v>13.57091</v>
      </c>
      <c r="I78" s="260">
        <f t="shared" ref="I78:I126" si="31">H78/$H$1*1000</f>
        <v>0.294808289705212</v>
      </c>
      <c r="K78" s="259">
        <v>16.58684</v>
      </c>
      <c r="L78" s="260">
        <f t="shared" ref="L78:L126" si="32">K78/$K$1*1000</f>
        <v>0.357961024667113</v>
      </c>
      <c r="N78" s="259">
        <v>9.57281</v>
      </c>
      <c r="O78" s="260">
        <f t="shared" ref="O78:O126" si="33">N78/$N$1*1000</f>
        <v>0.193926827785994</v>
      </c>
      <c r="Q78" s="259">
        <v>19.10833</v>
      </c>
      <c r="R78" s="260">
        <f t="shared" ref="R78:R126" si="34">Q78/$Q$1*1000</f>
        <v>0.355808319678236</v>
      </c>
      <c r="T78" s="259">
        <v>3.05345</v>
      </c>
      <c r="U78" s="260">
        <f t="shared" ref="U78:U126" si="35">T78/$T$1*1000</f>
        <v>0.102934533441208</v>
      </c>
      <c r="W78" s="259">
        <v>14.97382</v>
      </c>
      <c r="X78" s="260">
        <f t="shared" si="28"/>
        <v>0.357737534940392</v>
      </c>
      <c r="Z78" s="259">
        <v>16.68596</v>
      </c>
      <c r="AA78" s="260">
        <f t="shared" si="14"/>
        <v>0.521811301873221</v>
      </c>
      <c r="AC78" s="259">
        <v>16.37718</v>
      </c>
      <c r="AD78" s="260">
        <f t="shared" si="26"/>
        <v>0.579354039903778</v>
      </c>
      <c r="AF78" s="259">
        <v>20.44981</v>
      </c>
      <c r="AG78" s="260">
        <f t="shared" si="27"/>
        <v>0.780199534546565</v>
      </c>
      <c r="AI78" s="259">
        <v>6.59996</v>
      </c>
      <c r="AJ78" s="260">
        <f t="shared" si="23"/>
        <v>0.193979543851399</v>
      </c>
      <c r="AL78" s="259">
        <v>-3.26878</v>
      </c>
      <c r="AM78" s="260">
        <f t="shared" si="24"/>
        <v>-0.0776561423514599</v>
      </c>
      <c r="AO78" s="259">
        <f t="shared" ref="AO78:AO124" si="36">H78+E78+K78+N78+Q78+T78+W78+Z78+AC78+AF78+AI78+AL78</f>
        <v>145.49291</v>
      </c>
      <c r="AP78" s="260">
        <f t="shared" ref="AP78:AP126" si="37">AO78/$AO$1*1000</f>
        <v>0.304313535605373</v>
      </c>
      <c r="AQ78" s="261"/>
    </row>
    <row r="79" outlineLevel="1" spans="1:43">
      <c r="A79" s="245" t="s">
        <v>32</v>
      </c>
      <c r="B79" s="256">
        <v>5102040000</v>
      </c>
      <c r="C79" s="256" t="s">
        <v>113</v>
      </c>
      <c r="D79" s="256" t="s">
        <v>112</v>
      </c>
      <c r="E79" s="257">
        <v>0</v>
      </c>
      <c r="F79" s="258">
        <f t="shared" si="30"/>
        <v>0</v>
      </c>
      <c r="H79" s="259">
        <v>0</v>
      </c>
      <c r="I79" s="260">
        <f t="shared" si="31"/>
        <v>0</v>
      </c>
      <c r="K79" s="259">
        <v>0</v>
      </c>
      <c r="L79" s="260">
        <f t="shared" si="32"/>
        <v>0</v>
      </c>
      <c r="N79" s="259">
        <v>0</v>
      </c>
      <c r="O79" s="260">
        <f t="shared" si="33"/>
        <v>0</v>
      </c>
      <c r="Q79" s="259">
        <v>0</v>
      </c>
      <c r="R79" s="260">
        <f t="shared" si="34"/>
        <v>0</v>
      </c>
      <c r="T79" s="259">
        <v>0</v>
      </c>
      <c r="U79" s="260">
        <f t="shared" si="35"/>
        <v>0</v>
      </c>
      <c r="W79" s="259">
        <v>0</v>
      </c>
      <c r="X79" s="260">
        <f t="shared" si="28"/>
        <v>0</v>
      </c>
      <c r="Z79" s="259">
        <v>0</v>
      </c>
      <c r="AA79" s="260">
        <f t="shared" si="14"/>
        <v>0</v>
      </c>
      <c r="AC79" s="259">
        <v>-0.585</v>
      </c>
      <c r="AD79" s="260">
        <f t="shared" si="26"/>
        <v>-0.0206947785481817</v>
      </c>
      <c r="AF79" s="259">
        <v>-0.06056</v>
      </c>
      <c r="AG79" s="260">
        <f t="shared" si="27"/>
        <v>-0.00231048033268475</v>
      </c>
      <c r="AI79" s="259">
        <v>0</v>
      </c>
      <c r="AJ79" s="260">
        <f t="shared" si="23"/>
        <v>0</v>
      </c>
      <c r="AL79" s="259">
        <v>0</v>
      </c>
      <c r="AM79" s="260">
        <f t="shared" si="24"/>
        <v>0</v>
      </c>
      <c r="AO79" s="259">
        <f t="shared" si="36"/>
        <v>-0.64556</v>
      </c>
      <c r="AP79" s="260">
        <f t="shared" si="37"/>
        <v>-0.00135025580315498</v>
      </c>
      <c r="AQ79" s="261"/>
    </row>
    <row r="80" outlineLevel="1" spans="1:43">
      <c r="A80" s="245" t="s">
        <v>53</v>
      </c>
      <c r="B80" s="256">
        <v>6666050307</v>
      </c>
      <c r="C80" s="256" t="s">
        <v>114</v>
      </c>
      <c r="D80" s="256" t="s">
        <v>112</v>
      </c>
      <c r="E80" s="257">
        <v>0.42874</v>
      </c>
      <c r="F80" s="258">
        <f t="shared" si="30"/>
        <v>0.00882707788598134</v>
      </c>
      <c r="H80" s="259">
        <v>-3.72335</v>
      </c>
      <c r="I80" s="260">
        <f t="shared" si="31"/>
        <v>-0.0808843655638346</v>
      </c>
      <c r="K80" s="259">
        <v>19.15803</v>
      </c>
      <c r="L80" s="260">
        <f t="shared" si="32"/>
        <v>0.413449942810281</v>
      </c>
      <c r="N80" s="259">
        <v>-15.38499</v>
      </c>
      <c r="O80" s="260">
        <f t="shared" si="33"/>
        <v>-0.311670481939915</v>
      </c>
      <c r="Q80" s="259">
        <v>-2.07812</v>
      </c>
      <c r="R80" s="260">
        <f t="shared" si="34"/>
        <v>-0.0386958140920602</v>
      </c>
      <c r="T80" s="259">
        <v>18.26473</v>
      </c>
      <c r="U80" s="260">
        <f t="shared" si="35"/>
        <v>0.615720401833873</v>
      </c>
      <c r="W80" s="259">
        <v>-44.83412</v>
      </c>
      <c r="X80" s="260">
        <f t="shared" si="28"/>
        <v>-1.07112597653917</v>
      </c>
      <c r="Z80" s="259">
        <v>0.88589</v>
      </c>
      <c r="AA80" s="260">
        <f t="shared" si="14"/>
        <v>0.0277039747318385</v>
      </c>
      <c r="AC80" s="259">
        <v>-0.14104</v>
      </c>
      <c r="AD80" s="260">
        <f t="shared" si="26"/>
        <v>-0.00498938729305221</v>
      </c>
      <c r="AF80" s="259">
        <v>0.93849</v>
      </c>
      <c r="AG80" s="260">
        <f t="shared" si="27"/>
        <v>0.0358051962916333</v>
      </c>
      <c r="AI80" s="259">
        <v>-1.50732</v>
      </c>
      <c r="AJ80" s="260">
        <f t="shared" si="23"/>
        <v>-0.0443016694098284</v>
      </c>
      <c r="AL80" s="259">
        <v>-41.75548</v>
      </c>
      <c r="AM80" s="260">
        <f t="shared" si="24"/>
        <v>-0.991981564630699</v>
      </c>
      <c r="AO80" s="259">
        <f t="shared" si="36"/>
        <v>-69.74854</v>
      </c>
      <c r="AP80" s="260">
        <f t="shared" si="37"/>
        <v>-0.145886317145714</v>
      </c>
      <c r="AQ80" s="261"/>
    </row>
    <row r="81" outlineLevel="2" spans="1:43">
      <c r="A81" s="245" t="s">
        <v>53</v>
      </c>
      <c r="B81" s="256">
        <v>6666050312</v>
      </c>
      <c r="C81" s="256" t="s">
        <v>115</v>
      </c>
      <c r="D81" s="256" t="s">
        <v>60</v>
      </c>
      <c r="E81" s="257">
        <v>0</v>
      </c>
      <c r="F81" s="258">
        <f t="shared" si="30"/>
        <v>0</v>
      </c>
      <c r="H81" s="259">
        <v>22.53327</v>
      </c>
      <c r="I81" s="260">
        <f t="shared" si="31"/>
        <v>0.489502530793127</v>
      </c>
      <c r="K81" s="259">
        <v>0</v>
      </c>
      <c r="L81" s="260">
        <f t="shared" si="32"/>
        <v>0</v>
      </c>
      <c r="N81" s="259">
        <v>0</v>
      </c>
      <c r="O81" s="260">
        <f t="shared" si="33"/>
        <v>0</v>
      </c>
      <c r="Q81" s="259">
        <v>0.72656</v>
      </c>
      <c r="R81" s="260">
        <f t="shared" si="34"/>
        <v>0.0135289736332489</v>
      </c>
      <c r="T81" s="259">
        <v>0</v>
      </c>
      <c r="U81" s="260">
        <f t="shared" si="35"/>
        <v>0</v>
      </c>
      <c r="W81" s="259">
        <v>31.26134</v>
      </c>
      <c r="X81" s="260">
        <f t="shared" si="28"/>
        <v>0.74686050123038</v>
      </c>
      <c r="Z81" s="259">
        <v>0.03114</v>
      </c>
      <c r="AA81" s="260">
        <f t="shared" si="14"/>
        <v>0.000973824936673234</v>
      </c>
      <c r="AC81" s="259">
        <v>0</v>
      </c>
      <c r="AD81" s="260">
        <f t="shared" si="26"/>
        <v>0</v>
      </c>
      <c r="AF81" s="259">
        <v>0</v>
      </c>
      <c r="AG81" s="260">
        <f t="shared" si="27"/>
        <v>0</v>
      </c>
      <c r="AI81" s="259">
        <v>0.27656</v>
      </c>
      <c r="AJ81" s="260">
        <f t="shared" si="23"/>
        <v>0.00812837996708206</v>
      </c>
      <c r="AL81" s="259">
        <v>5.44454</v>
      </c>
      <c r="AM81" s="260">
        <f t="shared" si="24"/>
        <v>0.129345496875965</v>
      </c>
      <c r="AO81" s="259">
        <f t="shared" si="36"/>
        <v>60.27341</v>
      </c>
      <c r="AP81" s="260">
        <f t="shared" si="37"/>
        <v>0.126068098439245</v>
      </c>
      <c r="AQ81" s="261"/>
    </row>
    <row r="82" s="120" customFormat="1" spans="1:43">
      <c r="A82" s="271"/>
      <c r="B82" s="148" t="s">
        <v>52</v>
      </c>
      <c r="C82" s="149" t="s">
        <v>112</v>
      </c>
      <c r="D82" s="150"/>
      <c r="E82" s="151">
        <v>12.21136</v>
      </c>
      <c r="F82" s="152">
        <f t="shared" si="30"/>
        <v>0.251412571287394</v>
      </c>
      <c r="G82" s="247"/>
      <c r="H82" s="262">
        <f>SUM(H78:H81)</f>
        <v>32.38083</v>
      </c>
      <c r="I82" s="152">
        <f t="shared" si="31"/>
        <v>0.703426454934504</v>
      </c>
      <c r="J82" s="247"/>
      <c r="K82" s="262">
        <f>SUM(K78:K81)</f>
        <v>35.74487</v>
      </c>
      <c r="L82" s="152">
        <f t="shared" si="32"/>
        <v>0.771410967477394</v>
      </c>
      <c r="M82" s="248"/>
      <c r="N82" s="262">
        <f>SUM(N78:N81)</f>
        <v>-5.81218</v>
      </c>
      <c r="O82" s="152">
        <f t="shared" si="33"/>
        <v>-0.117743654153921</v>
      </c>
      <c r="P82" s="249"/>
      <c r="Q82" s="262">
        <f>SUM(Q78:Q81)</f>
        <v>17.75677</v>
      </c>
      <c r="R82" s="152">
        <f t="shared" si="34"/>
        <v>0.330641479219425</v>
      </c>
      <c r="S82" s="249"/>
      <c r="T82" s="262">
        <f>SUM(T78:T81)</f>
        <v>21.31818</v>
      </c>
      <c r="U82" s="152">
        <f t="shared" si="35"/>
        <v>0.718654935275081</v>
      </c>
      <c r="V82" s="249"/>
      <c r="W82" s="262">
        <f>SUM(W78:W81)</f>
        <v>1.40103999999999</v>
      </c>
      <c r="X82" s="152">
        <f t="shared" si="28"/>
        <v>0.0334720596316027</v>
      </c>
      <c r="Y82" s="249"/>
      <c r="Z82" s="262">
        <f>SUM(Z78:Z81)</f>
        <v>17.60299</v>
      </c>
      <c r="AA82" s="152">
        <f t="shared" si="14"/>
        <v>0.550489101541733</v>
      </c>
      <c r="AB82" s="249"/>
      <c r="AC82" s="262">
        <f>SUM(AC78:AC81)</f>
        <v>15.65114</v>
      </c>
      <c r="AD82" s="152">
        <f t="shared" si="26"/>
        <v>0.553669874062544</v>
      </c>
      <c r="AE82" s="249"/>
      <c r="AF82" s="262">
        <f>SUM(AF78:AF81)</f>
        <v>21.32774</v>
      </c>
      <c r="AG82" s="152">
        <f t="shared" si="27"/>
        <v>0.813694250505513</v>
      </c>
      <c r="AH82" s="249"/>
      <c r="AI82" s="262">
        <f>SUM(AI78:AI81)</f>
        <v>5.3692</v>
      </c>
      <c r="AJ82" s="152">
        <f t="shared" si="23"/>
        <v>0.157806254408653</v>
      </c>
      <c r="AK82" s="248"/>
      <c r="AL82" s="262">
        <f>SUM(AL78:AL81)</f>
        <v>-39.57972</v>
      </c>
      <c r="AM82" s="152">
        <f t="shared" si="24"/>
        <v>-0.940292210106194</v>
      </c>
      <c r="AN82" s="248"/>
      <c r="AO82" s="262">
        <f>SUM(AO78:AO81)</f>
        <v>135.37222</v>
      </c>
      <c r="AP82" s="152">
        <f t="shared" si="37"/>
        <v>0.283145061095749</v>
      </c>
      <c r="AQ82" s="261"/>
    </row>
    <row r="83" ht="22.95" customHeight="1" outlineLevel="1" spans="1:43">
      <c r="A83" s="269" t="s">
        <v>53</v>
      </c>
      <c r="B83" s="256">
        <v>6666100203</v>
      </c>
      <c r="C83" s="256" t="s">
        <v>116</v>
      </c>
      <c r="D83" s="256" t="s">
        <v>117</v>
      </c>
      <c r="E83" s="257">
        <v>2.51573</v>
      </c>
      <c r="F83" s="258">
        <f t="shared" si="30"/>
        <v>0.0517948981902781</v>
      </c>
      <c r="H83" s="259">
        <v>2.08333</v>
      </c>
      <c r="I83" s="260">
        <f t="shared" si="31"/>
        <v>0.0452573154041666</v>
      </c>
      <c r="K83" s="259">
        <v>2.08333</v>
      </c>
      <c r="L83" s="260">
        <f t="shared" si="32"/>
        <v>0.0449603988173598</v>
      </c>
      <c r="N83" s="259">
        <v>2.08333</v>
      </c>
      <c r="O83" s="260">
        <f t="shared" si="33"/>
        <v>0.042204282559812</v>
      </c>
      <c r="Q83" s="259">
        <v>2.08333</v>
      </c>
      <c r="R83" s="260">
        <f t="shared" si="34"/>
        <v>0.0387928273499181</v>
      </c>
      <c r="T83" s="259">
        <v>68.22525</v>
      </c>
      <c r="U83" s="260">
        <f t="shared" si="35"/>
        <v>2.29993426375405</v>
      </c>
      <c r="W83" s="259">
        <v>0</v>
      </c>
      <c r="X83" s="260">
        <f t="shared" si="28"/>
        <v>0</v>
      </c>
      <c r="Z83" s="259">
        <v>0</v>
      </c>
      <c r="AA83" s="260">
        <f t="shared" ref="AA83:AA126" si="38">Z83/$Z$1*1000</f>
        <v>0</v>
      </c>
      <c r="AC83" s="259">
        <v>0</v>
      </c>
      <c r="AD83" s="260">
        <f t="shared" si="26"/>
        <v>0</v>
      </c>
      <c r="AF83" s="259">
        <v>35.02325</v>
      </c>
      <c r="AG83" s="260">
        <f t="shared" si="27"/>
        <v>1.33620426538476</v>
      </c>
      <c r="AI83" s="259">
        <v>32.76354</v>
      </c>
      <c r="AJ83" s="260">
        <f t="shared" si="23"/>
        <v>0.962953797319539</v>
      </c>
      <c r="AL83" s="259">
        <v>91.92924</v>
      </c>
      <c r="AM83" s="260">
        <f t="shared" si="24"/>
        <v>2.18395552704725</v>
      </c>
      <c r="AO83" s="259">
        <f t="shared" si="36"/>
        <v>238.79033</v>
      </c>
      <c r="AP83" s="260">
        <f t="shared" si="37"/>
        <v>0.499454781615638</v>
      </c>
      <c r="AQ83" s="261"/>
    </row>
    <row r="84" s="120" customFormat="1" spans="1:43">
      <c r="A84" s="271"/>
      <c r="B84" s="148" t="s">
        <v>42</v>
      </c>
      <c r="C84" s="149" t="s">
        <v>117</v>
      </c>
      <c r="D84" s="150"/>
      <c r="E84" s="151">
        <v>2.51573</v>
      </c>
      <c r="F84" s="152">
        <f t="shared" si="30"/>
        <v>0.0517948981902781</v>
      </c>
      <c r="G84" s="247"/>
      <c r="H84" s="262">
        <f>+H83</f>
        <v>2.08333</v>
      </c>
      <c r="I84" s="152">
        <f t="shared" si="31"/>
        <v>0.0452573154041666</v>
      </c>
      <c r="J84" s="247"/>
      <c r="K84" s="262">
        <f>+K83</f>
        <v>2.08333</v>
      </c>
      <c r="L84" s="152">
        <f t="shared" si="32"/>
        <v>0.0449603988173598</v>
      </c>
      <c r="M84" s="248"/>
      <c r="N84" s="262">
        <f>+N83</f>
        <v>2.08333</v>
      </c>
      <c r="O84" s="152">
        <f t="shared" si="33"/>
        <v>0.042204282559812</v>
      </c>
      <c r="P84" s="249"/>
      <c r="Q84" s="262">
        <f>+Q83</f>
        <v>2.08333</v>
      </c>
      <c r="R84" s="152">
        <f t="shared" si="34"/>
        <v>0.0387928273499181</v>
      </c>
      <c r="S84" s="249"/>
      <c r="T84" s="262">
        <f>+T83</f>
        <v>68.22525</v>
      </c>
      <c r="U84" s="152">
        <f t="shared" si="35"/>
        <v>2.29993426375405</v>
      </c>
      <c r="V84" s="249"/>
      <c r="W84" s="262">
        <f>+W83</f>
        <v>0</v>
      </c>
      <c r="X84" s="152">
        <f t="shared" si="28"/>
        <v>0</v>
      </c>
      <c r="Y84" s="249"/>
      <c r="Z84" s="262">
        <f>+Z83</f>
        <v>0</v>
      </c>
      <c r="AA84" s="152">
        <f t="shared" si="38"/>
        <v>0</v>
      </c>
      <c r="AB84" s="249"/>
      <c r="AC84" s="262">
        <f>+AC83</f>
        <v>0</v>
      </c>
      <c r="AD84" s="152">
        <f t="shared" si="26"/>
        <v>0</v>
      </c>
      <c r="AE84" s="249"/>
      <c r="AF84" s="262">
        <f>+AF83</f>
        <v>35.02325</v>
      </c>
      <c r="AG84" s="152">
        <f t="shared" si="27"/>
        <v>1.33620426538476</v>
      </c>
      <c r="AH84" s="249"/>
      <c r="AI84" s="262">
        <f>+AI83</f>
        <v>32.76354</v>
      </c>
      <c r="AJ84" s="152">
        <f t="shared" si="23"/>
        <v>0.962953797319539</v>
      </c>
      <c r="AK84" s="248"/>
      <c r="AL84" s="262">
        <f>+AL83</f>
        <v>91.92924</v>
      </c>
      <c r="AM84" s="152">
        <f t="shared" si="24"/>
        <v>2.18395552704725</v>
      </c>
      <c r="AN84" s="248"/>
      <c r="AO84" s="262">
        <f>+AO83</f>
        <v>238.79033</v>
      </c>
      <c r="AP84" s="152">
        <f t="shared" si="37"/>
        <v>0.499454781615638</v>
      </c>
      <c r="AQ84" s="261"/>
    </row>
    <row r="85" outlineLevel="2" spans="1:43">
      <c r="A85" s="269" t="s">
        <v>53</v>
      </c>
      <c r="B85" s="256">
        <v>5301070000</v>
      </c>
      <c r="C85" s="256" t="s">
        <v>118</v>
      </c>
      <c r="D85" s="256" t="s">
        <v>119</v>
      </c>
      <c r="E85" s="257">
        <v>-58.2364</v>
      </c>
      <c r="F85" s="258">
        <f t="shared" si="30"/>
        <v>-1.19899528525252</v>
      </c>
      <c r="H85" s="259">
        <v>-53.62907</v>
      </c>
      <c r="I85" s="260">
        <f t="shared" si="31"/>
        <v>-1.16501357721634</v>
      </c>
      <c r="K85" s="259">
        <v>-57.78142</v>
      </c>
      <c r="L85" s="260">
        <f t="shared" si="32"/>
        <v>-1.24698232513974</v>
      </c>
      <c r="N85" s="259">
        <v>-75.04936</v>
      </c>
      <c r="O85" s="260">
        <f t="shared" si="33"/>
        <v>-1.52035654234953</v>
      </c>
      <c r="Q85" s="259">
        <v>-62.47757</v>
      </c>
      <c r="R85" s="260">
        <f t="shared" si="34"/>
        <v>-1.1633690227916</v>
      </c>
      <c r="T85" s="259">
        <v>-54.55736</v>
      </c>
      <c r="U85" s="260">
        <f t="shared" si="35"/>
        <v>-1.83917745415318</v>
      </c>
      <c r="W85" s="259">
        <v>-46.2918</v>
      </c>
      <c r="X85" s="260">
        <f t="shared" si="28"/>
        <v>-1.10595121485056</v>
      </c>
      <c r="Z85" s="259">
        <v>-52.15434</v>
      </c>
      <c r="AA85" s="260">
        <f t="shared" si="38"/>
        <v>-1.63099540294587</v>
      </c>
      <c r="AC85" s="259">
        <v>-43.47965</v>
      </c>
      <c r="AD85" s="260">
        <f t="shared" si="26"/>
        <v>-1.53812261214094</v>
      </c>
      <c r="AF85" s="259">
        <v>-39.75619</v>
      </c>
      <c r="AG85" s="260">
        <f t="shared" si="27"/>
        <v>-1.51677501812216</v>
      </c>
      <c r="AI85" s="259">
        <v>-37.47416</v>
      </c>
      <c r="AJ85" s="260">
        <f t="shared" si="23"/>
        <v>-1.10140371502469</v>
      </c>
      <c r="AL85" s="259">
        <v>-55.6909</v>
      </c>
      <c r="AM85" s="260">
        <f t="shared" si="24"/>
        <v>-1.32304421162664</v>
      </c>
      <c r="AO85" s="259">
        <f t="shared" si="36"/>
        <v>-636.57822</v>
      </c>
      <c r="AP85" s="260">
        <f t="shared" si="37"/>
        <v>-1.33146947722453</v>
      </c>
      <c r="AQ85" s="261"/>
    </row>
    <row r="86" s="120" customFormat="1" spans="1:43">
      <c r="A86" s="271"/>
      <c r="B86" s="148" t="s">
        <v>52</v>
      </c>
      <c r="C86" s="149" t="s">
        <v>119</v>
      </c>
      <c r="D86" s="150"/>
      <c r="E86" s="151">
        <v>-58.2364</v>
      </c>
      <c r="F86" s="151">
        <f t="shared" si="30"/>
        <v>-1.19899528525252</v>
      </c>
      <c r="G86" s="247"/>
      <c r="H86" s="262">
        <f>+H85</f>
        <v>-53.62907</v>
      </c>
      <c r="I86" s="151">
        <f t="shared" si="31"/>
        <v>-1.16501357721634</v>
      </c>
      <c r="J86" s="247"/>
      <c r="K86" s="262">
        <f>+K85</f>
        <v>-57.78142</v>
      </c>
      <c r="L86" s="151">
        <f t="shared" si="32"/>
        <v>-1.24698232513974</v>
      </c>
      <c r="M86" s="248"/>
      <c r="N86" s="262">
        <f>+N85</f>
        <v>-75.04936</v>
      </c>
      <c r="O86" s="151">
        <f t="shared" si="33"/>
        <v>-1.52035654234953</v>
      </c>
      <c r="P86" s="249"/>
      <c r="Q86" s="262">
        <f>+Q85</f>
        <v>-62.47757</v>
      </c>
      <c r="R86" s="151">
        <f t="shared" si="34"/>
        <v>-1.1633690227916</v>
      </c>
      <c r="S86" s="249"/>
      <c r="T86" s="262">
        <f>+T85</f>
        <v>-54.55736</v>
      </c>
      <c r="U86" s="151">
        <f t="shared" si="35"/>
        <v>-1.83917745415318</v>
      </c>
      <c r="V86" s="249"/>
      <c r="W86" s="262">
        <f>+W85</f>
        <v>-46.2918</v>
      </c>
      <c r="X86" s="151">
        <f t="shared" si="28"/>
        <v>-1.10595121485056</v>
      </c>
      <c r="Y86" s="249"/>
      <c r="Z86" s="262">
        <f>+Z85</f>
        <v>-52.15434</v>
      </c>
      <c r="AA86" s="151">
        <f t="shared" si="38"/>
        <v>-1.63099540294587</v>
      </c>
      <c r="AB86" s="249"/>
      <c r="AC86" s="262">
        <f>+AC85</f>
        <v>-43.47965</v>
      </c>
      <c r="AD86" s="151">
        <f t="shared" si="26"/>
        <v>-1.53812261214094</v>
      </c>
      <c r="AE86" s="249"/>
      <c r="AF86" s="262">
        <f>+AF85</f>
        <v>-39.75619</v>
      </c>
      <c r="AG86" s="151">
        <f t="shared" si="27"/>
        <v>-1.51677501812216</v>
      </c>
      <c r="AH86" s="249"/>
      <c r="AI86" s="262">
        <f>+AI85</f>
        <v>-37.47416</v>
      </c>
      <c r="AJ86" s="151">
        <f t="shared" si="23"/>
        <v>-1.10140371502469</v>
      </c>
      <c r="AK86" s="248"/>
      <c r="AL86" s="262">
        <f>+AL85</f>
        <v>-55.6909</v>
      </c>
      <c r="AM86" s="151">
        <f t="shared" si="24"/>
        <v>-1.32304421162664</v>
      </c>
      <c r="AN86" s="248"/>
      <c r="AO86" s="262">
        <f>+AO85</f>
        <v>-636.57822</v>
      </c>
      <c r="AP86" s="151">
        <f t="shared" si="37"/>
        <v>-1.33146947722453</v>
      </c>
      <c r="AQ86" s="261"/>
    </row>
    <row r="87" outlineLevel="1" spans="1:43">
      <c r="A87" s="269" t="s">
        <v>32</v>
      </c>
      <c r="B87" s="256">
        <v>6666021602</v>
      </c>
      <c r="C87" s="256" t="s">
        <v>120</v>
      </c>
      <c r="D87" s="256" t="s">
        <v>121</v>
      </c>
      <c r="E87" s="257">
        <v>7.6782</v>
      </c>
      <c r="F87" s="258">
        <f t="shared" si="30"/>
        <v>0.158081983076321</v>
      </c>
      <c r="H87" s="259">
        <v>7.30813</v>
      </c>
      <c r="I87" s="272">
        <f t="shared" si="31"/>
        <v>0.158758499337432</v>
      </c>
      <c r="K87" s="259">
        <v>7.6688</v>
      </c>
      <c r="L87" s="272">
        <f t="shared" si="32"/>
        <v>0.165500571897188</v>
      </c>
      <c r="N87" s="259">
        <v>5.51236</v>
      </c>
      <c r="O87" s="272">
        <f t="shared" si="33"/>
        <v>0.111669874197273</v>
      </c>
      <c r="Q87" s="259">
        <v>6.00573</v>
      </c>
      <c r="R87" s="272">
        <f t="shared" si="34"/>
        <v>0.111830217488455</v>
      </c>
      <c r="T87" s="259">
        <v>-0.8493</v>
      </c>
      <c r="U87" s="272">
        <f t="shared" si="35"/>
        <v>-0.0286306634304207</v>
      </c>
      <c r="W87" s="259">
        <v>1.91257</v>
      </c>
      <c r="X87" s="272">
        <f t="shared" si="28"/>
        <v>0.0456929545834627</v>
      </c>
      <c r="Z87" s="259">
        <v>6.3758</v>
      </c>
      <c r="AA87" s="272">
        <f t="shared" si="38"/>
        <v>0.199387059448979</v>
      </c>
      <c r="AC87" s="259">
        <v>3.79127</v>
      </c>
      <c r="AD87" s="272">
        <f t="shared" si="26"/>
        <v>0.134118791566436</v>
      </c>
      <c r="AF87" s="259">
        <v>2.94594</v>
      </c>
      <c r="AG87" s="272">
        <f t="shared" si="27"/>
        <v>0.112393270001145</v>
      </c>
      <c r="AI87" s="259">
        <v>4.38108</v>
      </c>
      <c r="AJ87" s="272">
        <f t="shared" si="23"/>
        <v>0.128764401598871</v>
      </c>
      <c r="AL87" s="259">
        <v>5.50782</v>
      </c>
      <c r="AM87" s="272">
        <f t="shared" si="24"/>
        <v>0.130848834723113</v>
      </c>
      <c r="AO87" s="259">
        <f t="shared" si="36"/>
        <v>58.2384</v>
      </c>
      <c r="AP87" s="272">
        <f t="shared" si="37"/>
        <v>0.121811663619897</v>
      </c>
      <c r="AQ87" s="261"/>
    </row>
    <row r="88" outlineLevel="1" spans="1:43">
      <c r="A88" s="269" t="s">
        <v>32</v>
      </c>
      <c r="B88" s="256">
        <v>6666021604</v>
      </c>
      <c r="C88" s="159" t="s">
        <v>122</v>
      </c>
      <c r="D88" s="256" t="s">
        <v>121</v>
      </c>
      <c r="E88" s="257">
        <f>-623.43/1000</f>
        <v>-0.62343</v>
      </c>
      <c r="F88" s="258">
        <f t="shared" si="30"/>
        <v>-0.0128354367832657</v>
      </c>
      <c r="H88" s="259">
        <f>4180.92/1000</f>
        <v>4.18092</v>
      </c>
      <c r="I88" s="273">
        <f t="shared" si="31"/>
        <v>0.090824408576456</v>
      </c>
      <c r="K88" s="259">
        <f>+K93*-1</f>
        <v>3.24131</v>
      </c>
      <c r="L88" s="273">
        <f t="shared" si="32"/>
        <v>0.0699507952608067</v>
      </c>
      <c r="N88" s="259">
        <f>(+N93*-1)</f>
        <v>1.06947</v>
      </c>
      <c r="O88" s="273">
        <f t="shared" si="33"/>
        <v>0.0216654174179041</v>
      </c>
      <c r="Q88" s="259">
        <f>699.66/1000</f>
        <v>0.69966</v>
      </c>
      <c r="R88" s="273">
        <f t="shared" si="34"/>
        <v>0.0130280798450767</v>
      </c>
      <c r="T88" s="259">
        <f>(+T93*-1)</f>
        <v>-0.37499</v>
      </c>
      <c r="U88" s="273">
        <f t="shared" si="35"/>
        <v>-0.0126412486515642</v>
      </c>
      <c r="W88" s="259">
        <v>0.28723</v>
      </c>
      <c r="X88" s="273">
        <f t="shared" si="28"/>
        <v>0.00686217359103615</v>
      </c>
      <c r="Z88" s="259">
        <f>429.34/1000</f>
        <v>0.42934</v>
      </c>
      <c r="AA88" s="273">
        <f t="shared" si="38"/>
        <v>0.0134265253150702</v>
      </c>
      <c r="AC88" s="259">
        <f>+AC93*-1</f>
        <v>1.18295</v>
      </c>
      <c r="AD88" s="273">
        <f t="shared" si="26"/>
        <v>0.0418476722796094</v>
      </c>
      <c r="AF88" s="259">
        <v>1.67351</v>
      </c>
      <c r="AG88" s="273">
        <f t="shared" si="27"/>
        <v>0.0638476212277288</v>
      </c>
      <c r="AI88" s="259">
        <f>2638.65/1000</f>
        <v>2.63865</v>
      </c>
      <c r="AJ88" s="273">
        <f t="shared" si="23"/>
        <v>0.0775526099224077</v>
      </c>
      <c r="AL88" s="259">
        <f>310.52/1000</f>
        <v>0.31052</v>
      </c>
      <c r="AM88" s="273">
        <f t="shared" si="24"/>
        <v>0.00737699855082793</v>
      </c>
      <c r="AO88" s="259">
        <f t="shared" si="36"/>
        <v>14.71514</v>
      </c>
      <c r="AP88" s="273">
        <f t="shared" si="37"/>
        <v>0.0307782439730434</v>
      </c>
      <c r="AQ88" s="261"/>
    </row>
    <row r="89" s="120" customFormat="1" spans="1:43">
      <c r="A89" s="271"/>
      <c r="B89" s="148" t="s">
        <v>42</v>
      </c>
      <c r="C89" s="149" t="s">
        <v>121</v>
      </c>
      <c r="D89" s="150"/>
      <c r="E89" s="151">
        <f>SUM(E87:E88)</f>
        <v>7.05477</v>
      </c>
      <c r="F89" s="151">
        <f t="shared" si="30"/>
        <v>0.145246546293056</v>
      </c>
      <c r="G89" s="247"/>
      <c r="H89" s="262">
        <f>+SUM(H87:H88)</f>
        <v>11.48905</v>
      </c>
      <c r="I89" s="151">
        <f t="shared" si="31"/>
        <v>0.249582907913888</v>
      </c>
      <c r="J89" s="247"/>
      <c r="K89" s="262">
        <f>+SUM(K87:K88)</f>
        <v>10.91011</v>
      </c>
      <c r="L89" s="151">
        <f t="shared" si="32"/>
        <v>0.235451367157995</v>
      </c>
      <c r="M89" s="248"/>
      <c r="N89" s="262">
        <f>+SUM(N87:N88)</f>
        <v>6.58183</v>
      </c>
      <c r="O89" s="151">
        <f t="shared" si="33"/>
        <v>0.133335291615177</v>
      </c>
      <c r="P89" s="249"/>
      <c r="Q89" s="262">
        <f>+SUM(Q87:Q88)</f>
        <v>6.70539</v>
      </c>
      <c r="R89" s="151">
        <f t="shared" si="34"/>
        <v>0.124858297333532</v>
      </c>
      <c r="S89" s="249"/>
      <c r="T89" s="262">
        <f>+SUM(T87:T88)</f>
        <v>-1.22429</v>
      </c>
      <c r="U89" s="151">
        <f t="shared" si="35"/>
        <v>-0.0412719120819849</v>
      </c>
      <c r="V89" s="249"/>
      <c r="W89" s="262">
        <f>+SUM(W87:W88)</f>
        <v>2.1998</v>
      </c>
      <c r="X89" s="151">
        <f t="shared" si="28"/>
        <v>0.0525551281744989</v>
      </c>
      <c r="Y89" s="249"/>
      <c r="Z89" s="262">
        <f>+SUM(Z87:Z88)</f>
        <v>6.80514</v>
      </c>
      <c r="AA89" s="151">
        <f t="shared" si="38"/>
        <v>0.212813584764049</v>
      </c>
      <c r="AB89" s="249"/>
      <c r="AC89" s="262">
        <f>+SUM(AC87:AC88)</f>
        <v>4.97422</v>
      </c>
      <c r="AD89" s="151">
        <f t="shared" si="26"/>
        <v>0.175966463846045</v>
      </c>
      <c r="AE89" s="249"/>
      <c r="AF89" s="262">
        <f>+SUM(AF87:AF88)</f>
        <v>4.61945</v>
      </c>
      <c r="AG89" s="151">
        <f t="shared" si="27"/>
        <v>0.176240891228873</v>
      </c>
      <c r="AH89" s="249"/>
      <c r="AI89" s="262">
        <f>+SUM(AI87:AI88)</f>
        <v>7.01973</v>
      </c>
      <c r="AJ89" s="151">
        <f t="shared" si="23"/>
        <v>0.206317011521279</v>
      </c>
      <c r="AK89" s="248"/>
      <c r="AL89" s="262">
        <f>+SUM(AL87:AL88)</f>
        <v>5.81834</v>
      </c>
      <c r="AM89" s="151">
        <f t="shared" si="24"/>
        <v>0.138225833273941</v>
      </c>
      <c r="AN89" s="248"/>
      <c r="AO89" s="262">
        <f>SUM(AO87:AO88)</f>
        <v>72.95354</v>
      </c>
      <c r="AP89" s="151">
        <f t="shared" si="37"/>
        <v>0.15258990759294</v>
      </c>
      <c r="AQ89" s="261"/>
    </row>
    <row r="90" outlineLevel="2" spans="1:43">
      <c r="A90" s="271" t="s">
        <v>32</v>
      </c>
      <c r="B90" s="256">
        <v>6666021600</v>
      </c>
      <c r="C90" s="256" t="s">
        <v>123</v>
      </c>
      <c r="D90" s="256" t="s">
        <v>124</v>
      </c>
      <c r="E90" s="257">
        <v>23.97933</v>
      </c>
      <c r="F90" s="258">
        <f t="shared" si="30"/>
        <v>0.493696444380392</v>
      </c>
      <c r="H90" s="259">
        <v>23.12032</v>
      </c>
      <c r="I90" s="260">
        <f t="shared" si="31"/>
        <v>0.502255338561467</v>
      </c>
      <c r="K90" s="259">
        <v>25.58471</v>
      </c>
      <c r="L90" s="260">
        <f t="shared" si="32"/>
        <v>0.552144290739582</v>
      </c>
      <c r="N90" s="259">
        <v>24.88679</v>
      </c>
      <c r="O90" s="260">
        <f t="shared" si="33"/>
        <v>0.504158782894071</v>
      </c>
      <c r="Q90" s="259">
        <v>34.66258</v>
      </c>
      <c r="R90" s="260">
        <f t="shared" si="34"/>
        <v>0.645437583792641</v>
      </c>
      <c r="T90" s="259">
        <v>23.36705</v>
      </c>
      <c r="U90" s="260">
        <f t="shared" si="35"/>
        <v>0.787724177454153</v>
      </c>
      <c r="W90" s="259">
        <v>26.80675</v>
      </c>
      <c r="X90" s="260">
        <f t="shared" si="28"/>
        <v>0.640436486131352</v>
      </c>
      <c r="Z90" s="259">
        <v>20.20955</v>
      </c>
      <c r="AA90" s="260">
        <f t="shared" si="38"/>
        <v>0.63200268943303</v>
      </c>
      <c r="AC90" s="259">
        <v>18.09736</v>
      </c>
      <c r="AD90" s="260">
        <f t="shared" si="26"/>
        <v>0.640206594028584</v>
      </c>
      <c r="AF90" s="259">
        <v>12.75709</v>
      </c>
      <c r="AG90" s="260">
        <f t="shared" si="27"/>
        <v>0.486707489222082</v>
      </c>
      <c r="AI90" s="259">
        <v>17.30138</v>
      </c>
      <c r="AJ90" s="260">
        <f t="shared" si="23"/>
        <v>0.508505172819187</v>
      </c>
      <c r="AL90" s="259">
        <v>18.35881</v>
      </c>
      <c r="AM90" s="260">
        <f t="shared" si="24"/>
        <v>0.436148765828048</v>
      </c>
      <c r="AO90" s="259">
        <f t="shared" si="36"/>
        <v>269.13172</v>
      </c>
      <c r="AP90" s="260">
        <f t="shared" si="37"/>
        <v>0.562916950776194</v>
      </c>
      <c r="AQ90" s="261"/>
    </row>
    <row r="91" outlineLevel="2" spans="1:43">
      <c r="A91" s="271" t="s">
        <v>32</v>
      </c>
      <c r="B91" s="256">
        <v>6666021603</v>
      </c>
      <c r="C91" s="256" t="s">
        <v>125</v>
      </c>
      <c r="D91" s="256" t="s">
        <v>124</v>
      </c>
      <c r="E91" s="257">
        <v>0.50497</v>
      </c>
      <c r="F91" s="258">
        <f t="shared" si="30"/>
        <v>0.0103965329105845</v>
      </c>
      <c r="H91" s="259">
        <v>0.82088</v>
      </c>
      <c r="I91" s="260">
        <f t="shared" si="31"/>
        <v>0.017832424564986</v>
      </c>
      <c r="K91" s="259">
        <v>0.87109</v>
      </c>
      <c r="L91" s="260">
        <f t="shared" si="32"/>
        <v>0.0187990159052161</v>
      </c>
      <c r="N91" s="259">
        <v>0.701</v>
      </c>
      <c r="O91" s="260">
        <f t="shared" si="33"/>
        <v>0.0142009197171971</v>
      </c>
      <c r="Q91" s="259">
        <v>0.82863</v>
      </c>
      <c r="R91" s="260">
        <f t="shared" si="34"/>
        <v>0.0154295769402652</v>
      </c>
      <c r="T91" s="259">
        <v>0.61927</v>
      </c>
      <c r="U91" s="260">
        <f t="shared" si="35"/>
        <v>0.0208761461704423</v>
      </c>
      <c r="W91" s="259">
        <v>0.6947</v>
      </c>
      <c r="X91" s="260">
        <f t="shared" si="28"/>
        <v>0.016596984972645</v>
      </c>
      <c r="Z91" s="259">
        <v>0.45612</v>
      </c>
      <c r="AA91" s="260">
        <f t="shared" si="38"/>
        <v>0.0142640022516184</v>
      </c>
      <c r="AC91" s="259">
        <v>0.70627</v>
      </c>
      <c r="AD91" s="260">
        <f t="shared" si="26"/>
        <v>0.0249847884533748</v>
      </c>
      <c r="AF91" s="259">
        <v>0.47045</v>
      </c>
      <c r="AG91" s="260">
        <f t="shared" si="27"/>
        <v>0.0179485712105605</v>
      </c>
      <c r="AI91" s="259">
        <v>1.49811</v>
      </c>
      <c r="AJ91" s="260">
        <f t="shared" si="23"/>
        <v>0.0440309781330825</v>
      </c>
      <c r="AL91" s="259">
        <v>1.11864</v>
      </c>
      <c r="AM91" s="260">
        <f t="shared" si="24"/>
        <v>0.0265754400969282</v>
      </c>
      <c r="AO91" s="259">
        <f t="shared" si="36"/>
        <v>9.29013</v>
      </c>
      <c r="AP91" s="260">
        <f t="shared" si="37"/>
        <v>0.0194312719879858</v>
      </c>
      <c r="AQ91" s="261"/>
    </row>
    <row r="92" outlineLevel="2" spans="1:43">
      <c r="A92" s="271" t="s">
        <v>32</v>
      </c>
      <c r="B92" s="256">
        <v>6666021604</v>
      </c>
      <c r="C92" s="274" t="s">
        <v>126</v>
      </c>
      <c r="D92" s="256" t="s">
        <v>124</v>
      </c>
      <c r="E92" s="257">
        <v>1.50287</v>
      </c>
      <c r="F92" s="258">
        <f t="shared" si="30"/>
        <v>0.0309417141915958</v>
      </c>
      <c r="H92" s="259">
        <v>3.59313</v>
      </c>
      <c r="I92" s="260">
        <f t="shared" si="31"/>
        <v>0.0780555253839637</v>
      </c>
      <c r="K92" s="259">
        <v>7.54714</v>
      </c>
      <c r="L92" s="260">
        <f t="shared" si="32"/>
        <v>0.162875024278654</v>
      </c>
      <c r="N92" s="259">
        <v>2.91605</v>
      </c>
      <c r="O92" s="260">
        <f t="shared" si="33"/>
        <v>0.0590735976338553</v>
      </c>
      <c r="Q92" s="259">
        <v>5.05802</v>
      </c>
      <c r="R92" s="260">
        <f t="shared" si="34"/>
        <v>0.0941833010576494</v>
      </c>
      <c r="T92" s="259">
        <v>0.74909</v>
      </c>
      <c r="U92" s="260">
        <f t="shared" si="35"/>
        <v>0.0252524946062567</v>
      </c>
      <c r="W92" s="259">
        <v>2.37785</v>
      </c>
      <c r="X92" s="260">
        <f t="shared" si="28"/>
        <v>0.0568088969586927</v>
      </c>
      <c r="Z92" s="259">
        <v>1.09269</v>
      </c>
      <c r="AA92" s="260">
        <f t="shared" si="38"/>
        <v>0.0341711229946524</v>
      </c>
      <c r="AC92" s="259">
        <v>2.53966</v>
      </c>
      <c r="AD92" s="260">
        <f t="shared" si="26"/>
        <v>0.0898422244233763</v>
      </c>
      <c r="AF92" s="259">
        <v>2.34891</v>
      </c>
      <c r="AG92" s="260">
        <f t="shared" si="27"/>
        <v>0.0896154286368319</v>
      </c>
      <c r="AI92" s="259">
        <v>5.83076</v>
      </c>
      <c r="AJ92" s="260">
        <f t="shared" si="23"/>
        <v>0.171371972725135</v>
      </c>
      <c r="AL92" s="259">
        <v>1.83369</v>
      </c>
      <c r="AM92" s="260">
        <f t="shared" si="24"/>
        <v>0.0435628251728316</v>
      </c>
      <c r="AO92" s="259">
        <f t="shared" si="36"/>
        <v>37.38986</v>
      </c>
      <c r="AP92" s="260">
        <f t="shared" si="37"/>
        <v>0.0782047763866288</v>
      </c>
      <c r="AQ92" s="261"/>
    </row>
    <row r="93" outlineLevel="2" spans="1:43">
      <c r="A93" s="271" t="s">
        <v>32</v>
      </c>
      <c r="B93" s="256">
        <v>6666021604</v>
      </c>
      <c r="C93" s="159" t="s">
        <v>122</v>
      </c>
      <c r="D93" s="256" t="s">
        <v>124</v>
      </c>
      <c r="E93" s="257">
        <f>+E88*-1</f>
        <v>0.62343</v>
      </c>
      <c r="F93" s="258">
        <f t="shared" si="30"/>
        <v>0.0128354367832657</v>
      </c>
      <c r="H93" s="259">
        <f>+H88*-1</f>
        <v>-4.18092</v>
      </c>
      <c r="I93" s="260">
        <f t="shared" si="31"/>
        <v>-0.090824408576456</v>
      </c>
      <c r="K93" s="259">
        <f>-3241.31/1000</f>
        <v>-3.24131</v>
      </c>
      <c r="L93" s="260">
        <f t="shared" si="32"/>
        <v>-0.0699507952608067</v>
      </c>
      <c r="N93" s="259">
        <v>-1.06947</v>
      </c>
      <c r="O93" s="260">
        <f t="shared" si="33"/>
        <v>-0.0216654174179041</v>
      </c>
      <c r="Q93" s="259">
        <f>-699.66/1000</f>
        <v>-0.69966</v>
      </c>
      <c r="R93" s="260">
        <f t="shared" si="34"/>
        <v>-0.0130280798450767</v>
      </c>
      <c r="T93" s="259">
        <v>0.37499</v>
      </c>
      <c r="U93" s="260">
        <f t="shared" si="35"/>
        <v>0.0126412486515642</v>
      </c>
      <c r="W93" s="259">
        <v>-0.28723</v>
      </c>
      <c r="X93" s="260">
        <f t="shared" si="28"/>
        <v>-0.00686217359103615</v>
      </c>
      <c r="Z93" s="259">
        <f>+Z88*-1</f>
        <v>-0.42934</v>
      </c>
      <c r="AA93" s="260">
        <f t="shared" si="38"/>
        <v>-0.0134265253150702</v>
      </c>
      <c r="AC93" s="259">
        <f>-1182.95/1000</f>
        <v>-1.18295</v>
      </c>
      <c r="AD93" s="260">
        <f t="shared" si="26"/>
        <v>-0.0418476722796094</v>
      </c>
      <c r="AF93" s="259">
        <v>-1.67351</v>
      </c>
      <c r="AG93" s="260">
        <f t="shared" si="27"/>
        <v>-0.0638476212277288</v>
      </c>
      <c r="AI93" s="259">
        <f>+AI88*-1</f>
        <v>-2.63865</v>
      </c>
      <c r="AJ93" s="260">
        <f t="shared" si="23"/>
        <v>-0.0775526099224077</v>
      </c>
      <c r="AL93" s="259">
        <f>+AL88*-1</f>
        <v>-0.31052</v>
      </c>
      <c r="AM93" s="260">
        <f t="shared" si="24"/>
        <v>-0.00737699855082793</v>
      </c>
      <c r="AO93" s="259">
        <f t="shared" si="36"/>
        <v>-14.71514</v>
      </c>
      <c r="AP93" s="260">
        <f t="shared" ref="AP93" si="39">AO93/$AO$1*1000</f>
        <v>-0.0307782439730434</v>
      </c>
      <c r="AQ93" s="261"/>
    </row>
    <row r="94" s="120" customFormat="1" spans="1:43">
      <c r="A94" s="271"/>
      <c r="B94" s="148" t="s">
        <v>52</v>
      </c>
      <c r="C94" s="149" t="s">
        <v>124</v>
      </c>
      <c r="D94" s="150"/>
      <c r="E94" s="151">
        <f>SUM(E90:E93)</f>
        <v>26.6106</v>
      </c>
      <c r="F94" s="152">
        <f t="shared" si="30"/>
        <v>0.547870128265838</v>
      </c>
      <c r="G94" s="247"/>
      <c r="H94" s="262">
        <f>SUM(H90:H93)</f>
        <v>23.35341</v>
      </c>
      <c r="I94" s="152">
        <f t="shared" si="31"/>
        <v>0.50731887993396</v>
      </c>
      <c r="J94" s="247"/>
      <c r="K94" s="262">
        <f>SUM(K90:K93)</f>
        <v>30.76163</v>
      </c>
      <c r="L94" s="152">
        <f t="shared" si="32"/>
        <v>0.663867535662645</v>
      </c>
      <c r="M94" s="248"/>
      <c r="N94" s="262">
        <f>SUM(N90:N93)</f>
        <v>27.43437</v>
      </c>
      <c r="O94" s="152">
        <f t="shared" si="33"/>
        <v>0.555767882827219</v>
      </c>
      <c r="P94" s="249"/>
      <c r="Q94" s="262">
        <f>SUM(Q90:Q93)</f>
        <v>39.84957</v>
      </c>
      <c r="R94" s="152">
        <f t="shared" si="34"/>
        <v>0.742022381945479</v>
      </c>
      <c r="S94" s="249"/>
      <c r="T94" s="262">
        <f>SUM(T90:T93)</f>
        <v>25.1104</v>
      </c>
      <c r="U94" s="152">
        <f t="shared" si="35"/>
        <v>0.846494066882416</v>
      </c>
      <c r="V94" s="249"/>
      <c r="W94" s="262">
        <f>SUM(W90:W93)</f>
        <v>29.59207</v>
      </c>
      <c r="X94" s="152">
        <f t="shared" si="28"/>
        <v>0.706980194471653</v>
      </c>
      <c r="Y94" s="249"/>
      <c r="Z94" s="262">
        <f>SUM(Z90:Z93)</f>
        <v>21.32902</v>
      </c>
      <c r="AA94" s="152">
        <f t="shared" si="38"/>
        <v>0.66701128936423</v>
      </c>
      <c r="AB94" s="249"/>
      <c r="AC94" s="262">
        <f>SUM(AC90:AC93)</f>
        <v>20.16034</v>
      </c>
      <c r="AD94" s="152">
        <f t="shared" si="26"/>
        <v>0.713185934625725</v>
      </c>
      <c r="AE94" s="249"/>
      <c r="AF94" s="262">
        <f>SUM(AF90:AF93)</f>
        <v>13.90294</v>
      </c>
      <c r="AG94" s="152">
        <f t="shared" si="27"/>
        <v>0.530423867841746</v>
      </c>
      <c r="AH94" s="249"/>
      <c r="AI94" s="262">
        <f>SUM(AI90:AI93)</f>
        <v>21.9916</v>
      </c>
      <c r="AJ94" s="152">
        <f t="shared" si="23"/>
        <v>0.646355513754997</v>
      </c>
      <c r="AK94" s="248"/>
      <c r="AL94" s="262">
        <f>SUM(AL90:AL93)</f>
        <v>21.00062</v>
      </c>
      <c r="AM94" s="152">
        <f t="shared" si="24"/>
        <v>0.498910032546979</v>
      </c>
      <c r="AN94" s="248"/>
      <c r="AO94" s="262">
        <f>SUM(AO90:AO93)</f>
        <v>301.09657</v>
      </c>
      <c r="AP94" s="152">
        <f t="shared" si="37"/>
        <v>0.629774755177765</v>
      </c>
      <c r="AQ94" s="261"/>
    </row>
    <row r="95" outlineLevel="1" spans="1:43">
      <c r="A95" s="271" t="s">
        <v>32</v>
      </c>
      <c r="B95" s="256">
        <v>5001010206</v>
      </c>
      <c r="C95" s="256" t="s">
        <v>127</v>
      </c>
      <c r="D95" s="256" t="s">
        <v>128</v>
      </c>
      <c r="E95" s="257">
        <v>2.96763</v>
      </c>
      <c r="F95" s="258">
        <f t="shared" si="30"/>
        <v>0.0610988038129748</v>
      </c>
      <c r="H95" s="259">
        <v>2.63918</v>
      </c>
      <c r="I95" s="260">
        <f t="shared" si="31"/>
        <v>0.0573323485325745</v>
      </c>
      <c r="K95" s="259">
        <v>3.64004</v>
      </c>
      <c r="L95" s="260">
        <f t="shared" si="32"/>
        <v>0.0785557977426247</v>
      </c>
      <c r="N95" s="259">
        <v>3.17975</v>
      </c>
      <c r="O95" s="260">
        <f t="shared" si="33"/>
        <v>0.0644156554504386</v>
      </c>
      <c r="Q95" s="259">
        <v>3.75704</v>
      </c>
      <c r="R95" s="260">
        <f t="shared" si="34"/>
        <v>0.0699582898852972</v>
      </c>
      <c r="T95" s="259">
        <v>3.0831</v>
      </c>
      <c r="U95" s="260">
        <f t="shared" si="35"/>
        <v>0.103934061488673</v>
      </c>
      <c r="W95" s="259">
        <v>2.74451</v>
      </c>
      <c r="X95" s="260">
        <f t="shared" si="28"/>
        <v>0.0655687220775497</v>
      </c>
      <c r="Z95" s="259">
        <v>2.28535</v>
      </c>
      <c r="AA95" s="260">
        <f t="shared" si="38"/>
        <v>0.0714685555242831</v>
      </c>
      <c r="AC95" s="259">
        <v>2.69426</v>
      </c>
      <c r="AD95" s="260">
        <f t="shared" si="26"/>
        <v>0.0953113060704684</v>
      </c>
      <c r="AF95" s="259">
        <v>2.79843</v>
      </c>
      <c r="AG95" s="260">
        <f t="shared" si="27"/>
        <v>0.106765480141925</v>
      </c>
      <c r="AI95" s="259">
        <v>3.30868</v>
      </c>
      <c r="AJ95" s="260">
        <f t="shared" si="23"/>
        <v>0.0972454737832119</v>
      </c>
      <c r="AL95" s="259">
        <v>3.36423</v>
      </c>
      <c r="AM95" s="260">
        <f t="shared" si="24"/>
        <v>0.0799237402893593</v>
      </c>
      <c r="AO95" s="259">
        <f t="shared" si="36"/>
        <v>36.4622</v>
      </c>
      <c r="AP95" s="260">
        <f t="shared" si="37"/>
        <v>0.0762644791278848</v>
      </c>
      <c r="AQ95" s="261"/>
    </row>
    <row r="96" outlineLevel="1" spans="1:43">
      <c r="A96" s="271" t="s">
        <v>32</v>
      </c>
      <c r="B96" s="256">
        <v>6666010184</v>
      </c>
      <c r="C96" s="256" t="s">
        <v>129</v>
      </c>
      <c r="D96" s="256" t="s">
        <v>128</v>
      </c>
      <c r="E96" s="257">
        <v>-0.18786</v>
      </c>
      <c r="F96" s="258">
        <f t="shared" si="30"/>
        <v>-0.00386774000947067</v>
      </c>
      <c r="H96" s="259">
        <v>-0.20091</v>
      </c>
      <c r="I96" s="260">
        <f t="shared" si="31"/>
        <v>-0.00436447765733278</v>
      </c>
      <c r="K96" s="259">
        <v>-0.18151</v>
      </c>
      <c r="L96" s="260">
        <f t="shared" si="32"/>
        <v>-0.00391717202235794</v>
      </c>
      <c r="N96" s="259">
        <v>-0.16359</v>
      </c>
      <c r="O96" s="260">
        <f t="shared" si="33"/>
        <v>-0.00331402062273363</v>
      </c>
      <c r="Q96" s="259">
        <v>-0.04302</v>
      </c>
      <c r="R96" s="260">
        <f t="shared" si="34"/>
        <v>-0.000801057649337107</v>
      </c>
      <c r="T96" s="259">
        <v>-0.18993</v>
      </c>
      <c r="U96" s="260">
        <f t="shared" si="35"/>
        <v>-0.00640271035598706</v>
      </c>
      <c r="W96" s="259">
        <v>-0.11753</v>
      </c>
      <c r="X96" s="260">
        <f t="shared" si="28"/>
        <v>-0.00280789354229878</v>
      </c>
      <c r="Z96" s="259">
        <v>-0.11388</v>
      </c>
      <c r="AA96" s="260">
        <f t="shared" si="38"/>
        <v>-0.00356130969134065</v>
      </c>
      <c r="AC96" s="259">
        <v>-0.13632</v>
      </c>
      <c r="AD96" s="260">
        <f t="shared" si="26"/>
        <v>-0.00482241403707372</v>
      </c>
      <c r="AF96" s="259">
        <v>-0.1461</v>
      </c>
      <c r="AG96" s="260">
        <f t="shared" si="27"/>
        <v>-0.00557399565068101</v>
      </c>
      <c r="AI96" s="259">
        <v>-0.14444</v>
      </c>
      <c r="AJ96" s="260">
        <f t="shared" si="23"/>
        <v>-0.00424523865506701</v>
      </c>
      <c r="AL96" s="259">
        <v>-0.14042</v>
      </c>
      <c r="AM96" s="260">
        <f t="shared" si="24"/>
        <v>-0.00333594659444563</v>
      </c>
      <c r="AO96" s="259">
        <f t="shared" si="36"/>
        <v>-1.76551</v>
      </c>
      <c r="AP96" s="260">
        <f t="shared" si="37"/>
        <v>-0.00369274757269369</v>
      </c>
      <c r="AQ96" s="261"/>
    </row>
    <row r="97" outlineLevel="1" spans="1:43">
      <c r="A97" s="271" t="s">
        <v>32</v>
      </c>
      <c r="B97" s="256">
        <v>6666010186</v>
      </c>
      <c r="C97" s="256" t="s">
        <v>130</v>
      </c>
      <c r="D97" s="256" t="s">
        <v>128</v>
      </c>
      <c r="E97" s="257">
        <v>8.61402</v>
      </c>
      <c r="F97" s="258">
        <f t="shared" si="30"/>
        <v>0.177349035432666</v>
      </c>
      <c r="H97" s="259">
        <v>7.58823</v>
      </c>
      <c r="I97" s="260">
        <f t="shared" si="31"/>
        <v>0.164843264614516</v>
      </c>
      <c r="K97" s="259">
        <v>15.49278</v>
      </c>
      <c r="L97" s="260">
        <f t="shared" si="32"/>
        <v>0.334350087403155</v>
      </c>
      <c r="N97" s="259">
        <v>24.66363</v>
      </c>
      <c r="O97" s="260">
        <f t="shared" si="33"/>
        <v>0.499637987966696</v>
      </c>
      <c r="Q97" s="259">
        <v>37.71537</v>
      </c>
      <c r="R97" s="260">
        <f t="shared" si="34"/>
        <v>0.702282325338895</v>
      </c>
      <c r="T97" s="259">
        <v>13.38549</v>
      </c>
      <c r="U97" s="260">
        <f t="shared" si="35"/>
        <v>0.451236852750809</v>
      </c>
      <c r="W97" s="259">
        <v>7.89925</v>
      </c>
      <c r="X97" s="260">
        <f t="shared" si="28"/>
        <v>0.188719927371766</v>
      </c>
      <c r="Z97" s="259">
        <v>7.69636</v>
      </c>
      <c r="AA97" s="260">
        <f t="shared" si="38"/>
        <v>0.240684241798793</v>
      </c>
      <c r="AC97" s="259">
        <v>9.38375</v>
      </c>
      <c r="AD97" s="260">
        <f t="shared" si="26"/>
        <v>0.331956629404273</v>
      </c>
      <c r="AF97" s="259">
        <v>13.1475</v>
      </c>
      <c r="AG97" s="260">
        <f t="shared" si="27"/>
        <v>0.501602380679867</v>
      </c>
      <c r="AI97" s="259">
        <v>14.14208</v>
      </c>
      <c r="AJ97" s="260">
        <f t="shared" si="23"/>
        <v>0.41565012932048</v>
      </c>
      <c r="AL97" s="259">
        <v>15.69953</v>
      </c>
      <c r="AM97" s="260">
        <f t="shared" si="24"/>
        <v>0.372972465730644</v>
      </c>
      <c r="AO97" s="259">
        <f t="shared" si="36"/>
        <v>175.42799</v>
      </c>
      <c r="AP97" s="260">
        <f t="shared" si="37"/>
        <v>0.366925865191946</v>
      </c>
      <c r="AQ97" s="261"/>
    </row>
    <row r="98" outlineLevel="1" spans="1:43">
      <c r="A98" s="271" t="s">
        <v>32</v>
      </c>
      <c r="B98" s="256">
        <v>6666010189</v>
      </c>
      <c r="C98" s="256" t="s">
        <v>131</v>
      </c>
      <c r="D98" s="256" t="s">
        <v>128</v>
      </c>
      <c r="E98" s="257">
        <v>0</v>
      </c>
      <c r="F98" s="258">
        <f t="shared" si="30"/>
        <v>0</v>
      </c>
      <c r="H98" s="259">
        <v>0</v>
      </c>
      <c r="I98" s="260">
        <f t="shared" si="31"/>
        <v>0</v>
      </c>
      <c r="K98" s="259">
        <v>0</v>
      </c>
      <c r="L98" s="260">
        <f t="shared" si="32"/>
        <v>0</v>
      </c>
      <c r="N98" s="259">
        <v>0</v>
      </c>
      <c r="O98" s="260">
        <f t="shared" si="33"/>
        <v>0</v>
      </c>
      <c r="Q98" s="259">
        <v>0</v>
      </c>
      <c r="R98" s="260">
        <f t="shared" si="34"/>
        <v>0</v>
      </c>
      <c r="T98" s="259">
        <v>65.27708</v>
      </c>
      <c r="U98" s="260">
        <f t="shared" si="35"/>
        <v>2.20054881337648</v>
      </c>
      <c r="W98" s="259">
        <v>-24.39273</v>
      </c>
      <c r="X98" s="260">
        <f t="shared" si="28"/>
        <v>-0.582763456530568</v>
      </c>
      <c r="Z98" s="259">
        <v>38.84342</v>
      </c>
      <c r="AA98" s="260">
        <f t="shared" si="38"/>
        <v>1.2147299621603</v>
      </c>
      <c r="AC98" s="259">
        <v>6.234</v>
      </c>
      <c r="AD98" s="260">
        <f t="shared" si="26"/>
        <v>0.220532050374982</v>
      </c>
      <c r="AF98" s="259">
        <v>7.7</v>
      </c>
      <c r="AG98" s="260">
        <f t="shared" si="27"/>
        <v>0.293769791308992</v>
      </c>
      <c r="AI98" s="259">
        <v>4.17406</v>
      </c>
      <c r="AJ98" s="260">
        <f t="shared" si="23"/>
        <v>0.122679873030802</v>
      </c>
      <c r="AL98" s="259">
        <v>33.69346</v>
      </c>
      <c r="AM98" s="260">
        <f t="shared" si="24"/>
        <v>0.800452806880004</v>
      </c>
      <c r="AO98" s="259">
        <f t="shared" si="36"/>
        <v>131.52929</v>
      </c>
      <c r="AP98" s="260">
        <f t="shared" si="37"/>
        <v>0.275107173783</v>
      </c>
      <c r="AQ98" s="261"/>
    </row>
    <row r="99" outlineLevel="1" spans="1:43">
      <c r="A99" s="271" t="s">
        <v>32</v>
      </c>
      <c r="B99" s="256">
        <v>6666010012</v>
      </c>
      <c r="C99" s="256" t="s">
        <v>132</v>
      </c>
      <c r="D99" s="256" t="s">
        <v>128</v>
      </c>
      <c r="E99" s="257">
        <v>26.49929</v>
      </c>
      <c r="F99" s="258">
        <f t="shared" si="30"/>
        <v>0.545578431574396</v>
      </c>
      <c r="H99" s="259">
        <v>23.5523</v>
      </c>
      <c r="I99" s="260">
        <f t="shared" si="31"/>
        <v>0.511639476028067</v>
      </c>
      <c r="K99" s="259">
        <v>32.44252</v>
      </c>
      <c r="L99" s="260">
        <f t="shared" si="32"/>
        <v>0.700142866391868</v>
      </c>
      <c r="N99" s="259">
        <v>28.5286</v>
      </c>
      <c r="O99" s="260">
        <f t="shared" si="33"/>
        <v>0.577934890505034</v>
      </c>
      <c r="Q99" s="259">
        <v>33.28538</v>
      </c>
      <c r="R99" s="260">
        <f t="shared" si="34"/>
        <v>0.619793311485178</v>
      </c>
      <c r="T99" s="259">
        <v>27.52062</v>
      </c>
      <c r="U99" s="260">
        <f t="shared" si="35"/>
        <v>0.927744741100324</v>
      </c>
      <c r="W99" s="259">
        <v>24.49843</v>
      </c>
      <c r="X99" s="260">
        <f t="shared" si="28"/>
        <v>0.585288721121915</v>
      </c>
      <c r="Z99" s="259">
        <v>20.6327</v>
      </c>
      <c r="AA99" s="260">
        <f t="shared" si="38"/>
        <v>0.645235638114895</v>
      </c>
      <c r="AC99" s="259">
        <v>24.67427</v>
      </c>
      <c r="AD99" s="260">
        <f t="shared" si="26"/>
        <v>0.872869322201783</v>
      </c>
      <c r="AF99" s="259">
        <v>25.86948</v>
      </c>
      <c r="AG99" s="260">
        <f t="shared" si="27"/>
        <v>0.986970355957423</v>
      </c>
      <c r="AI99" s="259">
        <v>29.55751</v>
      </c>
      <c r="AJ99" s="260">
        <f t="shared" si="23"/>
        <v>0.868725311544792</v>
      </c>
      <c r="AL99" s="259">
        <v>30.04093</v>
      </c>
      <c r="AM99" s="260">
        <f t="shared" si="24"/>
        <v>0.713679946784501</v>
      </c>
      <c r="AO99" s="259">
        <f t="shared" si="36"/>
        <v>327.10203</v>
      </c>
      <c r="AP99" s="260">
        <f t="shared" si="37"/>
        <v>0.684167876310913</v>
      </c>
      <c r="AQ99" s="261"/>
    </row>
    <row r="100" outlineLevel="1" spans="1:43">
      <c r="A100" s="271" t="s">
        <v>32</v>
      </c>
      <c r="B100" s="256">
        <v>6666010226</v>
      </c>
      <c r="C100" s="256" t="s">
        <v>133</v>
      </c>
      <c r="D100" s="256" t="s">
        <v>128</v>
      </c>
      <c r="E100" s="257">
        <v>9.47822</v>
      </c>
      <c r="F100" s="258">
        <f t="shared" si="30"/>
        <v>0.195141545366577</v>
      </c>
      <c r="H100" s="259">
        <v>-8.08965</v>
      </c>
      <c r="I100" s="260">
        <f t="shared" si="31"/>
        <v>-0.175735885125888</v>
      </c>
      <c r="K100" s="259">
        <v>4.532</v>
      </c>
      <c r="L100" s="260">
        <f t="shared" si="32"/>
        <v>0.0978052096596672</v>
      </c>
      <c r="N100" s="259">
        <v>4.66232</v>
      </c>
      <c r="O100" s="260">
        <f t="shared" si="33"/>
        <v>0.0944496890383485</v>
      </c>
      <c r="Q100" s="259">
        <v>-2.52969</v>
      </c>
      <c r="R100" s="260">
        <f t="shared" si="34"/>
        <v>-0.0471043125279309</v>
      </c>
      <c r="T100" s="259">
        <v>4.55257</v>
      </c>
      <c r="U100" s="260">
        <f t="shared" si="35"/>
        <v>0.153471210895361</v>
      </c>
      <c r="W100" s="259">
        <v>4.2343</v>
      </c>
      <c r="X100" s="260">
        <f t="shared" si="28"/>
        <v>0.101161096112956</v>
      </c>
      <c r="Z100" s="259">
        <v>3.92727</v>
      </c>
      <c r="AA100" s="260">
        <f t="shared" si="38"/>
        <v>0.122815461112675</v>
      </c>
      <c r="AC100" s="259">
        <v>3.96327</v>
      </c>
      <c r="AD100" s="260">
        <f t="shared" si="26"/>
        <v>0.140203410216499</v>
      </c>
      <c r="AF100" s="259">
        <v>4.03693</v>
      </c>
      <c r="AG100" s="260">
        <f t="shared" si="27"/>
        <v>0.154016634237534</v>
      </c>
      <c r="AI100" s="259">
        <v>5.05044</v>
      </c>
      <c r="AJ100" s="260">
        <f t="shared" si="23"/>
        <v>0.148437573477545</v>
      </c>
      <c r="AL100" s="259">
        <v>5.01931</v>
      </c>
      <c r="AM100" s="260">
        <f t="shared" si="24"/>
        <v>0.119243342123393</v>
      </c>
      <c r="AO100" s="259">
        <f t="shared" si="36"/>
        <v>38.83729</v>
      </c>
      <c r="AP100" s="260">
        <f t="shared" si="37"/>
        <v>0.0812322265959983</v>
      </c>
      <c r="AQ100" s="261"/>
    </row>
    <row r="101" outlineLevel="1" spans="1:43">
      <c r="A101" s="271" t="s">
        <v>32</v>
      </c>
      <c r="B101" s="256">
        <v>6666010102</v>
      </c>
      <c r="C101" s="256" t="s">
        <v>134</v>
      </c>
      <c r="D101" s="256" t="s">
        <v>128</v>
      </c>
      <c r="E101" s="257">
        <v>160.66917</v>
      </c>
      <c r="F101" s="258">
        <f t="shared" si="30"/>
        <v>3.30792386403409</v>
      </c>
      <c r="H101" s="259">
        <v>135.87986</v>
      </c>
      <c r="I101" s="260">
        <f t="shared" si="31"/>
        <v>2.95179240979297</v>
      </c>
      <c r="K101" s="259">
        <f>189.69893</f>
        <v>189.69893</v>
      </c>
      <c r="L101" s="260">
        <f t="shared" si="32"/>
        <v>4.09389753328873</v>
      </c>
      <c r="N101" s="259">
        <v>149.48763</v>
      </c>
      <c r="O101" s="260">
        <f t="shared" si="33"/>
        <v>3.02833356967769</v>
      </c>
      <c r="Q101" s="259">
        <v>169.11187</v>
      </c>
      <c r="R101" s="260">
        <f t="shared" si="34"/>
        <v>3.1489622746909</v>
      </c>
      <c r="T101" s="259">
        <v>152.58442</v>
      </c>
      <c r="U101" s="260">
        <f t="shared" si="35"/>
        <v>5.14375741639698</v>
      </c>
      <c r="W101" s="259">
        <v>140.82084</v>
      </c>
      <c r="X101" s="260">
        <f t="shared" si="28"/>
        <v>3.36433189191772</v>
      </c>
      <c r="Z101" s="259">
        <v>119.89257</v>
      </c>
      <c r="AA101" s="260">
        <f t="shared" si="38"/>
        <v>3.74933764893517</v>
      </c>
      <c r="AC101" s="259">
        <v>141.56973</v>
      </c>
      <c r="AD101" s="260">
        <f t="shared" si="26"/>
        <v>5.00812685722372</v>
      </c>
      <c r="AF101" s="259">
        <v>155.88061</v>
      </c>
      <c r="AG101" s="260">
        <f t="shared" si="27"/>
        <v>5.94714471023616</v>
      </c>
      <c r="AI101" s="259">
        <v>169.15221</v>
      </c>
      <c r="AJ101" s="260">
        <f t="shared" si="23"/>
        <v>4.97155566658829</v>
      </c>
      <c r="AL101" s="259">
        <v>182.59679</v>
      </c>
      <c r="AM101" s="260">
        <f t="shared" si="24"/>
        <v>4.33793718670563</v>
      </c>
      <c r="AO101" s="259">
        <f t="shared" si="36"/>
        <v>1867.34463</v>
      </c>
      <c r="AP101" s="260">
        <f t="shared" si="37"/>
        <v>3.90574528029584</v>
      </c>
      <c r="AQ101" s="261"/>
    </row>
    <row r="102" s="120" customFormat="1" spans="1:43">
      <c r="A102" s="271"/>
      <c r="B102" s="148" t="s">
        <v>135</v>
      </c>
      <c r="C102" s="149" t="s">
        <v>128</v>
      </c>
      <c r="D102" s="150"/>
      <c r="E102" s="151">
        <v>208.04047</v>
      </c>
      <c r="F102" s="152">
        <f t="shared" si="30"/>
        <v>4.28322394021124</v>
      </c>
      <c r="G102" s="247"/>
      <c r="H102" s="262">
        <f>SUM(H95:H101)</f>
        <v>161.36901</v>
      </c>
      <c r="I102" s="152">
        <f t="shared" si="31"/>
        <v>3.50550713618491</v>
      </c>
      <c r="J102" s="247"/>
      <c r="K102" s="262">
        <f>SUM(K95:K101)</f>
        <v>245.62476</v>
      </c>
      <c r="L102" s="152">
        <f t="shared" si="32"/>
        <v>5.30083432246369</v>
      </c>
      <c r="M102" s="248"/>
      <c r="N102" s="262">
        <f>SUM(N95:N101)</f>
        <v>210.35834</v>
      </c>
      <c r="O102" s="152">
        <f t="shared" si="33"/>
        <v>4.26145777201548</v>
      </c>
      <c r="P102" s="249"/>
      <c r="Q102" s="262">
        <f>SUM(Q95:Q101)</f>
        <v>241.29695</v>
      </c>
      <c r="R102" s="152">
        <f t="shared" si="34"/>
        <v>4.493090831223</v>
      </c>
      <c r="S102" s="249"/>
      <c r="T102" s="262">
        <f>SUM(T95:T101)</f>
        <v>266.21335</v>
      </c>
      <c r="U102" s="152">
        <f t="shared" si="35"/>
        <v>8.97429038565264</v>
      </c>
      <c r="V102" s="249"/>
      <c r="W102" s="262">
        <f>SUM(W95:W101)</f>
        <v>155.68707</v>
      </c>
      <c r="X102" s="152">
        <f t="shared" si="28"/>
        <v>3.71949900852904</v>
      </c>
      <c r="Y102" s="249"/>
      <c r="Z102" s="262">
        <f>SUM(Z95:Z101)</f>
        <v>193.16379</v>
      </c>
      <c r="AA102" s="152">
        <f t="shared" si="38"/>
        <v>6.04071019795478</v>
      </c>
      <c r="AB102" s="249"/>
      <c r="AC102" s="262">
        <f>SUM(AC95:AC101)</f>
        <v>188.38296</v>
      </c>
      <c r="AD102" s="152">
        <f t="shared" si="26"/>
        <v>6.66417716145465</v>
      </c>
      <c r="AE102" s="249"/>
      <c r="AF102" s="262">
        <f>SUM(AF95:AF101)</f>
        <v>209.28685</v>
      </c>
      <c r="AG102" s="152">
        <f t="shared" si="27"/>
        <v>7.98469535691122</v>
      </c>
      <c r="AH102" s="249"/>
      <c r="AI102" s="262">
        <f>SUM(AI95:AI101)</f>
        <v>225.24054</v>
      </c>
      <c r="AJ102" s="152">
        <f t="shared" si="23"/>
        <v>6.62004878909005</v>
      </c>
      <c r="AK102" s="248"/>
      <c r="AL102" s="262">
        <f>SUM(AL95:AL101)</f>
        <v>270.27383</v>
      </c>
      <c r="AM102" s="152">
        <f t="shared" si="24"/>
        <v>6.42087354191908</v>
      </c>
      <c r="AN102" s="248"/>
      <c r="AO102" s="262">
        <f>SUM(AO95:AO101)</f>
        <v>2574.93792</v>
      </c>
      <c r="AP102" s="152">
        <f t="shared" si="37"/>
        <v>5.38575015373288</v>
      </c>
      <c r="AQ102" s="261"/>
    </row>
    <row r="103" outlineLevel="1" spans="1:43">
      <c r="A103" s="271" t="s">
        <v>32</v>
      </c>
      <c r="B103" s="256">
        <v>6666010196</v>
      </c>
      <c r="C103" s="256" t="s">
        <v>136</v>
      </c>
      <c r="D103" s="256" t="s">
        <v>137</v>
      </c>
      <c r="E103" s="257">
        <v>12.67515</v>
      </c>
      <c r="F103" s="258">
        <f t="shared" si="30"/>
        <v>0.260961273187705</v>
      </c>
      <c r="H103" s="259">
        <v>13.45053</v>
      </c>
      <c r="I103" s="260">
        <f t="shared" si="31"/>
        <v>0.292193209219473</v>
      </c>
      <c r="K103" s="259">
        <v>10.94962</v>
      </c>
      <c r="L103" s="260">
        <f t="shared" si="32"/>
        <v>0.236304033493752</v>
      </c>
      <c r="N103" s="259">
        <v>10.09877</v>
      </c>
      <c r="O103" s="260">
        <f t="shared" si="33"/>
        <v>0.20458177177238</v>
      </c>
      <c r="Q103" s="259">
        <v>10.63436</v>
      </c>
      <c r="R103" s="260">
        <f t="shared" si="34"/>
        <v>0.198018024728139</v>
      </c>
      <c r="T103" s="259">
        <v>12.84571</v>
      </c>
      <c r="U103" s="260">
        <f t="shared" si="35"/>
        <v>0.433040385652643</v>
      </c>
      <c r="W103" s="259">
        <v>11.91108</v>
      </c>
      <c r="X103" s="260">
        <f t="shared" si="28"/>
        <v>0.284566022409633</v>
      </c>
      <c r="Z103" s="259">
        <v>11.02875</v>
      </c>
      <c r="AA103" s="260">
        <f t="shared" si="38"/>
        <v>0.344896331738437</v>
      </c>
      <c r="AC103" s="259">
        <v>11.09214</v>
      </c>
      <c r="AD103" s="260">
        <f t="shared" si="26"/>
        <v>0.392392104146031</v>
      </c>
      <c r="AF103" s="259">
        <v>10.60059</v>
      </c>
      <c r="AG103" s="260">
        <f t="shared" si="27"/>
        <v>0.40443287169509</v>
      </c>
      <c r="AI103" s="259">
        <v>10.52422</v>
      </c>
      <c r="AJ103" s="260">
        <f t="shared" si="23"/>
        <v>0.309317540559605</v>
      </c>
      <c r="AL103" s="259">
        <v>10.37795</v>
      </c>
      <c r="AM103" s="260">
        <f t="shared" si="24"/>
        <v>0.246548119639845</v>
      </c>
      <c r="AO103" s="259">
        <f t="shared" si="36"/>
        <v>136.18887</v>
      </c>
      <c r="AP103" s="260">
        <f t="shared" si="37"/>
        <v>0.284853169407365</v>
      </c>
      <c r="AQ103" s="261"/>
    </row>
    <row r="104" outlineLevel="1" spans="1:43">
      <c r="A104" s="271" t="s">
        <v>32</v>
      </c>
      <c r="B104" s="256">
        <v>6666010101</v>
      </c>
      <c r="C104" s="256" t="s">
        <v>138</v>
      </c>
      <c r="D104" s="256" t="s">
        <v>137</v>
      </c>
      <c r="E104" s="257">
        <v>95.37008</v>
      </c>
      <c r="F104" s="258">
        <f t="shared" si="30"/>
        <v>1.96351897222623</v>
      </c>
      <c r="H104" s="259">
        <v>98.62674</v>
      </c>
      <c r="I104" s="260">
        <f t="shared" si="31"/>
        <v>2.14252253817913</v>
      </c>
      <c r="K104" s="259">
        <f>37.49997</f>
        <v>37.49997</v>
      </c>
      <c r="L104" s="260">
        <f t="shared" si="32"/>
        <v>0.809287826143255</v>
      </c>
      <c r="N104" s="259">
        <v>86.35234</v>
      </c>
      <c r="O104" s="260">
        <f t="shared" si="33"/>
        <v>1.74933330632255</v>
      </c>
      <c r="Q104" s="259">
        <v>65.08041</v>
      </c>
      <c r="R104" s="260">
        <f t="shared" si="34"/>
        <v>1.21183543125279</v>
      </c>
      <c r="T104" s="259">
        <v>89.65788</v>
      </c>
      <c r="U104" s="260">
        <f t="shared" si="35"/>
        <v>3.02244741100324</v>
      </c>
      <c r="W104" s="259">
        <v>75.72719</v>
      </c>
      <c r="X104" s="260">
        <f t="shared" si="28"/>
        <v>1.80918818835559</v>
      </c>
      <c r="Z104" s="259">
        <v>67.89316</v>
      </c>
      <c r="AA104" s="260">
        <f t="shared" si="38"/>
        <v>2.12318729086531</v>
      </c>
      <c r="AC104" s="259">
        <v>67.26937</v>
      </c>
      <c r="AD104" s="260">
        <f t="shared" si="26"/>
        <v>2.37970036790717</v>
      </c>
      <c r="AF104" s="259">
        <v>66.25551</v>
      </c>
      <c r="AG104" s="260">
        <f t="shared" si="27"/>
        <v>2.52777497997024</v>
      </c>
      <c r="AI104" s="259">
        <v>64.21978</v>
      </c>
      <c r="AJ104" s="260">
        <f t="shared" si="23"/>
        <v>1.88748471667059</v>
      </c>
      <c r="AL104" s="259">
        <v>63.77932</v>
      </c>
      <c r="AM104" s="260">
        <f t="shared" si="24"/>
        <v>1.51520015204428</v>
      </c>
      <c r="AO104" s="259">
        <f t="shared" si="36"/>
        <v>877.73175</v>
      </c>
      <c r="AP104" s="260">
        <f t="shared" si="37"/>
        <v>1.8358671371381</v>
      </c>
      <c r="AQ104" s="261"/>
    </row>
    <row r="105" outlineLevel="1" spans="1:43">
      <c r="A105" s="271" t="s">
        <v>32</v>
      </c>
      <c r="B105" s="256">
        <v>6666010199</v>
      </c>
      <c r="C105" s="256" t="s">
        <v>139</v>
      </c>
      <c r="D105" s="256" t="s">
        <v>137</v>
      </c>
      <c r="E105" s="257">
        <v>10.84946</v>
      </c>
      <c r="F105" s="258">
        <f t="shared" si="30"/>
        <v>0.223373206234173</v>
      </c>
      <c r="H105" s="259">
        <v>11.73659</v>
      </c>
      <c r="I105" s="260">
        <f t="shared" si="31"/>
        <v>0.254960354528273</v>
      </c>
      <c r="K105" s="259">
        <v>-5.8702</v>
      </c>
      <c r="L105" s="260">
        <f t="shared" si="32"/>
        <v>-0.126684938601981</v>
      </c>
      <c r="N105" s="259">
        <v>-41.94166</v>
      </c>
      <c r="O105" s="260">
        <f t="shared" si="33"/>
        <v>-0.849657840892977</v>
      </c>
      <c r="Q105" s="259">
        <v>3.527</v>
      </c>
      <c r="R105" s="260">
        <f t="shared" si="34"/>
        <v>0.0656748100700134</v>
      </c>
      <c r="T105" s="259">
        <v>-0.02079</v>
      </c>
      <c r="U105" s="260">
        <f t="shared" si="35"/>
        <v>-0.000700849514563106</v>
      </c>
      <c r="W105" s="259">
        <v>9.46513</v>
      </c>
      <c r="X105" s="260">
        <f t="shared" si="28"/>
        <v>0.22613015744081</v>
      </c>
      <c r="Z105" s="259">
        <v>-1.53015</v>
      </c>
      <c r="AA105" s="260">
        <f t="shared" si="38"/>
        <v>-0.0478515808237171</v>
      </c>
      <c r="AC105" s="259">
        <v>3.3755</v>
      </c>
      <c r="AD105" s="260">
        <f t="shared" si="26"/>
        <v>0.1194106410075</v>
      </c>
      <c r="AF105" s="259">
        <v>8.55269</v>
      </c>
      <c r="AG105" s="260">
        <f t="shared" si="27"/>
        <v>0.326301552783183</v>
      </c>
      <c r="AI105" s="259">
        <v>4.80086</v>
      </c>
      <c r="AJ105" s="260">
        <f t="shared" si="23"/>
        <v>0.141102163178932</v>
      </c>
      <c r="AL105" s="259">
        <v>4.87852</v>
      </c>
      <c r="AM105" s="260">
        <f t="shared" si="24"/>
        <v>0.115898605468843</v>
      </c>
      <c r="AO105" s="259">
        <f t="shared" si="36"/>
        <v>7.82294999999999</v>
      </c>
      <c r="AP105" s="260">
        <f t="shared" si="37"/>
        <v>0.0163625126019134</v>
      </c>
      <c r="AQ105" s="261"/>
    </row>
    <row r="106" outlineLevel="1" spans="1:43">
      <c r="A106" s="271" t="s">
        <v>32</v>
      </c>
      <c r="B106" s="256">
        <v>6666010185</v>
      </c>
      <c r="C106" s="256" t="s">
        <v>140</v>
      </c>
      <c r="D106" s="256" t="s">
        <v>137</v>
      </c>
      <c r="E106" s="257">
        <v>-0.36067</v>
      </c>
      <c r="F106" s="258">
        <f t="shared" si="30"/>
        <v>-0.00742562434374421</v>
      </c>
      <c r="H106" s="259">
        <v>-0.48405</v>
      </c>
      <c r="I106" s="260">
        <f t="shared" si="31"/>
        <v>-0.0105152825147177</v>
      </c>
      <c r="K106" s="259">
        <v>-0.13547</v>
      </c>
      <c r="L106" s="260">
        <f t="shared" si="32"/>
        <v>-0.00292358158706865</v>
      </c>
      <c r="N106" s="259">
        <v>-0.06588</v>
      </c>
      <c r="O106" s="260">
        <f t="shared" si="33"/>
        <v>-0.00133460284018394</v>
      </c>
      <c r="Q106" s="259">
        <v>-0.07295</v>
      </c>
      <c r="R106" s="260">
        <f t="shared" si="34"/>
        <v>-0.00135837181587964</v>
      </c>
      <c r="T106" s="259">
        <v>-0.09094</v>
      </c>
      <c r="U106" s="260">
        <f t="shared" si="35"/>
        <v>-0.00306566882416397</v>
      </c>
      <c r="W106" s="259">
        <v>-0.28001</v>
      </c>
      <c r="X106" s="260">
        <f t="shared" si="28"/>
        <v>-0.00668968153474927</v>
      </c>
      <c r="Z106" s="259">
        <v>-0.32874</v>
      </c>
      <c r="AA106" s="260">
        <f t="shared" si="38"/>
        <v>-0.0102805141195234</v>
      </c>
      <c r="AC106" s="259">
        <v>-0.32289</v>
      </c>
      <c r="AD106" s="260">
        <f t="shared" si="26"/>
        <v>-0.0114224564879015</v>
      </c>
      <c r="AF106" s="259">
        <v>-0.38158</v>
      </c>
      <c r="AG106" s="260">
        <f t="shared" si="27"/>
        <v>-0.0145580099958033</v>
      </c>
      <c r="AI106" s="259">
        <v>-0.18265</v>
      </c>
      <c r="AJ106" s="260">
        <f t="shared" si="23"/>
        <v>-0.00536826945685399</v>
      </c>
      <c r="AL106" s="259">
        <v>-0.30702</v>
      </c>
      <c r="AM106" s="260">
        <f t="shared" si="24"/>
        <v>-0.00729384933361841</v>
      </c>
      <c r="AO106" s="259">
        <f t="shared" si="36"/>
        <v>-3.01285</v>
      </c>
      <c r="AP106" s="260">
        <f t="shared" si="37"/>
        <v>-0.00630168876097569</v>
      </c>
      <c r="AQ106" s="261"/>
    </row>
    <row r="107" outlineLevel="1" spans="1:43">
      <c r="A107" s="271" t="s">
        <v>32</v>
      </c>
      <c r="B107" s="256">
        <v>6666010207</v>
      </c>
      <c r="C107" s="256" t="s">
        <v>141</v>
      </c>
      <c r="D107" s="256" t="s">
        <v>137</v>
      </c>
      <c r="E107" s="257">
        <v>1.13434</v>
      </c>
      <c r="F107" s="258">
        <f t="shared" si="30"/>
        <v>0.0233542648905726</v>
      </c>
      <c r="H107" s="259">
        <v>1.17407</v>
      </c>
      <c r="I107" s="260">
        <f t="shared" si="31"/>
        <v>0.0255049638302957</v>
      </c>
      <c r="K107" s="259">
        <v>0.93385</v>
      </c>
      <c r="L107" s="260">
        <f t="shared" si="32"/>
        <v>0.0201534410945896</v>
      </c>
      <c r="N107" s="259">
        <v>0.89443</v>
      </c>
      <c r="O107" s="260">
        <f t="shared" si="33"/>
        <v>0.0181194416870936</v>
      </c>
      <c r="Q107" s="259">
        <v>0.95134</v>
      </c>
      <c r="R107" s="260">
        <f t="shared" si="34"/>
        <v>0.0177145091613288</v>
      </c>
      <c r="T107" s="259">
        <v>1.05366</v>
      </c>
      <c r="U107" s="260">
        <f t="shared" si="35"/>
        <v>0.0355198220064725</v>
      </c>
      <c r="W107" s="259">
        <v>0.99087</v>
      </c>
      <c r="X107" s="260">
        <f t="shared" si="28"/>
        <v>0.0236727429103854</v>
      </c>
      <c r="Z107" s="259">
        <v>0.89572</v>
      </c>
      <c r="AA107" s="260">
        <f t="shared" si="38"/>
        <v>0.0280113831816618</v>
      </c>
      <c r="AC107" s="259">
        <v>0.90712</v>
      </c>
      <c r="AD107" s="260">
        <f t="shared" si="26"/>
        <v>0.0320899957549172</v>
      </c>
      <c r="AF107" s="259">
        <v>0.84974</v>
      </c>
      <c r="AG107" s="260">
        <f t="shared" si="27"/>
        <v>0.03241921330739</v>
      </c>
      <c r="AI107" s="259">
        <v>0.84358</v>
      </c>
      <c r="AJ107" s="260">
        <f t="shared" si="23"/>
        <v>0.0247936750529038</v>
      </c>
      <c r="AL107" s="259">
        <v>0.84014</v>
      </c>
      <c r="AM107" s="260">
        <f t="shared" si="24"/>
        <v>0.0199591380989713</v>
      </c>
      <c r="AO107" s="259">
        <f t="shared" si="36"/>
        <v>11.46886</v>
      </c>
      <c r="AP107" s="260">
        <f t="shared" si="37"/>
        <v>0.0239883121174979</v>
      </c>
      <c r="AQ107" s="261"/>
    </row>
    <row r="108" customFormat="1" outlineLevel="1" spans="1:43">
      <c r="A108" s="271" t="s">
        <v>32</v>
      </c>
      <c r="B108" s="256">
        <v>5102040406</v>
      </c>
      <c r="C108" s="256" t="s">
        <v>50</v>
      </c>
      <c r="D108" s="256" t="s">
        <v>44</v>
      </c>
      <c r="E108" s="257">
        <v>0</v>
      </c>
      <c r="F108" s="258">
        <f t="shared" si="30"/>
        <v>0</v>
      </c>
      <c r="G108" s="247"/>
      <c r="H108" s="259">
        <v>0</v>
      </c>
      <c r="I108" s="260">
        <f t="shared" si="31"/>
        <v>0</v>
      </c>
      <c r="J108" s="247"/>
      <c r="K108" s="259">
        <v>0</v>
      </c>
      <c r="L108" s="260">
        <f t="shared" si="32"/>
        <v>0</v>
      </c>
      <c r="M108" s="248"/>
      <c r="N108" s="259">
        <v>0</v>
      </c>
      <c r="O108" s="260">
        <f t="shared" si="33"/>
        <v>0</v>
      </c>
      <c r="P108" s="249"/>
      <c r="Q108" s="259">
        <v>0</v>
      </c>
      <c r="R108" s="260">
        <f t="shared" si="34"/>
        <v>0</v>
      </c>
      <c r="S108" s="249"/>
      <c r="T108" s="259">
        <v>0</v>
      </c>
      <c r="U108" s="260">
        <f t="shared" si="35"/>
        <v>0</v>
      </c>
      <c r="V108" s="249"/>
      <c r="W108" s="259">
        <v>0</v>
      </c>
      <c r="X108" s="260">
        <f t="shared" si="28"/>
        <v>0</v>
      </c>
      <c r="Y108" s="249"/>
      <c r="Z108" s="259">
        <v>0</v>
      </c>
      <c r="AA108" s="260">
        <f t="shared" si="38"/>
        <v>0</v>
      </c>
      <c r="AB108" s="249"/>
      <c r="AC108" s="259">
        <v>0</v>
      </c>
      <c r="AD108" s="260">
        <f t="shared" si="26"/>
        <v>0</v>
      </c>
      <c r="AE108" s="249"/>
      <c r="AF108" s="259">
        <v>0</v>
      </c>
      <c r="AG108" s="260">
        <f t="shared" si="27"/>
        <v>0</v>
      </c>
      <c r="AH108" s="249"/>
      <c r="AI108" s="259">
        <v>0</v>
      </c>
      <c r="AJ108" s="260">
        <f t="shared" si="23"/>
        <v>0</v>
      </c>
      <c r="AK108" s="248"/>
      <c r="AL108" s="259">
        <v>0</v>
      </c>
      <c r="AM108" s="260">
        <f t="shared" si="24"/>
        <v>0</v>
      </c>
      <c r="AN108" s="248"/>
      <c r="AO108" s="259">
        <f t="shared" si="36"/>
        <v>0</v>
      </c>
      <c r="AP108" s="260">
        <f t="shared" si="37"/>
        <v>0</v>
      </c>
      <c r="AQ108" s="261"/>
    </row>
    <row r="109" outlineLevel="1" spans="1:43">
      <c r="A109" s="271" t="s">
        <v>32</v>
      </c>
      <c r="B109" s="256">
        <v>6666010227</v>
      </c>
      <c r="C109" s="256" t="s">
        <v>142</v>
      </c>
      <c r="D109" s="256" t="s">
        <v>137</v>
      </c>
      <c r="E109" s="257">
        <v>14.6486</v>
      </c>
      <c r="F109" s="258">
        <f t="shared" si="30"/>
        <v>0.301591484630747</v>
      </c>
      <c r="H109" s="259">
        <v>-1.29726</v>
      </c>
      <c r="I109" s="260">
        <f t="shared" si="31"/>
        <v>-0.0281810874807204</v>
      </c>
      <c r="K109" s="259">
        <v>-8.29634</v>
      </c>
      <c r="L109" s="260">
        <f t="shared" si="32"/>
        <v>-0.179043528929365</v>
      </c>
      <c r="N109" s="259">
        <v>1.12671</v>
      </c>
      <c r="O109" s="260">
        <f t="shared" si="33"/>
        <v>0.0228249903774082</v>
      </c>
      <c r="Q109" s="259">
        <v>1.15876</v>
      </c>
      <c r="R109" s="260">
        <f t="shared" si="34"/>
        <v>0.0215767913004618</v>
      </c>
      <c r="T109" s="259">
        <v>1.13677</v>
      </c>
      <c r="U109" s="260">
        <f t="shared" si="35"/>
        <v>0.0383215345199569</v>
      </c>
      <c r="W109" s="259">
        <v>1.10839</v>
      </c>
      <c r="X109" s="260">
        <f t="shared" si="28"/>
        <v>0.0264803975440189</v>
      </c>
      <c r="Z109" s="259">
        <v>8.25412</v>
      </c>
      <c r="AA109" s="260">
        <f t="shared" si="38"/>
        <v>0.258126778622135</v>
      </c>
      <c r="AC109" s="259">
        <v>1.35677</v>
      </c>
      <c r="AD109" s="260">
        <f t="shared" si="26"/>
        <v>0.0479966746851564</v>
      </c>
      <c r="AF109" s="259">
        <v>-5.60578</v>
      </c>
      <c r="AG109" s="260">
        <f t="shared" si="27"/>
        <v>-0.213871275418717</v>
      </c>
      <c r="AI109" s="259">
        <v>1.44595</v>
      </c>
      <c r="AJ109" s="260">
        <f t="shared" si="23"/>
        <v>0.0424979426287327</v>
      </c>
      <c r="AL109" s="259">
        <v>1.43467</v>
      </c>
      <c r="AM109" s="260">
        <f t="shared" si="24"/>
        <v>0.0340833392725631</v>
      </c>
      <c r="AO109" s="259">
        <f t="shared" si="36"/>
        <v>16.47136</v>
      </c>
      <c r="AP109" s="260">
        <f t="shared" si="37"/>
        <v>0.0344515605456576</v>
      </c>
      <c r="AQ109" s="261"/>
    </row>
    <row r="110" s="120" customFormat="1" spans="1:43">
      <c r="A110" s="271"/>
      <c r="B110" s="148" t="s">
        <v>135</v>
      </c>
      <c r="C110" s="149" t="s">
        <v>137</v>
      </c>
      <c r="D110" s="150"/>
      <c r="E110" s="151">
        <v>134.31696</v>
      </c>
      <c r="F110" s="152">
        <f t="shared" si="30"/>
        <v>2.76537357682568</v>
      </c>
      <c r="G110" s="247"/>
      <c r="H110" s="262">
        <f>SUM(H103:H109)</f>
        <v>123.20662</v>
      </c>
      <c r="I110" s="152">
        <f t="shared" si="31"/>
        <v>2.67648469576174</v>
      </c>
      <c r="J110" s="247"/>
      <c r="K110" s="262">
        <f>SUM(K103:K109)</f>
        <v>35.08143</v>
      </c>
      <c r="L110" s="152">
        <f t="shared" si="32"/>
        <v>0.757093251613182</v>
      </c>
      <c r="M110" s="248"/>
      <c r="N110" s="262">
        <f>SUM(N103:N109)</f>
        <v>56.46471</v>
      </c>
      <c r="O110" s="152">
        <f t="shared" si="33"/>
        <v>1.14386706642627</v>
      </c>
      <c r="P110" s="249"/>
      <c r="Q110" s="262">
        <f>SUM(Q103:Q109)</f>
        <v>81.27892</v>
      </c>
      <c r="R110" s="152">
        <f t="shared" si="34"/>
        <v>1.51346119469686</v>
      </c>
      <c r="S110" s="249"/>
      <c r="T110" s="262">
        <f>SUM(T103:T109)</f>
        <v>104.58229</v>
      </c>
      <c r="U110" s="152">
        <f t="shared" si="35"/>
        <v>3.52556263484358</v>
      </c>
      <c r="V110" s="249"/>
      <c r="W110" s="262">
        <f>SUM(W103:W109)</f>
        <v>98.92265</v>
      </c>
      <c r="X110" s="152">
        <f t="shared" si="28"/>
        <v>2.36334782712569</v>
      </c>
      <c r="Y110" s="249"/>
      <c r="Z110" s="262">
        <f>SUM(Z103:Z109)</f>
        <v>86.21286</v>
      </c>
      <c r="AA110" s="152">
        <f t="shared" si="38"/>
        <v>2.6960896894643</v>
      </c>
      <c r="AB110" s="249"/>
      <c r="AC110" s="262">
        <f>SUM(AC103:AC109)</f>
        <v>83.67801</v>
      </c>
      <c r="AD110" s="152">
        <f t="shared" si="26"/>
        <v>2.96016732701288</v>
      </c>
      <c r="AE110" s="249"/>
      <c r="AF110" s="262">
        <f>SUM(AF103:AF109)</f>
        <v>80.27117</v>
      </c>
      <c r="AG110" s="152">
        <f t="shared" si="27"/>
        <v>3.06249933234138</v>
      </c>
      <c r="AH110" s="249"/>
      <c r="AI110" s="262">
        <f>SUM(AI103:AI109)</f>
        <v>81.65174</v>
      </c>
      <c r="AJ110" s="152">
        <f t="shared" si="23"/>
        <v>2.39982776863391</v>
      </c>
      <c r="AK110" s="248"/>
      <c r="AL110" s="262">
        <f>SUM(AL103:AL109)</f>
        <v>81.00358</v>
      </c>
      <c r="AM110" s="152">
        <f t="shared" si="24"/>
        <v>1.92439550519089</v>
      </c>
      <c r="AN110" s="248"/>
      <c r="AO110" s="262">
        <f>SUM(AO103:AO109)</f>
        <v>1046.67094</v>
      </c>
      <c r="AP110" s="152">
        <f t="shared" si="37"/>
        <v>2.18922100304956</v>
      </c>
      <c r="AQ110" s="261"/>
    </row>
    <row r="111" outlineLevel="1" spans="1:43">
      <c r="A111" s="271" t="s">
        <v>32</v>
      </c>
      <c r="B111" s="256">
        <v>6666020903</v>
      </c>
      <c r="C111" s="256" t="s">
        <v>143</v>
      </c>
      <c r="D111" s="256" t="s">
        <v>144</v>
      </c>
      <c r="E111" s="257">
        <v>0.22999</v>
      </c>
      <c r="F111" s="258">
        <f t="shared" si="30"/>
        <v>0.00473513001585308</v>
      </c>
      <c r="H111" s="259">
        <v>0.01024</v>
      </c>
      <c r="I111" s="260">
        <f t="shared" si="31"/>
        <v>0.00022244911259314</v>
      </c>
      <c r="K111" s="259">
        <v>0</v>
      </c>
      <c r="L111" s="260">
        <f t="shared" si="32"/>
        <v>0</v>
      </c>
      <c r="N111" s="259">
        <v>0</v>
      </c>
      <c r="O111" s="260">
        <f t="shared" si="33"/>
        <v>0</v>
      </c>
      <c r="Q111" s="259">
        <v>0</v>
      </c>
      <c r="R111" s="260">
        <f t="shared" si="34"/>
        <v>0</v>
      </c>
      <c r="T111" s="259">
        <v>0</v>
      </c>
      <c r="U111" s="260">
        <f t="shared" si="35"/>
        <v>0</v>
      </c>
      <c r="W111" s="259">
        <v>0</v>
      </c>
      <c r="X111" s="260">
        <f t="shared" si="28"/>
        <v>0</v>
      </c>
      <c r="Z111" s="259">
        <v>0</v>
      </c>
      <c r="AA111" s="260">
        <f t="shared" si="38"/>
        <v>0</v>
      </c>
      <c r="AC111" s="259">
        <v>0</v>
      </c>
      <c r="AD111" s="260">
        <f t="shared" si="26"/>
        <v>0</v>
      </c>
      <c r="AF111" s="259">
        <v>0</v>
      </c>
      <c r="AG111" s="260">
        <f t="shared" si="27"/>
        <v>0</v>
      </c>
      <c r="AI111" s="259">
        <v>-0.00045</v>
      </c>
      <c r="AJ111" s="260">
        <f t="shared" si="23"/>
        <v>-1.32259581471902e-5</v>
      </c>
      <c r="AL111" s="259">
        <v>0</v>
      </c>
      <c r="AM111" s="260">
        <f t="shared" si="24"/>
        <v>0</v>
      </c>
      <c r="AO111" s="259">
        <f t="shared" si="36"/>
        <v>0.23978</v>
      </c>
      <c r="AP111" s="260">
        <f t="shared" si="37"/>
        <v>0.00050152477923121</v>
      </c>
      <c r="AQ111" s="261"/>
    </row>
    <row r="112" outlineLevel="1" spans="1:43">
      <c r="A112" s="271" t="s">
        <v>32</v>
      </c>
      <c r="B112" s="256">
        <v>6666010302</v>
      </c>
      <c r="C112" s="256" t="s">
        <v>145</v>
      </c>
      <c r="D112" s="256" t="s">
        <v>144</v>
      </c>
      <c r="E112" s="257">
        <v>1.20754</v>
      </c>
      <c r="F112" s="258">
        <f t="shared" si="30"/>
        <v>0.0248613370117972</v>
      </c>
      <c r="H112" s="259">
        <v>13.31054</v>
      </c>
      <c r="I112" s="260">
        <f t="shared" si="31"/>
        <v>0.2891521299937</v>
      </c>
      <c r="K112" s="259">
        <v>6.03674</v>
      </c>
      <c r="L112" s="260">
        <f t="shared" si="32"/>
        <v>0.130279042665688</v>
      </c>
      <c r="N112" s="259">
        <v>5.79096</v>
      </c>
      <c r="O112" s="260">
        <f t="shared" si="33"/>
        <v>0.117313777525677</v>
      </c>
      <c r="Q112" s="259">
        <v>5.83353</v>
      </c>
      <c r="R112" s="260">
        <f t="shared" si="34"/>
        <v>0.108623752420676</v>
      </c>
      <c r="T112" s="259">
        <v>8.70347</v>
      </c>
      <c r="U112" s="260">
        <f t="shared" si="35"/>
        <v>0.293401766450917</v>
      </c>
      <c r="W112" s="259">
        <v>5.95235</v>
      </c>
      <c r="X112" s="260">
        <f t="shared" si="28"/>
        <v>0.142206799340612</v>
      </c>
      <c r="Z112" s="259">
        <v>4.23847</v>
      </c>
      <c r="AA112" s="260">
        <f t="shared" si="38"/>
        <v>0.132547455983988</v>
      </c>
      <c r="AC112" s="259">
        <v>4.08711</v>
      </c>
      <c r="AD112" s="260">
        <f t="shared" si="26"/>
        <v>0.144584335644545</v>
      </c>
      <c r="AF112" s="259">
        <v>4.12002</v>
      </c>
      <c r="AG112" s="260">
        <f t="shared" si="27"/>
        <v>0.157186677349205</v>
      </c>
      <c r="AI112" s="259">
        <v>7.5138</v>
      </c>
      <c r="AJ112" s="260">
        <f t="shared" si="23"/>
        <v>0.220838231836351</v>
      </c>
      <c r="AL112" s="259">
        <v>2.59925</v>
      </c>
      <c r="AM112" s="260">
        <f t="shared" si="24"/>
        <v>0.0617501722376642</v>
      </c>
      <c r="AO112" s="259">
        <f t="shared" si="36"/>
        <v>69.39378</v>
      </c>
      <c r="AP112" s="260">
        <f t="shared" si="37"/>
        <v>0.145144299751936</v>
      </c>
      <c r="AQ112" s="261"/>
    </row>
    <row r="113" outlineLevel="1" spans="1:43">
      <c r="A113" s="271" t="s">
        <v>32</v>
      </c>
      <c r="B113" s="256">
        <v>6666010314</v>
      </c>
      <c r="C113" s="256" t="s">
        <v>146</v>
      </c>
      <c r="D113" s="256" t="s">
        <v>144</v>
      </c>
      <c r="E113" s="257">
        <v>22.70047</v>
      </c>
      <c r="F113" s="258">
        <f t="shared" si="30"/>
        <v>0.467366741471248</v>
      </c>
      <c r="H113" s="259">
        <v>15.82463</v>
      </c>
      <c r="I113" s="260">
        <f t="shared" si="31"/>
        <v>0.343767080138162</v>
      </c>
      <c r="K113" s="259">
        <v>17.6348</v>
      </c>
      <c r="L113" s="260">
        <f t="shared" si="32"/>
        <v>0.380577076634223</v>
      </c>
      <c r="N113" s="259">
        <v>15.37079</v>
      </c>
      <c r="O113" s="260">
        <f t="shared" si="33"/>
        <v>0.311382817089723</v>
      </c>
      <c r="Q113" s="259">
        <v>13.43668</v>
      </c>
      <c r="R113" s="260">
        <f t="shared" si="34"/>
        <v>0.250198867868315</v>
      </c>
      <c r="T113" s="259">
        <v>7.05809</v>
      </c>
      <c r="U113" s="260">
        <f t="shared" si="35"/>
        <v>0.237934533441208</v>
      </c>
      <c r="W113" s="259">
        <v>0.30043</v>
      </c>
      <c r="X113" s="260">
        <f t="shared" si="28"/>
        <v>0.00717753302912297</v>
      </c>
      <c r="Z113" s="259">
        <v>0.1225</v>
      </c>
      <c r="AA113" s="260">
        <f t="shared" si="38"/>
        <v>0.00383087844388154</v>
      </c>
      <c r="AC113" s="259">
        <v>23.86026</v>
      </c>
      <c r="AD113" s="260">
        <f t="shared" si="26"/>
        <v>0.84407315692656</v>
      </c>
      <c r="AF113" s="259">
        <v>12.87878</v>
      </c>
      <c r="AG113" s="260">
        <f t="shared" si="27"/>
        <v>0.491350196482393</v>
      </c>
      <c r="AI113" s="259">
        <v>0.97033</v>
      </c>
      <c r="AJ113" s="260">
        <f t="shared" si="23"/>
        <v>0.0285189865976957</v>
      </c>
      <c r="AL113" s="259">
        <v>1.43011</v>
      </c>
      <c r="AM113" s="260">
        <f t="shared" si="24"/>
        <v>0.0339750077209987</v>
      </c>
      <c r="AO113" s="259">
        <f t="shared" si="36"/>
        <v>131.58787</v>
      </c>
      <c r="AP113" s="260">
        <f t="shared" si="37"/>
        <v>0.275229699938507</v>
      </c>
      <c r="AQ113" s="261"/>
    </row>
    <row r="114" outlineLevel="1" spans="1:43">
      <c r="A114" s="271" t="s">
        <v>32</v>
      </c>
      <c r="B114" s="256">
        <v>6666020401</v>
      </c>
      <c r="C114" s="256" t="s">
        <v>148</v>
      </c>
      <c r="D114" s="256" t="s">
        <v>144</v>
      </c>
      <c r="E114" s="257">
        <v>34.74647</v>
      </c>
      <c r="F114" s="258">
        <f t="shared" si="30"/>
        <v>0.715374812130695</v>
      </c>
      <c r="H114" s="259">
        <v>37.90281</v>
      </c>
      <c r="I114" s="260">
        <f t="shared" si="31"/>
        <v>0.823383442313123</v>
      </c>
      <c r="K114" s="259">
        <v>33.76903</v>
      </c>
      <c r="L114" s="260">
        <f t="shared" si="32"/>
        <v>0.728770313140687</v>
      </c>
      <c r="N114" s="259">
        <v>32.0106</v>
      </c>
      <c r="O114" s="260">
        <f t="shared" si="33"/>
        <v>0.648473553066062</v>
      </c>
      <c r="Q114" s="259">
        <v>30.33844</v>
      </c>
      <c r="R114" s="260">
        <f t="shared" si="34"/>
        <v>0.564919559064502</v>
      </c>
      <c r="T114" s="259">
        <v>30.06837</v>
      </c>
      <c r="U114" s="260">
        <f t="shared" si="35"/>
        <v>1.01363167475728</v>
      </c>
      <c r="W114" s="259">
        <v>30.27208</v>
      </c>
      <c r="X114" s="260">
        <f t="shared" si="28"/>
        <v>0.723226222615094</v>
      </c>
      <c r="Z114" s="259">
        <v>27.98148</v>
      </c>
      <c r="AA114" s="260">
        <f t="shared" si="38"/>
        <v>0.875050192325734</v>
      </c>
      <c r="AC114" s="259">
        <v>28.81849</v>
      </c>
      <c r="AD114" s="260">
        <f t="shared" si="26"/>
        <v>1.01947396349229</v>
      </c>
      <c r="AF114" s="259">
        <v>21.67434</v>
      </c>
      <c r="AG114" s="260">
        <f t="shared" si="27"/>
        <v>0.826917706306513</v>
      </c>
      <c r="AI114" s="259">
        <v>25.87795</v>
      </c>
      <c r="AJ114" s="260">
        <f t="shared" si="23"/>
        <v>0.760579296966847</v>
      </c>
      <c r="AL114" s="259">
        <v>26.17639</v>
      </c>
      <c r="AM114" s="260">
        <f t="shared" si="24"/>
        <v>0.62187038224883</v>
      </c>
      <c r="AO114" s="259">
        <f t="shared" si="36"/>
        <v>359.63645</v>
      </c>
      <c r="AP114" s="260">
        <f t="shared" si="37"/>
        <v>0.752216995536517</v>
      </c>
      <c r="AQ114" s="261"/>
    </row>
    <row r="115" outlineLevel="1" spans="1:43">
      <c r="A115" s="271" t="s">
        <v>32</v>
      </c>
      <c r="B115" s="256">
        <v>6666020402</v>
      </c>
      <c r="C115" s="256" t="s">
        <v>149</v>
      </c>
      <c r="D115" s="256" t="s">
        <v>144</v>
      </c>
      <c r="E115" s="257">
        <v>0</v>
      </c>
      <c r="F115" s="258">
        <f t="shared" si="30"/>
        <v>0</v>
      </c>
      <c r="H115" s="259">
        <v>0</v>
      </c>
      <c r="I115" s="260">
        <f t="shared" si="31"/>
        <v>0</v>
      </c>
      <c r="K115" s="259">
        <v>0</v>
      </c>
      <c r="L115" s="260">
        <f t="shared" si="32"/>
        <v>0</v>
      </c>
      <c r="N115" s="259">
        <v>0</v>
      </c>
      <c r="O115" s="260">
        <f t="shared" si="33"/>
        <v>0</v>
      </c>
      <c r="Q115" s="259">
        <v>0</v>
      </c>
      <c r="R115" s="260">
        <f t="shared" si="34"/>
        <v>0</v>
      </c>
      <c r="T115" s="259">
        <v>0</v>
      </c>
      <c r="U115" s="260">
        <f t="shared" si="35"/>
        <v>0</v>
      </c>
      <c r="W115" s="259">
        <v>0</v>
      </c>
      <c r="X115" s="260">
        <f t="shared" si="28"/>
        <v>0</v>
      </c>
      <c r="Z115" s="259">
        <v>0</v>
      </c>
      <c r="AA115" s="260">
        <f t="shared" si="38"/>
        <v>0</v>
      </c>
      <c r="AC115" s="259">
        <v>0</v>
      </c>
      <c r="AD115" s="260">
        <f t="shared" si="26"/>
        <v>0</v>
      </c>
      <c r="AF115" s="259">
        <v>0</v>
      </c>
      <c r="AG115" s="260">
        <f t="shared" si="27"/>
        <v>0</v>
      </c>
      <c r="AI115" s="259">
        <v>0</v>
      </c>
      <c r="AJ115" s="260">
        <f t="shared" si="23"/>
        <v>0</v>
      </c>
      <c r="AL115" s="259">
        <v>0</v>
      </c>
      <c r="AM115" s="260">
        <f t="shared" si="24"/>
        <v>0</v>
      </c>
      <c r="AO115" s="259">
        <f t="shared" si="36"/>
        <v>0</v>
      </c>
      <c r="AP115" s="260">
        <f t="shared" si="37"/>
        <v>0</v>
      </c>
      <c r="AQ115" s="261"/>
    </row>
    <row r="116" outlineLevel="1" spans="1:43">
      <c r="A116" s="271" t="s">
        <v>32</v>
      </c>
      <c r="B116" s="256">
        <v>6666020502</v>
      </c>
      <c r="C116" s="256" t="s">
        <v>150</v>
      </c>
      <c r="D116" s="256" t="s">
        <v>144</v>
      </c>
      <c r="E116" s="257">
        <v>33.96051</v>
      </c>
      <c r="F116" s="258">
        <f t="shared" si="30"/>
        <v>0.69919313993947</v>
      </c>
      <c r="H116" s="259">
        <v>37.29888</v>
      </c>
      <c r="I116" s="260">
        <f t="shared" si="31"/>
        <v>0.810263941085743</v>
      </c>
      <c r="K116" s="259">
        <v>33.24106</v>
      </c>
      <c r="L116" s="260">
        <f t="shared" si="32"/>
        <v>0.717376178863543</v>
      </c>
      <c r="N116" s="259">
        <v>31.49851</v>
      </c>
      <c r="O116" s="260">
        <f t="shared" si="33"/>
        <v>0.638099588760813</v>
      </c>
      <c r="Q116" s="259">
        <v>31.29072</v>
      </c>
      <c r="R116" s="260">
        <f t="shared" si="34"/>
        <v>0.582651571577536</v>
      </c>
      <c r="T116" s="259">
        <v>30.73355</v>
      </c>
      <c r="U116" s="260">
        <f t="shared" si="35"/>
        <v>1.03605548813376</v>
      </c>
      <c r="W116" s="259">
        <v>28.03999</v>
      </c>
      <c r="X116" s="260">
        <f t="shared" si="28"/>
        <v>0.669899658360609</v>
      </c>
      <c r="Z116" s="259">
        <v>33.53267</v>
      </c>
      <c r="AA116" s="260">
        <f t="shared" si="38"/>
        <v>1.04864965443913</v>
      </c>
      <c r="AC116" s="259">
        <v>29.12317</v>
      </c>
      <c r="AD116" s="260">
        <f t="shared" si="26"/>
        <v>1.03025222866846</v>
      </c>
      <c r="AF116" s="259">
        <v>29.7232</v>
      </c>
      <c r="AG116" s="260">
        <f t="shared" si="27"/>
        <v>1.13399717675785</v>
      </c>
      <c r="AI116" s="259">
        <v>27.90257</v>
      </c>
      <c r="AJ116" s="260">
        <f t="shared" si="23"/>
        <v>0.820084940042323</v>
      </c>
      <c r="AL116" s="259">
        <v>30.31496</v>
      </c>
      <c r="AM116" s="260">
        <f t="shared" si="24"/>
        <v>0.720190055353622</v>
      </c>
      <c r="AO116" s="259">
        <f t="shared" si="36"/>
        <v>376.65979</v>
      </c>
      <c r="AP116" s="260">
        <f t="shared" si="37"/>
        <v>0.787823079593894</v>
      </c>
      <c r="AQ116" s="261"/>
    </row>
    <row r="117" outlineLevel="1" spans="1:43">
      <c r="A117" s="271" t="s">
        <v>32</v>
      </c>
      <c r="B117" s="256">
        <v>6666020503</v>
      </c>
      <c r="C117" s="256" t="s">
        <v>151</v>
      </c>
      <c r="D117" s="256" t="s">
        <v>144</v>
      </c>
      <c r="E117" s="257">
        <v>0.03924</v>
      </c>
      <c r="F117" s="258">
        <f t="shared" si="30"/>
        <v>0.000807889481377777</v>
      </c>
      <c r="H117" s="259">
        <v>0.15839</v>
      </c>
      <c r="I117" s="260">
        <f t="shared" si="31"/>
        <v>0.00344079247496361</v>
      </c>
      <c r="K117" s="259">
        <v>0.19723</v>
      </c>
      <c r="L117" s="260">
        <f t="shared" si="32"/>
        <v>0.00425642575048018</v>
      </c>
      <c r="N117" s="259">
        <v>0.22272</v>
      </c>
      <c r="O117" s="260">
        <f t="shared" si="33"/>
        <v>0.00451188136863643</v>
      </c>
      <c r="Q117" s="259">
        <v>0.35057</v>
      </c>
      <c r="R117" s="260">
        <f t="shared" si="34"/>
        <v>0.00652781915685982</v>
      </c>
      <c r="T117" s="259">
        <v>0.24878</v>
      </c>
      <c r="U117" s="260">
        <f t="shared" si="35"/>
        <v>0.00838659654800432</v>
      </c>
      <c r="W117" s="259">
        <v>0.51588</v>
      </c>
      <c r="X117" s="260">
        <f t="shared" si="28"/>
        <v>0.0123248202212294</v>
      </c>
      <c r="Z117" s="259">
        <v>0.36164</v>
      </c>
      <c r="AA117" s="260">
        <f t="shared" si="38"/>
        <v>0.0113093786158802</v>
      </c>
      <c r="AC117" s="259">
        <v>0.16294</v>
      </c>
      <c r="AD117" s="260">
        <f t="shared" si="26"/>
        <v>0.00576411490024055</v>
      </c>
      <c r="AF117" s="259">
        <v>0.54015</v>
      </c>
      <c r="AG117" s="260">
        <f t="shared" si="27"/>
        <v>0.0206077601007211</v>
      </c>
      <c r="AI117" s="259">
        <v>0.60136</v>
      </c>
      <c r="AJ117" s="260">
        <f t="shared" si="23"/>
        <v>0.0176745826475429</v>
      </c>
      <c r="AL117" s="259">
        <v>1.56618</v>
      </c>
      <c r="AM117" s="260">
        <f t="shared" si="24"/>
        <v>0.0372076117169126</v>
      </c>
      <c r="AO117" s="259">
        <f t="shared" si="36"/>
        <v>4.96508</v>
      </c>
      <c r="AP117" s="260">
        <f t="shared" si="37"/>
        <v>0.010384980610832</v>
      </c>
      <c r="AQ117" s="261"/>
    </row>
    <row r="118" outlineLevel="1" spans="1:43">
      <c r="A118" s="271" t="s">
        <v>32</v>
      </c>
      <c r="B118" s="256">
        <v>6666021500</v>
      </c>
      <c r="C118" s="256" t="s">
        <v>152</v>
      </c>
      <c r="D118" s="256" t="s">
        <v>144</v>
      </c>
      <c r="E118" s="257">
        <v>0.34316</v>
      </c>
      <c r="F118" s="258">
        <f t="shared" si="30"/>
        <v>0.00706512116283379</v>
      </c>
      <c r="H118" s="259">
        <v>12.99364</v>
      </c>
      <c r="I118" s="260">
        <f t="shared" si="31"/>
        <v>0.282267938218235</v>
      </c>
      <c r="K118" s="259">
        <v>27.89272</v>
      </c>
      <c r="L118" s="260">
        <f t="shared" si="32"/>
        <v>0.601953514470078</v>
      </c>
      <c r="N118" s="259">
        <v>7.34975</v>
      </c>
      <c r="O118" s="260">
        <f t="shared" si="33"/>
        <v>0.148891882584122</v>
      </c>
      <c r="Q118" s="259">
        <v>12.70395</v>
      </c>
      <c r="R118" s="260">
        <f t="shared" si="34"/>
        <v>0.236555005213764</v>
      </c>
      <c r="T118" s="259">
        <v>10.26819</v>
      </c>
      <c r="U118" s="260">
        <f t="shared" si="35"/>
        <v>0.346149878640777</v>
      </c>
      <c r="W118" s="259">
        <v>8.95841</v>
      </c>
      <c r="X118" s="260">
        <f t="shared" si="28"/>
        <v>0.21402417755692</v>
      </c>
      <c r="Z118" s="259">
        <v>9.23774</v>
      </c>
      <c r="AA118" s="260">
        <f t="shared" si="38"/>
        <v>0.288887012540263</v>
      </c>
      <c r="AC118" s="259">
        <v>0</v>
      </c>
      <c r="AD118" s="260">
        <f t="shared" si="26"/>
        <v>0</v>
      </c>
      <c r="AF118" s="259">
        <v>0</v>
      </c>
      <c r="AG118" s="260">
        <f t="shared" si="27"/>
        <v>0</v>
      </c>
      <c r="AI118" s="259">
        <v>-0.02701</v>
      </c>
      <c r="AJ118" s="260">
        <f t="shared" si="23"/>
        <v>-0.000793851399012462</v>
      </c>
      <c r="AL118" s="259">
        <v>0</v>
      </c>
      <c r="AM118" s="260">
        <f t="shared" si="24"/>
        <v>0</v>
      </c>
      <c r="AO118" s="259">
        <f t="shared" si="36"/>
        <v>89.72055</v>
      </c>
      <c r="AP118" s="260">
        <f t="shared" si="37"/>
        <v>0.187659850826811</v>
      </c>
      <c r="AQ118" s="261"/>
    </row>
    <row r="119" outlineLevel="1" spans="1:43">
      <c r="A119" s="271" t="s">
        <v>32</v>
      </c>
      <c r="B119" s="256">
        <v>6666021502</v>
      </c>
      <c r="C119" s="256" t="s">
        <v>153</v>
      </c>
      <c r="D119" s="256" t="s">
        <v>144</v>
      </c>
      <c r="E119" s="257">
        <v>0</v>
      </c>
      <c r="F119" s="258">
        <f t="shared" si="30"/>
        <v>0</v>
      </c>
      <c r="H119" s="259">
        <v>0.22008</v>
      </c>
      <c r="I119" s="260">
        <f t="shared" si="31"/>
        <v>0.00478091803706037</v>
      </c>
      <c r="K119" s="259">
        <v>1.96222</v>
      </c>
      <c r="L119" s="260">
        <f t="shared" si="32"/>
        <v>0.0423467207631051</v>
      </c>
      <c r="N119" s="259">
        <v>4.52269</v>
      </c>
      <c r="O119" s="260">
        <f t="shared" si="33"/>
        <v>0.0916210522050929</v>
      </c>
      <c r="Q119" s="259">
        <v>4.73112</v>
      </c>
      <c r="R119" s="260">
        <f t="shared" si="34"/>
        <v>0.0880962311932072</v>
      </c>
      <c r="T119" s="259">
        <v>0.1826</v>
      </c>
      <c r="U119" s="260">
        <f t="shared" si="35"/>
        <v>0.00615560949298813</v>
      </c>
      <c r="W119" s="259">
        <v>0.32195</v>
      </c>
      <c r="X119" s="260">
        <f t="shared" si="28"/>
        <v>0.00769166447667057</v>
      </c>
      <c r="Z119" s="259">
        <v>0</v>
      </c>
      <c r="AA119" s="260">
        <f t="shared" si="38"/>
        <v>0</v>
      </c>
      <c r="AC119" s="259">
        <v>19.62232</v>
      </c>
      <c r="AD119" s="260">
        <f t="shared" si="26"/>
        <v>0.694153105985567</v>
      </c>
      <c r="AF119" s="259">
        <v>6.59061</v>
      </c>
      <c r="AG119" s="260">
        <f t="shared" si="27"/>
        <v>0.251444431727137</v>
      </c>
      <c r="AI119" s="259">
        <v>41.17921</v>
      </c>
      <c r="AJ119" s="260">
        <f t="shared" si="23"/>
        <v>1.21029890665413</v>
      </c>
      <c r="AL119" s="259">
        <v>25.70572</v>
      </c>
      <c r="AM119" s="260">
        <f t="shared" si="24"/>
        <v>0.610688713087687</v>
      </c>
      <c r="AO119" s="259">
        <f t="shared" si="36"/>
        <v>105.03852</v>
      </c>
      <c r="AP119" s="260">
        <f t="shared" si="37"/>
        <v>0.219698976369059</v>
      </c>
      <c r="AQ119" s="261"/>
    </row>
    <row r="120" outlineLevel="1" spans="1:43">
      <c r="A120" s="271" t="s">
        <v>32</v>
      </c>
      <c r="B120" s="256">
        <v>6666021503</v>
      </c>
      <c r="C120" s="256" t="s">
        <v>154</v>
      </c>
      <c r="D120" s="256" t="s">
        <v>144</v>
      </c>
      <c r="E120" s="257">
        <v>0.14445</v>
      </c>
      <c r="F120" s="258">
        <f t="shared" si="30"/>
        <v>0.00297399682938379</v>
      </c>
      <c r="H120" s="259">
        <v>2.77371</v>
      </c>
      <c r="I120" s="260">
        <f t="shared" si="31"/>
        <v>0.0602548171963591</v>
      </c>
      <c r="K120" s="259">
        <v>1.87946</v>
      </c>
      <c r="L120" s="260">
        <f t="shared" si="32"/>
        <v>0.0405606750544921</v>
      </c>
      <c r="N120" s="259">
        <v>3.81872</v>
      </c>
      <c r="O120" s="260">
        <f t="shared" si="33"/>
        <v>0.0773599659664121</v>
      </c>
      <c r="Q120" s="259">
        <v>2.41609</v>
      </c>
      <c r="R120" s="260">
        <f t="shared" si="34"/>
        <v>0.0449890138537167</v>
      </c>
      <c r="T120" s="259">
        <v>2.37296</v>
      </c>
      <c r="U120" s="260">
        <f t="shared" si="35"/>
        <v>0.0799946062567422</v>
      </c>
      <c r="W120" s="259">
        <v>7.69677</v>
      </c>
      <c r="X120" s="260">
        <f t="shared" si="28"/>
        <v>0.183882504718446</v>
      </c>
      <c r="Z120" s="259">
        <v>2.47286</v>
      </c>
      <c r="AA120" s="260">
        <f t="shared" si="38"/>
        <v>0.0773324577039747</v>
      </c>
      <c r="AC120" s="259">
        <v>2.41635</v>
      </c>
      <c r="AD120" s="260">
        <f t="shared" si="26"/>
        <v>0.0854800481109382</v>
      </c>
      <c r="AF120" s="259">
        <v>0.44097</v>
      </c>
      <c r="AG120" s="260">
        <f t="shared" si="27"/>
        <v>0.0168238525809775</v>
      </c>
      <c r="AI120" s="259">
        <v>2.44945</v>
      </c>
      <c r="AJ120" s="260">
        <f t="shared" si="23"/>
        <v>0.0719918292969668</v>
      </c>
      <c r="AL120" s="259">
        <v>14.07079</v>
      </c>
      <c r="AM120" s="260">
        <f t="shared" si="24"/>
        <v>0.334278621148409</v>
      </c>
      <c r="AO120" s="259">
        <f t="shared" si="36"/>
        <v>42.95258</v>
      </c>
      <c r="AP120" s="260">
        <f t="shared" si="37"/>
        <v>0.0898397831425093</v>
      </c>
      <c r="AQ120" s="261"/>
    </row>
    <row r="121" outlineLevel="1" spans="1:43">
      <c r="A121" s="271" t="s">
        <v>32</v>
      </c>
      <c r="B121" s="256">
        <v>6666021505</v>
      </c>
      <c r="C121" s="256" t="s">
        <v>155</v>
      </c>
      <c r="D121" s="256" t="s">
        <v>144</v>
      </c>
      <c r="E121" s="257">
        <v>0</v>
      </c>
      <c r="F121" s="258">
        <f t="shared" si="30"/>
        <v>0</v>
      </c>
      <c r="H121" s="259">
        <v>0.0341</v>
      </c>
      <c r="I121" s="260">
        <f t="shared" si="31"/>
        <v>0.000740772923772077</v>
      </c>
      <c r="K121" s="259">
        <v>0</v>
      </c>
      <c r="L121" s="260">
        <f t="shared" si="32"/>
        <v>0</v>
      </c>
      <c r="N121" s="259">
        <v>-0.0684</v>
      </c>
      <c r="O121" s="260">
        <f t="shared" si="33"/>
        <v>-0.0013856532220489</v>
      </c>
      <c r="Q121" s="259">
        <v>0</v>
      </c>
      <c r="R121" s="260">
        <f t="shared" si="34"/>
        <v>0</v>
      </c>
      <c r="T121" s="259">
        <v>0</v>
      </c>
      <c r="U121" s="260">
        <f t="shared" si="35"/>
        <v>0</v>
      </c>
      <c r="W121" s="259">
        <v>-0.01179</v>
      </c>
      <c r="X121" s="260">
        <f t="shared" si="28"/>
        <v>-0.000281673316291182</v>
      </c>
      <c r="Z121" s="259">
        <v>0</v>
      </c>
      <c r="AA121" s="260">
        <f t="shared" si="38"/>
        <v>0</v>
      </c>
      <c r="AC121" s="259">
        <v>3e-5</v>
      </c>
      <c r="AD121" s="260">
        <f t="shared" si="26"/>
        <v>1.06127069477855e-6</v>
      </c>
      <c r="AF121" s="259">
        <v>-0.004</v>
      </c>
      <c r="AG121" s="260">
        <f t="shared" si="27"/>
        <v>-0.000152607683796879</v>
      </c>
      <c r="AI121" s="259">
        <v>0</v>
      </c>
      <c r="AJ121" s="260">
        <f t="shared" si="23"/>
        <v>0</v>
      </c>
      <c r="AL121" s="259">
        <v>-0.01537</v>
      </c>
      <c r="AM121" s="260">
        <f t="shared" si="24"/>
        <v>-0.000365143848145772</v>
      </c>
      <c r="AO121" s="259">
        <f t="shared" si="36"/>
        <v>-0.06543</v>
      </c>
      <c r="AP121" s="260">
        <f t="shared" si="37"/>
        <v>-0.000136853642109843</v>
      </c>
      <c r="AQ121" s="261"/>
    </row>
    <row r="122" outlineLevel="1" spans="1:43">
      <c r="A122" s="271" t="s">
        <v>32</v>
      </c>
      <c r="B122" s="256">
        <v>6666021506</v>
      </c>
      <c r="C122" s="256" t="s">
        <v>156</v>
      </c>
      <c r="D122" s="256" t="s">
        <v>144</v>
      </c>
      <c r="E122" s="257">
        <v>9.95731</v>
      </c>
      <c r="F122" s="258">
        <f t="shared" si="30"/>
        <v>0.205005250046324</v>
      </c>
      <c r="H122" s="259">
        <v>29.10355</v>
      </c>
      <c r="I122" s="260">
        <f t="shared" si="31"/>
        <v>0.632232311602546</v>
      </c>
      <c r="K122" s="259">
        <v>28.34283</v>
      </c>
      <c r="L122" s="260">
        <f t="shared" si="32"/>
        <v>0.611667350065822</v>
      </c>
      <c r="N122" s="259">
        <v>25.03049</v>
      </c>
      <c r="O122" s="260">
        <f t="shared" si="33"/>
        <v>0.507069870145656</v>
      </c>
      <c r="Q122" s="259">
        <v>29.09008</v>
      </c>
      <c r="R122" s="260">
        <f t="shared" si="34"/>
        <v>0.541674363175927</v>
      </c>
      <c r="T122" s="259">
        <v>25.93093</v>
      </c>
      <c r="U122" s="260">
        <f t="shared" si="35"/>
        <v>0.87415486785329</v>
      </c>
      <c r="W122" s="259">
        <v>38.27282</v>
      </c>
      <c r="X122" s="260">
        <f t="shared" si="28"/>
        <v>0.91437083403015</v>
      </c>
      <c r="Z122" s="259">
        <v>7.20305</v>
      </c>
      <c r="AA122" s="260">
        <f t="shared" si="38"/>
        <v>0.225257216124089</v>
      </c>
      <c r="AC122" s="259">
        <v>26.77334</v>
      </c>
      <c r="AD122" s="260">
        <f t="shared" si="26"/>
        <v>0.947125371444743</v>
      </c>
      <c r="AF122" s="259">
        <v>14.58544</v>
      </c>
      <c r="AG122" s="260">
        <f t="shared" si="27"/>
        <v>0.556462553889588</v>
      </c>
      <c r="AI122" s="259">
        <v>36.25194</v>
      </c>
      <c r="AJ122" s="260">
        <f t="shared" si="23"/>
        <v>1.06548142487656</v>
      </c>
      <c r="AL122" s="259">
        <v>30.75413</v>
      </c>
      <c r="AM122" s="260">
        <f t="shared" si="24"/>
        <v>0.730623381559879</v>
      </c>
      <c r="AO122" s="259">
        <f t="shared" si="36"/>
        <v>301.29591</v>
      </c>
      <c r="AP122" s="260">
        <f t="shared" si="37"/>
        <v>0.63019169549594</v>
      </c>
      <c r="AQ122" s="261"/>
    </row>
    <row r="123" outlineLevel="2" spans="1:43">
      <c r="A123" s="271" t="s">
        <v>32</v>
      </c>
      <c r="B123" s="256">
        <v>6666030300</v>
      </c>
      <c r="C123" s="256" t="s">
        <v>157</v>
      </c>
      <c r="D123" s="256" t="s">
        <v>60</v>
      </c>
      <c r="E123" s="257">
        <v>3.23131</v>
      </c>
      <c r="F123" s="258">
        <f t="shared" si="30"/>
        <v>0.0665275575960964</v>
      </c>
      <c r="H123" s="259">
        <v>3.67729</v>
      </c>
      <c r="I123" s="260">
        <f t="shared" si="31"/>
        <v>0.0798837790280885</v>
      </c>
      <c r="K123" s="259">
        <f>9338.42/1000</f>
        <v>9.33842</v>
      </c>
      <c r="L123" s="260">
        <f t="shared" si="32"/>
        <v>0.201532684463819</v>
      </c>
      <c r="N123" s="259">
        <f>((-33.4)+16.7)/1000</f>
        <v>-0.0167</v>
      </c>
      <c r="O123" s="260">
        <f t="shared" si="33"/>
        <v>-0.000338310070295565</v>
      </c>
      <c r="Q123" s="259">
        <v>4.13298</v>
      </c>
      <c r="R123" s="260">
        <f t="shared" si="34"/>
        <v>0.0769585133323402</v>
      </c>
      <c r="T123" s="259">
        <v>5.68936</v>
      </c>
      <c r="U123" s="260">
        <f t="shared" si="35"/>
        <v>0.191793419633225</v>
      </c>
      <c r="W123" s="259">
        <v>3.82762</v>
      </c>
      <c r="X123" s="260">
        <f t="shared" si="28"/>
        <v>0.0914451585158994</v>
      </c>
      <c r="Z123" s="259">
        <v>-2.00625</v>
      </c>
      <c r="AA123" s="260">
        <f t="shared" si="38"/>
        <v>-0.0627404071676518</v>
      </c>
      <c r="AC123" s="259">
        <v>13.23184</v>
      </c>
      <c r="AD123" s="260">
        <f t="shared" si="26"/>
        <v>0.46808546766662</v>
      </c>
      <c r="AF123" s="259">
        <v>14.00221</v>
      </c>
      <c r="AG123" s="260">
        <f t="shared" si="27"/>
        <v>0.534211209034375</v>
      </c>
      <c r="AI123" s="259">
        <v>2.43428</v>
      </c>
      <c r="AJ123" s="260">
        <f t="shared" si="23"/>
        <v>0.071545967552316</v>
      </c>
      <c r="AL123" s="259">
        <v>7.63116</v>
      </c>
      <c r="AM123" s="260">
        <f t="shared" si="24"/>
        <v>0.181292851543012</v>
      </c>
      <c r="AO123" s="259">
        <f t="shared" si="36"/>
        <v>65.17352</v>
      </c>
      <c r="AP123" s="260">
        <f t="shared" si="37"/>
        <v>0.136317187545754</v>
      </c>
      <c r="AQ123" s="261"/>
    </row>
    <row r="124" outlineLevel="1" spans="1:43">
      <c r="A124" s="271" t="s">
        <v>32</v>
      </c>
      <c r="B124" s="256">
        <v>6666091600</v>
      </c>
      <c r="C124" s="256" t="s">
        <v>158</v>
      </c>
      <c r="D124" s="256" t="s">
        <v>144</v>
      </c>
      <c r="E124" s="257">
        <v>0</v>
      </c>
      <c r="F124" s="258">
        <f t="shared" si="30"/>
        <v>0</v>
      </c>
      <c r="H124" s="259">
        <v>0.66091</v>
      </c>
      <c r="I124" s="260">
        <f t="shared" si="31"/>
        <v>0.0143573088871027</v>
      </c>
      <c r="K124" s="259">
        <v>0.45872</v>
      </c>
      <c r="L124" s="260">
        <f t="shared" si="32"/>
        <v>0.00989964822927682</v>
      </c>
      <c r="N124" s="259">
        <v>0.86865</v>
      </c>
      <c r="O124" s="260">
        <f t="shared" si="33"/>
        <v>0.0175971881773798</v>
      </c>
      <c r="Q124" s="259">
        <v>0.52427</v>
      </c>
      <c r="R124" s="260">
        <f t="shared" si="34"/>
        <v>0.00976221510502011</v>
      </c>
      <c r="T124" s="259">
        <v>0.48681</v>
      </c>
      <c r="U124" s="260">
        <f t="shared" si="35"/>
        <v>0.0164108009708738</v>
      </c>
      <c r="W124" s="259">
        <v>0.49058</v>
      </c>
      <c r="X124" s="260">
        <f t="shared" si="28"/>
        <v>0.0117203812982297</v>
      </c>
      <c r="Z124" s="259">
        <v>0.46849</v>
      </c>
      <c r="AA124" s="260">
        <f t="shared" si="38"/>
        <v>0.0146508427932577</v>
      </c>
      <c r="AC124" s="259">
        <v>0.45711</v>
      </c>
      <c r="AD124" s="260">
        <f t="shared" si="26"/>
        <v>0.0161705815763407</v>
      </c>
      <c r="AF124" s="259">
        <v>0.4741</v>
      </c>
      <c r="AG124" s="260">
        <f t="shared" si="27"/>
        <v>0.0180878257220251</v>
      </c>
      <c r="AI124" s="259">
        <v>0.56573</v>
      </c>
      <c r="AJ124" s="260">
        <f t="shared" si="23"/>
        <v>0.0166273806724665</v>
      </c>
      <c r="AL124" s="259">
        <v>0.3427</v>
      </c>
      <c r="AM124" s="260">
        <f t="shared" si="24"/>
        <v>0.00814149621077139</v>
      </c>
      <c r="AO124" s="259">
        <f t="shared" si="36"/>
        <v>5.79807</v>
      </c>
      <c r="AP124" s="260">
        <f t="shared" si="37"/>
        <v>0.012127265729907</v>
      </c>
      <c r="AQ124" s="261"/>
    </row>
    <row r="125" s="120" customFormat="1" spans="1:43">
      <c r="A125" s="271"/>
      <c r="B125" s="148" t="s">
        <v>135</v>
      </c>
      <c r="C125" s="149" t="s">
        <v>144</v>
      </c>
      <c r="D125" s="150"/>
      <c r="E125" s="151">
        <v>106.56045</v>
      </c>
      <c r="F125" s="152">
        <f t="shared" si="30"/>
        <v>2.19391097568508</v>
      </c>
      <c r="G125" s="247"/>
      <c r="H125" s="262">
        <f>SUM(H111:H124)</f>
        <v>153.96877</v>
      </c>
      <c r="I125" s="152">
        <f t="shared" si="31"/>
        <v>3.34474768101145</v>
      </c>
      <c r="J125" s="247"/>
      <c r="K125" s="262">
        <f>SUM(K111:K124)</f>
        <v>160.75323</v>
      </c>
      <c r="L125" s="152">
        <f t="shared" si="32"/>
        <v>3.46921963010121</v>
      </c>
      <c r="M125" s="248"/>
      <c r="N125" s="262">
        <f>SUM(N111:N124)</f>
        <v>126.39878</v>
      </c>
      <c r="O125" s="152">
        <f t="shared" si="33"/>
        <v>2.56059761359723</v>
      </c>
      <c r="P125" s="249"/>
      <c r="Q125" s="262">
        <f>SUM(Q111:Q124)</f>
        <v>134.84843</v>
      </c>
      <c r="R125" s="152">
        <f t="shared" si="34"/>
        <v>2.51095691196187</v>
      </c>
      <c r="S125" s="249"/>
      <c r="T125" s="262">
        <f>SUM(T111:T124)</f>
        <v>121.74311</v>
      </c>
      <c r="U125" s="152">
        <f t="shared" si="35"/>
        <v>4.10406924217907</v>
      </c>
      <c r="V125" s="249"/>
      <c r="W125" s="262">
        <f>SUM(W111:W124)</f>
        <v>124.63709</v>
      </c>
      <c r="X125" s="152">
        <f t="shared" si="28"/>
        <v>2.97768808084669</v>
      </c>
      <c r="Y125" s="249"/>
      <c r="Z125" s="262">
        <f>SUM(Z111:Z124)</f>
        <v>83.61265</v>
      </c>
      <c r="AA125" s="152">
        <f t="shared" si="38"/>
        <v>2.61477468180255</v>
      </c>
      <c r="AB125" s="249"/>
      <c r="AC125" s="262">
        <f>SUM(AC111:AC124)</f>
        <v>148.55296</v>
      </c>
      <c r="AD125" s="152">
        <f t="shared" si="26"/>
        <v>5.255163435687</v>
      </c>
      <c r="AE125" s="249"/>
      <c r="AF125" s="262">
        <f>SUM(AF111:AF124)</f>
        <v>105.02582</v>
      </c>
      <c r="AG125" s="152">
        <f t="shared" si="27"/>
        <v>4.00693678226699</v>
      </c>
      <c r="AH125" s="249"/>
      <c r="AI125" s="262">
        <f>SUM(AI111:AI124)</f>
        <v>145.71916</v>
      </c>
      <c r="AJ125" s="152">
        <f t="shared" si="23"/>
        <v>4.28283446978603</v>
      </c>
      <c r="AK125" s="248"/>
      <c r="AL125" s="262">
        <f>SUM(AL111:AL124)</f>
        <v>140.57602</v>
      </c>
      <c r="AM125" s="152">
        <f t="shared" si="24"/>
        <v>3.33965314897964</v>
      </c>
      <c r="AN125" s="248"/>
      <c r="AO125" s="262">
        <f>SUM(AO111:AO124)</f>
        <v>1552.39647</v>
      </c>
      <c r="AP125" s="152">
        <f t="shared" si="37"/>
        <v>3.24699848567879</v>
      </c>
      <c r="AQ125" s="261"/>
    </row>
    <row r="126" s="123" customFormat="1" spans="1:43">
      <c r="A126" s="275"/>
      <c r="B126" s="160"/>
      <c r="C126" s="160"/>
      <c r="D126" s="160" t="s">
        <v>159</v>
      </c>
      <c r="E126" s="161">
        <v>1151.44464</v>
      </c>
      <c r="F126" s="162">
        <f t="shared" si="30"/>
        <v>23.7064223507854</v>
      </c>
      <c r="G126" s="247"/>
      <c r="H126" s="161">
        <f>+H125+H110+H102+H94+H89+H86+H84+H82+H77+H27+H13+H22</f>
        <v>1054.20913177778</v>
      </c>
      <c r="I126" s="162">
        <f t="shared" si="31"/>
        <v>22.9011607276905</v>
      </c>
      <c r="J126" s="247"/>
      <c r="K126" s="161">
        <f>+K125+K110+K102+K94+K89+K86+K84+K82+K77+K27+K13+K22</f>
        <v>1232.04514844444</v>
      </c>
      <c r="L126" s="162">
        <f t="shared" si="32"/>
        <v>26.5887983349039</v>
      </c>
      <c r="M126" s="248"/>
      <c r="N126" s="161">
        <f>+N125+N110+N102+N94+N89+N86+N84+N82+N77+N27+N13+N22</f>
        <v>1069.73105</v>
      </c>
      <c r="O126" s="162">
        <f t="shared" si="33"/>
        <v>21.6707057917874</v>
      </c>
      <c r="P126" s="249"/>
      <c r="Q126" s="161">
        <f>+Q125+Q110+Q102+Q94+Q89+Q86+Q84+Q82+Q77+Q27+Q13+Q22</f>
        <v>1286.74636</v>
      </c>
      <c r="R126" s="162">
        <f t="shared" si="34"/>
        <v>23.9599724415314</v>
      </c>
      <c r="S126" s="249"/>
      <c r="T126" s="161">
        <f>+T125+T110+T102+T94+T89+T86+T84+T82+T77+T27+T13+T22</f>
        <v>1173.09255534872</v>
      </c>
      <c r="U126" s="162">
        <f t="shared" si="35"/>
        <v>39.5460003825754</v>
      </c>
      <c r="V126" s="249"/>
      <c r="W126" s="161">
        <f>+W125+W110+W102+W94+W89+W86+W84+W82+W77+W27+W13+W22</f>
        <v>1052.94817942756</v>
      </c>
      <c r="X126" s="162">
        <f t="shared" si="28"/>
        <v>25.1558444090012</v>
      </c>
      <c r="Y126" s="249"/>
      <c r="Z126" s="161">
        <f>+Z125+Z110+Z102+Z94+Z89+Z86+Z84+Z82+Z77+Z27+Z13+Z22</f>
        <v>958.562067750699</v>
      </c>
      <c r="AA126" s="162">
        <f t="shared" si="38"/>
        <v>29.9766103058667</v>
      </c>
      <c r="AB126" s="249"/>
      <c r="AC126" s="161">
        <f>+AC125+AC110+AC102+AC94+AC89+AC86+AC84+AC82+AC77+AC27+AC13+AC22</f>
        <v>1003.45794</v>
      </c>
      <c r="AD126" s="162">
        <f t="shared" si="26"/>
        <v>35.4980168388284</v>
      </c>
      <c r="AE126" s="249"/>
      <c r="AF126" s="161">
        <f>+AF125+AF110+AF102+AF94+AF89+AF86+AF84+AF82+AF77+AF27+AF13+AF22</f>
        <v>995.150870286895</v>
      </c>
      <c r="AG126" s="162">
        <f t="shared" si="27"/>
        <v>37.9669173357329</v>
      </c>
      <c r="AH126" s="249"/>
      <c r="AI126" s="161">
        <f>+AI125+AI110+AI102+AI94+AI89+AI86+AI84+AI82+AI77+AI27+AI13+AI22</f>
        <v>1195.0974336739</v>
      </c>
      <c r="AJ126" s="162">
        <f t="shared" si="23"/>
        <v>35.1251303101899</v>
      </c>
      <c r="AK126" s="248"/>
      <c r="AL126" s="161">
        <f>+AL125+AL110+AL102+AL94+AL89+AL86+AL84+AL82+AL77+AL27+AL13+AL22</f>
        <v>1144.9460668908</v>
      </c>
      <c r="AM126" s="162">
        <f t="shared" si="24"/>
        <v>27.2003912025943</v>
      </c>
      <c r="AN126" s="248"/>
      <c r="AO126" s="161">
        <f>+AO125+AO110+AO102+AO94+AO89+AO86+AO84+AO82+AO77+AO27+AO13+AO22</f>
        <v>13317.4314436008</v>
      </c>
      <c r="AP126" s="162">
        <f t="shared" si="37"/>
        <v>27.854791328212</v>
      </c>
      <c r="AQ126" s="261"/>
    </row>
    <row r="127" spans="1:43">
      <c r="E127" s="257"/>
      <c r="F127" s="276"/>
      <c r="H127" s="257"/>
      <c r="I127" s="276"/>
      <c r="K127" s="257"/>
      <c r="L127" s="276"/>
      <c r="N127" s="257"/>
      <c r="O127" s="276"/>
      <c r="P127" s="277"/>
      <c r="Q127" s="257"/>
      <c r="R127" s="276"/>
      <c r="S127" s="277"/>
      <c r="T127" s="257"/>
      <c r="U127" s="276"/>
      <c r="V127" s="277"/>
      <c r="W127" s="257"/>
      <c r="X127" s="276"/>
      <c r="Y127" s="277"/>
      <c r="Z127" s="257"/>
      <c r="AA127" s="276"/>
      <c r="AB127" s="277"/>
      <c r="AC127" s="278"/>
      <c r="AD127" s="276"/>
      <c r="AE127" s="277"/>
      <c r="AF127" s="278"/>
      <c r="AG127" s="276"/>
      <c r="AH127" s="277"/>
      <c r="AI127" s="278"/>
      <c r="AJ127" s="276"/>
      <c r="AL127" s="278"/>
      <c r="AM127" s="276"/>
      <c r="AO127" s="257"/>
      <c r="AP127" s="276"/>
    </row>
    <row r="128" spans="1:43">
      <c r="E128" s="257"/>
      <c r="F128" s="276"/>
      <c r="H128" s="257"/>
      <c r="I128" s="276"/>
      <c r="K128" s="257"/>
      <c r="L128" s="276"/>
      <c r="N128" s="257"/>
      <c r="O128" s="276"/>
      <c r="P128" s="277"/>
      <c r="Q128" s="278"/>
      <c r="R128" s="276"/>
      <c r="S128" s="277"/>
      <c r="T128" s="257"/>
      <c r="U128" s="276"/>
      <c r="V128" s="277"/>
      <c r="W128" s="257"/>
      <c r="X128" s="276"/>
      <c r="Y128" s="277"/>
      <c r="Z128" s="257"/>
      <c r="AA128" s="276"/>
      <c r="AB128" s="277"/>
      <c r="AC128" s="257"/>
      <c r="AD128" s="276"/>
      <c r="AE128" s="277"/>
      <c r="AF128" s="257"/>
      <c r="AG128" s="276"/>
      <c r="AH128" s="277"/>
      <c r="AI128" s="257"/>
      <c r="AJ128" s="276"/>
      <c r="AL128" s="257"/>
      <c r="AM128" s="276"/>
      <c r="AO128" s="257"/>
      <c r="AP128" s="276"/>
    </row>
    <row r="129" spans="1:42">
      <c r="E129" s="257"/>
      <c r="F129" s="276"/>
      <c r="H129" s="257"/>
      <c r="I129" s="276"/>
      <c r="K129" s="257"/>
      <c r="L129" s="276"/>
      <c r="N129" s="257"/>
      <c r="O129" s="276"/>
      <c r="P129" s="277"/>
      <c r="Q129" s="257"/>
      <c r="R129" s="276"/>
      <c r="S129" s="277"/>
      <c r="T129" s="257"/>
      <c r="U129" s="276"/>
      <c r="V129" s="277"/>
      <c r="W129" s="257"/>
      <c r="X129" s="276"/>
      <c r="Y129" s="277"/>
      <c r="Z129" s="257"/>
      <c r="AA129" s="276"/>
      <c r="AB129" s="277"/>
      <c r="AC129" s="257"/>
      <c r="AD129" s="276"/>
      <c r="AE129" s="277"/>
      <c r="AF129" s="257"/>
      <c r="AG129" s="276"/>
      <c r="AH129" s="277"/>
      <c r="AI129" s="257"/>
      <c r="AJ129" s="276"/>
      <c r="AL129" s="257"/>
      <c r="AM129" s="276"/>
      <c r="AO129" s="257"/>
      <c r="AP129" s="276"/>
    </row>
    <row r="130" outlineLevel="1" spans="1:42">
      <c r="A130" s="269" t="s">
        <v>53</v>
      </c>
      <c r="B130" s="279">
        <v>6666110110</v>
      </c>
      <c r="C130" s="280" t="s">
        <v>37</v>
      </c>
      <c r="D130" s="280"/>
      <c r="E130" s="281">
        <v>0.05996</v>
      </c>
      <c r="F130" s="282">
        <f t="shared" ref="F130:F198" si="40">E130/$E$1*1000</f>
        <v>0.00123448148071895</v>
      </c>
      <c r="H130" s="283">
        <v>0.05415</v>
      </c>
      <c r="I130" s="282">
        <f t="shared" ref="I130:I198" si="41">H130/$H$1*1000</f>
        <v>0.00117633002411314</v>
      </c>
      <c r="K130" s="283">
        <v>0.05995</v>
      </c>
      <c r="L130" s="282">
        <f>K130/$K$1*1000</f>
        <v>0.00129378250642036</v>
      </c>
      <c r="N130" s="283">
        <v>0.05803</v>
      </c>
      <c r="O130" s="282">
        <f t="shared" ref="O130:O198" si="42">N130/$N$1*1000</f>
        <v>0.00117557684905699</v>
      </c>
      <c r="P130" s="277"/>
      <c r="Q130" s="283">
        <v>0.05996</v>
      </c>
      <c r="R130" s="282">
        <f t="shared" ref="R130:R198" si="43">Q130/$Q$1*1000</f>
        <v>0.00111649039177715</v>
      </c>
      <c r="S130" s="277"/>
      <c r="T130" s="283">
        <v>0.05803</v>
      </c>
      <c r="U130" s="282">
        <f t="shared" ref="U130:U198" si="44">T130/$T$1*1000</f>
        <v>0.00195624325782093</v>
      </c>
      <c r="V130" s="277"/>
      <c r="W130" s="283">
        <v>0.05996</v>
      </c>
      <c r="X130" s="282">
        <f t="shared" ref="X130:X198" si="45">W130/$W$1*1000</f>
        <v>0.00143249635664286</v>
      </c>
      <c r="Y130" s="277"/>
      <c r="Z130" s="283">
        <v>0.05995</v>
      </c>
      <c r="AA130" s="282">
        <f t="shared" ref="AA130:AA198" si="46">Z130/$Z$1*1000</f>
        <v>0.00187478500171999</v>
      </c>
      <c r="AB130" s="277"/>
      <c r="AC130" s="283">
        <v>0.05802</v>
      </c>
      <c r="AD130" s="282">
        <f t="shared" ref="AD130:AD198" si="47">AC130/$AC$1*1000</f>
        <v>0.00205249752370171</v>
      </c>
      <c r="AE130" s="277"/>
      <c r="AF130" s="283">
        <v>0.05996</v>
      </c>
      <c r="AG130" s="282">
        <f>AF130/$AF$1*1000</f>
        <v>0.00228758918011522</v>
      </c>
      <c r="AH130" s="277"/>
      <c r="AI130" s="283">
        <v>0.05802</v>
      </c>
      <c r="AJ130" s="282">
        <f t="shared" ref="AJ130:AJ195" si="48">AI130/$AI$1*1000</f>
        <v>0.00170526687044439</v>
      </c>
      <c r="AL130" s="283">
        <v>0.05996</v>
      </c>
      <c r="AM130" s="282">
        <f>AL130/$AL$1*1000</f>
        <v>0.00142446487539496</v>
      </c>
      <c r="AO130" s="283">
        <f t="shared" ref="AO130:AO194" si="49">H130+E130+K130+N130+Q130+T130+W130+Z130+AC130+AF130+AI130+AL130</f>
        <v>0.70595</v>
      </c>
      <c r="AP130" s="282">
        <f t="shared" ref="AP130:AP198" si="50">AO130/$AO$1*1000</f>
        <v>0.00147656776169102</v>
      </c>
    </row>
    <row r="131" outlineLevel="1" spans="1:42">
      <c r="A131" s="269" t="s">
        <v>53</v>
      </c>
      <c r="B131" s="284">
        <v>6666110112</v>
      </c>
      <c r="C131" t="s">
        <v>38</v>
      </c>
      <c r="E131" s="285">
        <v>0.06543</v>
      </c>
      <c r="F131" s="258">
        <f t="shared" si="40"/>
        <v>0.00134710012147166</v>
      </c>
      <c r="H131" s="286">
        <v>0.0591</v>
      </c>
      <c r="I131" s="258">
        <f t="shared" si="41"/>
        <v>0.00128386157756392</v>
      </c>
      <c r="K131" s="286">
        <v>0.06545</v>
      </c>
      <c r="L131" s="258">
        <f t="shared" ref="L131:L198" si="51">K131/$K$1*1000</f>
        <v>0.00141247814921121</v>
      </c>
      <c r="N131" s="286">
        <v>0.06333</v>
      </c>
      <c r="O131" s="258">
        <f t="shared" si="42"/>
        <v>0.00128294471567773</v>
      </c>
      <c r="P131" s="277"/>
      <c r="Q131" s="286">
        <v>0.07056</v>
      </c>
      <c r="R131" s="258">
        <f t="shared" si="43"/>
        <v>0.00131386861313869</v>
      </c>
      <c r="S131" s="277"/>
      <c r="T131" s="286">
        <v>0.07319</v>
      </c>
      <c r="U131" s="258">
        <f t="shared" si="44"/>
        <v>0.00246730043149946</v>
      </c>
      <c r="V131" s="277"/>
      <c r="W131" s="286">
        <v>0.07547</v>
      </c>
      <c r="X131" s="258">
        <f t="shared" si="45"/>
        <v>0.00180304369639487</v>
      </c>
      <c r="Y131" s="277"/>
      <c r="Z131" s="286">
        <v>0.07546</v>
      </c>
      <c r="AA131" s="258">
        <f t="shared" si="46"/>
        <v>0.00235982112143103</v>
      </c>
      <c r="AB131" s="277"/>
      <c r="AC131" s="286">
        <v>0.07319</v>
      </c>
      <c r="AD131" s="258">
        <f t="shared" si="47"/>
        <v>0.0025891467383614</v>
      </c>
      <c r="AE131" s="277"/>
      <c r="AF131" s="286">
        <v>0</v>
      </c>
      <c r="AG131" s="258">
        <f t="shared" ref="AG131:AG196" si="52">AF131/$AF$1*1000</f>
        <v>0</v>
      </c>
      <c r="AH131" s="277"/>
      <c r="AI131" s="286">
        <v>0.03854</v>
      </c>
      <c r="AJ131" s="258">
        <f t="shared" si="48"/>
        <v>0.00113272983776158</v>
      </c>
      <c r="AL131" s="286">
        <v>0.03799</v>
      </c>
      <c r="AM131" s="258">
        <f t="shared" ref="AM131:AM195" si="53">AL131/$AL$1*1000</f>
        <v>0.000902525360511249</v>
      </c>
      <c r="AO131" s="286">
        <f t="shared" si="49"/>
        <v>0.69771</v>
      </c>
      <c r="AP131" s="258">
        <f t="shared" si="50"/>
        <v>0.00145933294568941</v>
      </c>
    </row>
    <row r="132" outlineLevel="1" spans="1:42">
      <c r="A132" s="269" t="s">
        <v>53</v>
      </c>
      <c r="B132" s="284">
        <v>6666110207</v>
      </c>
      <c r="C132" t="s">
        <v>40</v>
      </c>
      <c r="E132" s="285">
        <v>0.05734</v>
      </c>
      <c r="F132" s="258">
        <f t="shared" si="40"/>
        <v>0.0011805398282926</v>
      </c>
      <c r="H132" s="286">
        <v>0.05179</v>
      </c>
      <c r="I132" s="258">
        <f t="shared" si="41"/>
        <v>0.00112506245519519</v>
      </c>
      <c r="K132" s="286">
        <v>0.00268</v>
      </c>
      <c r="L132" s="258">
        <f t="shared" si="51"/>
        <v>5.78371495780909e-5</v>
      </c>
      <c r="N132" s="286">
        <v>0.00113</v>
      </c>
      <c r="O132" s="258">
        <f t="shared" si="42"/>
        <v>2.28916394870652e-5</v>
      </c>
      <c r="P132" s="277"/>
      <c r="Q132" s="286">
        <v>0.00116</v>
      </c>
      <c r="R132" s="258">
        <f t="shared" si="43"/>
        <v>2.15998808282437e-5</v>
      </c>
      <c r="S132" s="277"/>
      <c r="T132" s="286">
        <v>0.00113</v>
      </c>
      <c r="U132" s="258">
        <f t="shared" si="44"/>
        <v>3.80933117583603e-5</v>
      </c>
      <c r="V132" s="277"/>
      <c r="W132" s="286">
        <v>0.00116</v>
      </c>
      <c r="X132" s="258">
        <f t="shared" si="45"/>
        <v>2.77134051652053e-5</v>
      </c>
      <c r="Y132" s="277"/>
      <c r="Z132" s="286">
        <v>0.00116</v>
      </c>
      <c r="AA132" s="258">
        <f t="shared" si="46"/>
        <v>3.62760734277762e-5</v>
      </c>
      <c r="AB132" s="277"/>
      <c r="AC132" s="286">
        <v>0.00112</v>
      </c>
      <c r="AD132" s="258">
        <f t="shared" si="47"/>
        <v>3.96207726050658e-5</v>
      </c>
      <c r="AE132" s="277"/>
      <c r="AF132" s="286">
        <v>0.00116</v>
      </c>
      <c r="AG132" s="258">
        <f t="shared" si="52"/>
        <v>4.4256228301095e-5</v>
      </c>
      <c r="AH132" s="277"/>
      <c r="AI132" s="286">
        <v>0.00112</v>
      </c>
      <c r="AJ132" s="258">
        <f t="shared" si="48"/>
        <v>3.29179402774512e-5</v>
      </c>
      <c r="AL132" s="286">
        <v>0.00116</v>
      </c>
      <c r="AM132" s="258">
        <f t="shared" si="53"/>
        <v>2.75580262751526e-5</v>
      </c>
      <c r="AO132" s="259">
        <f t="shared" si="49"/>
        <v>0.12211</v>
      </c>
      <c r="AP132" s="258">
        <f t="shared" si="50"/>
        <v>0.000255405750237397</v>
      </c>
    </row>
    <row r="133" outlineLevel="1" spans="1:42">
      <c r="A133" s="269" t="s">
        <v>53</v>
      </c>
      <c r="B133" s="284">
        <v>6666110506</v>
      </c>
      <c r="C133" t="s">
        <v>41</v>
      </c>
      <c r="E133" s="285">
        <v>0.06397</v>
      </c>
      <c r="F133" s="258">
        <f t="shared" si="40"/>
        <v>0.00131704103271499</v>
      </c>
      <c r="H133" s="286">
        <v>0.05777</v>
      </c>
      <c r="I133" s="258">
        <f t="shared" si="41"/>
        <v>0.0012549692611822</v>
      </c>
      <c r="K133" s="286">
        <v>0.06396</v>
      </c>
      <c r="L133" s="258">
        <f t="shared" si="51"/>
        <v>0.00138032242052787</v>
      </c>
      <c r="N133" s="286">
        <v>0.06189</v>
      </c>
      <c r="O133" s="258">
        <f t="shared" si="42"/>
        <v>0.00125377306889776</v>
      </c>
      <c r="P133" s="277"/>
      <c r="Q133" s="286">
        <v>0.06397</v>
      </c>
      <c r="R133" s="258">
        <f t="shared" si="43"/>
        <v>0.00119115894532996</v>
      </c>
      <c r="S133" s="277"/>
      <c r="T133" s="286">
        <v>0.0619</v>
      </c>
      <c r="U133" s="258">
        <f t="shared" si="44"/>
        <v>0.00208670442286947</v>
      </c>
      <c r="V133" s="277"/>
      <c r="W133" s="286">
        <v>0.06396</v>
      </c>
      <c r="X133" s="258">
        <f t="shared" si="45"/>
        <v>0.00152805982272977</v>
      </c>
      <c r="Y133" s="277"/>
      <c r="Z133" s="286">
        <v>0.06395</v>
      </c>
      <c r="AA133" s="258">
        <f t="shared" si="46"/>
        <v>0.00199987491009163</v>
      </c>
      <c r="AB133" s="277"/>
      <c r="AC133" s="286">
        <v>0.0619</v>
      </c>
      <c r="AD133" s="258">
        <f t="shared" si="47"/>
        <v>0.0021897552002264</v>
      </c>
      <c r="AE133" s="277"/>
      <c r="AF133" s="286">
        <v>0.06389</v>
      </c>
      <c r="AG133" s="258">
        <f t="shared" si="52"/>
        <v>0.00243752622944565</v>
      </c>
      <c r="AH133" s="277"/>
      <c r="AI133" s="286">
        <v>0.05957</v>
      </c>
      <c r="AJ133" s="258">
        <f t="shared" si="48"/>
        <v>0.00175082294850694</v>
      </c>
      <c r="AL133" s="286">
        <v>0.06155</v>
      </c>
      <c r="AM133" s="258">
        <f t="shared" si="53"/>
        <v>0.00146223837692728</v>
      </c>
      <c r="AO133" s="259">
        <f t="shared" si="49"/>
        <v>0.74828</v>
      </c>
      <c r="AP133" s="287">
        <f t="shared" si="50"/>
        <v>0.00156510535408762</v>
      </c>
    </row>
    <row r="134" spans="1:42">
      <c r="A134" s="269"/>
      <c r="B134" s="149" t="s">
        <v>160</v>
      </c>
      <c r="C134" s="149" t="s">
        <v>34</v>
      </c>
      <c r="D134" s="150"/>
      <c r="E134" s="288">
        <v>0.2467</v>
      </c>
      <c r="F134" s="289">
        <f t="shared" si="40"/>
        <v>0.0050791624631982</v>
      </c>
      <c r="H134" s="288">
        <f>SUM(H130:H133)</f>
        <v>0.22281</v>
      </c>
      <c r="I134" s="289">
        <f t="shared" si="41"/>
        <v>0.00484022331805444</v>
      </c>
      <c r="K134" s="288">
        <f>SUM(K130:K133)</f>
        <v>0.19204</v>
      </c>
      <c r="L134" s="289">
        <f t="shared" si="51"/>
        <v>0.00414442022573753</v>
      </c>
      <c r="N134" s="288">
        <f>SUM(N130:N133)</f>
        <v>0.18438</v>
      </c>
      <c r="O134" s="289">
        <f t="shared" si="42"/>
        <v>0.00373518627311954</v>
      </c>
      <c r="P134" s="277"/>
      <c r="Q134" s="288">
        <f>SUM(Q130:Q133)</f>
        <v>0.19565</v>
      </c>
      <c r="R134" s="289">
        <f t="shared" si="43"/>
        <v>0.00364311783107404</v>
      </c>
      <c r="S134" s="277"/>
      <c r="T134" s="288">
        <f>SUM(T130:T133)</f>
        <v>0.19425</v>
      </c>
      <c r="U134" s="289">
        <f t="shared" si="44"/>
        <v>0.00654834142394822</v>
      </c>
      <c r="V134" s="277"/>
      <c r="W134" s="288">
        <f>SUM(W130:W133)</f>
        <v>0.20055</v>
      </c>
      <c r="X134" s="289">
        <f t="shared" si="45"/>
        <v>0.0047913132809327</v>
      </c>
      <c r="Y134" s="277"/>
      <c r="Z134" s="288">
        <f>SUM(Z130:Z133)</f>
        <v>0.20052</v>
      </c>
      <c r="AA134" s="289">
        <f t="shared" si="46"/>
        <v>0.00627075710667042</v>
      </c>
      <c r="AB134" s="277"/>
      <c r="AC134" s="288">
        <f>SUM(AC130:AC133)</f>
        <v>0.19423</v>
      </c>
      <c r="AD134" s="289">
        <f t="shared" si="47"/>
        <v>0.00687102023489458</v>
      </c>
      <c r="AE134" s="277"/>
      <c r="AF134" s="288">
        <f>SUM(AF130:AF133)</f>
        <v>0.12501</v>
      </c>
      <c r="AG134" s="289">
        <f t="shared" si="52"/>
        <v>0.00476937163786197</v>
      </c>
      <c r="AH134" s="277"/>
      <c r="AI134" s="288">
        <f>SUM(AI130:AI133)</f>
        <v>0.15725</v>
      </c>
      <c r="AJ134" s="289">
        <f t="shared" si="48"/>
        <v>0.00462173759699036</v>
      </c>
      <c r="AL134" s="288">
        <f>SUM(AL130:AL133)</f>
        <v>0.16066</v>
      </c>
      <c r="AM134" s="289">
        <f t="shared" si="53"/>
        <v>0.00381678663910864</v>
      </c>
      <c r="AO134" s="288">
        <f>SUM(AO130:AO133)</f>
        <v>2.27405</v>
      </c>
      <c r="AP134" s="289">
        <f t="shared" si="50"/>
        <v>0.00475641181170545</v>
      </c>
    </row>
    <row r="135" spans="1:42">
      <c r="A135" s="269" t="s">
        <v>53</v>
      </c>
      <c r="B135" s="290">
        <v>6666010380</v>
      </c>
      <c r="C135" s="3" t="s">
        <v>45</v>
      </c>
      <c r="D135" s="120"/>
      <c r="E135" s="291"/>
      <c r="F135" s="292"/>
      <c r="H135" s="293"/>
      <c r="I135" s="292"/>
      <c r="K135" s="293"/>
      <c r="L135" s="292"/>
      <c r="N135" s="293"/>
      <c r="O135" s="292"/>
      <c r="P135" s="277"/>
      <c r="Q135" s="293"/>
      <c r="R135" s="292"/>
      <c r="S135" s="277"/>
      <c r="T135" s="293"/>
      <c r="U135" s="292"/>
      <c r="V135" s="277"/>
      <c r="W135" s="293"/>
      <c r="X135" s="292"/>
      <c r="Y135" s="277"/>
      <c r="Z135" s="293"/>
      <c r="AA135" s="292"/>
      <c r="AB135" s="277"/>
      <c r="AC135" s="293">
        <f>56.91/1000</f>
        <v>0.05691</v>
      </c>
      <c r="AD135" s="258">
        <f t="shared" si="47"/>
        <v>0.00201323050799491</v>
      </c>
      <c r="AE135" s="277"/>
      <c r="AF135" s="293">
        <v>0.05691</v>
      </c>
      <c r="AG135" s="258">
        <f t="shared" si="52"/>
        <v>0.0021712258212201</v>
      </c>
      <c r="AH135" s="277"/>
      <c r="AI135" s="293">
        <f>56.91/1000</f>
        <v>0.05691</v>
      </c>
      <c r="AJ135" s="258">
        <f t="shared" si="48"/>
        <v>0.00167264284034799</v>
      </c>
      <c r="AL135" s="293">
        <v>0.0569</v>
      </c>
      <c r="AM135" s="258">
        <f t="shared" si="53"/>
        <v>0.00135176870263464</v>
      </c>
      <c r="AO135" s="259">
        <f t="shared" si="49"/>
        <v>0.22763</v>
      </c>
      <c r="AP135" s="258">
        <f t="shared" si="50"/>
        <v>0.000476111792044375</v>
      </c>
    </row>
    <row r="136" outlineLevel="1" spans="1:42">
      <c r="A136" s="269" t="s">
        <v>53</v>
      </c>
      <c r="B136" s="284">
        <v>5102040406</v>
      </c>
      <c r="C136" t="s">
        <v>161</v>
      </c>
      <c r="E136" s="285">
        <v>0.00378</v>
      </c>
      <c r="F136" s="258">
        <f t="shared" si="40"/>
        <v>7.78242160960244e-5</v>
      </c>
      <c r="H136" s="286">
        <v>0</v>
      </c>
      <c r="I136" s="258">
        <f t="shared" si="41"/>
        <v>0</v>
      </c>
      <c r="K136" s="286">
        <v>0</v>
      </c>
      <c r="L136" s="258">
        <f t="shared" si="51"/>
        <v>0</v>
      </c>
      <c r="N136" s="286"/>
      <c r="O136" s="258">
        <f t="shared" si="42"/>
        <v>0</v>
      </c>
      <c r="P136" s="277"/>
      <c r="Q136" s="286"/>
      <c r="R136" s="258">
        <f t="shared" si="43"/>
        <v>0</v>
      </c>
      <c r="S136" s="277"/>
      <c r="T136" s="286"/>
      <c r="U136" s="258">
        <f t="shared" si="44"/>
        <v>0</v>
      </c>
      <c r="V136" s="277"/>
      <c r="W136" s="286">
        <v>0</v>
      </c>
      <c r="X136" s="258">
        <f t="shared" si="45"/>
        <v>0</v>
      </c>
      <c r="Y136" s="277"/>
      <c r="Z136" s="286">
        <v>0</v>
      </c>
      <c r="AA136" s="258">
        <f t="shared" si="46"/>
        <v>0</v>
      </c>
      <c r="AB136" s="277"/>
      <c r="AC136" s="286">
        <v>0</v>
      </c>
      <c r="AD136" s="258">
        <f t="shared" si="47"/>
        <v>0</v>
      </c>
      <c r="AE136" s="277"/>
      <c r="AF136" s="286">
        <v>0</v>
      </c>
      <c r="AG136" s="258">
        <f t="shared" si="52"/>
        <v>0</v>
      </c>
      <c r="AH136" s="277"/>
      <c r="AI136" s="286">
        <v>0</v>
      </c>
      <c r="AJ136" s="258">
        <f t="shared" si="48"/>
        <v>0</v>
      </c>
      <c r="AL136" s="286">
        <v>0</v>
      </c>
      <c r="AM136" s="258">
        <f t="shared" si="53"/>
        <v>0</v>
      </c>
      <c r="AO136" s="259">
        <f t="shared" si="49"/>
        <v>0.00378</v>
      </c>
      <c r="AP136" s="258">
        <f t="shared" si="50"/>
        <v>7.90626268034855e-6</v>
      </c>
    </row>
    <row r="137" spans="1:42">
      <c r="A137" s="269"/>
      <c r="B137" s="149" t="s">
        <v>162</v>
      </c>
      <c r="C137" s="149" t="s">
        <v>44</v>
      </c>
      <c r="D137" s="150"/>
      <c r="E137" s="288">
        <v>0.00378</v>
      </c>
      <c r="F137" s="289">
        <f t="shared" si="40"/>
        <v>7.78242160960244e-5</v>
      </c>
      <c r="H137" s="288">
        <f>+H136</f>
        <v>0</v>
      </c>
      <c r="I137" s="289">
        <f t="shared" si="41"/>
        <v>0</v>
      </c>
      <c r="K137" s="288">
        <f>+K136</f>
        <v>0</v>
      </c>
      <c r="L137" s="289">
        <f t="shared" si="51"/>
        <v>0</v>
      </c>
      <c r="N137" s="288">
        <f>+N136</f>
        <v>0</v>
      </c>
      <c r="O137" s="289">
        <f t="shared" si="42"/>
        <v>0</v>
      </c>
      <c r="P137" s="277"/>
      <c r="Q137" s="288">
        <f>+Q136</f>
        <v>0</v>
      </c>
      <c r="R137" s="289">
        <f t="shared" si="43"/>
        <v>0</v>
      </c>
      <c r="S137" s="277"/>
      <c r="T137" s="288">
        <f>+T136</f>
        <v>0</v>
      </c>
      <c r="U137" s="289">
        <f t="shared" si="44"/>
        <v>0</v>
      </c>
      <c r="V137" s="277"/>
      <c r="W137" s="288">
        <f>+W136</f>
        <v>0</v>
      </c>
      <c r="X137" s="289">
        <f t="shared" si="45"/>
        <v>0</v>
      </c>
      <c r="Y137" s="277"/>
      <c r="Z137" s="288">
        <f>+Z136</f>
        <v>0</v>
      </c>
      <c r="AA137" s="289">
        <f t="shared" si="46"/>
        <v>0</v>
      </c>
      <c r="AB137" s="277"/>
      <c r="AC137" s="288">
        <f>+AC136+AC135</f>
        <v>0.05691</v>
      </c>
      <c r="AD137" s="289">
        <f t="shared" si="47"/>
        <v>0.00201323050799491</v>
      </c>
      <c r="AE137" s="277"/>
      <c r="AF137" s="288">
        <f>+AF136+AF135</f>
        <v>0.05691</v>
      </c>
      <c r="AG137" s="289">
        <f t="shared" si="52"/>
        <v>0.0021712258212201</v>
      </c>
      <c r="AH137" s="277"/>
      <c r="AI137" s="288">
        <f>+AI136+AI135</f>
        <v>0.05691</v>
      </c>
      <c r="AJ137" s="289">
        <f t="shared" si="48"/>
        <v>0.00167264284034799</v>
      </c>
      <c r="AL137" s="288">
        <f>+AL136+AL135</f>
        <v>0.0569</v>
      </c>
      <c r="AM137" s="289">
        <f t="shared" si="53"/>
        <v>0.00135176870263464</v>
      </c>
      <c r="AO137" s="288">
        <f>+AO136+AO135</f>
        <v>0.23141</v>
      </c>
      <c r="AP137" s="289">
        <f t="shared" si="50"/>
        <v>0.000484018054724724</v>
      </c>
    </row>
    <row r="138" outlineLevel="2" spans="1:42">
      <c r="A138" s="269" t="s">
        <v>53</v>
      </c>
      <c r="B138" s="284">
        <v>6666029996</v>
      </c>
      <c r="C138" t="s">
        <v>100</v>
      </c>
      <c r="E138" s="285">
        <v>0.00846</v>
      </c>
      <c r="F138" s="258">
        <f t="shared" si="40"/>
        <v>0.000174178007453007</v>
      </c>
      <c r="H138" s="286">
        <v>0.00781</v>
      </c>
      <c r="I138" s="258">
        <f t="shared" si="41"/>
        <v>0.000169660895444572</v>
      </c>
      <c r="K138" s="286">
        <v>0.00765</v>
      </c>
      <c r="L138" s="258">
        <f t="shared" si="51"/>
        <v>0.000165094848609103</v>
      </c>
      <c r="N138" s="286">
        <v>-0.05807</v>
      </c>
      <c r="O138" s="258">
        <f t="shared" si="42"/>
        <v>-0.00117638717257865</v>
      </c>
      <c r="P138" s="277"/>
      <c r="Q138" s="286">
        <v>0.00644</v>
      </c>
      <c r="R138" s="258">
        <f t="shared" si="43"/>
        <v>0.000119916579770594</v>
      </c>
      <c r="S138" s="277"/>
      <c r="T138" s="286">
        <v>0.00657</v>
      </c>
      <c r="U138" s="258">
        <f t="shared" si="44"/>
        <v>0.000221480582524272</v>
      </c>
      <c r="V138" s="277"/>
      <c r="W138" s="286">
        <v>0.00658</v>
      </c>
      <c r="X138" s="258">
        <f t="shared" si="45"/>
        <v>0.000157201901712975</v>
      </c>
      <c r="Y138" s="277"/>
      <c r="Z138" s="286">
        <v>0.00317</v>
      </c>
      <c r="AA138" s="258">
        <f t="shared" si="46"/>
        <v>9.91337523845264e-5</v>
      </c>
      <c r="AB138" s="277"/>
      <c r="AC138" s="286">
        <v>0.00997</v>
      </c>
      <c r="AD138" s="258">
        <f t="shared" si="47"/>
        <v>0.000352695627564738</v>
      </c>
      <c r="AE138" s="277"/>
      <c r="AF138" s="286">
        <v>0.06381</v>
      </c>
      <c r="AG138" s="258">
        <f t="shared" si="52"/>
        <v>0.00243447407576971</v>
      </c>
      <c r="AH138" s="277"/>
      <c r="AI138" s="286">
        <v>0.01398</v>
      </c>
      <c r="AJ138" s="258">
        <f t="shared" si="48"/>
        <v>0.000410886433106043</v>
      </c>
      <c r="AL138" s="286">
        <v>0.02481</v>
      </c>
      <c r="AM138" s="258">
        <f t="shared" si="53"/>
        <v>0.000589409165419428</v>
      </c>
      <c r="AO138" s="286">
        <f t="shared" si="49"/>
        <v>0.10118</v>
      </c>
      <c r="AP138" s="258">
        <f t="shared" si="50"/>
        <v>0.000211628480951763</v>
      </c>
    </row>
    <row r="139" spans="1:42">
      <c r="A139" s="269" t="s">
        <v>53</v>
      </c>
      <c r="B139" s="284">
        <v>6666029700</v>
      </c>
      <c r="C139" s="121" t="s">
        <v>98</v>
      </c>
      <c r="E139" s="285">
        <v>39.01518</v>
      </c>
      <c r="F139" s="258">
        <f t="shared" si="40"/>
        <v>0.803260793477589</v>
      </c>
      <c r="H139" s="286">
        <v>91.64325</v>
      </c>
      <c r="I139" s="258">
        <f t="shared" si="41"/>
        <v>1.99081637086438</v>
      </c>
      <c r="K139" s="286">
        <v>57.27453</v>
      </c>
      <c r="L139" s="258">
        <f t="shared" si="51"/>
        <v>1.23604311888987</v>
      </c>
      <c r="N139" s="286">
        <v>15.61075</v>
      </c>
      <c r="O139" s="258">
        <f t="shared" si="42"/>
        <v>0.316243947896198</v>
      </c>
      <c r="P139" s="277"/>
      <c r="Q139" s="286">
        <v>47.88535</v>
      </c>
      <c r="R139" s="258">
        <f t="shared" si="43"/>
        <v>0.891653321912707</v>
      </c>
      <c r="S139" s="277"/>
      <c r="T139" s="286">
        <v>40.67128</v>
      </c>
      <c r="U139" s="258">
        <f t="shared" si="44"/>
        <v>1.37106526429342</v>
      </c>
      <c r="V139" s="277"/>
      <c r="W139" s="286">
        <v>45.38906</v>
      </c>
      <c r="X139" s="258">
        <f t="shared" si="45"/>
        <v>1.08438397400674</v>
      </c>
      <c r="Y139" s="277"/>
      <c r="Z139" s="286">
        <v>34.72373</v>
      </c>
      <c r="AA139" s="258">
        <f t="shared" si="46"/>
        <v>1.08589705100541</v>
      </c>
      <c r="AB139" s="277"/>
      <c r="AC139" s="286">
        <v>46.25862</v>
      </c>
      <c r="AD139" s="258">
        <f t="shared" si="47"/>
        <v>1.63643059289656</v>
      </c>
      <c r="AE139" s="277"/>
      <c r="AF139" s="286">
        <v>56.92177</v>
      </c>
      <c r="AG139" s="258">
        <f t="shared" si="52"/>
        <v>2.17167486932967</v>
      </c>
      <c r="AH139" s="277"/>
      <c r="AI139" s="286">
        <v>44.44113</v>
      </c>
      <c r="AJ139" s="258">
        <f t="shared" si="48"/>
        <v>1.30617005643075</v>
      </c>
      <c r="AL139" s="286">
        <v>30.193</v>
      </c>
      <c r="AM139" s="258">
        <f t="shared" si="53"/>
        <v>0.717292661487658</v>
      </c>
      <c r="AO139" s="286">
        <f t="shared" si="49"/>
        <v>550.02765</v>
      </c>
      <c r="AP139" s="258">
        <f t="shared" si="50"/>
        <v>1.15043996887693</v>
      </c>
    </row>
    <row r="140" outlineLevel="3" spans="1:42">
      <c r="A140" s="269" t="s">
        <v>53</v>
      </c>
      <c r="B140" s="284">
        <v>6666010322</v>
      </c>
      <c r="C140" t="s">
        <v>74</v>
      </c>
      <c r="E140" s="285">
        <v>0.02065</v>
      </c>
      <c r="F140" s="258">
        <f t="shared" si="40"/>
        <v>0.000425150810154207</v>
      </c>
      <c r="H140" s="286">
        <v>0.00125</v>
      </c>
      <c r="I140" s="258">
        <f t="shared" si="41"/>
        <v>2.71544326895922e-5</v>
      </c>
      <c r="K140" s="286">
        <v>0.19494</v>
      </c>
      <c r="L140" s="258">
        <f t="shared" si="51"/>
        <v>0.00420700520102726</v>
      </c>
      <c r="N140" s="286">
        <v>0.08621</v>
      </c>
      <c r="O140" s="258">
        <f t="shared" si="42"/>
        <v>0.0017464497700707</v>
      </c>
      <c r="P140" s="277"/>
      <c r="Q140" s="286">
        <v>0.03492</v>
      </c>
      <c r="R140" s="258">
        <f t="shared" si="43"/>
        <v>0.000650230895277819</v>
      </c>
      <c r="S140" s="277"/>
      <c r="T140" s="286">
        <v>0.31738</v>
      </c>
      <c r="U140" s="258">
        <f t="shared" si="44"/>
        <v>0.010699163969795</v>
      </c>
      <c r="V140" s="277"/>
      <c r="W140" s="286">
        <v>0.17525</v>
      </c>
      <c r="X140" s="258">
        <f t="shared" si="45"/>
        <v>0.00418687435793296</v>
      </c>
      <c r="Y140" s="277"/>
      <c r="Z140" s="286">
        <v>0.06194</v>
      </c>
      <c r="AA140" s="258">
        <f t="shared" si="46"/>
        <v>0.00193701723113488</v>
      </c>
      <c r="AB140" s="277"/>
      <c r="AC140" s="286">
        <v>0.15581</v>
      </c>
      <c r="AD140" s="258">
        <f t="shared" si="47"/>
        <v>0.00551188623178152</v>
      </c>
      <c r="AE140" s="277"/>
      <c r="AF140" s="286">
        <v>3e-5</v>
      </c>
      <c r="AG140" s="258">
        <f t="shared" si="52"/>
        <v>1.14455762847659e-6</v>
      </c>
      <c r="AH140" s="277"/>
      <c r="AI140" s="286">
        <v>0.00089</v>
      </c>
      <c r="AJ140" s="258">
        <f t="shared" si="48"/>
        <v>2.61580061133318e-5</v>
      </c>
      <c r="AL140" s="286">
        <v>0.66793</v>
      </c>
      <c r="AM140" s="258">
        <f t="shared" si="53"/>
        <v>0.0158679590430713</v>
      </c>
      <c r="AO140" s="286">
        <f t="shared" si="49"/>
        <v>1.7172</v>
      </c>
      <c r="AP140" s="258">
        <f t="shared" si="50"/>
        <v>0.00359170218907262</v>
      </c>
    </row>
    <row r="141" outlineLevel="3" spans="1:42">
      <c r="A141" s="269" t="s">
        <v>53</v>
      </c>
      <c r="B141" s="284">
        <v>6666020495</v>
      </c>
      <c r="C141" t="s">
        <v>84</v>
      </c>
      <c r="E141" s="285">
        <v>0.00134</v>
      </c>
      <c r="F141" s="258">
        <f t="shared" si="40"/>
        <v>2.75884787218711e-5</v>
      </c>
      <c r="H141" s="286">
        <v>4.11572</v>
      </c>
      <c r="I141" s="258">
        <f t="shared" si="41"/>
        <v>0.0894080333673669</v>
      </c>
      <c r="K141" s="286">
        <v>0.01267</v>
      </c>
      <c r="L141" s="258">
        <f t="shared" si="51"/>
        <v>0.000273431598938214</v>
      </c>
      <c r="N141" s="286">
        <v>0.00557</v>
      </c>
      <c r="O141" s="258">
        <f t="shared" si="42"/>
        <v>0.000112837550391994</v>
      </c>
      <c r="P141" s="277"/>
      <c r="Q141" s="286">
        <v>0.00102</v>
      </c>
      <c r="R141" s="258">
        <f t="shared" si="43"/>
        <v>1.89929986593177e-5</v>
      </c>
      <c r="S141" s="277"/>
      <c r="T141" s="286">
        <v>0</v>
      </c>
      <c r="U141" s="258">
        <f t="shared" si="44"/>
        <v>0</v>
      </c>
      <c r="V141" s="277"/>
      <c r="W141" s="286">
        <v>0.06929</v>
      </c>
      <c r="X141" s="258">
        <f t="shared" si="45"/>
        <v>0.00165539814129058</v>
      </c>
      <c r="Y141" s="277"/>
      <c r="Z141" s="286">
        <v>0.0012</v>
      </c>
      <c r="AA141" s="258">
        <f t="shared" si="46"/>
        <v>3.75269725114926e-5</v>
      </c>
      <c r="AB141" s="277"/>
      <c r="AC141" s="286">
        <v>0.0598</v>
      </c>
      <c r="AD141" s="258">
        <f t="shared" si="47"/>
        <v>0.00211546625159191</v>
      </c>
      <c r="AE141" s="277"/>
      <c r="AF141" s="286">
        <v>0.00551</v>
      </c>
      <c r="AG141" s="258">
        <f t="shared" si="52"/>
        <v>0.000210217084430201</v>
      </c>
      <c r="AH141" s="277"/>
      <c r="AI141" s="286">
        <v>0.03066</v>
      </c>
      <c r="AJ141" s="258">
        <f t="shared" si="48"/>
        <v>0.000901128615095227</v>
      </c>
      <c r="AL141" s="286">
        <v>0.16553</v>
      </c>
      <c r="AM141" s="258">
        <f t="shared" si="53"/>
        <v>0.00393248283562588</v>
      </c>
      <c r="AO141" s="286">
        <f t="shared" si="49"/>
        <v>4.46831</v>
      </c>
      <c r="AP141" s="258">
        <f t="shared" si="50"/>
        <v>0.00934593454953127</v>
      </c>
    </row>
    <row r="142" outlineLevel="3" spans="1:42">
      <c r="A142" s="269" t="s">
        <v>53</v>
      </c>
      <c r="B142" s="284">
        <v>5301999999</v>
      </c>
      <c r="C142" s="3" t="s">
        <v>68</v>
      </c>
      <c r="E142" s="285"/>
      <c r="F142" s="258"/>
      <c r="H142" s="286"/>
      <c r="I142" s="258"/>
      <c r="K142" s="286"/>
      <c r="L142" s="258"/>
      <c r="N142" s="286"/>
      <c r="O142" s="258"/>
      <c r="P142" s="277"/>
      <c r="Q142" s="286"/>
      <c r="R142" s="258"/>
      <c r="S142" s="277"/>
      <c r="T142" s="286"/>
      <c r="U142" s="258"/>
      <c r="V142" s="277"/>
      <c r="W142" s="286"/>
      <c r="X142" s="258"/>
      <c r="Y142" s="277"/>
      <c r="Z142" s="286"/>
      <c r="AA142" s="258"/>
      <c r="AB142" s="277"/>
      <c r="AC142" s="286"/>
      <c r="AD142" s="258"/>
      <c r="AE142" s="277"/>
      <c r="AF142" s="286"/>
      <c r="AG142" s="258"/>
      <c r="AH142" s="277"/>
      <c r="AI142" s="286">
        <v>-0.01509</v>
      </c>
      <c r="AJ142" s="258">
        <f t="shared" si="48"/>
        <v>-0.000443510463202445</v>
      </c>
      <c r="AL142" s="286">
        <v>0</v>
      </c>
      <c r="AM142" s="258">
        <f t="shared" si="53"/>
        <v>0</v>
      </c>
      <c r="AO142" s="286">
        <f t="shared" si="49"/>
        <v>-0.01509</v>
      </c>
      <c r="AP142" s="258">
        <f t="shared" ref="AP142" si="54">AO142/$AO$1*1000</f>
        <v>-3.15623026048835e-5</v>
      </c>
    </row>
    <row r="143" outlineLevel="3" spans="1:42">
      <c r="A143" s="269" t="s">
        <v>53</v>
      </c>
      <c r="B143" s="284">
        <v>5301060000</v>
      </c>
      <c r="C143" t="s">
        <v>67</v>
      </c>
      <c r="E143" s="285">
        <v>-0.03349</v>
      </c>
      <c r="F143" s="258">
        <f t="shared" si="40"/>
        <v>-0.000689506083877211</v>
      </c>
      <c r="H143" s="286">
        <v>0</v>
      </c>
      <c r="I143" s="258">
        <f t="shared" si="41"/>
        <v>0</v>
      </c>
      <c r="K143" s="286">
        <v>0</v>
      </c>
      <c r="L143" s="258">
        <f t="shared" si="51"/>
        <v>0</v>
      </c>
      <c r="N143" s="286">
        <v>0</v>
      </c>
      <c r="O143" s="258">
        <f t="shared" si="42"/>
        <v>0</v>
      </c>
      <c r="P143" s="277"/>
      <c r="Q143" s="286">
        <v>0</v>
      </c>
      <c r="R143" s="258">
        <f t="shared" si="43"/>
        <v>0</v>
      </c>
      <c r="S143" s="277"/>
      <c r="T143" s="286">
        <v>0</v>
      </c>
      <c r="U143" s="258">
        <f t="shared" si="44"/>
        <v>0</v>
      </c>
      <c r="V143" s="277"/>
      <c r="W143" s="286">
        <v>0</v>
      </c>
      <c r="X143" s="258">
        <f t="shared" si="45"/>
        <v>0</v>
      </c>
      <c r="Y143" s="277"/>
      <c r="Z143" s="286">
        <v>0</v>
      </c>
      <c r="AA143" s="258">
        <f t="shared" si="46"/>
        <v>0</v>
      </c>
      <c r="AB143" s="277"/>
      <c r="AC143" s="286">
        <v>0</v>
      </c>
      <c r="AD143" s="258">
        <f t="shared" si="47"/>
        <v>0</v>
      </c>
      <c r="AE143" s="277"/>
      <c r="AF143" s="286">
        <v>0</v>
      </c>
      <c r="AG143" s="258">
        <f t="shared" si="52"/>
        <v>0</v>
      </c>
      <c r="AH143" s="277"/>
      <c r="AI143" s="286">
        <v>0</v>
      </c>
      <c r="AJ143" s="258">
        <f t="shared" si="48"/>
        <v>0</v>
      </c>
      <c r="AL143" s="286">
        <v>0</v>
      </c>
      <c r="AM143" s="258">
        <f t="shared" si="53"/>
        <v>0</v>
      </c>
      <c r="AO143" s="286">
        <f t="shared" si="49"/>
        <v>-0.03349</v>
      </c>
      <c r="AP143" s="258">
        <f t="shared" si="50"/>
        <v>-7.00478140647811e-5</v>
      </c>
    </row>
    <row r="144" outlineLevel="3" spans="1:42">
      <c r="A144" s="269" t="s">
        <v>53</v>
      </c>
      <c r="B144" s="284">
        <v>5601050000</v>
      </c>
      <c r="C144" t="s">
        <v>70</v>
      </c>
      <c r="E144" s="285"/>
      <c r="F144" s="258"/>
      <c r="H144" s="286">
        <v>0.0077</v>
      </c>
      <c r="I144" s="258">
        <f t="shared" si="41"/>
        <v>0.000167271305367888</v>
      </c>
      <c r="K144" s="286">
        <v>0.39409</v>
      </c>
      <c r="L144" s="258">
        <f t="shared" si="51"/>
        <v>0.00850486652135442</v>
      </c>
      <c r="N144" s="286">
        <v>0</v>
      </c>
      <c r="O144" s="258">
        <f t="shared" si="42"/>
        <v>0</v>
      </c>
      <c r="P144" s="277"/>
      <c r="Q144" s="286">
        <v>0.00673</v>
      </c>
      <c r="R144" s="258">
        <f t="shared" si="43"/>
        <v>0.000125316549977655</v>
      </c>
      <c r="S144" s="277"/>
      <c r="T144" s="286">
        <v>0.06352</v>
      </c>
      <c r="U144" s="258">
        <f t="shared" si="44"/>
        <v>0.00214131607335491</v>
      </c>
      <c r="V144" s="277"/>
      <c r="W144" s="286">
        <v>0</v>
      </c>
      <c r="X144" s="258">
        <f t="shared" si="45"/>
        <v>0</v>
      </c>
      <c r="Y144" s="277"/>
      <c r="Z144" s="286">
        <v>0</v>
      </c>
      <c r="AA144" s="258">
        <f t="shared" si="46"/>
        <v>0</v>
      </c>
      <c r="AB144" s="277"/>
      <c r="AC144" s="286">
        <v>0</v>
      </c>
      <c r="AD144" s="258">
        <f t="shared" si="47"/>
        <v>0</v>
      </c>
      <c r="AE144" s="277"/>
      <c r="AF144" s="286">
        <v>0</v>
      </c>
      <c r="AG144" s="258">
        <f t="shared" si="52"/>
        <v>0</v>
      </c>
      <c r="AH144" s="277"/>
      <c r="AI144" s="286">
        <v>0</v>
      </c>
      <c r="AJ144" s="258">
        <f t="shared" si="48"/>
        <v>0</v>
      </c>
      <c r="AL144" s="286">
        <v>0</v>
      </c>
      <c r="AM144" s="258">
        <f t="shared" si="53"/>
        <v>0</v>
      </c>
      <c r="AO144" s="286">
        <f t="shared" si="49"/>
        <v>0.47204</v>
      </c>
      <c r="AP144" s="258">
        <f t="shared" si="50"/>
        <v>0.000987320697257071</v>
      </c>
    </row>
    <row r="145" outlineLevel="3" spans="1:42">
      <c r="A145" s="269" t="s">
        <v>53</v>
      </c>
      <c r="B145" s="284">
        <v>5601050100</v>
      </c>
      <c r="C145" t="s">
        <v>71</v>
      </c>
      <c r="E145" s="285">
        <v>0.042</v>
      </c>
      <c r="F145" s="258">
        <f t="shared" si="40"/>
        <v>0.000864713512178049</v>
      </c>
      <c r="H145" s="286">
        <v>0.41842</v>
      </c>
      <c r="I145" s="258">
        <f t="shared" si="41"/>
        <v>0.00908956618078335</v>
      </c>
      <c r="K145" s="286">
        <v>0</v>
      </c>
      <c r="L145" s="258">
        <f t="shared" si="51"/>
        <v>0</v>
      </c>
      <c r="N145" s="286">
        <v>0.02584</v>
      </c>
      <c r="O145" s="258">
        <f t="shared" si="42"/>
        <v>0.000523468994996252</v>
      </c>
      <c r="P145" s="277"/>
      <c r="Q145" s="286">
        <v>0.01769</v>
      </c>
      <c r="R145" s="258">
        <f t="shared" si="43"/>
        <v>0.000329398182630717</v>
      </c>
      <c r="S145" s="277"/>
      <c r="T145" s="286">
        <v>0</v>
      </c>
      <c r="U145" s="258">
        <f t="shared" si="44"/>
        <v>0</v>
      </c>
      <c r="V145" s="277"/>
      <c r="W145" s="286">
        <v>0.21227</v>
      </c>
      <c r="X145" s="258">
        <f t="shared" si="45"/>
        <v>0.00507131423656736</v>
      </c>
      <c r="Y145" s="277"/>
      <c r="Z145" s="286">
        <v>0.06935</v>
      </c>
      <c r="AA145" s="258">
        <f t="shared" si="46"/>
        <v>0.00216874628639335</v>
      </c>
      <c r="AB145" s="277"/>
      <c r="AC145" s="286">
        <v>0.21472</v>
      </c>
      <c r="AD145" s="258">
        <f t="shared" si="47"/>
        <v>0.00759586811942833</v>
      </c>
      <c r="AE145" s="277"/>
      <c r="AF145" s="286">
        <v>0.07456</v>
      </c>
      <c r="AG145" s="258">
        <f t="shared" si="52"/>
        <v>0.00284460722597383</v>
      </c>
      <c r="AH145" s="277"/>
      <c r="AI145" s="286">
        <v>0.02414</v>
      </c>
      <c r="AJ145" s="258">
        <f t="shared" si="48"/>
        <v>0.000709499177051493</v>
      </c>
      <c r="AL145" s="286">
        <v>0.04989</v>
      </c>
      <c r="AM145" s="258">
        <f t="shared" si="53"/>
        <v>0.00118523269902359</v>
      </c>
      <c r="AO145" s="286">
        <f t="shared" si="49"/>
        <v>1.14888</v>
      </c>
      <c r="AP145" s="258">
        <f t="shared" si="50"/>
        <v>0.00240300186989387</v>
      </c>
    </row>
    <row r="146" spans="1:42">
      <c r="A146" s="269" t="s">
        <v>53</v>
      </c>
      <c r="B146" s="284">
        <v>5601080000</v>
      </c>
      <c r="C146" t="s">
        <v>163</v>
      </c>
      <c r="E146" s="285">
        <v>2.88541</v>
      </c>
      <c r="F146" s="258">
        <f t="shared" si="40"/>
        <v>0.0594060241708015</v>
      </c>
      <c r="H146" s="286">
        <v>3e-5</v>
      </c>
      <c r="I146" s="258">
        <f t="shared" si="41"/>
        <v>6.51706384550214e-7</v>
      </c>
      <c r="K146" s="286">
        <v>0</v>
      </c>
      <c r="L146" s="258">
        <f t="shared" si="51"/>
        <v>0</v>
      </c>
      <c r="N146" s="286">
        <v>0.24875</v>
      </c>
      <c r="O146" s="258">
        <f t="shared" si="42"/>
        <v>0.00503919940036059</v>
      </c>
      <c r="P146" s="277"/>
      <c r="Q146" s="286">
        <v>0.00153</v>
      </c>
      <c r="R146" s="258">
        <f t="shared" si="43"/>
        <v>2.84894979889766e-5</v>
      </c>
      <c r="S146" s="277"/>
      <c r="T146" s="286">
        <v>0</v>
      </c>
      <c r="U146" s="258">
        <f t="shared" si="44"/>
        <v>0</v>
      </c>
      <c r="V146" s="277"/>
      <c r="W146" s="286">
        <v>0.10658</v>
      </c>
      <c r="X146" s="258">
        <f t="shared" si="45"/>
        <v>0.00254628855388585</v>
      </c>
      <c r="Y146" s="277"/>
      <c r="Z146" s="286">
        <v>0.00994</v>
      </c>
      <c r="AA146" s="258">
        <f t="shared" si="46"/>
        <v>0.000310848422303531</v>
      </c>
      <c r="AB146" s="277"/>
      <c r="AC146" s="286">
        <v>0</v>
      </c>
      <c r="AD146" s="258">
        <f t="shared" si="47"/>
        <v>0</v>
      </c>
      <c r="AE146" s="277"/>
      <c r="AF146" s="286">
        <v>0.39966</v>
      </c>
      <c r="AG146" s="258">
        <f t="shared" si="52"/>
        <v>0.0152477967265652</v>
      </c>
      <c r="AH146" s="277"/>
      <c r="AI146" s="286">
        <v>0</v>
      </c>
      <c r="AJ146" s="258">
        <f t="shared" si="48"/>
        <v>0</v>
      </c>
      <c r="AL146" s="286">
        <v>0.40014</v>
      </c>
      <c r="AM146" s="258">
        <f t="shared" si="53"/>
        <v>0.0095060936497755</v>
      </c>
      <c r="AO146" s="286">
        <f t="shared" si="49"/>
        <v>4.05204</v>
      </c>
      <c r="AP146" s="258">
        <f t="shared" si="50"/>
        <v>0.0084752626008676</v>
      </c>
    </row>
    <row r="147" spans="1:42">
      <c r="A147" s="269" t="s">
        <v>53</v>
      </c>
      <c r="B147" s="284">
        <v>6666020101</v>
      </c>
      <c r="C147" t="s">
        <v>75</v>
      </c>
      <c r="E147" s="285"/>
      <c r="F147" s="258"/>
      <c r="H147" s="286"/>
      <c r="I147" s="258"/>
      <c r="K147" s="286">
        <v>-0.0609</v>
      </c>
      <c r="L147" s="258">
        <f t="shared" si="51"/>
        <v>-0.00131428448108423</v>
      </c>
      <c r="N147" s="286">
        <v>0</v>
      </c>
      <c r="O147" s="258">
        <f t="shared" si="42"/>
        <v>0</v>
      </c>
      <c r="P147" s="277"/>
      <c r="Q147" s="286">
        <v>0</v>
      </c>
      <c r="R147" s="258">
        <f t="shared" si="43"/>
        <v>0</v>
      </c>
      <c r="S147" s="277"/>
      <c r="T147" s="286">
        <v>0.2408</v>
      </c>
      <c r="U147" s="258">
        <f t="shared" si="44"/>
        <v>0.0081175836030205</v>
      </c>
      <c r="V147" s="277"/>
      <c r="W147" s="286">
        <v>0.03541</v>
      </c>
      <c r="X147" s="258">
        <f t="shared" si="45"/>
        <v>0.000845975583534415</v>
      </c>
      <c r="Y147" s="277"/>
      <c r="Z147" s="286">
        <v>0</v>
      </c>
      <c r="AA147" s="258">
        <f t="shared" si="46"/>
        <v>0</v>
      </c>
      <c r="AB147" s="277"/>
      <c r="AC147" s="286">
        <v>0.19819</v>
      </c>
      <c r="AD147" s="258">
        <f t="shared" si="47"/>
        <v>0.00701110796660535</v>
      </c>
      <c r="AE147" s="277"/>
      <c r="AF147" s="286">
        <v>-0.00793</v>
      </c>
      <c r="AG147" s="258">
        <f t="shared" si="52"/>
        <v>-0.000302544733127313</v>
      </c>
      <c r="AH147" s="277"/>
      <c r="AI147" s="286">
        <v>0.5457</v>
      </c>
      <c r="AJ147" s="258">
        <f t="shared" si="48"/>
        <v>0.016038678579826</v>
      </c>
      <c r="AL147" s="286">
        <v>0.19416</v>
      </c>
      <c r="AM147" s="258">
        <f t="shared" si="53"/>
        <v>0.00461264343239969</v>
      </c>
      <c r="AO147" s="286">
        <f t="shared" si="49"/>
        <v>1.14543</v>
      </c>
      <c r="AP147" s="258">
        <f t="shared" si="50"/>
        <v>0.00239578583649514</v>
      </c>
    </row>
    <row r="148" outlineLevel="1" spans="1:42">
      <c r="A148" s="269" t="s">
        <v>53</v>
      </c>
      <c r="B148" s="284">
        <v>6666020201</v>
      </c>
      <c r="C148" t="s">
        <v>76</v>
      </c>
      <c r="E148" s="285">
        <v>0.03452</v>
      </c>
      <c r="F148" s="258">
        <f t="shared" si="40"/>
        <v>0.000710712153342529</v>
      </c>
      <c r="H148" s="286">
        <v>0.057</v>
      </c>
      <c r="I148" s="258">
        <f t="shared" si="41"/>
        <v>0.00123824213064541</v>
      </c>
      <c r="K148" s="286">
        <v>0.09555</v>
      </c>
      <c r="L148" s="258">
        <f t="shared" si="51"/>
        <v>0.00206206703066664</v>
      </c>
      <c r="N148" s="286">
        <v>0.26714</v>
      </c>
      <c r="O148" s="258">
        <f t="shared" si="42"/>
        <v>0.00541174563944655</v>
      </c>
      <c r="P148" s="277"/>
      <c r="Q148" s="286">
        <v>0.03457</v>
      </c>
      <c r="R148" s="258">
        <f t="shared" si="43"/>
        <v>0.000643713689855504</v>
      </c>
      <c r="S148" s="277"/>
      <c r="T148" s="286">
        <v>0.25124</v>
      </c>
      <c r="U148" s="258">
        <f t="shared" si="44"/>
        <v>0.00846952535059331</v>
      </c>
      <c r="V148" s="277"/>
      <c r="W148" s="286">
        <v>0.24513</v>
      </c>
      <c r="X148" s="258">
        <f t="shared" si="45"/>
        <v>0.00585636811047137</v>
      </c>
      <c r="Y148" s="277"/>
      <c r="Z148" s="286">
        <v>0.08546</v>
      </c>
      <c r="AA148" s="258">
        <f t="shared" si="46"/>
        <v>0.00267254589236013</v>
      </c>
      <c r="AB148" s="277"/>
      <c r="AC148" s="286">
        <v>0.06542</v>
      </c>
      <c r="AD148" s="258">
        <f t="shared" si="47"/>
        <v>0.00231427762841375</v>
      </c>
      <c r="AE148" s="277"/>
      <c r="AF148" s="286">
        <v>0.33724</v>
      </c>
      <c r="AG148" s="258">
        <f t="shared" si="52"/>
        <v>0.0128663538209149</v>
      </c>
      <c r="AH148" s="277"/>
      <c r="AI148" s="286">
        <v>0.07548</v>
      </c>
      <c r="AJ148" s="258">
        <f t="shared" si="48"/>
        <v>0.00221843404655537</v>
      </c>
      <c r="AL148" s="286">
        <v>0.14681</v>
      </c>
      <c r="AM148" s="258">
        <f t="shared" si="53"/>
        <v>0.003487753308151</v>
      </c>
      <c r="AO148" s="286">
        <f t="shared" si="49"/>
        <v>1.69556</v>
      </c>
      <c r="AP148" s="258">
        <f t="shared" si="50"/>
        <v>0.00354643988102957</v>
      </c>
    </row>
    <row r="149" outlineLevel="1" spans="1:42">
      <c r="A149" s="269" t="s">
        <v>53</v>
      </c>
      <c r="B149" s="284">
        <v>6666020202</v>
      </c>
      <c r="C149" t="s">
        <v>77</v>
      </c>
      <c r="E149" s="285"/>
      <c r="F149" s="258"/>
      <c r="H149" s="286"/>
      <c r="I149" s="258"/>
      <c r="K149" s="286"/>
      <c r="L149" s="258"/>
      <c r="N149" s="286"/>
      <c r="O149" s="258"/>
      <c r="P149" s="277"/>
      <c r="Q149" s="286"/>
      <c r="R149" s="258"/>
      <c r="S149" s="277"/>
      <c r="T149" s="286"/>
      <c r="U149" s="258"/>
      <c r="V149" s="277"/>
      <c r="W149" s="286"/>
      <c r="X149" s="258"/>
      <c r="Y149" s="277"/>
      <c r="Z149" s="286"/>
      <c r="AA149" s="258"/>
      <c r="AB149" s="277"/>
      <c r="AC149" s="286">
        <f>164.55/1000</f>
        <v>0.16455</v>
      </c>
      <c r="AD149" s="258">
        <f t="shared" si="47"/>
        <v>0.00582106976086034</v>
      </c>
      <c r="AE149" s="277"/>
      <c r="AF149" s="286">
        <v>0.00157</v>
      </c>
      <c r="AG149" s="258">
        <f t="shared" si="52"/>
        <v>5.98985158902751e-5</v>
      </c>
      <c r="AH149" s="277"/>
      <c r="AI149" s="286">
        <v>-0.00155</v>
      </c>
      <c r="AJ149" s="258">
        <f t="shared" si="48"/>
        <v>-4.55560780625441e-5</v>
      </c>
      <c r="AL149" s="286">
        <v>0.00287</v>
      </c>
      <c r="AM149" s="258">
        <f t="shared" si="53"/>
        <v>6.81823581118001e-5</v>
      </c>
      <c r="AO149" s="286">
        <f t="shared" si="49"/>
        <v>0.16744</v>
      </c>
      <c r="AP149" s="258">
        <f t="shared" ref="AP149" si="55">AO149/$AO$1*1000</f>
        <v>0.000350218154285069</v>
      </c>
    </row>
    <row r="150" outlineLevel="1" spans="1:42">
      <c r="A150" s="269" t="s">
        <v>53</v>
      </c>
      <c r="B150" s="284">
        <v>6666020204</v>
      </c>
      <c r="C150" t="s">
        <v>78</v>
      </c>
      <c r="E150" s="285">
        <v>0</v>
      </c>
      <c r="F150" s="258">
        <f t="shared" si="40"/>
        <v>0</v>
      </c>
      <c r="H150" s="286">
        <v>0</v>
      </c>
      <c r="I150" s="258">
        <f t="shared" si="41"/>
        <v>0</v>
      </c>
      <c r="K150" s="286">
        <v>0</v>
      </c>
      <c r="L150" s="258">
        <f t="shared" si="51"/>
        <v>0</v>
      </c>
      <c r="N150" s="286">
        <v>0.00365</v>
      </c>
      <c r="O150" s="258">
        <f t="shared" si="42"/>
        <v>7.39420213520248e-5</v>
      </c>
      <c r="P150" s="277"/>
      <c r="Q150" s="286">
        <v>0</v>
      </c>
      <c r="R150" s="258">
        <f t="shared" si="43"/>
        <v>0</v>
      </c>
      <c r="S150" s="277"/>
      <c r="T150" s="286">
        <v>0</v>
      </c>
      <c r="U150" s="258">
        <f t="shared" si="44"/>
        <v>0</v>
      </c>
      <c r="V150" s="277"/>
      <c r="W150" s="286">
        <v>0.14958</v>
      </c>
      <c r="X150" s="258">
        <f t="shared" si="45"/>
        <v>0.00357359581432019</v>
      </c>
      <c r="Y150" s="277"/>
      <c r="Z150" s="286">
        <v>0</v>
      </c>
      <c r="AA150" s="258">
        <f t="shared" si="46"/>
        <v>0</v>
      </c>
      <c r="AB150" s="277"/>
      <c r="AC150" s="286">
        <v>0.1456</v>
      </c>
      <c r="AD150" s="258">
        <f t="shared" si="47"/>
        <v>0.00515070043865855</v>
      </c>
      <c r="AE150" s="277"/>
      <c r="AF150" s="286">
        <v>0.04501</v>
      </c>
      <c r="AG150" s="258">
        <f t="shared" si="52"/>
        <v>0.00171721796192438</v>
      </c>
      <c r="AH150" s="277"/>
      <c r="AI150" s="286">
        <v>0.41145</v>
      </c>
      <c r="AJ150" s="258">
        <f t="shared" si="48"/>
        <v>0.0120929343992476</v>
      </c>
      <c r="AL150" s="286">
        <v>0.25536</v>
      </c>
      <c r="AM150" s="258">
        <f t="shared" si="53"/>
        <v>0.00606656688760602</v>
      </c>
      <c r="AO150" s="286">
        <f t="shared" si="49"/>
        <v>1.01065</v>
      </c>
      <c r="AP150" s="258">
        <f t="shared" si="50"/>
        <v>0.00211387946505139</v>
      </c>
    </row>
    <row r="151" outlineLevel="1" spans="1:42">
      <c r="A151" s="269" t="s">
        <v>53</v>
      </c>
      <c r="B151" s="284">
        <v>6666020301</v>
      </c>
      <c r="C151" t="s">
        <v>164</v>
      </c>
      <c r="E151" s="285">
        <v>0.00401</v>
      </c>
      <c r="F151" s="258">
        <f t="shared" si="40"/>
        <v>8.2559551996047e-5</v>
      </c>
      <c r="H151" s="286">
        <v>0.07788</v>
      </c>
      <c r="I151" s="258">
        <f t="shared" si="41"/>
        <v>0.00169182977429236</v>
      </c>
      <c r="K151" s="286">
        <v>0.20988</v>
      </c>
      <c r="L151" s="258">
        <f t="shared" si="51"/>
        <v>0.00452942572889915</v>
      </c>
      <c r="N151" s="286">
        <v>0.12946</v>
      </c>
      <c r="O151" s="258">
        <f t="shared" si="42"/>
        <v>0.00262261207787209</v>
      </c>
      <c r="P151" s="277"/>
      <c r="Q151" s="286">
        <v>0.09768</v>
      </c>
      <c r="R151" s="258">
        <f t="shared" si="43"/>
        <v>0.00181885893043349</v>
      </c>
      <c r="S151" s="277"/>
      <c r="T151" s="286">
        <v>0.09553</v>
      </c>
      <c r="U151" s="258">
        <f t="shared" si="44"/>
        <v>0.00322040183387271</v>
      </c>
      <c r="V151" s="277"/>
      <c r="W151" s="286">
        <v>0.10688</v>
      </c>
      <c r="X151" s="258">
        <f t="shared" si="45"/>
        <v>0.00255345581384237</v>
      </c>
      <c r="Y151" s="277"/>
      <c r="Z151" s="286">
        <v>0.0292</v>
      </c>
      <c r="AA151" s="258">
        <f t="shared" si="46"/>
        <v>0.000913156331112988</v>
      </c>
      <c r="AB151" s="277"/>
      <c r="AC151" s="286">
        <v>0.10059</v>
      </c>
      <c r="AD151" s="258">
        <f t="shared" si="47"/>
        <v>0.00355844063959247</v>
      </c>
      <c r="AE151" s="277"/>
      <c r="AF151" s="286">
        <v>0.3516</v>
      </c>
      <c r="AG151" s="258">
        <f t="shared" si="52"/>
        <v>0.0134142154057457</v>
      </c>
      <c r="AH151" s="277"/>
      <c r="AI151" s="286">
        <v>-0.08573</v>
      </c>
      <c r="AJ151" s="258">
        <f t="shared" si="48"/>
        <v>-0.00251969198213026</v>
      </c>
      <c r="AL151" s="286">
        <v>0.16186</v>
      </c>
      <c r="AM151" s="258">
        <f t="shared" si="53"/>
        <v>0.0038452949421519</v>
      </c>
      <c r="AO151" s="286">
        <f t="shared" si="49"/>
        <v>1.27884</v>
      </c>
      <c r="AP151" s="258">
        <f t="shared" si="50"/>
        <v>0.00267482671061824</v>
      </c>
    </row>
    <row r="152" outlineLevel="1" spans="1:42">
      <c r="A152" s="269" t="s">
        <v>53</v>
      </c>
      <c r="B152" s="284">
        <v>6666020403</v>
      </c>
      <c r="C152" t="s">
        <v>82</v>
      </c>
      <c r="E152" s="285"/>
      <c r="F152" s="258"/>
      <c r="H152" s="286"/>
      <c r="I152" s="258"/>
      <c r="K152" s="286"/>
      <c r="L152" s="258"/>
      <c r="N152" s="286">
        <v>2e-5</v>
      </c>
      <c r="O152" s="258">
        <f t="shared" si="42"/>
        <v>4.05161760833013e-7</v>
      </c>
      <c r="P152" s="277"/>
      <c r="Q152" s="286">
        <v>0</v>
      </c>
      <c r="R152" s="258">
        <f t="shared" si="43"/>
        <v>0</v>
      </c>
      <c r="S152" s="277"/>
      <c r="T152" s="286">
        <v>0</v>
      </c>
      <c r="U152" s="258">
        <f t="shared" si="44"/>
        <v>0</v>
      </c>
      <c r="V152" s="277"/>
      <c r="W152" s="286">
        <v>0</v>
      </c>
      <c r="X152" s="258">
        <f t="shared" si="45"/>
        <v>0</v>
      </c>
      <c r="Y152" s="277"/>
      <c r="Z152" s="286">
        <v>0</v>
      </c>
      <c r="AA152" s="258">
        <f t="shared" si="46"/>
        <v>0</v>
      </c>
      <c r="AB152" s="277"/>
      <c r="AC152" s="286">
        <v>0</v>
      </c>
      <c r="AD152" s="258">
        <f t="shared" si="47"/>
        <v>0</v>
      </c>
      <c r="AE152" s="277"/>
      <c r="AF152" s="286">
        <v>0</v>
      </c>
      <c r="AG152" s="258">
        <f t="shared" si="52"/>
        <v>0</v>
      </c>
      <c r="AH152" s="277"/>
      <c r="AI152" s="286">
        <v>0</v>
      </c>
      <c r="AJ152" s="258">
        <f t="shared" si="48"/>
        <v>0</v>
      </c>
      <c r="AL152" s="286">
        <v>0</v>
      </c>
      <c r="AM152" s="258">
        <f t="shared" si="53"/>
        <v>0</v>
      </c>
      <c r="AO152" s="286">
        <f t="shared" si="49"/>
        <v>2e-5</v>
      </c>
      <c r="AP152" s="258">
        <f t="shared" si="50"/>
        <v>4.18320776738018e-8</v>
      </c>
    </row>
    <row r="153" outlineLevel="1" spans="1:42">
      <c r="A153" s="269" t="s">
        <v>53</v>
      </c>
      <c r="B153" s="284">
        <v>6666020504</v>
      </c>
      <c r="C153" s="3" t="s">
        <v>85</v>
      </c>
      <c r="E153" s="285"/>
      <c r="F153" s="258"/>
      <c r="H153" s="286"/>
      <c r="I153" s="258"/>
      <c r="K153" s="286"/>
      <c r="L153" s="258"/>
      <c r="N153" s="286"/>
      <c r="O153" s="258"/>
      <c r="P153" s="277"/>
      <c r="Q153" s="286"/>
      <c r="R153" s="258"/>
      <c r="S153" s="277"/>
      <c r="T153" s="286"/>
      <c r="U153" s="258"/>
      <c r="V153" s="277"/>
      <c r="W153" s="286"/>
      <c r="X153" s="258"/>
      <c r="Y153" s="277"/>
      <c r="Z153" s="286"/>
      <c r="AA153" s="258"/>
      <c r="AB153" s="277"/>
      <c r="AC153" s="286">
        <f>47.18/1000</f>
        <v>0.04718</v>
      </c>
      <c r="AD153" s="258">
        <f t="shared" si="47"/>
        <v>0.0016690250459884</v>
      </c>
      <c r="AE153" s="277"/>
      <c r="AF153" s="286">
        <v>0</v>
      </c>
      <c r="AG153" s="258">
        <f t="shared" si="52"/>
        <v>0</v>
      </c>
      <c r="AH153" s="277"/>
      <c r="AI153" s="286">
        <v>0.09355</v>
      </c>
      <c r="AJ153" s="258">
        <f t="shared" si="48"/>
        <v>0.00274952974371032</v>
      </c>
      <c r="AL153" s="286">
        <v>-0.04629</v>
      </c>
      <c r="AM153" s="258">
        <f t="shared" si="53"/>
        <v>-0.00109970778989381</v>
      </c>
      <c r="AO153" s="286">
        <f t="shared" si="49"/>
        <v>0.09444</v>
      </c>
      <c r="AP153" s="258">
        <f t="shared" ref="AP153" si="56">AO153/$AO$1*1000</f>
        <v>0.000197531070775692</v>
      </c>
    </row>
    <row r="154" outlineLevel="1" spans="1:42">
      <c r="A154" s="269" t="s">
        <v>53</v>
      </c>
      <c r="B154" s="284">
        <v>6666020508</v>
      </c>
      <c r="C154" t="s">
        <v>86</v>
      </c>
      <c r="E154" s="285">
        <v>0.01812</v>
      </c>
      <c r="F154" s="258">
        <f t="shared" si="40"/>
        <v>0.000373062115253958</v>
      </c>
      <c r="H154" s="286">
        <v>0.00299</v>
      </c>
      <c r="I154" s="258">
        <f t="shared" si="41"/>
        <v>6.49534029935047e-5</v>
      </c>
      <c r="K154" s="286">
        <v>0.00769</v>
      </c>
      <c r="L154" s="258">
        <f t="shared" si="51"/>
        <v>0.000165958089647582</v>
      </c>
      <c r="N154" s="286">
        <v>0.01456</v>
      </c>
      <c r="O154" s="258">
        <f t="shared" si="42"/>
        <v>0.000294957761886433</v>
      </c>
      <c r="P154" s="277"/>
      <c r="Q154" s="286">
        <v>0.01252</v>
      </c>
      <c r="R154" s="258">
        <f t="shared" si="43"/>
        <v>0.000233129748249665</v>
      </c>
      <c r="S154" s="277"/>
      <c r="T154" s="286">
        <v>0.00265</v>
      </c>
      <c r="U154" s="258">
        <f t="shared" si="44"/>
        <v>8.93338727076591e-5</v>
      </c>
      <c r="V154" s="277"/>
      <c r="W154" s="286">
        <v>0.00705</v>
      </c>
      <c r="X154" s="258">
        <f t="shared" si="45"/>
        <v>0.000168430608978188</v>
      </c>
      <c r="Y154" s="277"/>
      <c r="Z154" s="286">
        <v>0.0051</v>
      </c>
      <c r="AA154" s="258">
        <f t="shared" si="46"/>
        <v>0.000159489633173844</v>
      </c>
      <c r="AB154" s="277"/>
      <c r="AC154" s="286">
        <v>0.44749</v>
      </c>
      <c r="AD154" s="258">
        <f t="shared" si="47"/>
        <v>0.0158302674402151</v>
      </c>
      <c r="AE154" s="277"/>
      <c r="AF154" s="286">
        <v>0.01104</v>
      </c>
      <c r="AG154" s="258">
        <f t="shared" si="52"/>
        <v>0.000421197207279386</v>
      </c>
      <c r="AH154" s="277"/>
      <c r="AI154" s="286">
        <v>0.00327</v>
      </c>
      <c r="AJ154" s="258">
        <f t="shared" si="48"/>
        <v>9.61086292029156e-5</v>
      </c>
      <c r="AL154" s="286">
        <v>0.02382</v>
      </c>
      <c r="AM154" s="258">
        <f t="shared" si="53"/>
        <v>0.000565889815408738</v>
      </c>
      <c r="AO154" s="286">
        <f t="shared" si="49"/>
        <v>0.5563</v>
      </c>
      <c r="AP154" s="258">
        <f t="shared" si="50"/>
        <v>0.0011635592404968</v>
      </c>
    </row>
    <row r="155" outlineLevel="1" spans="1:42">
      <c r="A155" s="269" t="s">
        <v>53</v>
      </c>
      <c r="B155" s="284">
        <v>6666020602</v>
      </c>
      <c r="C155" t="s">
        <v>87</v>
      </c>
      <c r="E155" s="285"/>
      <c r="F155" s="258"/>
      <c r="H155" s="286"/>
      <c r="I155" s="258"/>
      <c r="K155" s="286">
        <v>0.00736</v>
      </c>
      <c r="L155" s="258">
        <f t="shared" si="51"/>
        <v>0.00015883635108013</v>
      </c>
      <c r="N155" s="286">
        <v>0</v>
      </c>
      <c r="O155" s="258">
        <f t="shared" si="42"/>
        <v>0</v>
      </c>
      <c r="P155" s="277"/>
      <c r="Q155" s="286">
        <v>0</v>
      </c>
      <c r="R155" s="258">
        <f t="shared" si="43"/>
        <v>0</v>
      </c>
      <c r="S155" s="277"/>
      <c r="T155" s="286">
        <v>0</v>
      </c>
      <c r="U155" s="258">
        <f t="shared" si="44"/>
        <v>0</v>
      </c>
      <c r="V155" s="277"/>
      <c r="W155" s="286">
        <v>0</v>
      </c>
      <c r="X155" s="258">
        <f t="shared" si="45"/>
        <v>0</v>
      </c>
      <c r="Y155" s="277"/>
      <c r="Z155" s="286">
        <v>0</v>
      </c>
      <c r="AA155" s="258">
        <f t="shared" si="46"/>
        <v>0</v>
      </c>
      <c r="AB155" s="277"/>
      <c r="AC155" s="286">
        <v>0</v>
      </c>
      <c r="AD155" s="258">
        <f t="shared" si="47"/>
        <v>0</v>
      </c>
      <c r="AE155" s="277"/>
      <c r="AF155" s="286">
        <v>0</v>
      </c>
      <c r="AG155" s="258">
        <f t="shared" si="52"/>
        <v>0</v>
      </c>
      <c r="AH155" s="277"/>
      <c r="AI155" s="286">
        <v>0</v>
      </c>
      <c r="AJ155" s="258">
        <f t="shared" si="48"/>
        <v>0</v>
      </c>
      <c r="AL155" s="286">
        <v>0.02148</v>
      </c>
      <c r="AM155" s="258">
        <f t="shared" si="53"/>
        <v>0.000510298624474378</v>
      </c>
      <c r="AO155" s="286">
        <f t="shared" si="49"/>
        <v>0.02884</v>
      </c>
      <c r="AP155" s="258">
        <f t="shared" si="50"/>
        <v>6.03218560056222e-5</v>
      </c>
    </row>
    <row r="156" spans="1:42">
      <c r="A156" s="269" t="s">
        <v>53</v>
      </c>
      <c r="B156" s="284">
        <v>6666020701</v>
      </c>
      <c r="C156" t="s">
        <v>88</v>
      </c>
      <c r="E156" s="285">
        <v>13.99018</v>
      </c>
      <c r="F156" s="258">
        <f t="shared" si="40"/>
        <v>0.288035659138169</v>
      </c>
      <c r="H156" s="286">
        <v>10.5686</v>
      </c>
      <c r="I156" s="258">
        <f t="shared" si="41"/>
        <v>0.22958746985858</v>
      </c>
      <c r="K156" s="286">
        <v>33.49304</v>
      </c>
      <c r="L156" s="258">
        <f t="shared" si="51"/>
        <v>0.722814165785441</v>
      </c>
      <c r="N156" s="286">
        <v>19.35061</v>
      </c>
      <c r="O156" s="258">
        <f t="shared" si="42"/>
        <v>0.392006361039645</v>
      </c>
      <c r="P156" s="277"/>
      <c r="Q156" s="286">
        <v>19.35061</v>
      </c>
      <c r="R156" s="258">
        <f t="shared" si="43"/>
        <v>0.360319715477432</v>
      </c>
      <c r="S156" s="277"/>
      <c r="T156" s="286">
        <v>19.35061</v>
      </c>
      <c r="U156" s="258">
        <f t="shared" si="44"/>
        <v>0.652326388888889</v>
      </c>
      <c r="V156" s="277"/>
      <c r="W156" s="286">
        <v>19.35061</v>
      </c>
      <c r="X156" s="258">
        <f t="shared" si="45"/>
        <v>0.462302840624029</v>
      </c>
      <c r="Y156" s="277"/>
      <c r="Z156" s="286">
        <v>19.35061</v>
      </c>
      <c r="AA156" s="258">
        <f t="shared" si="46"/>
        <v>0.605141507958845</v>
      </c>
      <c r="AB156" s="277"/>
      <c r="AC156" s="286">
        <v>19.35061</v>
      </c>
      <c r="AD156" s="258">
        <f t="shared" si="47"/>
        <v>0.684541177302957</v>
      </c>
      <c r="AE156" s="277"/>
      <c r="AF156" s="286">
        <v>19.35061</v>
      </c>
      <c r="AG156" s="258">
        <f t="shared" si="52"/>
        <v>0.738262943039182</v>
      </c>
      <c r="AH156" s="277"/>
      <c r="AI156" s="286">
        <v>19.35061</v>
      </c>
      <c r="AJ156" s="258">
        <f t="shared" si="48"/>
        <v>0.568734128850223</v>
      </c>
      <c r="AL156" s="286">
        <v>19.35061</v>
      </c>
      <c r="AM156" s="258">
        <f t="shared" si="53"/>
        <v>0.459710878293303</v>
      </c>
      <c r="AO156" s="286">
        <f t="shared" si="49"/>
        <v>232.20731</v>
      </c>
      <c r="AP156" s="258">
        <f t="shared" si="50"/>
        <v>0.485685711417229</v>
      </c>
    </row>
    <row r="157" spans="1:42">
      <c r="A157" s="269" t="s">
        <v>53</v>
      </c>
      <c r="B157" s="284">
        <v>6666020801</v>
      </c>
      <c r="C157" t="s">
        <v>89</v>
      </c>
      <c r="E157" s="285"/>
      <c r="F157" s="258"/>
      <c r="H157" s="286"/>
      <c r="I157" s="258"/>
      <c r="K157" s="286">
        <v>0.05885</v>
      </c>
      <c r="L157" s="258">
        <f t="shared" si="51"/>
        <v>0.00127004337786218</v>
      </c>
      <c r="N157" s="286">
        <v>0</v>
      </c>
      <c r="O157" s="258">
        <f t="shared" si="42"/>
        <v>0</v>
      </c>
      <c r="P157" s="277"/>
      <c r="Q157" s="286">
        <v>0.19672</v>
      </c>
      <c r="R157" s="258">
        <f t="shared" si="43"/>
        <v>0.0036630418590794</v>
      </c>
      <c r="S157" s="277"/>
      <c r="T157" s="286">
        <v>0</v>
      </c>
      <c r="U157" s="258">
        <f t="shared" si="44"/>
        <v>0</v>
      </c>
      <c r="V157" s="277"/>
      <c r="W157" s="286">
        <v>0.18114</v>
      </c>
      <c r="X157" s="258">
        <f t="shared" si="45"/>
        <v>0.00432759156174594</v>
      </c>
      <c r="Y157" s="277"/>
      <c r="Z157" s="286">
        <v>0.00049</v>
      </c>
      <c r="AA157" s="258">
        <f t="shared" si="46"/>
        <v>1.53235137755262e-5</v>
      </c>
      <c r="AB157" s="277"/>
      <c r="AC157" s="286">
        <v>0.26514</v>
      </c>
      <c r="AD157" s="258">
        <f t="shared" si="47"/>
        <v>0.00937951040045281</v>
      </c>
      <c r="AE157" s="277"/>
      <c r="AF157" s="286">
        <v>0.08864</v>
      </c>
      <c r="AG157" s="258">
        <f t="shared" si="52"/>
        <v>0.00338178627293884</v>
      </c>
      <c r="AH157" s="277"/>
      <c r="AI157" s="286">
        <v>0.09007</v>
      </c>
      <c r="AJ157" s="258">
        <f t="shared" si="48"/>
        <v>0.00264724900070538</v>
      </c>
      <c r="AL157" s="286">
        <v>0.28337</v>
      </c>
      <c r="AM157" s="258">
        <f t="shared" si="53"/>
        <v>0.00673199819447414</v>
      </c>
      <c r="AO157" s="286">
        <f t="shared" si="49"/>
        <v>1.16442</v>
      </c>
      <c r="AP157" s="258">
        <f t="shared" si="50"/>
        <v>0.00243550539424642</v>
      </c>
    </row>
    <row r="158" outlineLevel="3" spans="1:42">
      <c r="A158" s="269" t="s">
        <v>53</v>
      </c>
      <c r="B158" s="284">
        <v>6666020803</v>
      </c>
      <c r="C158" t="s">
        <v>91</v>
      </c>
      <c r="E158" s="285">
        <v>-0.00801</v>
      </c>
      <c r="F158" s="258">
        <f t="shared" si="40"/>
        <v>-0.000164913219822528</v>
      </c>
      <c r="H158" s="286"/>
      <c r="I158" s="258">
        <f t="shared" si="41"/>
        <v>0</v>
      </c>
      <c r="K158" s="286">
        <v>0</v>
      </c>
      <c r="L158" s="258">
        <f t="shared" si="51"/>
        <v>0</v>
      </c>
      <c r="N158" s="286">
        <v>0.28429</v>
      </c>
      <c r="O158" s="258">
        <f t="shared" si="42"/>
        <v>0.00575917184936086</v>
      </c>
      <c r="P158" s="277"/>
      <c r="Q158" s="286">
        <v>-0.01113</v>
      </c>
      <c r="R158" s="258">
        <f t="shared" si="43"/>
        <v>-0.000207247132429614</v>
      </c>
      <c r="S158" s="277"/>
      <c r="T158" s="286">
        <v>-0.03021</v>
      </c>
      <c r="U158" s="258">
        <f t="shared" si="44"/>
        <v>-0.00101840614886731</v>
      </c>
      <c r="V158" s="277"/>
      <c r="W158" s="286">
        <v>-0.00171</v>
      </c>
      <c r="X158" s="258">
        <f t="shared" si="45"/>
        <v>-4.08533817521561e-5</v>
      </c>
      <c r="Y158" s="277"/>
      <c r="Z158" s="286">
        <v>0.32598</v>
      </c>
      <c r="AA158" s="258">
        <f t="shared" si="46"/>
        <v>0.010194202082747</v>
      </c>
      <c r="AB158" s="277"/>
      <c r="AC158" s="286">
        <v>0.39966</v>
      </c>
      <c r="AD158" s="258">
        <f t="shared" si="47"/>
        <v>0.0141382481958398</v>
      </c>
      <c r="AE158" s="277"/>
      <c r="AF158" s="286">
        <v>0.32039</v>
      </c>
      <c r="AG158" s="258">
        <f t="shared" si="52"/>
        <v>0.0122234939529205</v>
      </c>
      <c r="AH158" s="277"/>
      <c r="AI158" s="286">
        <v>0.54098</v>
      </c>
      <c r="AJ158" s="258">
        <f t="shared" si="48"/>
        <v>0.015899952974371</v>
      </c>
      <c r="AL158" s="286">
        <v>1.19438</v>
      </c>
      <c r="AM158" s="258">
        <f t="shared" si="53"/>
        <v>0.0283747891573421</v>
      </c>
      <c r="AO158" s="286">
        <f t="shared" si="49"/>
        <v>3.01462</v>
      </c>
      <c r="AP158" s="258">
        <f t="shared" si="50"/>
        <v>0.00630539089984982</v>
      </c>
    </row>
    <row r="159" outlineLevel="3" spans="1:42">
      <c r="A159" s="269" t="s">
        <v>53</v>
      </c>
      <c r="B159" s="284">
        <v>6666021100</v>
      </c>
      <c r="C159" t="s">
        <v>92</v>
      </c>
      <c r="E159" s="285"/>
      <c r="F159" s="258"/>
      <c r="H159" s="286">
        <v>0.15704</v>
      </c>
      <c r="I159" s="258">
        <f t="shared" si="41"/>
        <v>0.00341146568765885</v>
      </c>
      <c r="K159" s="286">
        <v>0.58108</v>
      </c>
      <c r="L159" s="258">
        <f t="shared" si="51"/>
        <v>0.012540302565984</v>
      </c>
      <c r="N159" s="286">
        <v>0.30699</v>
      </c>
      <c r="O159" s="258">
        <f t="shared" si="42"/>
        <v>0.00621903044790633</v>
      </c>
      <c r="P159" s="277"/>
      <c r="Q159" s="286">
        <v>-0.4395</v>
      </c>
      <c r="R159" s="258">
        <f t="shared" si="43"/>
        <v>-0.00818374795173544</v>
      </c>
      <c r="S159" s="277"/>
      <c r="T159" s="286">
        <v>0.04527</v>
      </c>
      <c r="U159" s="258">
        <f t="shared" si="44"/>
        <v>0.00152609223300971</v>
      </c>
      <c r="V159" s="277"/>
      <c r="W159" s="286">
        <v>2.13647</v>
      </c>
      <c r="X159" s="258">
        <f t="shared" si="45"/>
        <v>0.0510421195976778</v>
      </c>
      <c r="Y159" s="277"/>
      <c r="Z159" s="286">
        <v>2.34191</v>
      </c>
      <c r="AA159" s="258">
        <f t="shared" si="46"/>
        <v>0.0732373268286581</v>
      </c>
      <c r="AB159" s="277"/>
      <c r="AC159" s="286">
        <v>0.82404</v>
      </c>
      <c r="AD159" s="258">
        <f t="shared" si="47"/>
        <v>0.0291509834441772</v>
      </c>
      <c r="AE159" s="277"/>
      <c r="AF159" s="286">
        <v>0.50453</v>
      </c>
      <c r="AG159" s="258">
        <f t="shared" si="52"/>
        <v>0.0192487886765099</v>
      </c>
      <c r="AH159" s="277"/>
      <c r="AI159" s="286">
        <v>-0.17559</v>
      </c>
      <c r="AJ159" s="258">
        <f t="shared" si="48"/>
        <v>-0.00516076886903362</v>
      </c>
      <c r="AL159" s="286">
        <v>7.34868</v>
      </c>
      <c r="AM159" s="258">
        <f t="shared" si="53"/>
        <v>0.174581997006628</v>
      </c>
      <c r="AO159" s="286">
        <f t="shared" si="49"/>
        <v>13.63092</v>
      </c>
      <c r="AP159" s="258">
        <f t="shared" si="50"/>
        <v>0.0285104852102689</v>
      </c>
    </row>
    <row r="160" outlineLevel="3" spans="1:42">
      <c r="A160" s="269" t="s">
        <v>53</v>
      </c>
      <c r="B160" s="284">
        <v>6666021102</v>
      </c>
      <c r="C160" t="s">
        <v>165</v>
      </c>
      <c r="E160" s="285">
        <v>0.40228</v>
      </c>
      <c r="F160" s="258">
        <f t="shared" si="40"/>
        <v>0.00828230837330918</v>
      </c>
      <c r="H160" s="286">
        <v>6.2971</v>
      </c>
      <c r="I160" s="258">
        <f t="shared" si="41"/>
        <v>0.136795342471705</v>
      </c>
      <c r="K160" s="286">
        <v>4.14051</v>
      </c>
      <c r="L160" s="258">
        <f t="shared" si="51"/>
        <v>0.0893564538058139</v>
      </c>
      <c r="N160" s="286">
        <v>3.68565</v>
      </c>
      <c r="O160" s="258">
        <f t="shared" si="42"/>
        <v>0.0746642221907096</v>
      </c>
      <c r="P160" s="277"/>
      <c r="Q160" s="286">
        <v>-2.80952</v>
      </c>
      <c r="R160" s="258">
        <f t="shared" si="43"/>
        <v>-0.0523149113660063</v>
      </c>
      <c r="S160" s="277"/>
      <c r="T160" s="286">
        <v>2.92547</v>
      </c>
      <c r="U160" s="258">
        <f t="shared" si="44"/>
        <v>0.0986202130528587</v>
      </c>
      <c r="V160" s="277"/>
      <c r="W160" s="286">
        <v>0.76645</v>
      </c>
      <c r="X160" s="258">
        <f t="shared" si="45"/>
        <v>0.018311154645579</v>
      </c>
      <c r="Y160" s="277"/>
      <c r="Z160" s="286">
        <v>1.56571</v>
      </c>
      <c r="AA160" s="258">
        <f t="shared" si="46"/>
        <v>0.0489636301091409</v>
      </c>
      <c r="AB160" s="277"/>
      <c r="AC160" s="286">
        <v>1.61217</v>
      </c>
      <c r="AD160" s="258">
        <f t="shared" si="47"/>
        <v>0.0570316258667044</v>
      </c>
      <c r="AE160" s="277"/>
      <c r="AF160" s="286">
        <v>1.3381</v>
      </c>
      <c r="AG160" s="258">
        <f t="shared" si="52"/>
        <v>0.051051085422151</v>
      </c>
      <c r="AH160" s="277"/>
      <c r="AI160" s="286">
        <v>1.6528</v>
      </c>
      <c r="AJ160" s="258">
        <f t="shared" si="48"/>
        <v>0.0485774747237244</v>
      </c>
      <c r="AL160" s="286">
        <v>7.90327</v>
      </c>
      <c r="AM160" s="258">
        <f t="shared" si="53"/>
        <v>0.187757346827263</v>
      </c>
      <c r="AO160" s="286">
        <f t="shared" si="49"/>
        <v>29.47999</v>
      </c>
      <c r="AP160" s="258">
        <f t="shared" si="50"/>
        <v>0.061660461575145</v>
      </c>
    </row>
    <row r="161" outlineLevel="3" spans="1:42">
      <c r="A161" s="269" t="s">
        <v>53</v>
      </c>
      <c r="B161" s="284">
        <v>6666021104</v>
      </c>
      <c r="C161" t="s">
        <v>93</v>
      </c>
      <c r="E161" s="285"/>
      <c r="F161" s="258"/>
      <c r="H161" s="286"/>
      <c r="I161" s="258"/>
      <c r="K161" s="286"/>
      <c r="L161" s="258"/>
      <c r="N161" s="286"/>
      <c r="O161" s="258"/>
      <c r="P161" s="277"/>
      <c r="Q161" s="286">
        <v>0.00347</v>
      </c>
      <c r="R161" s="258">
        <f t="shared" si="43"/>
        <v>6.46134366155221e-5</v>
      </c>
      <c r="S161" s="277"/>
      <c r="T161" s="286">
        <v>-3e-5</v>
      </c>
      <c r="U161" s="258">
        <f t="shared" si="44"/>
        <v>-1.01132686084142e-6</v>
      </c>
      <c r="V161" s="277"/>
      <c r="W161" s="286">
        <v>0</v>
      </c>
      <c r="X161" s="258">
        <f t="shared" si="45"/>
        <v>0</v>
      </c>
      <c r="Y161" s="277"/>
      <c r="Z161" s="286">
        <v>0</v>
      </c>
      <c r="AA161" s="258">
        <f t="shared" si="46"/>
        <v>0</v>
      </c>
      <c r="AB161" s="277"/>
      <c r="AC161" s="286">
        <v>0.0764</v>
      </c>
      <c r="AD161" s="258">
        <f t="shared" si="47"/>
        <v>0.0027027027027027</v>
      </c>
      <c r="AE161" s="277"/>
      <c r="AF161" s="286">
        <v>5e-5</v>
      </c>
      <c r="AG161" s="258">
        <f t="shared" si="52"/>
        <v>1.90759604746099e-6</v>
      </c>
      <c r="AH161" s="277"/>
      <c r="AI161" s="286">
        <v>0.04242</v>
      </c>
      <c r="AJ161" s="258">
        <f t="shared" si="48"/>
        <v>0.00124676698800846</v>
      </c>
      <c r="AL161" s="286">
        <v>0.23014</v>
      </c>
      <c r="AM161" s="258">
        <f t="shared" si="53"/>
        <v>0.00546741738531347</v>
      </c>
      <c r="AO161" s="286">
        <f t="shared" si="49"/>
        <v>0.35245</v>
      </c>
      <c r="AP161" s="258">
        <f t="shared" si="50"/>
        <v>0.000737185788806573</v>
      </c>
    </row>
    <row r="162" outlineLevel="3" spans="1:42">
      <c r="A162" s="269" t="s">
        <v>53</v>
      </c>
      <c r="B162" s="284">
        <v>6666021300</v>
      </c>
      <c r="C162" t="s">
        <v>167</v>
      </c>
      <c r="E162" s="285">
        <v>0.27981</v>
      </c>
      <c r="F162" s="258">
        <f t="shared" si="40"/>
        <v>0.0057608449486319</v>
      </c>
      <c r="H162" s="286"/>
      <c r="I162" s="258">
        <f t="shared" si="41"/>
        <v>0</v>
      </c>
      <c r="K162" s="286">
        <v>2.74495</v>
      </c>
      <c r="L162" s="258">
        <f t="shared" si="51"/>
        <v>0.0592388372143212</v>
      </c>
      <c r="N162" s="286">
        <v>0.50092</v>
      </c>
      <c r="O162" s="258">
        <f t="shared" si="42"/>
        <v>0.0101476814618236</v>
      </c>
      <c r="P162" s="277"/>
      <c r="Q162" s="286">
        <v>0.18138</v>
      </c>
      <c r="R162" s="258">
        <f t="shared" si="43"/>
        <v>0.0033774020557128</v>
      </c>
      <c r="S162" s="277"/>
      <c r="T162" s="286">
        <v>0.7758</v>
      </c>
      <c r="U162" s="258">
        <f t="shared" si="44"/>
        <v>0.0261529126213592</v>
      </c>
      <c r="V162" s="277"/>
      <c r="W162" s="286">
        <v>0.02758</v>
      </c>
      <c r="X162" s="258">
        <f t="shared" si="45"/>
        <v>0.000658910098669279</v>
      </c>
      <c r="Y162" s="277"/>
      <c r="Z162" s="286">
        <v>0</v>
      </c>
      <c r="AA162" s="258">
        <f t="shared" si="46"/>
        <v>0</v>
      </c>
      <c r="AB162" s="277"/>
      <c r="AC162" s="286">
        <v>0.10026</v>
      </c>
      <c r="AD162" s="258">
        <f t="shared" si="47"/>
        <v>0.00354676666194991</v>
      </c>
      <c r="AE162" s="277"/>
      <c r="AF162" s="286">
        <v>-0.0924</v>
      </c>
      <c r="AG162" s="258">
        <f t="shared" si="52"/>
        <v>-0.00352523749570791</v>
      </c>
      <c r="AH162" s="277"/>
      <c r="AI162" s="286">
        <v>0.55848</v>
      </c>
      <c r="AJ162" s="258">
        <f t="shared" si="48"/>
        <v>0.0164142957912062</v>
      </c>
      <c r="AL162" s="286">
        <v>0.16782</v>
      </c>
      <c r="AM162" s="258">
        <f t="shared" si="53"/>
        <v>0.0039868861806001</v>
      </c>
      <c r="AO162" s="286">
        <f t="shared" si="49"/>
        <v>5.2446</v>
      </c>
      <c r="AP162" s="258">
        <f t="shared" si="50"/>
        <v>0.0109696257284011</v>
      </c>
    </row>
    <row r="163" outlineLevel="3" spans="1:42">
      <c r="A163" s="269" t="s">
        <v>53</v>
      </c>
      <c r="B163" s="284">
        <v>6666021902</v>
      </c>
      <c r="C163" t="s">
        <v>95</v>
      </c>
      <c r="E163" s="285"/>
      <c r="F163" s="258"/>
      <c r="H163" s="286"/>
      <c r="I163" s="258"/>
      <c r="K163" s="286">
        <v>0.0342</v>
      </c>
      <c r="L163" s="258">
        <f t="shared" si="51"/>
        <v>0.000738071087899519</v>
      </c>
      <c r="N163" s="286">
        <v>0</v>
      </c>
      <c r="O163" s="258">
        <f t="shared" si="42"/>
        <v>0</v>
      </c>
      <c r="P163" s="277"/>
      <c r="Q163" s="286">
        <v>-0.00452</v>
      </c>
      <c r="R163" s="258">
        <f t="shared" si="43"/>
        <v>-8.41650528824669e-5</v>
      </c>
      <c r="S163" s="277"/>
      <c r="T163" s="286">
        <v>-0.01227</v>
      </c>
      <c r="U163" s="258">
        <f t="shared" si="44"/>
        <v>-0.000413632686084142</v>
      </c>
      <c r="V163" s="277"/>
      <c r="W163" s="286">
        <v>0.3347</v>
      </c>
      <c r="X163" s="258">
        <f t="shared" si="45"/>
        <v>0.00799627302482261</v>
      </c>
      <c r="Y163" s="277"/>
      <c r="Z163" s="286">
        <v>0.55586</v>
      </c>
      <c r="AA163" s="258">
        <f t="shared" si="46"/>
        <v>0.0173831191168652</v>
      </c>
      <c r="AB163" s="277"/>
      <c r="AC163" s="286">
        <v>0.00152</v>
      </c>
      <c r="AD163" s="258">
        <f t="shared" si="47"/>
        <v>5.37710485354464e-5</v>
      </c>
      <c r="AE163" s="277"/>
      <c r="AF163" s="286">
        <v>-0.13065</v>
      </c>
      <c r="AG163" s="258">
        <f t="shared" si="52"/>
        <v>-0.00498454847201557</v>
      </c>
      <c r="AH163" s="277"/>
      <c r="AI163" s="286">
        <v>0.05664</v>
      </c>
      <c r="AJ163" s="258">
        <f t="shared" si="48"/>
        <v>0.00166470726545968</v>
      </c>
      <c r="AL163" s="286">
        <v>-0.08111</v>
      </c>
      <c r="AM163" s="258">
        <f t="shared" si="53"/>
        <v>-0.00192692371653244</v>
      </c>
      <c r="AO163" s="286">
        <f t="shared" si="49"/>
        <v>0.75437</v>
      </c>
      <c r="AP163" s="258">
        <f t="shared" si="50"/>
        <v>0.00157784322173929</v>
      </c>
    </row>
    <row r="164" outlineLevel="3" spans="1:42">
      <c r="A164" s="269" t="s">
        <v>53</v>
      </c>
      <c r="B164" s="284">
        <v>6666022100</v>
      </c>
      <c r="C164" t="s">
        <v>96</v>
      </c>
      <c r="E164" s="285"/>
      <c r="F164" s="258"/>
      <c r="H164" s="286">
        <v>7e-5</v>
      </c>
      <c r="I164" s="258">
        <f t="shared" si="41"/>
        <v>1.52064823061717e-6</v>
      </c>
      <c r="K164" s="286">
        <v>0.16512</v>
      </c>
      <c r="L164" s="258">
        <f t="shared" si="51"/>
        <v>0.00356345900684119</v>
      </c>
      <c r="N164" s="286">
        <v>0</v>
      </c>
      <c r="O164" s="258">
        <f t="shared" si="42"/>
        <v>0</v>
      </c>
      <c r="P164" s="277"/>
      <c r="Q164" s="286">
        <v>-0.01183</v>
      </c>
      <c r="R164" s="258">
        <f t="shared" si="43"/>
        <v>-0.000220281543274244</v>
      </c>
      <c r="S164" s="277"/>
      <c r="T164" s="286">
        <v>-0.11507</v>
      </c>
      <c r="U164" s="258">
        <f t="shared" si="44"/>
        <v>-0.00387911272923409</v>
      </c>
      <c r="V164" s="277"/>
      <c r="W164" s="286">
        <v>0.45654</v>
      </c>
      <c r="X164" s="258">
        <f t="shared" si="45"/>
        <v>0.01090713620183</v>
      </c>
      <c r="Y164" s="277"/>
      <c r="Z164" s="286">
        <v>0.44848</v>
      </c>
      <c r="AA164" s="258">
        <f t="shared" si="46"/>
        <v>0.0140250805266285</v>
      </c>
      <c r="AB164" s="277"/>
      <c r="AC164" s="286">
        <v>0.0039</v>
      </c>
      <c r="AD164" s="258">
        <f t="shared" si="47"/>
        <v>0.000137965190321211</v>
      </c>
      <c r="AE164" s="277"/>
      <c r="AF164" s="286">
        <v>-0.25506</v>
      </c>
      <c r="AG164" s="258">
        <f t="shared" si="52"/>
        <v>-0.009731028957308</v>
      </c>
      <c r="AH164" s="277"/>
      <c r="AI164" s="286">
        <v>0.15798</v>
      </c>
      <c r="AJ164" s="258">
        <f t="shared" si="48"/>
        <v>0.00464319304020691</v>
      </c>
      <c r="AL164" s="286">
        <v>-0.19976</v>
      </c>
      <c r="AM164" s="258">
        <f t="shared" si="53"/>
        <v>-0.00474568217993491</v>
      </c>
      <c r="AO164" s="286">
        <f t="shared" si="49"/>
        <v>0.65037</v>
      </c>
      <c r="AP164" s="258">
        <f t="shared" si="50"/>
        <v>0.00136031641783552</v>
      </c>
    </row>
    <row r="165" spans="1:42">
      <c r="A165" s="269" t="s">
        <v>32</v>
      </c>
      <c r="B165" s="284">
        <v>6666022300</v>
      </c>
      <c r="C165" t="s">
        <v>97</v>
      </c>
      <c r="E165" s="285">
        <v>5.03429</v>
      </c>
      <c r="F165" s="258">
        <f t="shared" si="40"/>
        <v>0.103648061600544</v>
      </c>
      <c r="H165" s="286">
        <v>4.99367</v>
      </c>
      <c r="I165" s="258">
        <f t="shared" si="41"/>
        <v>0.108480220711229</v>
      </c>
      <c r="K165" s="286">
        <v>5.01129</v>
      </c>
      <c r="L165" s="258">
        <f t="shared" si="51"/>
        <v>0.108148779592982</v>
      </c>
      <c r="N165" s="286">
        <v>5.00712</v>
      </c>
      <c r="O165" s="258">
        <f t="shared" si="42"/>
        <v>0.10143467779511</v>
      </c>
      <c r="P165" s="277"/>
      <c r="Q165" s="286">
        <v>4.9626</v>
      </c>
      <c r="R165" s="258">
        <f t="shared" si="43"/>
        <v>0.0924065246536571</v>
      </c>
      <c r="S165" s="277"/>
      <c r="T165" s="286">
        <v>4.06732</v>
      </c>
      <c r="U165" s="258">
        <f t="shared" si="44"/>
        <v>0.137112998921251</v>
      </c>
      <c r="V165" s="277"/>
      <c r="W165" s="286">
        <v>5.10556</v>
      </c>
      <c r="X165" s="258">
        <f t="shared" si="45"/>
        <v>0.121976252478677</v>
      </c>
      <c r="Y165" s="277"/>
      <c r="Z165" s="286">
        <v>4.14821</v>
      </c>
      <c r="AA165" s="258">
        <f t="shared" si="46"/>
        <v>0.129724802201582</v>
      </c>
      <c r="AB165" s="277"/>
      <c r="AC165" s="286">
        <v>4.01824</v>
      </c>
      <c r="AD165" s="258">
        <f t="shared" si="47"/>
        <v>0.142148011886232</v>
      </c>
      <c r="AE165" s="277"/>
      <c r="AF165" s="286">
        <v>4.6376</v>
      </c>
      <c r="AG165" s="258">
        <f t="shared" si="52"/>
        <v>0.176933348594102</v>
      </c>
      <c r="AH165" s="277"/>
      <c r="AI165" s="286">
        <v>4.34861</v>
      </c>
      <c r="AJ165" s="258">
        <f t="shared" si="48"/>
        <v>0.127810075241006</v>
      </c>
      <c r="AL165" s="286">
        <v>3.65034</v>
      </c>
      <c r="AM165" s="258">
        <f t="shared" si="53"/>
        <v>0.0867208324424489</v>
      </c>
      <c r="AO165" s="286">
        <f t="shared" si="49"/>
        <v>54.98485</v>
      </c>
      <c r="AP165" s="258">
        <f t="shared" si="50"/>
        <v>0.115006525804117</v>
      </c>
    </row>
    <row r="166" spans="1:42">
      <c r="A166" s="269" t="s">
        <v>53</v>
      </c>
      <c r="B166" s="284">
        <v>6666029900</v>
      </c>
      <c r="C166" t="s">
        <v>99</v>
      </c>
      <c r="E166" s="285">
        <v>0.08102</v>
      </c>
      <c r="F166" s="258">
        <f t="shared" si="40"/>
        <v>0.00166807354182537</v>
      </c>
      <c r="H166" s="286">
        <v>0.08192</v>
      </c>
      <c r="I166" s="258">
        <f t="shared" si="41"/>
        <v>0.00177959290074512</v>
      </c>
      <c r="K166" s="286">
        <v>0.11201</v>
      </c>
      <c r="L166" s="258">
        <f t="shared" si="51"/>
        <v>0.00241729071800073</v>
      </c>
      <c r="N166" s="286">
        <v>0.03831</v>
      </c>
      <c r="O166" s="258">
        <f t="shared" si="42"/>
        <v>0.000776087352875636</v>
      </c>
      <c r="P166" s="277"/>
      <c r="Q166" s="286">
        <v>0.32491</v>
      </c>
      <c r="R166" s="258">
        <f t="shared" si="43"/>
        <v>0.00605001489646954</v>
      </c>
      <c r="S166" s="277"/>
      <c r="T166" s="286">
        <v>0.08213</v>
      </c>
      <c r="U166" s="258">
        <f t="shared" si="44"/>
        <v>0.0027686758360302</v>
      </c>
      <c r="V166" s="277"/>
      <c r="W166" s="286">
        <v>0.01182</v>
      </c>
      <c r="X166" s="258">
        <f t="shared" si="45"/>
        <v>0.000282390042286834</v>
      </c>
      <c r="Y166" s="277"/>
      <c r="Z166" s="286">
        <v>0.0566</v>
      </c>
      <c r="AA166" s="258">
        <f t="shared" si="46"/>
        <v>0.00177002220345874</v>
      </c>
      <c r="AB166" s="277"/>
      <c r="AC166" s="286">
        <v>0.05638</v>
      </c>
      <c r="AD166" s="258">
        <f t="shared" si="47"/>
        <v>0.00199448139238715</v>
      </c>
      <c r="AE166" s="277"/>
      <c r="AF166" s="286">
        <v>0.03959</v>
      </c>
      <c r="AG166" s="258">
        <f t="shared" si="52"/>
        <v>0.00151043455037961</v>
      </c>
      <c r="AH166" s="277"/>
      <c r="AI166" s="286">
        <v>0.01846</v>
      </c>
      <c r="AJ166" s="258">
        <f t="shared" si="48"/>
        <v>0.000542558194215848</v>
      </c>
      <c r="AL166" s="286">
        <v>0.00713</v>
      </c>
      <c r="AM166" s="258">
        <f t="shared" si="53"/>
        <v>0.000169386833915378</v>
      </c>
      <c r="AO166" s="286">
        <f t="shared" si="49"/>
        <v>0.91028</v>
      </c>
      <c r="AP166" s="258">
        <f t="shared" si="50"/>
        <v>0.00190394518324542</v>
      </c>
    </row>
    <row r="167" spans="1:42">
      <c r="A167" s="269" t="s">
        <v>53</v>
      </c>
      <c r="B167" s="284">
        <v>6666029997</v>
      </c>
      <c r="C167" t="s">
        <v>101</v>
      </c>
      <c r="E167" s="285"/>
      <c r="F167" s="258"/>
      <c r="H167" s="286">
        <v>3.82707</v>
      </c>
      <c r="I167" s="258">
        <f t="shared" si="41"/>
        <v>0.0831375317706862</v>
      </c>
      <c r="K167" s="286">
        <v>0</v>
      </c>
      <c r="L167" s="258">
        <f t="shared" si="51"/>
        <v>0</v>
      </c>
      <c r="N167" s="286">
        <v>0</v>
      </c>
      <c r="O167" s="258">
        <f t="shared" si="42"/>
        <v>0</v>
      </c>
      <c r="P167" s="277"/>
      <c r="Q167" s="286">
        <v>0</v>
      </c>
      <c r="R167" s="258">
        <f t="shared" si="43"/>
        <v>0</v>
      </c>
      <c r="S167" s="277"/>
      <c r="T167" s="286">
        <v>0</v>
      </c>
      <c r="U167" s="258">
        <f t="shared" si="44"/>
        <v>0</v>
      </c>
      <c r="V167" s="277"/>
      <c r="W167" s="286">
        <v>0</v>
      </c>
      <c r="X167" s="258">
        <f t="shared" si="45"/>
        <v>0</v>
      </c>
      <c r="Y167" s="277"/>
      <c r="Z167" s="286">
        <v>0</v>
      </c>
      <c r="AA167" s="258">
        <f t="shared" si="46"/>
        <v>0</v>
      </c>
      <c r="AB167" s="277"/>
      <c r="AC167" s="286">
        <v>0</v>
      </c>
      <c r="AD167" s="258">
        <f t="shared" si="47"/>
        <v>0</v>
      </c>
      <c r="AE167" s="277"/>
      <c r="AF167" s="286">
        <v>0</v>
      </c>
      <c r="AG167" s="258">
        <f t="shared" si="52"/>
        <v>0</v>
      </c>
      <c r="AH167" s="277"/>
      <c r="AI167" s="286">
        <v>0</v>
      </c>
      <c r="AJ167" s="258">
        <f t="shared" si="48"/>
        <v>0</v>
      </c>
      <c r="AL167" s="286">
        <v>0</v>
      </c>
      <c r="AM167" s="258">
        <f t="shared" si="53"/>
        <v>0</v>
      </c>
      <c r="AO167" s="286">
        <f t="shared" si="49"/>
        <v>3.82707</v>
      </c>
      <c r="AP167" s="258">
        <f t="shared" si="50"/>
        <v>0.00800471447515384</v>
      </c>
    </row>
    <row r="168" spans="1:42">
      <c r="A168" s="269" t="s">
        <v>53</v>
      </c>
      <c r="B168" s="284">
        <v>6666031100</v>
      </c>
      <c r="C168" s="3" t="s">
        <v>168</v>
      </c>
      <c r="E168" s="285"/>
      <c r="F168" s="258"/>
      <c r="H168" s="286"/>
      <c r="I168" s="258"/>
      <c r="K168" s="286"/>
      <c r="L168" s="258"/>
      <c r="N168" s="286"/>
      <c r="O168" s="258"/>
      <c r="P168" s="277"/>
      <c r="Q168" s="286"/>
      <c r="R168" s="258"/>
      <c r="S168" s="277"/>
      <c r="T168" s="286"/>
      <c r="U168" s="258"/>
      <c r="V168" s="277"/>
      <c r="W168" s="286"/>
      <c r="X168" s="258"/>
      <c r="Y168" s="277"/>
      <c r="Z168" s="286"/>
      <c r="AA168" s="258"/>
      <c r="AB168" s="277"/>
      <c r="AC168" s="286">
        <f>3.49/1000</f>
        <v>0.00349</v>
      </c>
      <c r="AD168" s="258">
        <f t="shared" si="47"/>
        <v>0.000123461157492571</v>
      </c>
      <c r="AE168" s="277"/>
      <c r="AF168" s="286">
        <v>0</v>
      </c>
      <c r="AG168" s="258">
        <f t="shared" si="52"/>
        <v>0</v>
      </c>
      <c r="AH168" s="277"/>
      <c r="AI168" s="286">
        <v>-4e-5</v>
      </c>
      <c r="AJ168" s="258">
        <f t="shared" si="48"/>
        <v>-1.17564072419469e-6</v>
      </c>
      <c r="AL168" s="286">
        <v>9e-5</v>
      </c>
      <c r="AM168" s="258">
        <f t="shared" si="53"/>
        <v>2.1381227282446e-6</v>
      </c>
      <c r="AO168" s="286">
        <f t="shared" si="49"/>
        <v>0.00354</v>
      </c>
      <c r="AP168" s="258">
        <f t="shared" ref="AP168" si="57">AO168/$AO$1*1000</f>
        <v>7.40427774826292e-6</v>
      </c>
    </row>
    <row r="169" spans="1:42">
      <c r="A169" s="269" t="s">
        <v>53</v>
      </c>
      <c r="B169" s="284">
        <v>6666050107</v>
      </c>
      <c r="C169" t="s">
        <v>104</v>
      </c>
      <c r="E169" s="285"/>
      <c r="F169" s="258"/>
      <c r="H169" s="286">
        <v>0.006</v>
      </c>
      <c r="I169" s="258">
        <f t="shared" si="41"/>
        <v>0.000130341276910043</v>
      </c>
      <c r="K169" s="286">
        <v>0.00652</v>
      </c>
      <c r="L169" s="258">
        <f t="shared" si="51"/>
        <v>0.000140708289272072</v>
      </c>
      <c r="N169" s="286">
        <v>0.00506</v>
      </c>
      <c r="O169" s="258">
        <f t="shared" si="42"/>
        <v>0.000102505925490752</v>
      </c>
      <c r="P169" s="277"/>
      <c r="Q169" s="286">
        <v>0</v>
      </c>
      <c r="R169" s="258">
        <f t="shared" si="43"/>
        <v>0</v>
      </c>
      <c r="S169" s="277"/>
      <c r="T169" s="286">
        <v>0</v>
      </c>
      <c r="U169" s="258">
        <f t="shared" si="44"/>
        <v>0</v>
      </c>
      <c r="V169" s="277"/>
      <c r="W169" s="286">
        <v>0</v>
      </c>
      <c r="X169" s="258">
        <f t="shared" si="45"/>
        <v>0</v>
      </c>
      <c r="Y169" s="277"/>
      <c r="Z169" s="286">
        <v>0</v>
      </c>
      <c r="AA169" s="258">
        <f t="shared" si="46"/>
        <v>0</v>
      </c>
      <c r="AB169" s="277"/>
      <c r="AC169" s="286">
        <v>-0.01758</v>
      </c>
      <c r="AD169" s="258">
        <f t="shared" si="47"/>
        <v>-0.000621904627140229</v>
      </c>
      <c r="AE169" s="277"/>
      <c r="AF169" s="286">
        <v>0</v>
      </c>
      <c r="AG169" s="258">
        <f t="shared" si="52"/>
        <v>0</v>
      </c>
      <c r="AH169" s="277"/>
      <c r="AI169" s="286">
        <v>0</v>
      </c>
      <c r="AJ169" s="258">
        <f t="shared" si="48"/>
        <v>0</v>
      </c>
      <c r="AL169" s="286">
        <v>0</v>
      </c>
      <c r="AM169" s="258">
        <f t="shared" si="53"/>
        <v>0</v>
      </c>
      <c r="AO169" s="286">
        <f t="shared" si="49"/>
        <v>0</v>
      </c>
      <c r="AP169" s="258">
        <f t="shared" si="50"/>
        <v>0</v>
      </c>
    </row>
    <row r="170" spans="1:42">
      <c r="A170" s="269" t="s">
        <v>53</v>
      </c>
      <c r="B170" s="284">
        <v>6666070400</v>
      </c>
      <c r="C170" s="3" t="s">
        <v>108</v>
      </c>
      <c r="E170" s="285"/>
      <c r="F170" s="258"/>
      <c r="H170" s="286"/>
      <c r="I170" s="258"/>
      <c r="K170" s="286"/>
      <c r="L170" s="258"/>
      <c r="N170" s="286"/>
      <c r="O170" s="258"/>
      <c r="P170" s="277"/>
      <c r="Q170" s="286"/>
      <c r="R170" s="258"/>
      <c r="S170" s="277"/>
      <c r="T170" s="286"/>
      <c r="U170" s="258"/>
      <c r="V170" s="277"/>
      <c r="W170" s="286"/>
      <c r="X170" s="258"/>
      <c r="Y170" s="277"/>
      <c r="Z170" s="286"/>
      <c r="AA170" s="258"/>
      <c r="AB170" s="277"/>
      <c r="AC170" s="286"/>
      <c r="AD170" s="258"/>
      <c r="AE170" s="277"/>
      <c r="AF170" s="286"/>
      <c r="AG170" s="258"/>
      <c r="AH170" s="277"/>
      <c r="AI170" s="286"/>
      <c r="AJ170" s="258"/>
      <c r="AL170" s="286">
        <v>0.15551</v>
      </c>
      <c r="AM170" s="258">
        <f t="shared" si="53"/>
        <v>0.00369443850521464</v>
      </c>
      <c r="AN170" s="268"/>
      <c r="AO170" s="286">
        <f t="shared" ref="AO170" si="58">H170+E170+K170+N170+Q170+T170+W170+Z170+AC170+AF170+AI170+AL170</f>
        <v>0.15551</v>
      </c>
      <c r="AP170" s="258">
        <f t="shared" ref="AP170" si="59">AO170/$AO$1*1000</f>
        <v>0.000325265319952646</v>
      </c>
    </row>
    <row r="171" spans="1:42">
      <c r="A171" s="269" t="s">
        <v>53</v>
      </c>
      <c r="B171" s="284">
        <v>6666079999</v>
      </c>
      <c r="C171" t="s">
        <v>169</v>
      </c>
      <c r="E171" s="285">
        <v>100.051</v>
      </c>
      <c r="F171" s="258">
        <f t="shared" si="40"/>
        <v>2.05989170492681</v>
      </c>
      <c r="H171" s="286">
        <v>100.68714</v>
      </c>
      <c r="I171" s="258">
        <f t="shared" si="41"/>
        <v>2.18728173267004</v>
      </c>
      <c r="K171" s="286">
        <v>100.0265</v>
      </c>
      <c r="L171" s="258">
        <f t="shared" si="51"/>
        <v>2.15867449338542</v>
      </c>
      <c r="N171" s="286">
        <v>100.04283</v>
      </c>
      <c r="O171" s="258">
        <f t="shared" si="42"/>
        <v>2.02667645807589</v>
      </c>
      <c r="P171" s="277"/>
      <c r="Q171" s="286">
        <v>110.01524</v>
      </c>
      <c r="R171" s="258">
        <f t="shared" si="43"/>
        <v>2.04854833904365</v>
      </c>
      <c r="S171" s="277"/>
      <c r="T171" s="286">
        <v>100.04283</v>
      </c>
      <c r="U171" s="258">
        <f t="shared" si="44"/>
        <v>3.37253337378641</v>
      </c>
      <c r="V171" s="277"/>
      <c r="W171" s="286">
        <v>100.04283</v>
      </c>
      <c r="X171" s="258">
        <f t="shared" si="45"/>
        <v>2.390109897986</v>
      </c>
      <c r="Y171" s="277"/>
      <c r="Z171" s="286">
        <v>100.04283</v>
      </c>
      <c r="AA171" s="258">
        <f t="shared" si="46"/>
        <v>3.12858710948494</v>
      </c>
      <c r="AB171" s="277"/>
      <c r="AC171" s="286">
        <v>110.01524</v>
      </c>
      <c r="AD171" s="258">
        <f t="shared" si="47"/>
        <v>3.89186500636762</v>
      </c>
      <c r="AE171" s="277"/>
      <c r="AF171" s="286">
        <v>110.01524</v>
      </c>
      <c r="AG171" s="258">
        <f t="shared" si="52"/>
        <v>4.19729273968944</v>
      </c>
      <c r="AH171" s="277"/>
      <c r="AI171" s="286">
        <v>100.04283</v>
      </c>
      <c r="AJ171" s="258">
        <f t="shared" si="48"/>
        <v>2.94036062779215</v>
      </c>
      <c r="AL171" s="286">
        <v>-118.98588</v>
      </c>
      <c r="AM171" s="258">
        <f t="shared" si="53"/>
        <v>-2.82673793742427</v>
      </c>
      <c r="AO171" s="286">
        <f t="shared" si="49"/>
        <v>1012.03863</v>
      </c>
      <c r="AP171" s="258">
        <f t="shared" si="50"/>
        <v>2.1167839289524</v>
      </c>
    </row>
    <row r="172" spans="1:42">
      <c r="A172" s="269" t="s">
        <v>53</v>
      </c>
      <c r="B172" s="284">
        <v>6666090100</v>
      </c>
      <c r="C172" t="s">
        <v>170</v>
      </c>
      <c r="E172" s="285"/>
      <c r="F172" s="258"/>
      <c r="H172" s="286"/>
      <c r="I172" s="258"/>
      <c r="K172" s="286"/>
      <c r="L172" s="258"/>
      <c r="N172" s="286"/>
      <c r="O172" s="258"/>
      <c r="P172" s="277"/>
      <c r="Q172" s="286"/>
      <c r="R172" s="258"/>
      <c r="S172" s="277"/>
      <c r="T172" s="286"/>
      <c r="U172" s="258"/>
      <c r="V172" s="277"/>
      <c r="W172" s="286"/>
      <c r="X172" s="258"/>
      <c r="Y172" s="277"/>
      <c r="Z172" s="286"/>
      <c r="AA172" s="258"/>
      <c r="AB172" s="277"/>
      <c r="AC172" s="286">
        <f>4392.02/1000</f>
        <v>4.39202</v>
      </c>
      <c r="AD172" s="258">
        <f t="shared" si="47"/>
        <v>0.155370737229376</v>
      </c>
      <c r="AE172" s="277"/>
      <c r="AF172" s="286">
        <v>0</v>
      </c>
      <c r="AG172" s="258">
        <f t="shared" si="52"/>
        <v>0</v>
      </c>
      <c r="AH172" s="277"/>
      <c r="AI172" s="286">
        <v>0</v>
      </c>
      <c r="AJ172" s="258">
        <f t="shared" si="48"/>
        <v>0</v>
      </c>
      <c r="AL172" s="286">
        <v>0</v>
      </c>
      <c r="AM172" s="258">
        <f t="shared" si="53"/>
        <v>0</v>
      </c>
      <c r="AO172" s="286">
        <f t="shared" si="49"/>
        <v>4.39202</v>
      </c>
      <c r="AP172" s="258">
        <f t="shared" ref="AP172" si="60">AO172/$AO$1*1000</f>
        <v>0.00918636608924456</v>
      </c>
    </row>
    <row r="173" spans="1:42">
      <c r="A173" s="269" t="s">
        <v>53</v>
      </c>
      <c r="B173" s="284">
        <v>6666093800</v>
      </c>
      <c r="C173" t="s">
        <v>171</v>
      </c>
      <c r="E173" s="285">
        <v>0.06298</v>
      </c>
      <c r="F173" s="258">
        <f t="shared" si="40"/>
        <v>0.00129665849992794</v>
      </c>
      <c r="H173" s="286">
        <v>0.07808</v>
      </c>
      <c r="I173" s="258">
        <f t="shared" si="41"/>
        <v>0.00169617448352269</v>
      </c>
      <c r="K173" s="286">
        <v>0.06441</v>
      </c>
      <c r="L173" s="258">
        <f t="shared" si="51"/>
        <v>0.00139003388221076</v>
      </c>
      <c r="N173" s="286">
        <v>0.0747</v>
      </c>
      <c r="O173" s="258">
        <f t="shared" si="42"/>
        <v>0.0015132791767113</v>
      </c>
      <c r="P173" s="277"/>
      <c r="Q173" s="286">
        <v>0.03629</v>
      </c>
      <c r="R173" s="258">
        <f t="shared" si="43"/>
        <v>0.000675741099359452</v>
      </c>
      <c r="S173" s="277"/>
      <c r="T173" s="286">
        <v>0.02553</v>
      </c>
      <c r="U173" s="258">
        <f t="shared" si="44"/>
        <v>0.000860639158576052</v>
      </c>
      <c r="V173" s="277"/>
      <c r="W173" s="286">
        <v>0.02294</v>
      </c>
      <c r="X173" s="258">
        <f t="shared" si="45"/>
        <v>0.000548056478008457</v>
      </c>
      <c r="Y173" s="277"/>
      <c r="Z173" s="286">
        <v>0.02416</v>
      </c>
      <c r="AA173" s="258">
        <f t="shared" si="46"/>
        <v>0.000755543046564718</v>
      </c>
      <c r="AB173" s="277"/>
      <c r="AC173" s="286">
        <v>0.03216</v>
      </c>
      <c r="AD173" s="258">
        <f t="shared" si="47"/>
        <v>0.0011376821848026</v>
      </c>
      <c r="AE173" s="277"/>
      <c r="AF173" s="286">
        <v>0.02611</v>
      </c>
      <c r="AG173" s="258">
        <f t="shared" si="52"/>
        <v>0.000996146655984129</v>
      </c>
      <c r="AH173" s="277"/>
      <c r="AI173" s="286">
        <v>0.02781</v>
      </c>
      <c r="AJ173" s="258">
        <f t="shared" si="48"/>
        <v>0.000817364213496355</v>
      </c>
      <c r="AL173" s="286">
        <v>0</v>
      </c>
      <c r="AM173" s="258">
        <f t="shared" si="53"/>
        <v>0</v>
      </c>
      <c r="AO173" s="286">
        <f t="shared" si="49"/>
        <v>0.47517</v>
      </c>
      <c r="AP173" s="258">
        <f t="shared" si="50"/>
        <v>0.000993867417413021</v>
      </c>
    </row>
    <row r="174" spans="1:42">
      <c r="A174" s="269" t="s">
        <v>53</v>
      </c>
      <c r="B174" s="284">
        <v>5401050201</v>
      </c>
      <c r="C174" s="121" t="s">
        <v>172</v>
      </c>
      <c r="E174" s="285"/>
      <c r="F174" s="258"/>
      <c r="H174" s="286"/>
      <c r="I174" s="258"/>
      <c r="K174" s="286"/>
      <c r="L174" s="258"/>
      <c r="N174" s="286"/>
      <c r="O174" s="258"/>
      <c r="P174" s="277"/>
      <c r="Q174" s="286"/>
      <c r="R174" s="258"/>
      <c r="S174" s="277"/>
      <c r="T174" s="286"/>
      <c r="U174" s="258"/>
      <c r="V174" s="277"/>
      <c r="W174" s="286"/>
      <c r="X174" s="258"/>
      <c r="Y174" s="277"/>
      <c r="Z174" s="286"/>
      <c r="AA174" s="258"/>
      <c r="AB174" s="277"/>
      <c r="AC174" s="286">
        <f>17.58/1000</f>
        <v>0.01758</v>
      </c>
      <c r="AD174" s="258">
        <f t="shared" si="47"/>
        <v>0.000621904627140229</v>
      </c>
      <c r="AE174" s="277"/>
      <c r="AF174" s="286">
        <v>0</v>
      </c>
      <c r="AG174" s="258">
        <f t="shared" si="52"/>
        <v>0</v>
      </c>
      <c r="AH174" s="277"/>
      <c r="AI174" s="286">
        <v>0</v>
      </c>
      <c r="AJ174" s="258">
        <f t="shared" si="48"/>
        <v>0</v>
      </c>
      <c r="AL174" s="286">
        <v>0</v>
      </c>
      <c r="AM174" s="258">
        <f t="shared" si="53"/>
        <v>0</v>
      </c>
      <c r="AO174" s="286">
        <f t="shared" si="49"/>
        <v>0.01758</v>
      </c>
      <c r="AP174" s="258">
        <f t="shared" ref="AP174" si="61">AO174/$AO$1*1000</f>
        <v>3.67703962752718e-5</v>
      </c>
    </row>
    <row r="175" spans="1:42">
      <c r="A175" s="269"/>
      <c r="B175" s="149" t="s">
        <v>173</v>
      </c>
      <c r="C175" s="149" t="s">
        <v>60</v>
      </c>
      <c r="D175" s="150"/>
      <c r="E175" s="288">
        <f>SUM(E138:E174)</f>
        <v>161.88975</v>
      </c>
      <c r="F175" s="289">
        <f t="shared" si="40"/>
        <v>3.33305367400301</v>
      </c>
      <c r="H175" s="288">
        <f>SUM(H138:H173)</f>
        <v>223.02874</v>
      </c>
      <c r="I175" s="289">
        <f t="shared" si="41"/>
        <v>4.84497512653966</v>
      </c>
      <c r="K175" s="288">
        <f>SUM(K138:K173)</f>
        <v>204.58194</v>
      </c>
      <c r="L175" s="289">
        <f t="shared" si="51"/>
        <v>4.41508815849106</v>
      </c>
      <c r="N175" s="288">
        <f>SUM(N138:N173)</f>
        <v>145.63036</v>
      </c>
      <c r="O175" s="289">
        <f t="shared" si="42"/>
        <v>2.95019265441728</v>
      </c>
      <c r="P175" s="277"/>
      <c r="Q175" s="288">
        <f>SUM(Q138:Q173)</f>
        <v>179.89317</v>
      </c>
      <c r="R175" s="289">
        <f t="shared" si="43"/>
        <v>3.34971640846119</v>
      </c>
      <c r="S175" s="277"/>
      <c r="T175" s="288">
        <f>SUM(T138:T173)</f>
        <v>168.80635</v>
      </c>
      <c r="U175" s="289">
        <f t="shared" si="44"/>
        <v>5.69061320118662</v>
      </c>
      <c r="V175" s="277"/>
      <c r="W175" s="288">
        <f>SUM(W138:W173)</f>
        <v>174.93801</v>
      </c>
      <c r="X175" s="289">
        <f t="shared" si="45"/>
        <v>4.17942064648685</v>
      </c>
      <c r="Y175" s="277"/>
      <c r="Z175" s="288">
        <f>SUM(Z138:Z173)</f>
        <v>163.84993</v>
      </c>
      <c r="AA175" s="289">
        <f t="shared" si="46"/>
        <v>5.12399318259999</v>
      </c>
      <c r="AB175" s="277"/>
      <c r="AC175" s="288">
        <f>SUM(AC138:AC174)</f>
        <v>189.01917</v>
      </c>
      <c r="AD175" s="289">
        <f t="shared" si="47"/>
        <v>6.68668352907882</v>
      </c>
      <c r="AE175" s="277"/>
      <c r="AF175" s="288">
        <f>SUM(AF138:AF174)</f>
        <v>194.04662</v>
      </c>
      <c r="AG175" s="289">
        <f t="shared" si="52"/>
        <v>7.40325130670329</v>
      </c>
      <c r="AH175" s="277"/>
      <c r="AI175" s="288">
        <f>SUM(AI138:AI174)</f>
        <v>172.24994</v>
      </c>
      <c r="AJ175" s="289">
        <f t="shared" si="48"/>
        <v>5.06260110510228</v>
      </c>
      <c r="AL175" s="288">
        <f>SUM(AL138:AL174)</f>
        <v>-46.71404</v>
      </c>
      <c r="AM175" s="289">
        <f t="shared" si="53"/>
        <v>-1.10978167391253</v>
      </c>
      <c r="AO175" s="288">
        <f>SUM(AO138:AO174)</f>
        <v>1931.21994</v>
      </c>
      <c r="AP175" s="289">
        <f t="shared" si="50"/>
        <v>4.03934712676374</v>
      </c>
    </row>
    <row r="176" outlineLevel="1" spans="1:42">
      <c r="A176" s="269" t="s">
        <v>53</v>
      </c>
      <c r="B176" s="284">
        <v>5102040000</v>
      </c>
      <c r="C176" t="s">
        <v>113</v>
      </c>
      <c r="E176" s="285">
        <v>-0.02269</v>
      </c>
      <c r="F176" s="258">
        <f t="shared" si="40"/>
        <v>-0.000467151180745713</v>
      </c>
      <c r="H176" s="286">
        <v>0</v>
      </c>
      <c r="I176" s="258">
        <f t="shared" si="41"/>
        <v>0</v>
      </c>
      <c r="K176" s="286">
        <v>-0.18253</v>
      </c>
      <c r="L176" s="258">
        <f t="shared" si="51"/>
        <v>-0.00393918466883916</v>
      </c>
      <c r="N176" s="286"/>
      <c r="O176" s="258">
        <f t="shared" si="42"/>
        <v>0</v>
      </c>
      <c r="P176" s="277"/>
      <c r="Q176" s="286"/>
      <c r="R176" s="258">
        <f t="shared" si="43"/>
        <v>0</v>
      </c>
      <c r="S176" s="277"/>
      <c r="T176" s="286"/>
      <c r="U176" s="258">
        <f t="shared" si="44"/>
        <v>0</v>
      </c>
      <c r="V176" s="277"/>
      <c r="W176" s="286">
        <v>0</v>
      </c>
      <c r="X176" s="258">
        <f t="shared" si="45"/>
        <v>0</v>
      </c>
      <c r="Y176" s="277"/>
      <c r="Z176" s="286">
        <v>0</v>
      </c>
      <c r="AA176" s="258">
        <f t="shared" si="46"/>
        <v>0</v>
      </c>
      <c r="AB176" s="277"/>
      <c r="AC176" s="286">
        <v>0</v>
      </c>
      <c r="AD176" s="258">
        <f t="shared" si="47"/>
        <v>0</v>
      </c>
      <c r="AE176" s="277"/>
      <c r="AF176" s="286">
        <v>0</v>
      </c>
      <c r="AG176" s="258">
        <f t="shared" si="52"/>
        <v>0</v>
      </c>
      <c r="AH176" s="277"/>
      <c r="AI176" s="286">
        <v>0</v>
      </c>
      <c r="AJ176" s="258">
        <f t="shared" si="48"/>
        <v>0</v>
      </c>
      <c r="AL176" s="286">
        <v>-0.34068</v>
      </c>
      <c r="AM176" s="258">
        <f t="shared" si="53"/>
        <v>-0.0080935072339819</v>
      </c>
      <c r="AO176" s="286">
        <f t="shared" si="49"/>
        <v>-0.5459</v>
      </c>
      <c r="AP176" s="258">
        <f t="shared" si="50"/>
        <v>-0.00114180656010642</v>
      </c>
    </row>
    <row r="177" spans="1:42">
      <c r="A177" s="269"/>
      <c r="B177" s="149" t="s">
        <v>174</v>
      </c>
      <c r="C177" s="149" t="s">
        <v>112</v>
      </c>
      <c r="D177" s="150"/>
      <c r="E177" s="288">
        <v>-0.02269</v>
      </c>
      <c r="F177" s="289">
        <f t="shared" si="40"/>
        <v>-0.000467151180745713</v>
      </c>
      <c r="H177" s="288">
        <f>+H176</f>
        <v>0</v>
      </c>
      <c r="I177" s="289">
        <f t="shared" si="41"/>
        <v>0</v>
      </c>
      <c r="K177" s="288">
        <f>+K176</f>
        <v>-0.18253</v>
      </c>
      <c r="L177" s="289">
        <f t="shared" si="51"/>
        <v>-0.00393918466883916</v>
      </c>
      <c r="N177" s="288">
        <f>+N176</f>
        <v>0</v>
      </c>
      <c r="O177" s="289">
        <f t="shared" si="42"/>
        <v>0</v>
      </c>
      <c r="P177" s="277"/>
      <c r="Q177" s="288">
        <f>+Q176</f>
        <v>0</v>
      </c>
      <c r="R177" s="289">
        <f t="shared" si="43"/>
        <v>0</v>
      </c>
      <c r="S177" s="277"/>
      <c r="T177" s="288">
        <f>+T176</f>
        <v>0</v>
      </c>
      <c r="U177" s="289">
        <f t="shared" si="44"/>
        <v>0</v>
      </c>
      <c r="V177" s="277"/>
      <c r="W177" s="288">
        <f>+W176</f>
        <v>0</v>
      </c>
      <c r="X177" s="289">
        <f t="shared" si="45"/>
        <v>0</v>
      </c>
      <c r="Y177" s="277"/>
      <c r="Z177" s="288">
        <f>+Z176</f>
        <v>0</v>
      </c>
      <c r="AA177" s="289">
        <f t="shared" si="46"/>
        <v>0</v>
      </c>
      <c r="AB177" s="277"/>
      <c r="AC177" s="288">
        <f>+AC176</f>
        <v>0</v>
      </c>
      <c r="AD177" s="289">
        <f t="shared" si="47"/>
        <v>0</v>
      </c>
      <c r="AE177" s="277"/>
      <c r="AF177" s="288">
        <f>+AF176</f>
        <v>0</v>
      </c>
      <c r="AG177" s="289">
        <f t="shared" si="52"/>
        <v>0</v>
      </c>
      <c r="AH177" s="277"/>
      <c r="AI177" s="288">
        <f>+AI176</f>
        <v>0</v>
      </c>
      <c r="AJ177" s="289">
        <f t="shared" si="48"/>
        <v>0</v>
      </c>
      <c r="AL177" s="288">
        <f>+AL176</f>
        <v>-0.34068</v>
      </c>
      <c r="AM177" s="289">
        <f t="shared" si="53"/>
        <v>-0.0080935072339819</v>
      </c>
      <c r="AO177" s="288">
        <f>+AO176</f>
        <v>-0.5459</v>
      </c>
      <c r="AP177" s="289">
        <f t="shared" si="50"/>
        <v>-0.00114180656010642</v>
      </c>
    </row>
    <row r="178" outlineLevel="1" spans="1:42">
      <c r="A178" s="269" t="s">
        <v>53</v>
      </c>
      <c r="B178" s="284">
        <v>6666021600</v>
      </c>
      <c r="C178" t="s">
        <v>123</v>
      </c>
      <c r="E178" s="285">
        <v>0.36404</v>
      </c>
      <c r="F178" s="258">
        <f t="shared" si="40"/>
        <v>0.00749500730888802</v>
      </c>
      <c r="H178" s="286">
        <v>2.76487</v>
      </c>
      <c r="I178" s="258">
        <f t="shared" si="41"/>
        <v>0.0600627810483783</v>
      </c>
      <c r="K178" s="286">
        <v>2.23764</v>
      </c>
      <c r="L178" s="258">
        <f t="shared" si="51"/>
        <v>0.048290566933552</v>
      </c>
      <c r="N178" s="286">
        <v>2.04386</v>
      </c>
      <c r="O178" s="258">
        <f t="shared" si="42"/>
        <v>0.0414046958248081</v>
      </c>
      <c r="P178" s="277"/>
      <c r="Q178" s="286">
        <v>0.96012</v>
      </c>
      <c r="R178" s="258">
        <f t="shared" si="43"/>
        <v>0.0178779979144943</v>
      </c>
      <c r="S178" s="277"/>
      <c r="T178" s="286">
        <v>0.96225</v>
      </c>
      <c r="U178" s="258">
        <f t="shared" si="44"/>
        <v>0.0324383090614887</v>
      </c>
      <c r="V178" s="277"/>
      <c r="W178" s="286">
        <v>1.13158</v>
      </c>
      <c r="X178" s="258">
        <f t="shared" si="45"/>
        <v>0.0270344267386578</v>
      </c>
      <c r="Y178" s="277"/>
      <c r="Z178" s="286">
        <v>1.18693</v>
      </c>
      <c r="AA178" s="258">
        <f t="shared" si="46"/>
        <v>0.0371182412358883</v>
      </c>
      <c r="AB178" s="277"/>
      <c r="AC178" s="286">
        <v>1.13357</v>
      </c>
      <c r="AD178" s="258">
        <f t="shared" si="47"/>
        <v>0.040100820716004</v>
      </c>
      <c r="AE178" s="277"/>
      <c r="AF178" s="286">
        <v>1.0625</v>
      </c>
      <c r="AG178" s="258">
        <f t="shared" si="52"/>
        <v>0.040536416008546</v>
      </c>
      <c r="AH178" s="277"/>
      <c r="AI178" s="286">
        <v>0.77617</v>
      </c>
      <c r="AJ178" s="258">
        <f t="shared" si="48"/>
        <v>0.0228124265224547</v>
      </c>
      <c r="AL178" s="286">
        <v>1.79024</v>
      </c>
      <c r="AM178" s="258">
        <f t="shared" si="53"/>
        <v>0.0425305870334735</v>
      </c>
      <c r="AO178" s="286">
        <f t="shared" si="49"/>
        <v>16.41377</v>
      </c>
      <c r="AP178" s="258">
        <f t="shared" si="50"/>
        <v>0.0343311050779959</v>
      </c>
    </row>
    <row r="179" outlineLevel="1" spans="1:42">
      <c r="A179" s="269" t="s">
        <v>53</v>
      </c>
      <c r="B179" s="284">
        <v>6666021604</v>
      </c>
      <c r="C179" t="s">
        <v>126</v>
      </c>
      <c r="E179" s="285"/>
      <c r="F179" s="258"/>
      <c r="H179" s="286"/>
      <c r="I179" s="258"/>
      <c r="K179" s="286"/>
      <c r="L179" s="258"/>
      <c r="N179" s="286"/>
      <c r="O179" s="258"/>
      <c r="P179" s="277"/>
      <c r="Q179" s="286"/>
      <c r="R179" s="258"/>
      <c r="S179" s="277"/>
      <c r="T179" s="286"/>
      <c r="U179" s="258"/>
      <c r="V179" s="277"/>
      <c r="W179" s="286">
        <v>0.04615</v>
      </c>
      <c r="X179" s="258">
        <f t="shared" si="45"/>
        <v>0.00110256348997778</v>
      </c>
      <c r="Y179" s="277"/>
      <c r="Z179" s="286">
        <v>-0.00076</v>
      </c>
      <c r="AA179" s="258">
        <f t="shared" si="46"/>
        <v>-2.3767082590612e-5</v>
      </c>
      <c r="AB179" s="277"/>
      <c r="AC179" s="286">
        <v>-0.00089</v>
      </c>
      <c r="AD179" s="258">
        <f t="shared" si="47"/>
        <v>-3.14843639450969e-5</v>
      </c>
      <c r="AE179" s="277"/>
      <c r="AF179" s="286">
        <v>0.02026</v>
      </c>
      <c r="AG179" s="258">
        <f t="shared" si="52"/>
        <v>0.000772957918431193</v>
      </c>
      <c r="AH179" s="277"/>
      <c r="AI179" s="286">
        <v>0.02755</v>
      </c>
      <c r="AJ179" s="258">
        <f t="shared" si="48"/>
        <v>0.00080972254878909</v>
      </c>
      <c r="AL179" s="286">
        <v>0.03843</v>
      </c>
      <c r="AM179" s="258">
        <f t="shared" si="53"/>
        <v>0.000912978404960445</v>
      </c>
      <c r="AO179" s="286">
        <f t="shared" si="49"/>
        <v>0.13074</v>
      </c>
      <c r="AP179" s="258">
        <f t="shared" ref="AP179" si="62">AO179/$AO$1*1000</f>
        <v>0.000273456291753643</v>
      </c>
    </row>
    <row r="180" spans="1:42">
      <c r="A180" s="269"/>
      <c r="B180" s="149" t="s">
        <v>174</v>
      </c>
      <c r="C180" s="149" t="s">
        <v>124</v>
      </c>
      <c r="D180" s="150"/>
      <c r="E180" s="288">
        <v>0.36404</v>
      </c>
      <c r="F180" s="289">
        <f t="shared" si="40"/>
        <v>0.00749500730888802</v>
      </c>
      <c r="H180" s="288">
        <f>+H178</f>
        <v>2.76487</v>
      </c>
      <c r="I180" s="289">
        <f t="shared" si="41"/>
        <v>0.0600627810483783</v>
      </c>
      <c r="K180" s="288">
        <f>+K178</f>
        <v>2.23764</v>
      </c>
      <c r="L180" s="289">
        <f t="shared" si="51"/>
        <v>0.048290566933552</v>
      </c>
      <c r="N180" s="288">
        <f>+N178</f>
        <v>2.04386</v>
      </c>
      <c r="O180" s="289">
        <f t="shared" si="42"/>
        <v>0.0414046958248081</v>
      </c>
      <c r="P180" s="277"/>
      <c r="Q180" s="288">
        <f>+Q178</f>
        <v>0.96012</v>
      </c>
      <c r="R180" s="289">
        <f t="shared" si="43"/>
        <v>0.0178779979144943</v>
      </c>
      <c r="S180" s="277"/>
      <c r="T180" s="288">
        <f>+T178</f>
        <v>0.96225</v>
      </c>
      <c r="U180" s="289">
        <f t="shared" si="44"/>
        <v>0.0324383090614887</v>
      </c>
      <c r="V180" s="277"/>
      <c r="W180" s="288">
        <f>+SUM(W178:W179)</f>
        <v>1.17773</v>
      </c>
      <c r="X180" s="289">
        <f t="shared" si="45"/>
        <v>0.0281369902286356</v>
      </c>
      <c r="Y180" s="277"/>
      <c r="Z180" s="288">
        <f>+SUM(Z178:Z179)</f>
        <v>1.18617</v>
      </c>
      <c r="AA180" s="289">
        <f t="shared" si="46"/>
        <v>0.0370944741532977</v>
      </c>
      <c r="AB180" s="277"/>
      <c r="AC180" s="288">
        <f>+SUM(AC178:AC179)</f>
        <v>1.13268</v>
      </c>
      <c r="AD180" s="289">
        <f t="shared" si="47"/>
        <v>0.0400693363520589</v>
      </c>
      <c r="AE180" s="277"/>
      <c r="AF180" s="288">
        <f>+SUM(AF178:AF179)</f>
        <v>1.08276</v>
      </c>
      <c r="AG180" s="289">
        <f t="shared" si="52"/>
        <v>0.0413093739269772</v>
      </c>
      <c r="AH180" s="277"/>
      <c r="AI180" s="288">
        <f>+SUM(AI178:AI179)</f>
        <v>0.80372</v>
      </c>
      <c r="AJ180" s="289">
        <f t="shared" si="48"/>
        <v>0.0236221490712438</v>
      </c>
      <c r="AL180" s="288">
        <f>+SUM(AL178:AL179)</f>
        <v>1.82867</v>
      </c>
      <c r="AM180" s="289">
        <f t="shared" si="53"/>
        <v>0.0434435654384339</v>
      </c>
      <c r="AO180" s="288">
        <f>+SUM(AO178:AO179)</f>
        <v>16.54451</v>
      </c>
      <c r="AP180" s="289">
        <f t="shared" si="50"/>
        <v>0.0346045613697495</v>
      </c>
    </row>
    <row r="181" outlineLevel="2" spans="1:42">
      <c r="A181" s="269" t="s">
        <v>53</v>
      </c>
      <c r="B181" s="284">
        <v>6666010012</v>
      </c>
      <c r="C181" t="s">
        <v>132</v>
      </c>
      <c r="E181" s="285">
        <v>0.01927</v>
      </c>
      <c r="F181" s="258">
        <f t="shared" si="40"/>
        <v>0.000396738794754071</v>
      </c>
      <c r="H181" s="286">
        <v>0.02318</v>
      </c>
      <c r="I181" s="258">
        <f t="shared" si="41"/>
        <v>0.000503551799795799</v>
      </c>
      <c r="K181" s="286">
        <v>0.01948</v>
      </c>
      <c r="L181" s="258">
        <f t="shared" si="51"/>
        <v>0.000420398385739258</v>
      </c>
      <c r="N181" s="286">
        <v>0.01077</v>
      </c>
      <c r="O181" s="258">
        <f t="shared" si="42"/>
        <v>0.000218179608208577</v>
      </c>
      <c r="P181" s="277"/>
      <c r="Q181" s="286"/>
      <c r="R181" s="258">
        <f t="shared" si="43"/>
        <v>0</v>
      </c>
      <c r="S181" s="277"/>
      <c r="T181" s="286"/>
      <c r="U181" s="258">
        <f t="shared" si="44"/>
        <v>0</v>
      </c>
      <c r="V181" s="277"/>
      <c r="W181" s="286">
        <v>0</v>
      </c>
      <c r="X181" s="258">
        <f t="shared" si="45"/>
        <v>0</v>
      </c>
      <c r="Y181" s="277"/>
      <c r="Z181" s="286">
        <v>0</v>
      </c>
      <c r="AA181" s="258">
        <f t="shared" si="46"/>
        <v>0</v>
      </c>
      <c r="AB181" s="277"/>
      <c r="AC181" s="286">
        <v>0</v>
      </c>
      <c r="AD181" s="258">
        <f t="shared" si="47"/>
        <v>0</v>
      </c>
      <c r="AE181" s="277"/>
      <c r="AF181" s="286">
        <v>0.00291</v>
      </c>
      <c r="AG181" s="258">
        <f t="shared" si="52"/>
        <v>0.00011102208996223</v>
      </c>
      <c r="AH181" s="277"/>
      <c r="AI181" s="286">
        <v>0</v>
      </c>
      <c r="AJ181" s="258">
        <f t="shared" si="48"/>
        <v>0</v>
      </c>
      <c r="AL181" s="286">
        <v>0</v>
      </c>
      <c r="AM181" s="258">
        <f t="shared" si="53"/>
        <v>0</v>
      </c>
      <c r="AO181" s="286">
        <f t="shared" si="49"/>
        <v>0.07561</v>
      </c>
      <c r="AP181" s="258">
        <f t="shared" si="50"/>
        <v>0.000158146169645808</v>
      </c>
    </row>
    <row r="182" outlineLevel="2" spans="1:42">
      <c r="A182" s="269" t="s">
        <v>53</v>
      </c>
      <c r="B182" s="284">
        <v>6666010102</v>
      </c>
      <c r="C182" t="s">
        <v>176</v>
      </c>
      <c r="E182" s="285">
        <v>0.11033</v>
      </c>
      <c r="F182" s="258">
        <f t="shared" si="40"/>
        <v>0.00227152004282391</v>
      </c>
      <c r="H182" s="286">
        <v>0.12141</v>
      </c>
      <c r="I182" s="258">
        <f t="shared" si="41"/>
        <v>0.00263745573827472</v>
      </c>
      <c r="K182" s="286">
        <v>0.10595</v>
      </c>
      <c r="L182" s="258">
        <f t="shared" si="51"/>
        <v>0.00228650970067117</v>
      </c>
      <c r="N182" s="286">
        <v>0.07004</v>
      </c>
      <c r="O182" s="258">
        <f t="shared" si="42"/>
        <v>0.00141887648643721</v>
      </c>
      <c r="P182" s="277"/>
      <c r="Q182" s="286">
        <v>0.02547</v>
      </c>
      <c r="R182" s="258">
        <f t="shared" si="43"/>
        <v>0.000474266348875317</v>
      </c>
      <c r="S182" s="277"/>
      <c r="T182" s="286">
        <v>0.01678</v>
      </c>
      <c r="U182" s="258">
        <f t="shared" si="44"/>
        <v>0.00056566882416397</v>
      </c>
      <c r="V182" s="277"/>
      <c r="W182" s="286">
        <v>0</v>
      </c>
      <c r="X182" s="258">
        <f t="shared" si="45"/>
        <v>0</v>
      </c>
      <c r="Y182" s="277"/>
      <c r="Z182" s="286">
        <v>0</v>
      </c>
      <c r="AA182" s="258">
        <f t="shared" si="46"/>
        <v>0</v>
      </c>
      <c r="AB182" s="277"/>
      <c r="AC182" s="286">
        <v>0.02539</v>
      </c>
      <c r="AD182" s="258">
        <f t="shared" si="47"/>
        <v>0.000898188764680911</v>
      </c>
      <c r="AE182" s="277"/>
      <c r="AF182" s="286">
        <v>0.05821</v>
      </c>
      <c r="AG182" s="258">
        <f t="shared" si="52"/>
        <v>0.00222082331845408</v>
      </c>
      <c r="AH182" s="277"/>
      <c r="AI182" s="286">
        <v>0.04278</v>
      </c>
      <c r="AJ182" s="258">
        <f t="shared" si="48"/>
        <v>0.00125734775452622</v>
      </c>
      <c r="AL182" s="286">
        <v>0.03304</v>
      </c>
      <c r="AM182" s="258">
        <f t="shared" si="53"/>
        <v>0.000784928610457796</v>
      </c>
      <c r="AO182" s="286">
        <f t="shared" si="49"/>
        <v>0.6094</v>
      </c>
      <c r="AP182" s="258">
        <f t="shared" si="50"/>
        <v>0.00127462340672074</v>
      </c>
    </row>
    <row r="183" spans="1:42">
      <c r="A183" s="269"/>
      <c r="B183" s="149" t="s">
        <v>177</v>
      </c>
      <c r="C183" s="149" t="s">
        <v>128</v>
      </c>
      <c r="D183" s="150"/>
      <c r="E183" s="288">
        <v>0.1296</v>
      </c>
      <c r="F183" s="289">
        <f t="shared" si="40"/>
        <v>0.00266825883757798</v>
      </c>
      <c r="H183" s="288">
        <f>SUM(H181:H182)</f>
        <v>0.14459</v>
      </c>
      <c r="I183" s="289">
        <f t="shared" si="41"/>
        <v>0.00314100753807051</v>
      </c>
      <c r="K183" s="288">
        <f>SUM(K181:K182)</f>
        <v>0.12543</v>
      </c>
      <c r="L183" s="289">
        <f t="shared" si="51"/>
        <v>0.00270690808641043</v>
      </c>
      <c r="N183" s="288">
        <f>SUM(N181:N182)</f>
        <v>0.08081</v>
      </c>
      <c r="O183" s="289">
        <f t="shared" si="42"/>
        <v>0.00163705609464579</v>
      </c>
      <c r="P183" s="277"/>
      <c r="Q183" s="288">
        <f>SUM(Q181:Q182)</f>
        <v>0.02547</v>
      </c>
      <c r="R183" s="289">
        <f t="shared" si="43"/>
        <v>0.000474266348875317</v>
      </c>
      <c r="S183" s="277"/>
      <c r="T183" s="288">
        <f>SUM(T181:T182)</f>
        <v>0.01678</v>
      </c>
      <c r="U183" s="289">
        <f t="shared" si="44"/>
        <v>0.00056566882416397</v>
      </c>
      <c r="V183" s="277"/>
      <c r="W183" s="288">
        <f>SUM(W181:W182)</f>
        <v>0</v>
      </c>
      <c r="X183" s="289">
        <f t="shared" si="45"/>
        <v>0</v>
      </c>
      <c r="Y183" s="277"/>
      <c r="Z183" s="288">
        <f>SUM(Z181:Z182)</f>
        <v>0</v>
      </c>
      <c r="AA183" s="289">
        <f t="shared" si="46"/>
        <v>0</v>
      </c>
      <c r="AB183" s="277"/>
      <c r="AC183" s="288">
        <f>SUM(AC181:AC182)</f>
        <v>0.02539</v>
      </c>
      <c r="AD183" s="289">
        <f t="shared" si="47"/>
        <v>0.000898188764680911</v>
      </c>
      <c r="AE183" s="277"/>
      <c r="AF183" s="288">
        <f>SUM(AF181:AF182)</f>
        <v>0.06112</v>
      </c>
      <c r="AG183" s="289">
        <f t="shared" si="52"/>
        <v>0.00233184540841631</v>
      </c>
      <c r="AH183" s="277"/>
      <c r="AI183" s="288">
        <f>SUM(AI181:AI182)</f>
        <v>0.04278</v>
      </c>
      <c r="AJ183" s="289">
        <f t="shared" si="48"/>
        <v>0.00125734775452622</v>
      </c>
      <c r="AL183" s="288">
        <f>SUM(AL181:AL182)</f>
        <v>0.03304</v>
      </c>
      <c r="AM183" s="289">
        <f t="shared" si="53"/>
        <v>0.000784928610457796</v>
      </c>
      <c r="AO183" s="288">
        <f>+SUM(AO181:AO182)</f>
        <v>0.68501</v>
      </c>
      <c r="AP183" s="289">
        <f t="shared" si="50"/>
        <v>0.00143276957636655</v>
      </c>
    </row>
    <row r="184" outlineLevel="2" spans="1:42">
      <c r="A184" s="269" t="s">
        <v>53</v>
      </c>
      <c r="B184" s="284">
        <v>6666010196</v>
      </c>
      <c r="C184" t="s">
        <v>136</v>
      </c>
      <c r="E184" s="285">
        <v>1.32162</v>
      </c>
      <c r="F184" s="258">
        <f t="shared" si="40"/>
        <v>0.0272100636182084</v>
      </c>
      <c r="H184" s="286">
        <v>1.31285</v>
      </c>
      <c r="I184" s="258">
        <f t="shared" si="41"/>
        <v>0.0285197575652249</v>
      </c>
      <c r="K184" s="286">
        <v>1.45012</v>
      </c>
      <c r="L184" s="258">
        <f t="shared" si="51"/>
        <v>0.0312950773679781</v>
      </c>
      <c r="N184" s="286">
        <v>1.3219</v>
      </c>
      <c r="O184" s="258">
        <f t="shared" si="42"/>
        <v>0.026779166582258</v>
      </c>
      <c r="P184" s="277"/>
      <c r="Q184" s="286">
        <v>1.64424</v>
      </c>
      <c r="R184" s="258">
        <f t="shared" si="43"/>
        <v>0.0306167138388202</v>
      </c>
      <c r="S184" s="277"/>
      <c r="T184" s="286">
        <v>1.58609</v>
      </c>
      <c r="U184" s="258">
        <f t="shared" si="44"/>
        <v>0.0534685140237325</v>
      </c>
      <c r="V184" s="277"/>
      <c r="W184" s="286">
        <v>1.51594</v>
      </c>
      <c r="X184" s="258">
        <f t="shared" si="45"/>
        <v>0.0362171201949495</v>
      </c>
      <c r="Y184" s="277"/>
      <c r="Z184" s="286">
        <v>1.46061</v>
      </c>
      <c r="AA184" s="258">
        <f t="shared" si="46"/>
        <v>0.045676892766676</v>
      </c>
      <c r="AB184" s="277"/>
      <c r="AC184" s="286">
        <v>1.44322</v>
      </c>
      <c r="AD184" s="258">
        <f t="shared" si="47"/>
        <v>0.0510549030706099</v>
      </c>
      <c r="AE184" s="277"/>
      <c r="AF184" s="286">
        <v>1.45463</v>
      </c>
      <c r="AG184" s="258">
        <f t="shared" si="52"/>
        <v>0.0554969287703636</v>
      </c>
      <c r="AH184" s="277"/>
      <c r="AI184" s="286">
        <v>1.43345</v>
      </c>
      <c r="AJ184" s="258">
        <f t="shared" si="48"/>
        <v>0.0421305549024218</v>
      </c>
      <c r="AL184" s="286">
        <v>1.37786</v>
      </c>
      <c r="AM184" s="258">
        <f t="shared" si="53"/>
        <v>0.0327337086926567</v>
      </c>
      <c r="AO184" s="286">
        <f t="shared" si="49"/>
        <v>17.32253</v>
      </c>
      <c r="AP184" s="258">
        <f t="shared" si="50"/>
        <v>0.0362318710233381</v>
      </c>
    </row>
    <row r="185" outlineLevel="2" spans="1:42">
      <c r="A185" s="269" t="s">
        <v>53</v>
      </c>
      <c r="B185" s="284">
        <v>6666010101</v>
      </c>
      <c r="C185" t="s">
        <v>138</v>
      </c>
      <c r="E185" s="285">
        <v>8.99427</v>
      </c>
      <c r="F185" s="258">
        <f t="shared" si="40"/>
        <v>0.18517778098042</v>
      </c>
      <c r="H185" s="286">
        <v>15.95228</v>
      </c>
      <c r="I185" s="258">
        <f t="shared" si="41"/>
        <v>0.346540090804423</v>
      </c>
      <c r="K185" s="286">
        <v>9.65256</v>
      </c>
      <c r="L185" s="258">
        <f t="shared" si="51"/>
        <v>0.208312147959514</v>
      </c>
      <c r="N185" s="286">
        <v>11.96964</v>
      </c>
      <c r="O185" s="258">
        <f t="shared" si="42"/>
        <v>0.242482020946863</v>
      </c>
      <c r="P185" s="277"/>
      <c r="Q185" s="286">
        <v>12.51226</v>
      </c>
      <c r="R185" s="258">
        <f t="shared" si="43"/>
        <v>0.232985624906897</v>
      </c>
      <c r="S185" s="277"/>
      <c r="T185" s="286">
        <v>10.87839</v>
      </c>
      <c r="U185" s="258">
        <f t="shared" si="44"/>
        <v>0.366720266990291</v>
      </c>
      <c r="V185" s="277"/>
      <c r="W185" s="286">
        <v>10.38994</v>
      </c>
      <c r="X185" s="258">
        <f t="shared" si="45"/>
        <v>0.24822466970877</v>
      </c>
      <c r="Y185" s="277"/>
      <c r="Z185" s="286">
        <v>10.03906</v>
      </c>
      <c r="AA185" s="258">
        <f t="shared" si="46"/>
        <v>0.313946273884354</v>
      </c>
      <c r="AB185" s="277"/>
      <c r="AC185" s="286">
        <v>9.97985</v>
      </c>
      <c r="AD185" s="258">
        <f t="shared" si="47"/>
        <v>0.353044078109523</v>
      </c>
      <c r="AE185" s="277"/>
      <c r="AF185" s="286">
        <v>10.47415</v>
      </c>
      <c r="AG185" s="258">
        <f t="shared" si="52"/>
        <v>0.39960894281027</v>
      </c>
      <c r="AH185" s="277"/>
      <c r="AI185" s="286">
        <v>9.87908</v>
      </c>
      <c r="AJ185" s="258">
        <f t="shared" si="48"/>
        <v>0.290356219139431</v>
      </c>
      <c r="AL185" s="286">
        <v>10.18553</v>
      </c>
      <c r="AM185" s="258">
        <f t="shared" si="53"/>
        <v>0.241976813246858</v>
      </c>
      <c r="AO185" s="286">
        <f t="shared" si="49"/>
        <v>130.90701</v>
      </c>
      <c r="AP185" s="258">
        <f t="shared" si="50"/>
        <v>0.273805610518258</v>
      </c>
    </row>
    <row r="186" outlineLevel="2" spans="1:42">
      <c r="A186" s="269" t="s">
        <v>53</v>
      </c>
      <c r="B186" s="284">
        <v>6666010199</v>
      </c>
      <c r="C186" t="s">
        <v>139</v>
      </c>
      <c r="E186" s="285">
        <v>1.25339</v>
      </c>
      <c r="F186" s="258">
        <f t="shared" si="40"/>
        <v>0.0258053159292582</v>
      </c>
      <c r="H186" s="286">
        <v>0.11014</v>
      </c>
      <c r="I186" s="258">
        <f t="shared" si="41"/>
        <v>0.00239263137314535</v>
      </c>
      <c r="K186" s="286">
        <v>0.52391</v>
      </c>
      <c r="L186" s="258">
        <f t="shared" si="51"/>
        <v>0.0113065153117379</v>
      </c>
      <c r="N186" s="286">
        <v>-0.28256</v>
      </c>
      <c r="O186" s="258">
        <f t="shared" si="42"/>
        <v>-0.0057241253570488</v>
      </c>
      <c r="P186" s="277"/>
      <c r="Q186" s="286">
        <v>1.51593</v>
      </c>
      <c r="R186" s="258">
        <f t="shared" si="43"/>
        <v>0.0282275063309996</v>
      </c>
      <c r="S186" s="277"/>
      <c r="T186" s="286">
        <v>0.66357</v>
      </c>
      <c r="U186" s="258">
        <f t="shared" si="44"/>
        <v>0.0223695388349515</v>
      </c>
      <c r="V186" s="277"/>
      <c r="W186" s="286">
        <v>0.20506</v>
      </c>
      <c r="X186" s="258">
        <f t="shared" si="45"/>
        <v>0.0048990610889457</v>
      </c>
      <c r="Y186" s="277"/>
      <c r="Z186" s="286">
        <v>0.15051</v>
      </c>
      <c r="AA186" s="258">
        <f t="shared" si="46"/>
        <v>0.00470682052725396</v>
      </c>
      <c r="AB186" s="277"/>
      <c r="AC186" s="286">
        <v>0.09555</v>
      </c>
      <c r="AD186" s="258">
        <f t="shared" si="47"/>
        <v>0.00338014716286968</v>
      </c>
      <c r="AE186" s="277"/>
      <c r="AF186" s="286">
        <v>0.10721</v>
      </c>
      <c r="AG186" s="258">
        <f t="shared" si="52"/>
        <v>0.00409026744496585</v>
      </c>
      <c r="AH186" s="277"/>
      <c r="AI186" s="286">
        <v>1.48094</v>
      </c>
      <c r="AJ186" s="258">
        <f t="shared" si="48"/>
        <v>0.043526334352222</v>
      </c>
      <c r="AL186" s="286">
        <v>-0.56444</v>
      </c>
      <c r="AM186" s="258">
        <f t="shared" si="53"/>
        <v>-0.013409355474782</v>
      </c>
      <c r="AO186" s="286">
        <f t="shared" si="49"/>
        <v>5.25921</v>
      </c>
      <c r="AP186" s="258">
        <f t="shared" si="50"/>
        <v>0.0110001840611418</v>
      </c>
    </row>
    <row r="187" outlineLevel="2" spans="1:42">
      <c r="A187" s="269" t="s">
        <v>53</v>
      </c>
      <c r="B187" s="284">
        <v>6666010207</v>
      </c>
      <c r="C187" t="s">
        <v>141</v>
      </c>
      <c r="E187" s="285">
        <v>0.16783</v>
      </c>
      <c r="F187" s="258">
        <f t="shared" si="40"/>
        <v>0.00345535401782957</v>
      </c>
      <c r="H187" s="286">
        <v>0.16511</v>
      </c>
      <c r="I187" s="258">
        <f t="shared" si="41"/>
        <v>0.00358677470510286</v>
      </c>
      <c r="K187" s="286">
        <v>0.16841</v>
      </c>
      <c r="L187" s="258">
        <f t="shared" si="51"/>
        <v>0.00363446058225608</v>
      </c>
      <c r="N187" s="286">
        <v>0.15402</v>
      </c>
      <c r="O187" s="258">
        <f t="shared" si="42"/>
        <v>0.00312015072017503</v>
      </c>
      <c r="P187" s="277"/>
      <c r="Q187" s="286">
        <v>0.16028</v>
      </c>
      <c r="R187" s="258">
        <f t="shared" si="43"/>
        <v>0.00298450767168181</v>
      </c>
      <c r="S187" s="277"/>
      <c r="T187" s="286">
        <v>0.15618</v>
      </c>
      <c r="U187" s="258">
        <f t="shared" si="44"/>
        <v>0.00526496763754045</v>
      </c>
      <c r="V187" s="277"/>
      <c r="W187" s="286">
        <v>0.14713</v>
      </c>
      <c r="X187" s="258">
        <f t="shared" si="45"/>
        <v>0.00351506319134195</v>
      </c>
      <c r="Y187" s="277"/>
      <c r="Z187" s="286">
        <v>0.14152</v>
      </c>
      <c r="AA187" s="258">
        <f t="shared" si="46"/>
        <v>0.0044256809581887</v>
      </c>
      <c r="AB187" s="277"/>
      <c r="AC187" s="286">
        <v>0.14009</v>
      </c>
      <c r="AD187" s="258">
        <f t="shared" si="47"/>
        <v>0.00495578038771756</v>
      </c>
      <c r="AE187" s="277"/>
      <c r="AF187" s="286">
        <v>0.14133</v>
      </c>
      <c r="AG187" s="258">
        <f t="shared" si="52"/>
        <v>0.00539201098775323</v>
      </c>
      <c r="AH187" s="277"/>
      <c r="AI187" s="286">
        <v>0.13918</v>
      </c>
      <c r="AJ187" s="258">
        <f t="shared" si="48"/>
        <v>0.00409064189983541</v>
      </c>
      <c r="AL187" s="286">
        <v>0.13322</v>
      </c>
      <c r="AM187" s="258">
        <f t="shared" si="53"/>
        <v>0.00316489677618606</v>
      </c>
      <c r="AO187" s="286">
        <f t="shared" si="49"/>
        <v>1.8143</v>
      </c>
      <c r="AP187" s="258">
        <f t="shared" si="50"/>
        <v>0.00379479692617893</v>
      </c>
    </row>
    <row r="188" outlineLevel="2" spans="1:42">
      <c r="A188" s="269" t="s">
        <v>53</v>
      </c>
      <c r="B188" s="284">
        <v>6666010227</v>
      </c>
      <c r="C188" t="s">
        <v>178</v>
      </c>
      <c r="E188" s="285">
        <v>0.17133</v>
      </c>
      <c r="F188" s="258">
        <f t="shared" si="40"/>
        <v>0.00352741347717774</v>
      </c>
      <c r="H188" s="286">
        <v>0.14968</v>
      </c>
      <c r="I188" s="258">
        <f t="shared" si="41"/>
        <v>0.00325158038798253</v>
      </c>
      <c r="K188" s="286">
        <v>0.15501</v>
      </c>
      <c r="L188" s="258">
        <f t="shared" si="51"/>
        <v>0.00334527483436563</v>
      </c>
      <c r="N188" s="286">
        <v>0.1467</v>
      </c>
      <c r="O188" s="258">
        <f t="shared" si="42"/>
        <v>0.00297186151571015</v>
      </c>
      <c r="P188" s="277"/>
      <c r="Q188" s="286">
        <v>0.15111</v>
      </c>
      <c r="R188" s="258">
        <f t="shared" si="43"/>
        <v>0.00281375688961716</v>
      </c>
      <c r="S188" s="277"/>
      <c r="T188" s="286">
        <v>0.14893</v>
      </c>
      <c r="U188" s="258">
        <f t="shared" si="44"/>
        <v>0.00502056364617044</v>
      </c>
      <c r="V188" s="277"/>
      <c r="W188" s="286">
        <v>0.13103</v>
      </c>
      <c r="X188" s="258">
        <f t="shared" si="45"/>
        <v>0.00313042024034212</v>
      </c>
      <c r="Y188" s="277"/>
      <c r="Z188" s="286">
        <v>0.15395</v>
      </c>
      <c r="AA188" s="258">
        <f t="shared" si="46"/>
        <v>0.00481439784845357</v>
      </c>
      <c r="AB188" s="277"/>
      <c r="AC188" s="286">
        <v>0.15567</v>
      </c>
      <c r="AD188" s="258">
        <f t="shared" si="47"/>
        <v>0.00550693363520589</v>
      </c>
      <c r="AE188" s="277"/>
      <c r="AF188" s="286">
        <v>0.15888</v>
      </c>
      <c r="AG188" s="258">
        <f t="shared" si="52"/>
        <v>0.00606157720041204</v>
      </c>
      <c r="AH188" s="277"/>
      <c r="AI188" s="286">
        <v>0.16854</v>
      </c>
      <c r="AJ188" s="258">
        <f t="shared" si="48"/>
        <v>0.00495356219139431</v>
      </c>
      <c r="AL188" s="286">
        <v>0.16793</v>
      </c>
      <c r="AM188" s="258">
        <f t="shared" si="53"/>
        <v>0.0039894994417124</v>
      </c>
      <c r="AO188" s="286">
        <f t="shared" si="49"/>
        <v>1.85876</v>
      </c>
      <c r="AP188" s="258">
        <f t="shared" si="50"/>
        <v>0.00388778963484779</v>
      </c>
    </row>
    <row r="189" spans="1:42">
      <c r="A189" s="269"/>
      <c r="B189" s="149" t="s">
        <v>179</v>
      </c>
      <c r="C189" s="149" t="s">
        <v>137</v>
      </c>
      <c r="D189" s="150"/>
      <c r="E189" s="288">
        <v>11.90844</v>
      </c>
      <c r="F189" s="289">
        <f t="shared" si="40"/>
        <v>0.245175928022894</v>
      </c>
      <c r="H189" s="288">
        <f>SUM(H184:H188)</f>
        <v>17.69006</v>
      </c>
      <c r="I189" s="289">
        <f t="shared" si="41"/>
        <v>0.384290834835879</v>
      </c>
      <c r="K189" s="288">
        <f>SUM(K184:K188)</f>
        <v>11.95001</v>
      </c>
      <c r="L189" s="289">
        <f t="shared" si="51"/>
        <v>0.257893476055852</v>
      </c>
      <c r="N189" s="288">
        <f>SUM(N184:N188)</f>
        <v>13.3097</v>
      </c>
      <c r="O189" s="289">
        <f t="shared" si="42"/>
        <v>0.269629074407957</v>
      </c>
      <c r="P189" s="277"/>
      <c r="Q189" s="288">
        <f>SUM(Q184:Q188)</f>
        <v>15.98382</v>
      </c>
      <c r="R189" s="289">
        <f t="shared" si="43"/>
        <v>0.297628109638016</v>
      </c>
      <c r="S189" s="277"/>
      <c r="T189" s="288">
        <f>SUM(T184:T188)</f>
        <v>13.43316</v>
      </c>
      <c r="U189" s="289">
        <f t="shared" si="44"/>
        <v>0.452843851132686</v>
      </c>
      <c r="V189" s="277"/>
      <c r="W189" s="288">
        <f>SUM(W184:W188)</f>
        <v>12.3891</v>
      </c>
      <c r="X189" s="289">
        <f t="shared" si="45"/>
        <v>0.29598633442435</v>
      </c>
      <c r="Y189" s="277"/>
      <c r="Z189" s="288">
        <f>SUM(Z184:Z188)</f>
        <v>11.94565</v>
      </c>
      <c r="AA189" s="289">
        <f t="shared" si="46"/>
        <v>0.373570065984927</v>
      </c>
      <c r="AB189" s="277"/>
      <c r="AC189" s="288">
        <f>SUM(AC184:AC188)</f>
        <v>11.81438</v>
      </c>
      <c r="AD189" s="289">
        <f t="shared" si="47"/>
        <v>0.417941842365926</v>
      </c>
      <c r="AE189" s="277"/>
      <c r="AF189" s="288">
        <f>SUM(AF184:AF188)</f>
        <v>12.3362</v>
      </c>
      <c r="AG189" s="289">
        <f t="shared" si="52"/>
        <v>0.470649727213765</v>
      </c>
      <c r="AH189" s="277"/>
      <c r="AI189" s="288">
        <f>SUM(AI184:AI188)</f>
        <v>13.10119</v>
      </c>
      <c r="AJ189" s="289">
        <f t="shared" si="48"/>
        <v>0.385057312485305</v>
      </c>
      <c r="AL189" s="288">
        <f>SUM(AL184:AL188)</f>
        <v>11.3001</v>
      </c>
      <c r="AM189" s="289">
        <f t="shared" si="53"/>
        <v>0.268455562682631</v>
      </c>
      <c r="AO189" s="288">
        <f>SUM(AO184:AO188)</f>
        <v>157.16181</v>
      </c>
      <c r="AP189" s="289">
        <f t="shared" si="50"/>
        <v>0.328720252163764</v>
      </c>
    </row>
    <row r="190" outlineLevel="2" spans="1:42">
      <c r="A190" s="269" t="s">
        <v>53</v>
      </c>
      <c r="B190" s="284">
        <v>6666010314</v>
      </c>
      <c r="C190" t="s">
        <v>146</v>
      </c>
      <c r="E190" s="285">
        <v>0.09831</v>
      </c>
      <c r="F190" s="258">
        <f t="shared" si="40"/>
        <v>0.00202404727100533</v>
      </c>
      <c r="H190" s="286"/>
      <c r="I190" s="258">
        <f t="shared" si="41"/>
        <v>0</v>
      </c>
      <c r="K190" s="286"/>
      <c r="L190" s="258">
        <f t="shared" si="51"/>
        <v>0</v>
      </c>
      <c r="N190" s="286"/>
      <c r="O190" s="258">
        <f t="shared" si="42"/>
        <v>0</v>
      </c>
      <c r="P190" s="277"/>
      <c r="Q190" s="286"/>
      <c r="R190" s="258">
        <f t="shared" si="43"/>
        <v>0</v>
      </c>
      <c r="S190" s="277"/>
      <c r="T190" s="286">
        <v>0</v>
      </c>
      <c r="U190" s="258">
        <f t="shared" si="44"/>
        <v>0</v>
      </c>
      <c r="V190" s="277"/>
      <c r="W190" s="286">
        <v>0</v>
      </c>
      <c r="X190" s="258">
        <f t="shared" si="45"/>
        <v>0</v>
      </c>
      <c r="Y190" s="277"/>
      <c r="Z190" s="286">
        <v>0</v>
      </c>
      <c r="AA190" s="258">
        <f t="shared" si="46"/>
        <v>0</v>
      </c>
      <c r="AB190" s="277"/>
      <c r="AC190" s="286">
        <v>1.10659</v>
      </c>
      <c r="AD190" s="258">
        <f t="shared" si="47"/>
        <v>0.0391463846044998</v>
      </c>
      <c r="AE190" s="277"/>
      <c r="AF190" s="286">
        <v>-1e-5</v>
      </c>
      <c r="AG190" s="258">
        <f t="shared" si="52"/>
        <v>-3.81519209492198e-7</v>
      </c>
      <c r="AH190" s="277"/>
      <c r="AI190" s="286">
        <v>0.01883</v>
      </c>
      <c r="AJ190" s="258">
        <f t="shared" si="48"/>
        <v>0.000553432870914649</v>
      </c>
      <c r="AL190" s="286">
        <v>0</v>
      </c>
      <c r="AM190" s="258">
        <f t="shared" si="53"/>
        <v>0</v>
      </c>
      <c r="AO190" s="286">
        <f t="shared" si="49"/>
        <v>1.22372</v>
      </c>
      <c r="AP190" s="258">
        <f t="shared" si="50"/>
        <v>0.00255953750454924</v>
      </c>
    </row>
    <row r="191" outlineLevel="2" spans="1:42">
      <c r="A191" s="269" t="s">
        <v>53</v>
      </c>
      <c r="B191" s="284">
        <v>6666020401</v>
      </c>
      <c r="C191" t="s">
        <v>148</v>
      </c>
      <c r="E191" s="285">
        <v>0</v>
      </c>
      <c r="F191" s="258">
        <f t="shared" si="40"/>
        <v>0</v>
      </c>
      <c r="H191" s="286">
        <v>0</v>
      </c>
      <c r="I191" s="258">
        <f t="shared" si="41"/>
        <v>0</v>
      </c>
      <c r="K191" s="286">
        <v>7e-5</v>
      </c>
      <c r="L191" s="258">
        <f t="shared" si="51"/>
        <v>1.5106718173382e-6</v>
      </c>
      <c r="N191" s="286">
        <v>-1e-5</v>
      </c>
      <c r="O191" s="258">
        <f t="shared" si="42"/>
        <v>-2.02580880416506e-7</v>
      </c>
      <c r="P191" s="277"/>
      <c r="Q191" s="286">
        <v>0.09042</v>
      </c>
      <c r="R191" s="258">
        <f t="shared" si="43"/>
        <v>0.00168367346938776</v>
      </c>
      <c r="S191" s="277"/>
      <c r="T191" s="286">
        <v>0</v>
      </c>
      <c r="U191" s="258">
        <f t="shared" si="44"/>
        <v>0</v>
      </c>
      <c r="V191" s="277"/>
      <c r="W191" s="286">
        <v>-0.7041</v>
      </c>
      <c r="X191" s="258">
        <f t="shared" si="45"/>
        <v>-0.0168215591179492</v>
      </c>
      <c r="Y191" s="277"/>
      <c r="Z191" s="286">
        <v>0</v>
      </c>
      <c r="AA191" s="258">
        <f t="shared" si="46"/>
        <v>0</v>
      </c>
      <c r="AB191" s="277"/>
      <c r="AC191" s="286">
        <v>0</v>
      </c>
      <c r="AD191" s="258">
        <f t="shared" si="47"/>
        <v>0</v>
      </c>
      <c r="AE191" s="277"/>
      <c r="AF191" s="286">
        <v>0.08582</v>
      </c>
      <c r="AG191" s="258">
        <f t="shared" si="52"/>
        <v>0.00327419785586204</v>
      </c>
      <c r="AH191" s="277"/>
      <c r="AI191" s="286">
        <v>-0.17788</v>
      </c>
      <c r="AJ191" s="258">
        <f t="shared" si="48"/>
        <v>-0.00522807430049377</v>
      </c>
      <c r="AL191" s="286">
        <v>0.0874</v>
      </c>
      <c r="AM191" s="258">
        <f t="shared" si="53"/>
        <v>0.00207635473831754</v>
      </c>
      <c r="AO191" s="286">
        <f t="shared" si="49"/>
        <v>-0.61828</v>
      </c>
      <c r="AP191" s="258">
        <f t="shared" si="50"/>
        <v>-0.00129319684920791</v>
      </c>
    </row>
    <row r="192" outlineLevel="2" spans="1:42">
      <c r="A192" s="269" t="s">
        <v>53</v>
      </c>
      <c r="B192" s="284">
        <v>6666020502</v>
      </c>
      <c r="C192" t="s">
        <v>150</v>
      </c>
      <c r="E192" s="285">
        <v>0.27814</v>
      </c>
      <c r="F192" s="258">
        <f t="shared" si="40"/>
        <v>0.00572646229231434</v>
      </c>
      <c r="H192" s="286">
        <v>-0.59184</v>
      </c>
      <c r="I192" s="258">
        <f t="shared" si="41"/>
        <v>-0.0128568635544066</v>
      </c>
      <c r="K192" s="286">
        <v>-0.56353</v>
      </c>
      <c r="L192" s="258">
        <f t="shared" si="51"/>
        <v>-0.0121615555603513</v>
      </c>
      <c r="N192" s="286">
        <v>-0.0387</v>
      </c>
      <c r="O192" s="258">
        <f t="shared" si="42"/>
        <v>-0.000783988007211879</v>
      </c>
      <c r="P192" s="277"/>
      <c r="Q192" s="286">
        <v>-0.29135</v>
      </c>
      <c r="R192" s="258">
        <f t="shared" si="43"/>
        <v>-0.00542510799940414</v>
      </c>
      <c r="S192" s="277"/>
      <c r="T192" s="286">
        <v>0.62023</v>
      </c>
      <c r="U192" s="258">
        <f t="shared" si="44"/>
        <v>0.0209085086299892</v>
      </c>
      <c r="V192" s="277"/>
      <c r="W192" s="286">
        <v>-0.02865</v>
      </c>
      <c r="X192" s="258">
        <f t="shared" si="45"/>
        <v>-0.000684473325847528</v>
      </c>
      <c r="Y192" s="277"/>
      <c r="Z192" s="286">
        <v>-0.3768</v>
      </c>
      <c r="AA192" s="258">
        <f t="shared" si="46"/>
        <v>-0.0117834693686087</v>
      </c>
      <c r="AB192" s="277"/>
      <c r="AC192" s="286">
        <v>-0.24262</v>
      </c>
      <c r="AD192" s="258">
        <f t="shared" si="47"/>
        <v>-0.00858284986557238</v>
      </c>
      <c r="AE192" s="277"/>
      <c r="AF192" s="286">
        <v>0.07221</v>
      </c>
      <c r="AG192" s="258">
        <f t="shared" si="52"/>
        <v>0.00275495021174316</v>
      </c>
      <c r="AH192" s="277"/>
      <c r="AI192" s="286">
        <v>1.10141</v>
      </c>
      <c r="AJ192" s="258">
        <f t="shared" si="48"/>
        <v>0.0323715612508817</v>
      </c>
      <c r="AL192" s="286">
        <v>0.44499</v>
      </c>
      <c r="AM192" s="258">
        <f t="shared" si="53"/>
        <v>0.0105715914760174</v>
      </c>
      <c r="AO192" s="286">
        <f t="shared" si="49"/>
        <v>0.38349</v>
      </c>
      <c r="AP192" s="258">
        <f t="shared" si="50"/>
        <v>0.000802109173356314</v>
      </c>
    </row>
    <row r="193" outlineLevel="2" spans="1:42">
      <c r="A193" s="269" t="s">
        <v>53</v>
      </c>
      <c r="B193" s="284">
        <v>6666020503</v>
      </c>
      <c r="C193" t="s">
        <v>151</v>
      </c>
      <c r="E193" s="285"/>
      <c r="F193" s="258"/>
      <c r="H193" s="286">
        <v>0.00308</v>
      </c>
      <c r="I193" s="258">
        <f t="shared" si="41"/>
        <v>6.69085221471553e-5</v>
      </c>
      <c r="K193" s="286">
        <v>0.0004</v>
      </c>
      <c r="L193" s="258">
        <f t="shared" si="51"/>
        <v>8.63241038478969e-6</v>
      </c>
      <c r="N193" s="286">
        <v>0</v>
      </c>
      <c r="O193" s="258">
        <f t="shared" si="42"/>
        <v>0</v>
      </c>
      <c r="P193" s="277"/>
      <c r="Q193" s="286">
        <v>0.0034</v>
      </c>
      <c r="R193" s="258">
        <f t="shared" si="43"/>
        <v>6.33099955310591e-5</v>
      </c>
      <c r="S193" s="277"/>
      <c r="T193" s="286">
        <v>0</v>
      </c>
      <c r="U193" s="258">
        <f t="shared" si="44"/>
        <v>0</v>
      </c>
      <c r="V193" s="277"/>
      <c r="W193" s="286">
        <v>0</v>
      </c>
      <c r="X193" s="258">
        <f t="shared" si="45"/>
        <v>0</v>
      </c>
      <c r="Y193" s="277"/>
      <c r="Z193" s="286">
        <v>0.08202</v>
      </c>
      <c r="AA193" s="258">
        <f t="shared" si="46"/>
        <v>0.00256496857116052</v>
      </c>
      <c r="AB193" s="277"/>
      <c r="AC193" s="286">
        <v>0.03037</v>
      </c>
      <c r="AD193" s="258">
        <f t="shared" si="47"/>
        <v>0.00107435970001415</v>
      </c>
      <c r="AE193" s="277"/>
      <c r="AF193" s="286">
        <v>0</v>
      </c>
      <c r="AG193" s="258">
        <f t="shared" si="52"/>
        <v>0</v>
      </c>
      <c r="AH193" s="277"/>
      <c r="AI193" s="286">
        <v>0.05275</v>
      </c>
      <c r="AJ193" s="258">
        <f t="shared" si="48"/>
        <v>0.00155037620503174</v>
      </c>
      <c r="AL193" s="286">
        <v>0.01607</v>
      </c>
      <c r="AM193" s="258">
        <f t="shared" si="53"/>
        <v>0.000381773691587675</v>
      </c>
      <c r="AO193" s="286">
        <f t="shared" si="49"/>
        <v>0.18809</v>
      </c>
      <c r="AP193" s="258">
        <f t="shared" si="50"/>
        <v>0.000393409774483269</v>
      </c>
    </row>
    <row r="194" outlineLevel="2" spans="1:42">
      <c r="A194" s="269" t="s">
        <v>53</v>
      </c>
      <c r="B194" s="284">
        <v>6666021502</v>
      </c>
      <c r="C194" t="s">
        <v>153</v>
      </c>
      <c r="E194" s="285"/>
      <c r="F194" s="258"/>
      <c r="H194" s="286">
        <v>0.53509</v>
      </c>
      <c r="I194" s="258">
        <f t="shared" si="41"/>
        <v>0.0116240523102991</v>
      </c>
      <c r="K194" s="286">
        <v>0.97094</v>
      </c>
      <c r="L194" s="258">
        <f t="shared" si="51"/>
        <v>0.0209538813475193</v>
      </c>
      <c r="N194" s="286">
        <v>0.03872</v>
      </c>
      <c r="O194" s="258">
        <f t="shared" si="42"/>
        <v>0.000784393168972712</v>
      </c>
      <c r="P194" s="277"/>
      <c r="Q194" s="286">
        <v>-0.0006</v>
      </c>
      <c r="R194" s="258">
        <f t="shared" si="43"/>
        <v>-1.11723521525398e-5</v>
      </c>
      <c r="S194" s="277"/>
      <c r="T194" s="286">
        <v>-0.00412</v>
      </c>
      <c r="U194" s="258">
        <f t="shared" si="44"/>
        <v>-0.000138888888888889</v>
      </c>
      <c r="V194" s="277"/>
      <c r="W194" s="286">
        <v>0.30965</v>
      </c>
      <c r="X194" s="258">
        <f t="shared" si="45"/>
        <v>0.0073978068184533</v>
      </c>
      <c r="Y194" s="277"/>
      <c r="Z194" s="286">
        <v>0.09405</v>
      </c>
      <c r="AA194" s="258">
        <f t="shared" si="46"/>
        <v>0.00294117647058824</v>
      </c>
      <c r="AB194" s="277"/>
      <c r="AC194" s="286">
        <v>0.26028</v>
      </c>
      <c r="AD194" s="258">
        <f t="shared" si="47"/>
        <v>0.00920758454789868</v>
      </c>
      <c r="AE194" s="277"/>
      <c r="AF194" s="286">
        <v>-0.0117</v>
      </c>
      <c r="AG194" s="258">
        <f t="shared" si="52"/>
        <v>-0.000446377475105872</v>
      </c>
      <c r="AH194" s="277"/>
      <c r="AI194" s="286">
        <v>0</v>
      </c>
      <c r="AJ194" s="258">
        <f t="shared" si="48"/>
        <v>0</v>
      </c>
      <c r="AL194" s="286">
        <v>0.13019</v>
      </c>
      <c r="AM194" s="258">
        <f t="shared" si="53"/>
        <v>0.00309291331100183</v>
      </c>
      <c r="AO194" s="286">
        <f t="shared" si="49"/>
        <v>2.3225</v>
      </c>
      <c r="AP194" s="258">
        <f t="shared" si="50"/>
        <v>0.00485775001987024</v>
      </c>
    </row>
    <row r="195" outlineLevel="2" spans="1:42">
      <c r="A195" s="269" t="s">
        <v>53</v>
      </c>
      <c r="B195" s="284">
        <v>6666021505</v>
      </c>
      <c r="C195" t="s">
        <v>155</v>
      </c>
      <c r="E195" s="285"/>
      <c r="F195" s="258"/>
      <c r="H195" s="286"/>
      <c r="I195" s="258"/>
      <c r="K195" s="286"/>
      <c r="L195" s="258"/>
      <c r="N195" s="286"/>
      <c r="O195" s="258"/>
      <c r="P195" s="277"/>
      <c r="Q195" s="286">
        <v>0.02475</v>
      </c>
      <c r="R195" s="258">
        <f t="shared" si="43"/>
        <v>0.000460859526292269</v>
      </c>
      <c r="S195" s="277"/>
      <c r="T195" s="286">
        <v>0</v>
      </c>
      <c r="U195" s="258">
        <f t="shared" si="44"/>
        <v>0</v>
      </c>
      <c r="V195" s="277"/>
      <c r="W195" s="286">
        <v>0</v>
      </c>
      <c r="X195" s="258">
        <f t="shared" si="45"/>
        <v>0</v>
      </c>
      <c r="Y195" s="277"/>
      <c r="Z195" s="286">
        <v>0</v>
      </c>
      <c r="AA195" s="258">
        <f t="shared" si="46"/>
        <v>0</v>
      </c>
      <c r="AB195" s="277"/>
      <c r="AC195" s="286">
        <v>0</v>
      </c>
      <c r="AD195" s="258">
        <f t="shared" si="47"/>
        <v>0</v>
      </c>
      <c r="AE195" s="277"/>
      <c r="AF195" s="286">
        <v>0</v>
      </c>
      <c r="AG195" s="258">
        <f t="shared" si="52"/>
        <v>0</v>
      </c>
      <c r="AH195" s="277"/>
      <c r="AI195" s="286">
        <v>0</v>
      </c>
      <c r="AJ195" s="258">
        <f t="shared" si="48"/>
        <v>0</v>
      </c>
      <c r="AL195" s="286">
        <v>0.01382</v>
      </c>
      <c r="AM195" s="258">
        <f t="shared" si="53"/>
        <v>0.00032832062338156</v>
      </c>
      <c r="AO195" s="286">
        <f t="shared" ref="AO195:AO196" si="63">H195+E195+K195+N195+Q195+T195+W195+Z195+AC195+AF195+AI195+AL195</f>
        <v>0.03857</v>
      </c>
      <c r="AP195" s="258">
        <f t="shared" si="50"/>
        <v>8.06731617939268e-5</v>
      </c>
    </row>
    <row r="196" outlineLevel="2" spans="1:42">
      <c r="A196" s="269" t="s">
        <v>53</v>
      </c>
      <c r="B196" s="284">
        <v>6666091600</v>
      </c>
      <c r="C196" t="s">
        <v>158</v>
      </c>
      <c r="E196" s="285"/>
      <c r="F196" s="258"/>
      <c r="H196" s="286">
        <v>0.00074</v>
      </c>
      <c r="I196" s="258">
        <f t="shared" si="41"/>
        <v>1.60754241522386e-5</v>
      </c>
      <c r="K196" s="286">
        <v>0.00138</v>
      </c>
      <c r="L196" s="258">
        <f t="shared" si="51"/>
        <v>2.97818158275244e-5</v>
      </c>
      <c r="N196" s="286">
        <v>0.01399</v>
      </c>
      <c r="O196" s="258">
        <f>N196/$N$1*1000</f>
        <v>0.000283410651702692</v>
      </c>
      <c r="P196" s="277"/>
      <c r="Q196" s="286"/>
      <c r="R196" s="258">
        <f t="shared" si="43"/>
        <v>0</v>
      </c>
      <c r="S196" s="277"/>
      <c r="T196" s="286">
        <v>0.00078</v>
      </c>
      <c r="U196" s="258">
        <f t="shared" si="44"/>
        <v>2.6294498381877e-5</v>
      </c>
      <c r="V196" s="277"/>
      <c r="W196" s="286">
        <v>0</v>
      </c>
      <c r="X196" s="258">
        <f t="shared" si="45"/>
        <v>0</v>
      </c>
      <c r="Y196" s="277"/>
      <c r="Z196" s="286">
        <v>0.00192</v>
      </c>
      <c r="AA196" s="258">
        <f t="shared" si="46"/>
        <v>6.00431560183882e-5</v>
      </c>
      <c r="AB196" s="277"/>
      <c r="AC196" s="286">
        <v>0</v>
      </c>
      <c r="AD196" s="258">
        <f t="shared" si="47"/>
        <v>0</v>
      </c>
      <c r="AE196" s="277"/>
      <c r="AF196" s="286">
        <v>0.00202</v>
      </c>
      <c r="AG196" s="258">
        <f t="shared" si="52"/>
        <v>7.7066880317424e-5</v>
      </c>
      <c r="AH196" s="277"/>
      <c r="AI196" s="286">
        <v>0.00174</v>
      </c>
      <c r="AJ196" s="258">
        <f>AI196/$AI$1*1000</f>
        <v>5.11403715024688e-5</v>
      </c>
      <c r="AL196" s="286">
        <v>0.00266</v>
      </c>
      <c r="AM196" s="258">
        <f t="shared" ref="AM196:AM198" si="64">AL196/$AL$1*1000</f>
        <v>6.31934050792293e-5</v>
      </c>
      <c r="AO196" s="286">
        <f t="shared" si="63"/>
        <v>0.02523</v>
      </c>
      <c r="AP196" s="258">
        <f t="shared" si="50"/>
        <v>5.2771165985501e-5</v>
      </c>
    </row>
    <row r="197" spans="1:42">
      <c r="A197" s="269"/>
      <c r="B197" s="149" t="s">
        <v>181</v>
      </c>
      <c r="C197" s="149" t="s">
        <v>144</v>
      </c>
      <c r="D197" s="150"/>
      <c r="E197" s="288">
        <v>0.37645</v>
      </c>
      <c r="F197" s="289">
        <f t="shared" si="40"/>
        <v>0.00775050956331968</v>
      </c>
      <c r="H197" s="288">
        <f>SUM(H190:H196)</f>
        <v>-0.05293</v>
      </c>
      <c r="I197" s="289">
        <f t="shared" si="41"/>
        <v>-0.00114982729780809</v>
      </c>
      <c r="K197" s="288">
        <f>SUM(K190:K196)</f>
        <v>0.40926</v>
      </c>
      <c r="L197" s="289">
        <f t="shared" si="51"/>
        <v>0.00883225068519758</v>
      </c>
      <c r="N197" s="288">
        <f>SUM(N190:N196)</f>
        <v>0.014</v>
      </c>
      <c r="O197" s="289">
        <f t="shared" si="42"/>
        <v>0.000283613232583109</v>
      </c>
      <c r="P197" s="277"/>
      <c r="Q197" s="288">
        <f>SUM(Q190:Q196)</f>
        <v>-0.17338</v>
      </c>
      <c r="R197" s="289">
        <f t="shared" si="43"/>
        <v>-0.0032284373603456</v>
      </c>
      <c r="S197" s="277"/>
      <c r="T197" s="288">
        <f>SUM(T190:T196)</f>
        <v>0.61689</v>
      </c>
      <c r="U197" s="289">
        <f t="shared" si="44"/>
        <v>0.0207959142394822</v>
      </c>
      <c r="V197" s="277"/>
      <c r="W197" s="288">
        <f>SUM(W190:W196)</f>
        <v>-0.4231</v>
      </c>
      <c r="X197" s="289">
        <f t="shared" si="45"/>
        <v>-0.0101082256253434</v>
      </c>
      <c r="Y197" s="277"/>
      <c r="Z197" s="288">
        <f>SUM(Z190:Z196)</f>
        <v>-0.19881</v>
      </c>
      <c r="AA197" s="289">
        <f t="shared" si="46"/>
        <v>-0.00621728117084154</v>
      </c>
      <c r="AB197" s="277"/>
      <c r="AC197" s="288">
        <f>SUM(AC190:AC196)</f>
        <v>1.15462</v>
      </c>
      <c r="AD197" s="289">
        <f t="shared" si="47"/>
        <v>0.0408454789868402</v>
      </c>
      <c r="AE197" s="277"/>
      <c r="AF197" s="288">
        <f>SUM(AF190:AF196)</f>
        <v>0.14834</v>
      </c>
      <c r="AG197" s="289">
        <f t="shared" ref="AG197:AG198" si="65">AF197/$AF$1*1000</f>
        <v>0.00565945595360726</v>
      </c>
      <c r="AH197" s="277"/>
      <c r="AI197" s="288">
        <f>SUM(AI190:AI196)</f>
        <v>0.99685</v>
      </c>
      <c r="AJ197" s="289">
        <f t="shared" ref="AJ197:AJ198" si="66">AI197/$AI$1*1000</f>
        <v>0.0292984363978368</v>
      </c>
      <c r="AL197" s="288">
        <f>SUM(AL190:AL196)</f>
        <v>0.69513</v>
      </c>
      <c r="AM197" s="289">
        <f t="shared" si="64"/>
        <v>0.0165141472453852</v>
      </c>
      <c r="AO197" s="288">
        <f>SUM(AO190:AO196)</f>
        <v>3.56332</v>
      </c>
      <c r="AP197" s="289">
        <f t="shared" si="50"/>
        <v>0.00745305395083058</v>
      </c>
    </row>
    <row r="198" s="123" customFormat="1" spans="1:42">
      <c r="A198" s="269"/>
      <c r="B198" s="195"/>
      <c r="C198" s="196"/>
      <c r="D198" s="196" t="s">
        <v>182</v>
      </c>
      <c r="E198" s="165">
        <v>174.89607</v>
      </c>
      <c r="F198" s="197">
        <f t="shared" si="40"/>
        <v>3.60083321323424</v>
      </c>
      <c r="G198" s="247"/>
      <c r="H198" s="204">
        <f>+H134+H137+H175+H177+H180+H183+H189+H197</f>
        <v>243.79814</v>
      </c>
      <c r="I198" s="205">
        <f t="shared" si="41"/>
        <v>5.29616014598223</v>
      </c>
      <c r="J198" s="247"/>
      <c r="K198" s="204">
        <f>+K134+K137+K175+K177+K180+K183+K189+K197</f>
        <v>219.31379</v>
      </c>
      <c r="L198" s="205">
        <f t="shared" si="51"/>
        <v>4.73301659580896</v>
      </c>
      <c r="M198" s="248"/>
      <c r="N198" s="204">
        <f>+N134+N137+N175+N177+N180+N183+N189+N197</f>
        <v>161.26311</v>
      </c>
      <c r="O198" s="205">
        <f t="shared" si="42"/>
        <v>3.26688228025039</v>
      </c>
      <c r="P198" s="198"/>
      <c r="Q198" s="204">
        <f>+Q134+Q137+Q175+Q177+Q180+Q183+Q189+Q197</f>
        <v>196.88485</v>
      </c>
      <c r="R198" s="205">
        <f t="shared" si="43"/>
        <v>3.66611146283331</v>
      </c>
      <c r="S198" s="198"/>
      <c r="T198" s="204">
        <f>+T134+T137+T175+T177+T180+T183+T189+T197</f>
        <v>184.02968</v>
      </c>
      <c r="U198" s="205">
        <f t="shared" si="44"/>
        <v>6.20380528586839</v>
      </c>
      <c r="V198" s="198"/>
      <c r="W198" s="204">
        <f>+W134+W137+W175+W177+W180+W183+W189+W197</f>
        <v>188.28229</v>
      </c>
      <c r="X198" s="205">
        <f t="shared" si="45"/>
        <v>4.49822705879542</v>
      </c>
      <c r="Y198" s="198"/>
      <c r="Z198" s="204">
        <f>+Z134+Z137+Z175+Z177+Z180+Z183+Z189+Z197</f>
        <v>176.98346</v>
      </c>
      <c r="AA198" s="205">
        <f t="shared" si="46"/>
        <v>5.53471119867405</v>
      </c>
      <c r="AB198" s="198"/>
      <c r="AC198" s="204">
        <f>+AC134+AC137+AC175+AC177+AC180+AC183+AC189+AC197</f>
        <v>203.39738</v>
      </c>
      <c r="AD198" s="205">
        <f t="shared" si="47"/>
        <v>7.19532262629121</v>
      </c>
      <c r="AE198" s="198"/>
      <c r="AF198" s="205">
        <f>+AF134+AF137+AF175+AF177+AF180+AF183+AF189+AF197</f>
        <v>207.85696</v>
      </c>
      <c r="AG198" s="205">
        <f t="shared" si="65"/>
        <v>7.93014230666514</v>
      </c>
      <c r="AH198" s="198"/>
      <c r="AI198" s="205">
        <f>+AI134+AI137+AI175+AI177+AI180+AI183+AI189+AI197</f>
        <v>187.40864</v>
      </c>
      <c r="AJ198" s="205">
        <f t="shared" si="66"/>
        <v>5.50813073124853</v>
      </c>
      <c r="AK198" s="294"/>
      <c r="AL198" s="205">
        <f>+AL134+AL137+AL175+AL177+AL180+AL183+AL189+AL197</f>
        <v>-32.98022</v>
      </c>
      <c r="AM198" s="205">
        <f t="shared" si="64"/>
        <v>-0.783508421827857</v>
      </c>
      <c r="AN198" s="294"/>
      <c r="AO198" s="204">
        <f>+AO134+AO137+AO175+AO177+AO180+AO183+AO189+AO197</f>
        <v>2111.13415</v>
      </c>
      <c r="AP198" s="205">
        <f t="shared" si="50"/>
        <v>4.41565638713078</v>
      </c>
    </row>
    <row r="199" spans="1:42">
      <c r="E199" s="278">
        <f>+E198*1000</f>
        <v>174896.07</v>
      </c>
      <c r="F199" s="276"/>
      <c r="H199" s="257"/>
      <c r="I199" s="276"/>
      <c r="K199" s="257"/>
      <c r="L199" s="276"/>
      <c r="N199" s="257"/>
      <c r="O199" s="276"/>
      <c r="P199" s="277"/>
      <c r="Q199" s="278"/>
      <c r="R199" s="276"/>
      <c r="S199" s="277"/>
      <c r="T199" s="257"/>
      <c r="U199" s="276"/>
      <c r="V199" s="277"/>
      <c r="W199" s="257"/>
      <c r="X199" s="276"/>
      <c r="Y199" s="277"/>
      <c r="Z199" s="257"/>
      <c r="AA199" s="276"/>
      <c r="AB199" s="277"/>
      <c r="AC199" s="257"/>
      <c r="AD199" s="276"/>
      <c r="AE199" s="277"/>
      <c r="AF199" s="257"/>
      <c r="AG199" s="276"/>
      <c r="AH199" s="277"/>
      <c r="AI199" s="257"/>
      <c r="AJ199" s="276"/>
      <c r="AL199" s="257"/>
      <c r="AM199" s="276"/>
      <c r="AO199" s="257"/>
      <c r="AP199" s="276"/>
    </row>
    <row r="200" spans="1:42">
      <c r="E200" s="257"/>
      <c r="F200" s="276"/>
      <c r="H200" s="257"/>
      <c r="I200" s="276"/>
      <c r="K200" s="257"/>
      <c r="L200" s="276"/>
      <c r="N200" s="257"/>
      <c r="O200" s="276"/>
      <c r="P200" s="277"/>
      <c r="Q200" s="257"/>
      <c r="R200" s="276"/>
      <c r="S200" s="277"/>
      <c r="T200" s="257"/>
      <c r="U200" s="276"/>
      <c r="V200" s="277"/>
      <c r="W200" s="257"/>
      <c r="X200" s="276"/>
      <c r="Y200" s="277"/>
      <c r="Z200" s="257"/>
      <c r="AA200" s="276"/>
      <c r="AB200" s="277"/>
      <c r="AC200" s="257"/>
      <c r="AD200" s="276"/>
      <c r="AE200" s="277"/>
      <c r="AF200" s="257"/>
      <c r="AG200" s="276"/>
      <c r="AH200" s="277"/>
      <c r="AI200" s="257"/>
      <c r="AJ200" s="276"/>
      <c r="AL200" s="257"/>
      <c r="AM200" s="276"/>
      <c r="AO200" s="257"/>
      <c r="AP200" s="276"/>
    </row>
    <row r="201" spans="1:42">
      <c r="E201" s="257"/>
      <c r="F201" s="276"/>
      <c r="H201" s="257"/>
      <c r="I201" s="276"/>
      <c r="K201" s="257"/>
      <c r="L201" s="276"/>
      <c r="N201" s="257"/>
      <c r="O201" s="276"/>
      <c r="P201" s="277"/>
      <c r="Q201" s="257"/>
      <c r="R201" s="276"/>
      <c r="S201" s="277"/>
      <c r="T201" s="257"/>
      <c r="U201" s="276"/>
      <c r="V201" s="277"/>
      <c r="W201" s="257"/>
      <c r="X201" s="276"/>
      <c r="Y201" s="277"/>
      <c r="Z201" s="257"/>
      <c r="AA201" s="276"/>
      <c r="AB201" s="277"/>
      <c r="AC201" s="257"/>
      <c r="AD201" s="276"/>
      <c r="AE201" s="277"/>
      <c r="AF201" s="257"/>
      <c r="AG201" s="276"/>
      <c r="AH201" s="277"/>
      <c r="AI201" s="257"/>
      <c r="AJ201" s="276"/>
      <c r="AL201" s="257"/>
      <c r="AM201" s="276"/>
      <c r="AO201" s="257"/>
      <c r="AP201" s="276"/>
    </row>
    <row r="202" s="123" customFormat="1" spans="1:42">
      <c r="A202" s="269"/>
      <c r="B202" s="194"/>
      <c r="C202" s="194"/>
      <c r="D202" s="194" t="s">
        <v>183</v>
      </c>
      <c r="E202" s="204">
        <f>E198+E126</f>
        <v>1326.34071</v>
      </c>
      <c r="F202" s="205">
        <f>E202/$E$1*1000</f>
        <v>27.3072555640197</v>
      </c>
      <c r="G202" s="295"/>
      <c r="H202" s="204">
        <f>H198+H126</f>
        <v>1298.00727177778</v>
      </c>
      <c r="I202" s="205">
        <f>H202/$H$1*1000</f>
        <v>28.1973208736727</v>
      </c>
      <c r="J202" s="295"/>
      <c r="K202" s="204">
        <f>K198+K126</f>
        <v>1451.35893844444</v>
      </c>
      <c r="L202" s="205">
        <f>K202/$K$1*1000</f>
        <v>31.3218149307129</v>
      </c>
      <c r="M202" s="294"/>
      <c r="N202" s="204">
        <f>N198+N126</f>
        <v>1230.99416</v>
      </c>
      <c r="O202" s="205">
        <f>N202/$N$1*1000</f>
        <v>24.9375880720378</v>
      </c>
      <c r="P202" s="198"/>
      <c r="Q202" s="204">
        <f>Q198+Q126</f>
        <v>1483.63121</v>
      </c>
      <c r="R202" s="205">
        <f t="shared" ref="R202" si="67">Q202/$Q$1*1000</f>
        <v>27.6260839043647</v>
      </c>
      <c r="S202" s="198"/>
      <c r="T202" s="204">
        <f>T198+T126</f>
        <v>1357.12223534872</v>
      </c>
      <c r="U202" s="162">
        <f t="shared" ref="U202" si="68">T202/$T$1*1000</f>
        <v>45.7498056684438</v>
      </c>
      <c r="V202" s="198"/>
      <c r="W202" s="204">
        <f>W198+W126</f>
        <v>1241.23046942756</v>
      </c>
      <c r="X202" s="162">
        <f t="shared" ref="X202" si="69">W202/$W$1*1000</f>
        <v>29.6540714677967</v>
      </c>
      <c r="Y202" s="198"/>
      <c r="Z202" s="204">
        <f>Z198+Z126</f>
        <v>1135.5455277507</v>
      </c>
      <c r="AA202" s="162">
        <f t="shared" ref="AA202" si="70">Z202/$Z$1*1000</f>
        <v>35.5113215045407</v>
      </c>
      <c r="AB202" s="198"/>
      <c r="AC202" s="204">
        <f>AC198+AC126</f>
        <v>1206.85532</v>
      </c>
      <c r="AD202" s="162">
        <f t="shared" ref="AD202" si="71">AC202/$AC$1*1000</f>
        <v>42.6933394651196</v>
      </c>
      <c r="AE202" s="198"/>
      <c r="AF202" s="205">
        <f>AF198+AF126</f>
        <v>1203.00783028689</v>
      </c>
      <c r="AG202" s="296">
        <f>AF202/$AF$1*1000</f>
        <v>45.897059642398</v>
      </c>
      <c r="AH202" s="198"/>
      <c r="AI202" s="205">
        <f>AI198+AI126</f>
        <v>1382.5060736739</v>
      </c>
      <c r="AJ202" s="296">
        <f t="shared" ref="AJ202" si="72">AI202/$AI$1*1000</f>
        <v>40.6332610414385</v>
      </c>
      <c r="AK202" s="294"/>
      <c r="AL202" s="205">
        <f>AL198+AL126</f>
        <v>1111.9658468908</v>
      </c>
      <c r="AM202" s="296">
        <f>AL202/$AL$1*1000</f>
        <v>26.4168827807665</v>
      </c>
      <c r="AN202" s="294"/>
      <c r="AO202" s="204">
        <f>+E202+H202+K202+N202+Q202+T202+W202+Z202+AC202+AF202+AI202</f>
        <v>14316.59974671</v>
      </c>
      <c r="AP202" s="162">
        <f>AO202/$AO$1*1000</f>
        <v>29.9446556314552</v>
      </c>
    </row>
    <row r="203" spans="1:42">
      <c r="E203" s="257"/>
      <c r="F203" s="257"/>
      <c r="H203" s="257"/>
      <c r="I203" s="257"/>
      <c r="K203" s="257"/>
      <c r="L203" s="257"/>
      <c r="N203" s="257"/>
      <c r="O203" s="257"/>
      <c r="P203" s="277"/>
      <c r="Q203" s="257"/>
      <c r="R203" s="257"/>
      <c r="S203" s="277"/>
      <c r="T203" s="257"/>
      <c r="U203" s="257"/>
      <c r="V203" s="277"/>
      <c r="W203" s="257"/>
      <c r="X203" s="257"/>
      <c r="Y203" s="277"/>
      <c r="Z203" s="257"/>
      <c r="AA203" s="257"/>
      <c r="AB203" s="277"/>
      <c r="AC203" s="257"/>
      <c r="AD203" s="257"/>
      <c r="AE203" s="277"/>
      <c r="AF203" s="257"/>
      <c r="AG203" s="257"/>
      <c r="AH203" s="277"/>
      <c r="AI203" s="257"/>
      <c r="AJ203" s="257"/>
      <c r="AL203" s="257"/>
      <c r="AM203" s="257"/>
      <c r="AO203" s="257"/>
      <c r="AP203" s="257"/>
    </row>
    <row r="204" spans="1:42">
      <c r="E204" s="278"/>
      <c r="F204" s="297"/>
      <c r="H204" s="278"/>
      <c r="K204" s="278"/>
      <c r="N204" s="278"/>
      <c r="Q204" s="278"/>
      <c r="S204" s="277"/>
      <c r="T204" s="278"/>
      <c r="V204" s="277"/>
      <c r="W204" s="278"/>
      <c r="Y204" s="277"/>
      <c r="Z204" s="278"/>
      <c r="AB204" s="277"/>
      <c r="AC204" s="278"/>
      <c r="AE204" s="277"/>
      <c r="AF204" s="278"/>
      <c r="AH204" s="277"/>
      <c r="AI204" s="278"/>
      <c r="AL204" s="278"/>
      <c r="AO204" s="278"/>
    </row>
    <row r="205" spans="1:42">
      <c r="C205" s="298"/>
      <c r="F205" s="278"/>
      <c r="H205" s="278"/>
      <c r="K205" s="278"/>
      <c r="N205" s="278"/>
      <c r="Q205" s="278"/>
      <c r="T205" s="278"/>
      <c r="W205" s="278"/>
      <c r="Z205" s="278"/>
      <c r="AC205" s="278"/>
      <c r="AF205" s="278"/>
      <c r="AI205" s="278"/>
      <c r="AL205" s="278"/>
      <c r="AO205" s="278"/>
    </row>
    <row r="206" spans="1:42">
      <c r="C206" s="298"/>
      <c r="E206" s="278"/>
      <c r="F206" s="278"/>
      <c r="H206" s="278"/>
      <c r="K206" s="278"/>
      <c r="N206" s="278"/>
      <c r="O206" s="278"/>
      <c r="Q206" s="278"/>
      <c r="R206" s="278"/>
      <c r="T206" s="278"/>
      <c r="U206" s="278"/>
      <c r="W206" s="278"/>
      <c r="X206" s="278"/>
      <c r="Z206" s="278"/>
      <c r="AA206" s="278"/>
      <c r="AC206" s="278"/>
      <c r="AD206" s="278"/>
      <c r="AF206" s="278"/>
      <c r="AG206" s="278"/>
      <c r="AI206" s="278"/>
      <c r="AJ206" s="278"/>
      <c r="AL206" s="278"/>
      <c r="AM206" s="278"/>
      <c r="AO206" s="278"/>
      <c r="AP206" s="278"/>
    </row>
    <row r="207" spans="1:42">
      <c r="E207" s="278"/>
    </row>
    <row r="208" s="242" customFormat="1" spans="1:42">
      <c r="A208" s="243"/>
      <c r="B208" s="299"/>
      <c r="C208" s="300"/>
      <c r="D208" s="207" t="s">
        <v>184</v>
      </c>
      <c r="E208" s="301" t="s">
        <v>185</v>
      </c>
      <c r="F208" s="302" t="s">
        <v>218</v>
      </c>
      <c r="G208" s="303"/>
      <c r="H208" s="301" t="s">
        <v>185</v>
      </c>
      <c r="I208" s="302" t="s">
        <v>218</v>
      </c>
      <c r="J208" s="303"/>
      <c r="K208" s="301" t="s">
        <v>185</v>
      </c>
      <c r="L208" s="302" t="s">
        <v>218</v>
      </c>
      <c r="M208" s="304"/>
      <c r="N208" s="301" t="s">
        <v>185</v>
      </c>
      <c r="O208" s="302" t="s">
        <v>218</v>
      </c>
      <c r="P208" s="305"/>
      <c r="Q208" s="301" t="s">
        <v>185</v>
      </c>
      <c r="R208" s="302" t="s">
        <v>218</v>
      </c>
      <c r="S208" s="305"/>
      <c r="T208" s="301" t="s">
        <v>185</v>
      </c>
      <c r="U208" s="302" t="s">
        <v>218</v>
      </c>
      <c r="V208" s="305"/>
      <c r="W208" s="301" t="s">
        <v>185</v>
      </c>
      <c r="X208" s="302" t="s">
        <v>218</v>
      </c>
      <c r="Y208" s="305"/>
      <c r="Z208" s="301" t="s">
        <v>185</v>
      </c>
      <c r="AA208" s="302" t="s">
        <v>218</v>
      </c>
      <c r="AB208" s="305"/>
      <c r="AC208" s="301" t="s">
        <v>185</v>
      </c>
      <c r="AD208" s="302" t="s">
        <v>218</v>
      </c>
      <c r="AE208" s="305"/>
      <c r="AF208" s="301" t="s">
        <v>185</v>
      </c>
      <c r="AG208" s="302" t="s">
        <v>218</v>
      </c>
      <c r="AH208" s="305"/>
      <c r="AI208" s="301" t="s">
        <v>185</v>
      </c>
      <c r="AJ208" s="302" t="s">
        <v>218</v>
      </c>
      <c r="AK208" s="304"/>
      <c r="AL208" s="301" t="s">
        <v>185</v>
      </c>
      <c r="AM208" s="302" t="s">
        <v>218</v>
      </c>
      <c r="AN208" s="304"/>
      <c r="AO208" s="301" t="s">
        <v>185</v>
      </c>
      <c r="AP208" s="302" t="s">
        <v>218</v>
      </c>
    </row>
    <row r="209" s="242" customFormat="1" spans="1:42">
      <c r="A209" s="243"/>
      <c r="B209" s="299"/>
      <c r="C209" s="306"/>
      <c r="D209" s="307" t="s">
        <v>186</v>
      </c>
      <c r="E209" s="308">
        <f>E22</f>
        <v>471.95897</v>
      </c>
      <c r="F209" s="309">
        <f>F22</f>
        <v>9.71688806077701</v>
      </c>
      <c r="G209" s="310"/>
      <c r="H209" s="308">
        <f>H22</f>
        <v>343.39069</v>
      </c>
      <c r="I209" s="309">
        <f>I22</f>
        <v>7.45966350227011</v>
      </c>
      <c r="J209" s="310"/>
      <c r="K209" s="308">
        <f>K22</f>
        <v>517.21307</v>
      </c>
      <c r="L209" s="309">
        <f>L22</f>
        <v>11.1619886915424</v>
      </c>
      <c r="M209" s="311"/>
      <c r="N209" s="308">
        <f>N22</f>
        <v>469.10102</v>
      </c>
      <c r="O209" s="309">
        <f>O22</f>
        <v>9.50308976358811</v>
      </c>
      <c r="P209" s="312"/>
      <c r="Q209" s="308">
        <f>Q22</f>
        <v>563.01003</v>
      </c>
      <c r="R209" s="309">
        <f>R22</f>
        <v>10.4835772009534</v>
      </c>
      <c r="S209" s="312"/>
      <c r="T209" s="308">
        <f>T22</f>
        <v>382.06162</v>
      </c>
      <c r="U209" s="309">
        <f>U22</f>
        <v>12.8796392934196</v>
      </c>
      <c r="V209" s="312"/>
      <c r="W209" s="308">
        <f>W22</f>
        <v>445.15222</v>
      </c>
      <c r="X209" s="309">
        <f>X22</f>
        <v>10.6350722698712</v>
      </c>
      <c r="Y209" s="312"/>
      <c r="Z209" s="308">
        <f>Z22</f>
        <v>351.77623</v>
      </c>
      <c r="AA209" s="309">
        <f>AA22</f>
        <v>11.0009140945054</v>
      </c>
      <c r="AB209" s="312"/>
      <c r="AC209" s="308">
        <f>AC22</f>
        <v>348.81104</v>
      </c>
      <c r="AD209" s="309">
        <f>AD22</f>
        <v>12.3394311589076</v>
      </c>
      <c r="AE209" s="312"/>
      <c r="AF209" s="308">
        <f>AF22</f>
        <v>383.24932</v>
      </c>
      <c r="AG209" s="309">
        <f>AG22</f>
        <v>14.6216977604822</v>
      </c>
      <c r="AH209" s="312"/>
      <c r="AI209" s="308">
        <f>AI22</f>
        <v>479.35477</v>
      </c>
      <c r="AJ209" s="309">
        <f>AJ22</f>
        <v>14.0887247237244</v>
      </c>
      <c r="AK209" s="311"/>
      <c r="AL209" s="308">
        <f>AL22</f>
        <v>425.92802</v>
      </c>
      <c r="AM209" s="309">
        <f>AM22</f>
        <v>10.1187375573136</v>
      </c>
      <c r="AN209" s="311"/>
      <c r="AO209" s="308">
        <f>AO22</f>
        <v>5181.007</v>
      </c>
      <c r="AP209" s="309">
        <f>AP22</f>
        <v>10.8366143626255</v>
      </c>
    </row>
    <row r="210" s="242" customFormat="1" spans="1:42">
      <c r="A210" s="243"/>
      <c r="B210" s="299"/>
      <c r="C210" s="299"/>
      <c r="D210" s="307" t="s">
        <v>187</v>
      </c>
      <c r="E210" s="308">
        <f>E27+E94+E82+E86</f>
        <v>3.78393</v>
      </c>
      <c r="F210" s="309">
        <f>F27+F94+F82+F86</f>
        <v>0.0779051285746639</v>
      </c>
      <c r="G210" s="310"/>
      <c r="H210" s="308">
        <f>H27+H94+H82+H86</f>
        <v>24.69816</v>
      </c>
      <c r="I210" s="309">
        <f>I27+I94+I82+I86</f>
        <v>0.536531618621424</v>
      </c>
      <c r="J210" s="310"/>
      <c r="K210" s="308">
        <f>K27+K94+K82+K86</f>
        <v>31.62307</v>
      </c>
      <c r="L210" s="309">
        <f>L27+L94+L82+L86</f>
        <v>0.682458294667329</v>
      </c>
      <c r="M210" s="311"/>
      <c r="N210" s="308">
        <f>N27+N94+N82+N86</f>
        <v>-30.82648</v>
      </c>
      <c r="O210" s="309">
        <f>O27+O94+O82+O86</f>
        <v>-0.624485545854182</v>
      </c>
      <c r="P210" s="312"/>
      <c r="Q210" s="308">
        <f>Q27+Q94+Q82+Q86</f>
        <v>23.36593</v>
      </c>
      <c r="R210" s="309">
        <f>R27+R94+R82+R86</f>
        <v>0.435087330552659</v>
      </c>
      <c r="S210" s="312"/>
      <c r="T210" s="308">
        <f>T27+T94+T82+T86</f>
        <v>12.23416</v>
      </c>
      <c r="U210" s="309">
        <f>U27+U94+U82+U86</f>
        <v>0.41242448759439</v>
      </c>
      <c r="V210" s="312"/>
      <c r="W210" s="308">
        <f>W27+W94+W82+W86</f>
        <v>2.11628</v>
      </c>
      <c r="X210" s="309">
        <f>X27+X94+X82+X86</f>
        <v>0.0505597630026042</v>
      </c>
      <c r="Y210" s="312"/>
      <c r="Z210" s="308">
        <f>Z27+Z94+Z82+Z86</f>
        <v>3.80085</v>
      </c>
      <c r="AA210" s="309">
        <f>AA27+AA94+AA82+AA86</f>
        <v>0.118861994558589</v>
      </c>
      <c r="AB210" s="312"/>
      <c r="AC210" s="308">
        <f>AC27+AC94+AC82+AC86</f>
        <v>10.16641</v>
      </c>
      <c r="AD210" s="309">
        <f>AD27+AD94+AD82+AD86</f>
        <v>0.359643766803453</v>
      </c>
      <c r="AE210" s="312"/>
      <c r="AF210" s="308">
        <f>AF27+AF94+AF82+AF86</f>
        <v>11.9692</v>
      </c>
      <c r="AG210" s="309">
        <f>AG27+AG94+AG82+AG86</f>
        <v>0.456647972225402</v>
      </c>
      <c r="AH210" s="312"/>
      <c r="AI210" s="308">
        <f>AI27+AI94+AI82+AI86</f>
        <v>7.25972</v>
      </c>
      <c r="AJ210" s="309">
        <f>AJ27+AJ94+AJ82+AJ86</f>
        <v>0.213370561956266</v>
      </c>
      <c r="AK210" s="311"/>
      <c r="AL210" s="308">
        <f>AL27+AL94+AL82+AL86</f>
        <v>-27.91329</v>
      </c>
      <c r="AM210" s="309">
        <f>AM27+AM94+AM82+AM86</f>
        <v>-0.663133775212031</v>
      </c>
      <c r="AN210" s="311"/>
      <c r="AO210" s="308">
        <f>AO27+AO94+AO82+AO86</f>
        <v>72.2779400000002</v>
      </c>
      <c r="AP210" s="309">
        <f>AP27+AP94+AP82+AP86</f>
        <v>0.151176820009119</v>
      </c>
    </row>
    <row r="211" s="242" customFormat="1" spans="1:42">
      <c r="A211" s="243"/>
      <c r="B211" s="299"/>
      <c r="C211" s="299"/>
      <c r="D211" s="313" t="s">
        <v>188</v>
      </c>
      <c r="E211" s="314">
        <f>E102</f>
        <v>208.04047</v>
      </c>
      <c r="F211" s="315">
        <f>F102</f>
        <v>4.28322394021124</v>
      </c>
      <c r="G211" s="310"/>
      <c r="H211" s="314">
        <f>H102</f>
        <v>161.36901</v>
      </c>
      <c r="I211" s="315">
        <f>I102</f>
        <v>3.50550713618491</v>
      </c>
      <c r="J211" s="310"/>
      <c r="K211" s="314">
        <f>K102</f>
        <v>245.62476</v>
      </c>
      <c r="L211" s="315">
        <f>L102</f>
        <v>5.30083432246369</v>
      </c>
      <c r="M211" s="311"/>
      <c r="N211" s="314">
        <f>N102</f>
        <v>210.35834</v>
      </c>
      <c r="O211" s="315">
        <f>O102</f>
        <v>4.26145777201548</v>
      </c>
      <c r="P211" s="312"/>
      <c r="Q211" s="314">
        <f>Q102</f>
        <v>241.29695</v>
      </c>
      <c r="R211" s="315">
        <f>R102</f>
        <v>4.493090831223</v>
      </c>
      <c r="S211" s="312"/>
      <c r="T211" s="314">
        <f>T102</f>
        <v>266.21335</v>
      </c>
      <c r="U211" s="315">
        <f>U102</f>
        <v>8.97429038565264</v>
      </c>
      <c r="V211" s="312"/>
      <c r="W211" s="314">
        <f>W102</f>
        <v>155.68707</v>
      </c>
      <c r="X211" s="315">
        <f>X102</f>
        <v>3.71949900852904</v>
      </c>
      <c r="Y211" s="312"/>
      <c r="Z211" s="314">
        <f>Z102</f>
        <v>193.16379</v>
      </c>
      <c r="AA211" s="315">
        <f>AA102</f>
        <v>6.04071019795478</v>
      </c>
      <c r="AB211" s="312"/>
      <c r="AC211" s="314">
        <f>AC102</f>
        <v>188.38296</v>
      </c>
      <c r="AD211" s="315">
        <f>AD102</f>
        <v>6.66417716145465</v>
      </c>
      <c r="AE211" s="312"/>
      <c r="AF211" s="314">
        <f>AF102</f>
        <v>209.28685</v>
      </c>
      <c r="AG211" s="315">
        <f>AG102</f>
        <v>7.98469535691122</v>
      </c>
      <c r="AH211" s="312"/>
      <c r="AI211" s="314">
        <f>AI102</f>
        <v>225.24054</v>
      </c>
      <c r="AJ211" s="315">
        <f>AJ102</f>
        <v>6.62004878909005</v>
      </c>
      <c r="AK211" s="311"/>
      <c r="AL211" s="314">
        <f>AL102</f>
        <v>270.27383</v>
      </c>
      <c r="AM211" s="315">
        <f>AM102</f>
        <v>6.42087354191908</v>
      </c>
      <c r="AN211" s="311"/>
      <c r="AO211" s="314">
        <f>AO102</f>
        <v>2574.93792</v>
      </c>
      <c r="AP211" s="315">
        <f>AP102</f>
        <v>5.38575015373288</v>
      </c>
    </row>
    <row r="212" s="242" customFormat="1" spans="1:42">
      <c r="A212" s="243"/>
      <c r="B212" s="299"/>
      <c r="C212" s="299"/>
      <c r="D212" s="313" t="s">
        <v>189</v>
      </c>
      <c r="E212" s="314">
        <f>E110</f>
        <v>134.31696</v>
      </c>
      <c r="F212" s="315">
        <f>F110</f>
        <v>2.76537357682568</v>
      </c>
      <c r="G212" s="310"/>
      <c r="H212" s="314">
        <f>H110</f>
        <v>123.20662</v>
      </c>
      <c r="I212" s="315">
        <f>I110</f>
        <v>2.67648469576174</v>
      </c>
      <c r="J212" s="310"/>
      <c r="K212" s="314">
        <f>K110</f>
        <v>35.08143</v>
      </c>
      <c r="L212" s="315">
        <f>L110</f>
        <v>0.757093251613182</v>
      </c>
      <c r="M212" s="311"/>
      <c r="N212" s="314">
        <f>N110</f>
        <v>56.46471</v>
      </c>
      <c r="O212" s="315">
        <f>O110</f>
        <v>1.14386706642627</v>
      </c>
      <c r="P212" s="312"/>
      <c r="Q212" s="314">
        <f>Q110</f>
        <v>81.27892</v>
      </c>
      <c r="R212" s="315">
        <f>R110</f>
        <v>1.51346119469686</v>
      </c>
      <c r="S212" s="312"/>
      <c r="T212" s="314">
        <f>T110</f>
        <v>104.58229</v>
      </c>
      <c r="U212" s="315">
        <f>U110</f>
        <v>3.52556263484358</v>
      </c>
      <c r="V212" s="312"/>
      <c r="W212" s="314">
        <f>W110</f>
        <v>98.92265</v>
      </c>
      <c r="X212" s="315">
        <f>X110</f>
        <v>2.36334782712569</v>
      </c>
      <c r="Y212" s="312"/>
      <c r="Z212" s="314">
        <f>Z110</f>
        <v>86.21286</v>
      </c>
      <c r="AA212" s="315">
        <f>AA110</f>
        <v>2.6960896894643</v>
      </c>
      <c r="AB212" s="312"/>
      <c r="AC212" s="314">
        <f>AC110</f>
        <v>83.67801</v>
      </c>
      <c r="AD212" s="315">
        <f>AD110</f>
        <v>2.96016732701288</v>
      </c>
      <c r="AE212" s="312"/>
      <c r="AF212" s="314">
        <f>AF110</f>
        <v>80.27117</v>
      </c>
      <c r="AG212" s="315">
        <f>AG110</f>
        <v>3.06249933234138</v>
      </c>
      <c r="AH212" s="312"/>
      <c r="AI212" s="314">
        <f>AI110</f>
        <v>81.65174</v>
      </c>
      <c r="AJ212" s="315">
        <f>AJ110</f>
        <v>2.39982776863391</v>
      </c>
      <c r="AK212" s="311"/>
      <c r="AL212" s="314">
        <f>AL110</f>
        <v>81.00358</v>
      </c>
      <c r="AM212" s="315">
        <f>AM110</f>
        <v>1.92439550519089</v>
      </c>
      <c r="AN212" s="311"/>
      <c r="AO212" s="314">
        <f>AO110</f>
        <v>1046.67094</v>
      </c>
      <c r="AP212" s="315">
        <f>AP110</f>
        <v>2.18922100304956</v>
      </c>
    </row>
    <row r="213" s="242" customFormat="1" spans="1:42">
      <c r="A213" s="243"/>
      <c r="B213" s="299"/>
      <c r="C213" s="299"/>
      <c r="D213" s="313" t="s">
        <v>190</v>
      </c>
      <c r="E213" s="314">
        <f>E77+E125+E84+E89</f>
        <v>163.66526</v>
      </c>
      <c r="F213" s="315">
        <f>F77+F125+F84+F89</f>
        <v>3.36960861419365</v>
      </c>
      <c r="G213" s="310"/>
      <c r="H213" s="314">
        <f>H77+H125+H84+H89</f>
        <v>223.45215</v>
      </c>
      <c r="I213" s="315">
        <f>I77+I125+I84+I89</f>
        <v>4.85417309321574</v>
      </c>
      <c r="J213" s="310"/>
      <c r="K213" s="314">
        <f>K77+K125+K84+K89</f>
        <v>216.79639</v>
      </c>
      <c r="L213" s="315">
        <f>L77+L125+L84+L89</f>
        <v>4.67868852105229</v>
      </c>
      <c r="M213" s="311"/>
      <c r="N213" s="314">
        <f>N77+N125+N84+N89</f>
        <v>175.66661</v>
      </c>
      <c r="O213" s="315">
        <f>O77+O125+O84+O89</f>
        <v>3.5586696513583</v>
      </c>
      <c r="P213" s="312"/>
      <c r="Q213" s="314">
        <f>Q77+Q125+Q84+Q89</f>
        <v>183.35094</v>
      </c>
      <c r="R213" s="315">
        <f>R77+R125+R84+R89</f>
        <v>3.41410211529867</v>
      </c>
      <c r="S213" s="312"/>
      <c r="T213" s="314">
        <f>T77+T125+T84+T89</f>
        <v>224.77716</v>
      </c>
      <c r="U213" s="315">
        <f>U77+U125+U84+U89</f>
        <v>7.57743932038835</v>
      </c>
      <c r="V213" s="312"/>
      <c r="W213" s="314">
        <f>W77+W125+W84+W89</f>
        <v>168.29805</v>
      </c>
      <c r="X213" s="315">
        <f>X77+X125+X84+X89</f>
        <v>4.02078624841723</v>
      </c>
      <c r="Y213" s="312"/>
      <c r="Z213" s="314">
        <f>Z77+Z125+Z84+Z89</f>
        <v>144.25119</v>
      </c>
      <c r="AA213" s="315">
        <f>AA77+AA125+AA84+AA89</f>
        <v>4.51109203490009</v>
      </c>
      <c r="AB213" s="312"/>
      <c r="AC213" s="314">
        <f>AC77+AC125+AC84+AC89</f>
        <v>198.76821</v>
      </c>
      <c r="AD213" s="315">
        <f>AD77+AD125+AD84+AD89</f>
        <v>7.03156254421961</v>
      </c>
      <c r="AE213" s="312"/>
      <c r="AF213" s="314">
        <f>AF77+AF125+AF84+AF89</f>
        <v>180.16941</v>
      </c>
      <c r="AG213" s="315">
        <f>AG77+AG125+AG84+AG89</f>
        <v>6.87380908778757</v>
      </c>
      <c r="AH213" s="312"/>
      <c r="AI213" s="314">
        <f>AI77+AI125+AI84+AI89</f>
        <v>231.15127</v>
      </c>
      <c r="AJ213" s="315">
        <f>AJ77+AJ125+AJ84+AJ89</f>
        <v>6.79377116153304</v>
      </c>
      <c r="AK213" s="311"/>
      <c r="AL213" s="314">
        <f>AL77+AL125+AL84+AL89</f>
        <v>223.99092</v>
      </c>
      <c r="AM213" s="315">
        <f>AM77+AM125+AM84+AM89</f>
        <v>5.32133418858242</v>
      </c>
      <c r="AN213" s="311"/>
      <c r="AO213" s="314">
        <f>AO77+AO125+AO84+AO89</f>
        <v>2334.33756</v>
      </c>
      <c r="AP213" s="315">
        <f>AP77+AP125+AP84+AP89</f>
        <v>4.88250950633965</v>
      </c>
    </row>
    <row r="214" s="242" customFormat="1" spans="1:42">
      <c r="A214" s="243"/>
      <c r="B214" s="299"/>
      <c r="C214" s="299"/>
      <c r="D214" s="313" t="s">
        <v>191</v>
      </c>
      <c r="E214" s="314">
        <f>E13</f>
        <v>169.67905</v>
      </c>
      <c r="F214" s="315">
        <f>F13</f>
        <v>3.49342303020321</v>
      </c>
      <c r="G214" s="310"/>
      <c r="H214" s="314">
        <f>H13</f>
        <v>178.092501777778</v>
      </c>
      <c r="I214" s="315">
        <f>I13</f>
        <v>3.8688006816366</v>
      </c>
      <c r="J214" s="310"/>
      <c r="K214" s="314">
        <f>K13</f>
        <v>185.706428444444</v>
      </c>
      <c r="L214" s="315">
        <f>L13</f>
        <v>4.00773525356506</v>
      </c>
      <c r="M214" s="311"/>
      <c r="N214" s="314">
        <f>N13</f>
        <v>188.96685</v>
      </c>
      <c r="O214" s="315">
        <f>O13</f>
        <v>3.82810708425339</v>
      </c>
      <c r="P214" s="312"/>
      <c r="Q214" s="314">
        <f>Q13</f>
        <v>194.44359</v>
      </c>
      <c r="R214" s="315">
        <f>R13</f>
        <v>3.62065376880679</v>
      </c>
      <c r="S214" s="312"/>
      <c r="T214" s="314">
        <f>T13</f>
        <v>183.223975348718</v>
      </c>
      <c r="U214" s="315">
        <f>U13</f>
        <v>6.17664426067686</v>
      </c>
      <c r="V214" s="312"/>
      <c r="W214" s="314">
        <f>W13</f>
        <v>182.771909427565</v>
      </c>
      <c r="X214" s="315">
        <f>X13</f>
        <v>4.36657929205545</v>
      </c>
      <c r="Y214" s="312"/>
      <c r="Z214" s="314">
        <f>Z13</f>
        <v>179.357147750699</v>
      </c>
      <c r="AA214" s="315">
        <f>AA13</f>
        <v>5.60894229448349</v>
      </c>
      <c r="AB214" s="312"/>
      <c r="AC214" s="314">
        <f>AC13</f>
        <v>173.65131</v>
      </c>
      <c r="AD214" s="315">
        <f>AD13</f>
        <v>6.14303488043017</v>
      </c>
      <c r="AE214" s="312"/>
      <c r="AF214" s="314">
        <f>AF13</f>
        <v>130.204920286895</v>
      </c>
      <c r="AG214" s="315">
        <f>AG13</f>
        <v>4.96756782598507</v>
      </c>
      <c r="AH214" s="312"/>
      <c r="AI214" s="314">
        <f>AI13</f>
        <v>170.439393673902</v>
      </c>
      <c r="AJ214" s="315">
        <f>AJ13</f>
        <v>5.00938730525224</v>
      </c>
      <c r="AK214" s="311"/>
      <c r="AL214" s="314">
        <f>AL13</f>
        <v>171.663006890803</v>
      </c>
      <c r="AM214" s="315">
        <f>AM13</f>
        <v>4.0781841848004</v>
      </c>
      <c r="AN214" s="311"/>
      <c r="AO214" s="314">
        <f>AO13</f>
        <v>2108.2000836008</v>
      </c>
      <c r="AP214" s="315">
        <f>AP13</f>
        <v>4.40951948245521</v>
      </c>
    </row>
    <row r="215" s="242" customFormat="1" spans="1:42">
      <c r="A215" s="243"/>
      <c r="B215" s="299"/>
      <c r="C215" s="299"/>
      <c r="D215" s="316" t="s">
        <v>192</v>
      </c>
      <c r="E215" s="317">
        <f>E198</f>
        <v>174.89607</v>
      </c>
      <c r="F215" s="318">
        <f>F198</f>
        <v>3.60083321323424</v>
      </c>
      <c r="G215" s="310"/>
      <c r="H215" s="317">
        <f>H198</f>
        <v>243.79814</v>
      </c>
      <c r="I215" s="318">
        <f>I198</f>
        <v>5.29616014598223</v>
      </c>
      <c r="J215" s="310"/>
      <c r="K215" s="317">
        <f>K198</f>
        <v>219.31379</v>
      </c>
      <c r="L215" s="318">
        <f>L198</f>
        <v>4.73301659580896</v>
      </c>
      <c r="M215" s="311"/>
      <c r="N215" s="317">
        <f>N198</f>
        <v>161.26311</v>
      </c>
      <c r="O215" s="318">
        <f>O198</f>
        <v>3.26688228025039</v>
      </c>
      <c r="P215" s="312"/>
      <c r="Q215" s="317">
        <f>Q198</f>
        <v>196.88485</v>
      </c>
      <c r="R215" s="318">
        <f>R198</f>
        <v>3.66611146283331</v>
      </c>
      <c r="S215" s="312"/>
      <c r="T215" s="317">
        <f>T198</f>
        <v>184.02968</v>
      </c>
      <c r="U215" s="318">
        <f>U198</f>
        <v>6.20380528586839</v>
      </c>
      <c r="V215" s="312"/>
      <c r="W215" s="317">
        <f>W198</f>
        <v>188.28229</v>
      </c>
      <c r="X215" s="318">
        <f>X198</f>
        <v>4.49822705879542</v>
      </c>
      <c r="Y215" s="312"/>
      <c r="Z215" s="317">
        <f>Z198</f>
        <v>176.98346</v>
      </c>
      <c r="AA215" s="318">
        <f>AA198</f>
        <v>5.53471119867405</v>
      </c>
      <c r="AB215" s="312"/>
      <c r="AC215" s="317">
        <f>AC198</f>
        <v>203.39738</v>
      </c>
      <c r="AD215" s="318">
        <f>AD198</f>
        <v>7.19532262629121</v>
      </c>
      <c r="AE215" s="312"/>
      <c r="AF215" s="317">
        <f>AF198</f>
        <v>207.85696</v>
      </c>
      <c r="AG215" s="318">
        <f>AG198</f>
        <v>7.93014230666514</v>
      </c>
      <c r="AH215" s="312"/>
      <c r="AI215" s="317">
        <f>AI198</f>
        <v>187.40864</v>
      </c>
      <c r="AJ215" s="318">
        <f>AJ198</f>
        <v>5.50813073124853</v>
      </c>
      <c r="AK215" s="311"/>
      <c r="AL215" s="317">
        <f>AL198</f>
        <v>-32.98022</v>
      </c>
      <c r="AM215" s="318">
        <f>AM198</f>
        <v>-0.783508421827857</v>
      </c>
      <c r="AN215" s="311"/>
      <c r="AO215" s="317">
        <f>AO198</f>
        <v>2111.13415</v>
      </c>
      <c r="AP215" s="318">
        <f>AP198</f>
        <v>4.41565638713078</v>
      </c>
    </row>
    <row r="216" s="243" customFormat="1" spans="1:42">
      <c r="B216" s="299"/>
      <c r="C216" s="299"/>
      <c r="D216" s="319" t="s">
        <v>193</v>
      </c>
      <c r="E216" s="222">
        <f>SUM(E209:E215)</f>
        <v>1326.34071</v>
      </c>
      <c r="F216" s="223">
        <f>SUM(F209:F215)</f>
        <v>27.3072555640197</v>
      </c>
      <c r="G216" s="310"/>
      <c r="H216" s="222">
        <f>SUM(H209:H215)</f>
        <v>1298.00727177778</v>
      </c>
      <c r="I216" s="223">
        <f>SUM(I209:I215)</f>
        <v>28.1973208736727</v>
      </c>
      <c r="J216" s="310"/>
      <c r="K216" s="320">
        <f>SUM(K209:K215)</f>
        <v>1451.35893844444</v>
      </c>
      <c r="L216" s="223">
        <f>SUM(L209:L215)</f>
        <v>31.3218149307129</v>
      </c>
      <c r="M216" s="311"/>
      <c r="N216" s="320">
        <f>SUM(N209:N215)</f>
        <v>1230.99416</v>
      </c>
      <c r="O216" s="223">
        <f>SUM(O209:O215)</f>
        <v>24.9375880720378</v>
      </c>
      <c r="P216" s="312"/>
      <c r="Q216" s="320">
        <f>SUM(Q209:Q215)</f>
        <v>1483.63121</v>
      </c>
      <c r="R216" s="223">
        <f>SUM(R209:R215)</f>
        <v>27.6260839043647</v>
      </c>
      <c r="S216" s="312"/>
      <c r="T216" s="320">
        <f>SUM(T209:T215)</f>
        <v>1357.12223534872</v>
      </c>
      <c r="U216" s="223">
        <f>SUM(U209:U215)</f>
        <v>45.7498056684438</v>
      </c>
      <c r="V216" s="312"/>
      <c r="W216" s="320">
        <f>SUM(W209:W215)</f>
        <v>1241.23046942757</v>
      </c>
      <c r="X216" s="223">
        <f>SUM(X209:X215)</f>
        <v>29.6540714677967</v>
      </c>
      <c r="Y216" s="312"/>
      <c r="Z216" s="320">
        <f>SUM(Z209:Z215)</f>
        <v>1135.5455277507</v>
      </c>
      <c r="AA216" s="223">
        <f>SUM(AA209:AA215)</f>
        <v>35.5113215045407</v>
      </c>
      <c r="AB216" s="312"/>
      <c r="AC216" s="320">
        <f>SUM(AC209:AC215)</f>
        <v>1206.85532</v>
      </c>
      <c r="AD216" s="223">
        <f>SUM(AD209:AD215)</f>
        <v>42.6933394651196</v>
      </c>
      <c r="AE216" s="312"/>
      <c r="AF216" s="320">
        <f>SUM(AF209:AF215)</f>
        <v>1203.00783028689</v>
      </c>
      <c r="AG216" s="223">
        <f>SUM(AG209:AG215)</f>
        <v>45.897059642398</v>
      </c>
      <c r="AH216" s="312"/>
      <c r="AI216" s="320">
        <f>SUM(AI209:AI215)</f>
        <v>1382.5060736739</v>
      </c>
      <c r="AJ216" s="223">
        <f>SUM(AJ209:AJ215)</f>
        <v>40.6332610414385</v>
      </c>
      <c r="AK216" s="311"/>
      <c r="AL216" s="320">
        <f>SUM(AL209:AL215)</f>
        <v>1111.9658468908</v>
      </c>
      <c r="AM216" s="223">
        <f>SUM(AM209:AM215)</f>
        <v>26.4168827807665</v>
      </c>
      <c r="AN216" s="311"/>
      <c r="AO216" s="320">
        <f>SUM(AO209:AO215)</f>
        <v>15428.5655936008</v>
      </c>
      <c r="AP216" s="223">
        <f>SUM(AP209:AP215)</f>
        <v>32.2704477153428</v>
      </c>
    </row>
    <row r="217" spans="1:42">
      <c r="E217" s="257">
        <f t="shared" ref="E217:F217" si="73">SUM(E209:E215)-E216</f>
        <v>0</v>
      </c>
      <c r="F217" s="257">
        <f t="shared" si="73"/>
        <v>0</v>
      </c>
      <c r="H217" s="257">
        <f t="shared" ref="H217:I217" si="74">SUM(H209:H215)-H216</f>
        <v>0</v>
      </c>
      <c r="I217" s="257">
        <f t="shared" si="74"/>
        <v>0</v>
      </c>
      <c r="K217" s="257">
        <f t="shared" ref="K217:L217" si="75">SUM(K209:K215)-K216</f>
        <v>0</v>
      </c>
      <c r="L217" s="257">
        <f t="shared" si="75"/>
        <v>0</v>
      </c>
      <c r="N217" s="257">
        <f t="shared" ref="N217:O217" si="76">SUM(N209:N215)-N216</f>
        <v>0</v>
      </c>
      <c r="O217" s="257">
        <f t="shared" si="76"/>
        <v>0</v>
      </c>
      <c r="Q217" s="257">
        <f t="shared" ref="Q217:R217" si="77">SUM(Q209:Q215)-Q216</f>
        <v>0</v>
      </c>
      <c r="R217" s="257">
        <f t="shared" si="77"/>
        <v>0</v>
      </c>
      <c r="T217" s="257">
        <f t="shared" ref="T217:U217" si="78">SUM(T209:T215)-T216</f>
        <v>0</v>
      </c>
      <c r="U217" s="257">
        <f t="shared" si="78"/>
        <v>0</v>
      </c>
      <c r="W217" s="257">
        <f t="shared" ref="W217:X217" si="79">SUM(W209:W215)-W216</f>
        <v>0</v>
      </c>
      <c r="X217" s="257">
        <f t="shared" si="79"/>
        <v>0</v>
      </c>
      <c r="Z217" s="257">
        <f t="shared" ref="Z217:AA217" si="80">SUM(Z209:Z215)-Z216</f>
        <v>0</v>
      </c>
      <c r="AA217" s="257">
        <f t="shared" si="80"/>
        <v>0</v>
      </c>
      <c r="AC217" s="257">
        <f t="shared" ref="AC217:AD217" si="81">SUM(AC209:AC215)-AC216</f>
        <v>0</v>
      </c>
      <c r="AD217" s="257">
        <f t="shared" si="81"/>
        <v>0</v>
      </c>
      <c r="AF217" s="257">
        <f t="shared" ref="AF217:AG217" si="82">SUM(AF209:AF215)-AF216</f>
        <v>0</v>
      </c>
      <c r="AG217" s="257">
        <f t="shared" si="82"/>
        <v>0</v>
      </c>
      <c r="AI217" s="257">
        <f t="shared" ref="AI217:AJ217" si="83">SUM(AI209:AI215)-AI216</f>
        <v>0</v>
      </c>
      <c r="AJ217" s="257">
        <f t="shared" si="83"/>
        <v>0</v>
      </c>
      <c r="AL217" s="257">
        <f t="shared" ref="AL217:AM217" si="84">SUM(AL209:AL215)-AL216</f>
        <v>0</v>
      </c>
      <c r="AM217" s="257">
        <f t="shared" si="84"/>
        <v>0</v>
      </c>
      <c r="AO217" s="257">
        <f>SUM(AO209:AO215)-AO216</f>
        <v>0</v>
      </c>
      <c r="AP217" s="257">
        <f t="shared" ref="AP217" si="85">SUM(AP209:AP215)-AP216</f>
        <v>0</v>
      </c>
    </row>
    <row r="219" spans="1:42">
      <c r="D219" s="321"/>
      <c r="E219" s="322"/>
      <c r="F219" s="323"/>
      <c r="H219" s="322"/>
      <c r="I219" s="323"/>
      <c r="K219" s="322"/>
      <c r="L219" s="323"/>
      <c r="N219" s="322"/>
      <c r="O219" s="323"/>
      <c r="Q219" s="322"/>
      <c r="R219" s="323"/>
      <c r="T219" s="322"/>
      <c r="U219" s="323"/>
      <c r="W219" s="322"/>
      <c r="X219" s="323"/>
      <c r="Z219" s="322"/>
      <c r="AA219" s="323"/>
      <c r="AC219" s="322"/>
      <c r="AD219" s="323"/>
      <c r="AF219" s="322"/>
      <c r="AG219" s="323"/>
      <c r="AI219" s="322"/>
      <c r="AJ219" s="323"/>
      <c r="AL219" s="322"/>
      <c r="AM219" s="323"/>
      <c r="AO219" s="322"/>
      <c r="AP219" s="323"/>
    </row>
    <row r="220" spans="1:42">
      <c r="D220" s="324" t="s">
        <v>52</v>
      </c>
      <c r="E220" s="325">
        <f>E22+E27+E82+E86+E94</f>
        <v>475.7429</v>
      </c>
      <c r="F220" s="326">
        <f>F22+F27+F82+F86+F94</f>
        <v>9.79479318935167</v>
      </c>
      <c r="H220" s="325">
        <f>H22+H27+H82+H86+H94</f>
        <v>368.08885</v>
      </c>
      <c r="I220" s="326">
        <f>I22+I27+I82+I86+I94</f>
        <v>7.99619512089153</v>
      </c>
      <c r="K220" s="325">
        <f>K22+K27+K82+K86+K94</f>
        <v>548.83614</v>
      </c>
      <c r="L220" s="326">
        <f>L22+L27+L82+L86+L94</f>
        <v>11.8444469862097</v>
      </c>
      <c r="N220" s="325">
        <f>N22+N27+N82+N86+N94</f>
        <v>438.27454</v>
      </c>
      <c r="O220" s="326">
        <f>O22+O27+O82+O86+O94</f>
        <v>8.87860421773393</v>
      </c>
      <c r="Q220" s="325">
        <f>Q22+Q27+Q82+Q86+Q94</f>
        <v>586.37596</v>
      </c>
      <c r="R220" s="326">
        <f>R22+R27+R82+R86+R94</f>
        <v>10.918664531506</v>
      </c>
      <c r="T220" s="325">
        <f>T22+T27+T82+T86+T94</f>
        <v>394.29578</v>
      </c>
      <c r="U220" s="326">
        <f>U22+U27+U82+U86+U94</f>
        <v>13.292063781014</v>
      </c>
      <c r="W220" s="325">
        <f>W22+W27+W82+W86+W94</f>
        <v>447.2685</v>
      </c>
      <c r="X220" s="326">
        <f>X22+X27+X82+X86+X94</f>
        <v>10.6856320328738</v>
      </c>
      <c r="Z220" s="325">
        <f>Z22+Z27+Z82+Z86+Z94</f>
        <v>355.57708</v>
      </c>
      <c r="AA220" s="326">
        <f>AA22+AA27+AA82+AA86+AA94</f>
        <v>11.119776089064</v>
      </c>
      <c r="AC220" s="325">
        <f>AC22+AC27+AC82+AC86+AC94</f>
        <v>358.97745</v>
      </c>
      <c r="AD220" s="326">
        <f>AD22+AD27+AD82+AD86+AD94</f>
        <v>12.6990749257111</v>
      </c>
      <c r="AF220" s="325">
        <f>AF22+AF27+AF82+AF86+AF94</f>
        <v>395.21852</v>
      </c>
      <c r="AG220" s="326">
        <f>AG22+AG27+AG82+AG86+AG94</f>
        <v>15.0783457327076</v>
      </c>
      <c r="AI220" s="325">
        <f>AI22+AI27+AI82+AI86+AI94</f>
        <v>486.61449</v>
      </c>
      <c r="AJ220" s="326">
        <f>AJ22+AJ27+AJ82+AJ86+AJ94</f>
        <v>14.3020952856807</v>
      </c>
      <c r="AL220" s="325">
        <f>AL22+AL27+AL82+AL86+AL94</f>
        <v>398.01473</v>
      </c>
      <c r="AM220" s="326">
        <f>AM22+AM27+AM82+AM86+AM94</f>
        <v>9.45560378210154</v>
      </c>
      <c r="AO220" s="325">
        <f>AO22+AO27+AO82+AO86+AO94</f>
        <v>5253.28494</v>
      </c>
      <c r="AP220" s="326">
        <f>AP22+AP27+AP82+AP86+AP94</f>
        <v>10.9877911826347</v>
      </c>
    </row>
    <row r="221" spans="1:42">
      <c r="D221" s="327" t="s">
        <v>42</v>
      </c>
      <c r="E221" s="328">
        <f>SUM(E13,E77,E84,E89,E102,E110,E125)</f>
        <v>675.70174</v>
      </c>
      <c r="F221" s="329">
        <f>SUM(F13,F77,F84,F89,F102,F110,F125)</f>
        <v>13.9116291614338</v>
      </c>
      <c r="H221" s="328">
        <f>SUM(H13,H77,H84,H89,H102,H110,H125)</f>
        <v>686.120281777778</v>
      </c>
      <c r="I221" s="329">
        <f>SUM(I13,I77,I84,I89,I102,I110,I125)</f>
        <v>14.904965606799</v>
      </c>
      <c r="K221" s="328">
        <f>SUM(K13,K77,K84,K89,K102,K110,K125)</f>
        <v>683.209008444444</v>
      </c>
      <c r="L221" s="329">
        <f>SUM(L13,L77,L84,L89,L102,L110,L125)</f>
        <v>14.7443513486942</v>
      </c>
      <c r="N221" s="328">
        <f>SUM(N13,N77,N84,N89,N102,N110,N125)</f>
        <v>631.45651</v>
      </c>
      <c r="O221" s="329">
        <f>SUM(O13,O77,O84,O89,O102,O110,O125)</f>
        <v>12.7921015740534</v>
      </c>
      <c r="Q221" s="328">
        <f>SUM(Q13,Q77,Q84,Q89,Q102,Q110,Q125)</f>
        <v>700.3704</v>
      </c>
      <c r="R221" s="329">
        <f>SUM(R13,R77,R84,R89,R102,R110,R125)</f>
        <v>13.0413079100253</v>
      </c>
      <c r="T221" s="328">
        <f>SUM(T13,T77,T84,T89,T102,T110,T125)</f>
        <v>778.796775348718</v>
      </c>
      <c r="U221" s="329">
        <f>SUM(U13,U77,U84,U89,U102,U110,U125)</f>
        <v>26.2539366015614</v>
      </c>
      <c r="W221" s="328">
        <f>SUM(W13,W77,W84,W89,W102,W110,W125)</f>
        <v>605.679679427565</v>
      </c>
      <c r="X221" s="329">
        <f>SUM(X13,X77,X84,X89,X102,X110,X125)</f>
        <v>14.4702123761274</v>
      </c>
      <c r="Z221" s="328">
        <f>SUM(Z13,Z77,Z84,Z89,Z102,Z110,Z125)</f>
        <v>602.984987750699</v>
      </c>
      <c r="AA221" s="329">
        <f>SUM(AA13,AA77,AA84,AA89,AA102,AA110,AA125)</f>
        <v>18.8568342168027</v>
      </c>
      <c r="AC221" s="328">
        <f>SUM(AC13,AC77,AC84,AC89,AC102,AC110,AC125)</f>
        <v>644.48049</v>
      </c>
      <c r="AD221" s="329">
        <f>SUM(AD13,AD77,AD84,AD89,AD102,AD110,AD125)</f>
        <v>22.7989419131173</v>
      </c>
      <c r="AF221" s="328">
        <f>SUM(AF13,AF77,AF84,AF89,AF102,AF110,AF125)</f>
        <v>599.932350286895</v>
      </c>
      <c r="AG221" s="329">
        <f>SUM(AG13,AG77,AG84,AG89,AG102,AG110,AG125)</f>
        <v>22.8885716030252</v>
      </c>
      <c r="AI221" s="328">
        <f>SUM(AI13,AI77,AI84,AI89,AI102,AI110,AI125)</f>
        <v>708.482943673902</v>
      </c>
      <c r="AJ221" s="329">
        <f>SUM(AJ13,AJ77,AJ84,AJ89,AJ102,AJ110,AJ125)</f>
        <v>20.8230350245092</v>
      </c>
      <c r="AL221" s="328">
        <f>SUM(AL13,AL77,AL84,AL89,AL102,AL110,AL125)</f>
        <v>746.931336890803</v>
      </c>
      <c r="AM221" s="329">
        <f>SUM(AM13,AM77,AM84,AM89,AM102,AM110,AM125)</f>
        <v>17.7447874204928</v>
      </c>
      <c r="AO221" s="328">
        <f>SUM(AO13,AO77,AO84,AO89,AO102,AO110,AO125)</f>
        <v>8064.1465036008</v>
      </c>
      <c r="AP221" s="329">
        <f>SUM(AP13,AP77,AP84,AP89,AP102,AP110,AP125)</f>
        <v>16.8670001455773</v>
      </c>
    </row>
    <row r="222" spans="1:42">
      <c r="D222" s="330" t="s">
        <v>194</v>
      </c>
      <c r="E222" s="331">
        <f>E215</f>
        <v>174.89607</v>
      </c>
      <c r="F222" s="332">
        <f>F215</f>
        <v>3.60083321323424</v>
      </c>
      <c r="H222" s="331">
        <f>H215</f>
        <v>243.79814</v>
      </c>
      <c r="I222" s="332">
        <f>I215</f>
        <v>5.29616014598223</v>
      </c>
      <c r="K222" s="331">
        <f>K215</f>
        <v>219.31379</v>
      </c>
      <c r="L222" s="332">
        <f>L215</f>
        <v>4.73301659580896</v>
      </c>
      <c r="N222" s="331">
        <f>N215</f>
        <v>161.26311</v>
      </c>
      <c r="O222" s="332">
        <f>O215</f>
        <v>3.26688228025039</v>
      </c>
      <c r="Q222" s="331">
        <f>Q215</f>
        <v>196.88485</v>
      </c>
      <c r="R222" s="332">
        <f>R215</f>
        <v>3.66611146283331</v>
      </c>
      <c r="T222" s="331">
        <f>T215</f>
        <v>184.02968</v>
      </c>
      <c r="U222" s="332">
        <f>U215</f>
        <v>6.20380528586839</v>
      </c>
      <c r="W222" s="331">
        <f>W215</f>
        <v>188.28229</v>
      </c>
      <c r="X222" s="332">
        <f>X215</f>
        <v>4.49822705879542</v>
      </c>
      <c r="Z222" s="331">
        <f>Z215</f>
        <v>176.98346</v>
      </c>
      <c r="AA222" s="332">
        <f>AA215</f>
        <v>5.53471119867405</v>
      </c>
      <c r="AC222" s="331">
        <f>AC215</f>
        <v>203.39738</v>
      </c>
      <c r="AD222" s="332">
        <f>AD215</f>
        <v>7.19532262629121</v>
      </c>
      <c r="AF222" s="331">
        <f>AF215</f>
        <v>207.85696</v>
      </c>
      <c r="AG222" s="332">
        <f>AG215</f>
        <v>7.93014230666514</v>
      </c>
      <c r="AI222" s="331">
        <f>AI215</f>
        <v>187.40864</v>
      </c>
      <c r="AJ222" s="332">
        <f>AJ215</f>
        <v>5.50813073124853</v>
      </c>
      <c r="AL222" s="331">
        <f>AL215</f>
        <v>-32.98022</v>
      </c>
      <c r="AM222" s="332">
        <f>AM215</f>
        <v>-0.783508421827857</v>
      </c>
      <c r="AO222" s="331">
        <f>AO215</f>
        <v>2111.13415</v>
      </c>
      <c r="AP222" s="332">
        <f>AP215</f>
        <v>4.41565638713078</v>
      </c>
    </row>
    <row r="223" spans="1:42">
      <c r="D223" s="333"/>
      <c r="E223" s="334"/>
      <c r="F223" s="335"/>
      <c r="H223" s="334"/>
      <c r="I223" s="335"/>
      <c r="K223" s="334"/>
      <c r="L223" s="335"/>
      <c r="N223" s="334"/>
      <c r="O223" s="335"/>
      <c r="Q223" s="334"/>
      <c r="R223" s="335"/>
      <c r="T223" s="334"/>
      <c r="U223" s="335"/>
      <c r="W223" s="334"/>
      <c r="X223" s="335"/>
      <c r="Z223" s="334"/>
      <c r="AA223" s="335"/>
      <c r="AC223" s="334"/>
      <c r="AD223" s="335"/>
      <c r="AF223" s="334"/>
      <c r="AG223" s="335"/>
      <c r="AI223" s="334"/>
      <c r="AJ223" s="335"/>
      <c r="AL223" s="334"/>
      <c r="AM223" s="335"/>
      <c r="AO223" s="334"/>
      <c r="AP223" s="335"/>
    </row>
    <row r="224" spans="1:42">
      <c r="D224" s="336" t="s">
        <v>195</v>
      </c>
      <c r="E224" s="337">
        <f>SUM(E219:E223)</f>
        <v>1326.34071</v>
      </c>
      <c r="F224" s="338">
        <f>SUM(F219:F223)</f>
        <v>27.3072555640197</v>
      </c>
      <c r="H224" s="337">
        <f>SUM(H219:H223)</f>
        <v>1298.00727177778</v>
      </c>
      <c r="I224" s="338">
        <f>SUM(I219:I223)</f>
        <v>28.1973208736728</v>
      </c>
      <c r="K224" s="337">
        <f>SUM(K219:K223)</f>
        <v>1451.35893844444</v>
      </c>
      <c r="L224" s="338">
        <f>SUM(L219:L223)</f>
        <v>31.3218149307129</v>
      </c>
      <c r="N224" s="337">
        <f>SUM(N219:N223)</f>
        <v>1230.99416</v>
      </c>
      <c r="O224" s="338">
        <f>SUM(O219:O223)</f>
        <v>24.9375880720378</v>
      </c>
      <c r="Q224" s="337">
        <f>SUM(Q219:Q223)</f>
        <v>1483.63121</v>
      </c>
      <c r="R224" s="338">
        <f>SUM(R219:R223)</f>
        <v>27.6260839043647</v>
      </c>
      <c r="T224" s="337">
        <f>SUM(T219:T223)</f>
        <v>1357.12223534872</v>
      </c>
      <c r="U224" s="339">
        <f>SUM(U219:U223)</f>
        <v>45.7498056684438</v>
      </c>
      <c r="W224" s="337">
        <f>SUM(W219:W223)</f>
        <v>1241.23046942756</v>
      </c>
      <c r="X224" s="339">
        <f>SUM(X219:X223)</f>
        <v>29.6540714677967</v>
      </c>
      <c r="Z224" s="337">
        <f>SUM(Z219:Z223)</f>
        <v>1135.5455277507</v>
      </c>
      <c r="AA224" s="339">
        <f>SUM(AA219:AA223)</f>
        <v>35.5113215045407</v>
      </c>
      <c r="AC224" s="337">
        <f>SUM(AC219:AC223)</f>
        <v>1206.85532</v>
      </c>
      <c r="AD224" s="339">
        <f>SUM(AD219:AD223)</f>
        <v>42.6933394651196</v>
      </c>
      <c r="AF224" s="337">
        <f>SUM(AF219:AF223)</f>
        <v>1203.00783028689</v>
      </c>
      <c r="AG224" s="339">
        <f>SUM(AG219:AG223)</f>
        <v>45.897059642398</v>
      </c>
      <c r="AI224" s="337">
        <f>SUM(AI219:AI223)</f>
        <v>1382.5060736739</v>
      </c>
      <c r="AJ224" s="339">
        <f>SUM(AJ219:AJ223)</f>
        <v>40.6332610414385</v>
      </c>
      <c r="AL224" s="337">
        <f>SUM(AL219:AL223)</f>
        <v>1111.9658468908</v>
      </c>
      <c r="AM224" s="339">
        <f>SUM(AM219:AM223)</f>
        <v>26.4168827807665</v>
      </c>
      <c r="AO224" s="337">
        <f>SUM(AO219:AO223)</f>
        <v>15428.5655936008</v>
      </c>
      <c r="AP224" s="339">
        <f>SUM(AP219:AP223)</f>
        <v>32.2704477153428</v>
      </c>
    </row>
    <row r="225" spans="1:42">
      <c r="T225" s="278"/>
      <c r="W225" s="278"/>
      <c r="Z225" s="278"/>
      <c r="AC225" s="278"/>
      <c r="AF225" s="278"/>
      <c r="AI225" s="278"/>
      <c r="AL225" s="278"/>
      <c r="AO225" s="278"/>
    </row>
    <row r="226" s="244" customFormat="1" spans="1:42">
      <c r="A226" s="340"/>
      <c r="B226" s="298"/>
      <c r="C226" s="298"/>
      <c r="D226" t="s">
        <v>196</v>
      </c>
      <c r="E226" s="278">
        <f>+E224*1000</f>
        <v>1326340.71</v>
      </c>
      <c r="F226" s="278"/>
      <c r="G226" s="247"/>
      <c r="H226" s="278">
        <f>+H224*1000</f>
        <v>1298007.27177778</v>
      </c>
      <c r="I226" s="278"/>
      <c r="J226" s="247"/>
      <c r="K226" s="278">
        <f>+K224*1000</f>
        <v>1451358.93844444</v>
      </c>
      <c r="L226" s="278"/>
      <c r="M226" s="248"/>
      <c r="N226" s="278">
        <f>+N224*1000</f>
        <v>1230994.16</v>
      </c>
      <c r="O226" s="278"/>
      <c r="Q226" s="278">
        <f>+Q224*1000</f>
        <v>1483631.21</v>
      </c>
      <c r="R226" s="278"/>
      <c r="T226" s="278">
        <f>+T224*1000</f>
        <v>1357122.23534872</v>
      </c>
      <c r="U226" s="278"/>
      <c r="W226" s="278">
        <f>+W224*1000</f>
        <v>1241230.46942756</v>
      </c>
      <c r="X226" s="278"/>
      <c r="Z226" s="278">
        <f>+Z224*1000</f>
        <v>1135545.5277507</v>
      </c>
      <c r="AA226" s="278"/>
      <c r="AC226" s="278">
        <f>+AC224*1000</f>
        <v>1206855.32</v>
      </c>
      <c r="AD226" s="278"/>
      <c r="AF226" s="278">
        <f>+AF224*1000</f>
        <v>1203007.83028689</v>
      </c>
      <c r="AG226" s="278"/>
      <c r="AI226" s="278">
        <f>+AI224*1000</f>
        <v>1382506.0736739</v>
      </c>
      <c r="AJ226" s="278"/>
      <c r="AK226" s="248"/>
      <c r="AL226" s="278">
        <f>+AL224*1000</f>
        <v>1111965.8468908</v>
      </c>
      <c r="AM226" s="278"/>
      <c r="AN226" s="248"/>
      <c r="AO226" s="278">
        <f>+AO224*1000</f>
        <v>15428565.5936008</v>
      </c>
      <c r="AP226" s="278"/>
    </row>
    <row r="227" spans="1:42">
      <c r="D227" t="s">
        <v>197</v>
      </c>
      <c r="E227" s="278">
        <v>50714304.59</v>
      </c>
      <c r="H227" s="278">
        <v>50685612.95</v>
      </c>
      <c r="K227" s="278">
        <v>60404153.09</v>
      </c>
      <c r="N227" s="278">
        <v>54034824.07</v>
      </c>
      <c r="Q227" s="278">
        <v>66370862.9</v>
      </c>
      <c r="T227" s="278">
        <v>63021450.47</v>
      </c>
      <c r="W227" s="278">
        <v>57059140.19</v>
      </c>
      <c r="Z227" s="278">
        <v>54133161.86</v>
      </c>
      <c r="AC227" s="278">
        <v>59467519.8</v>
      </c>
      <c r="AF227" s="278">
        <v>56919234.72</v>
      </c>
      <c r="AI227" s="278">
        <v>66415933.61</v>
      </c>
      <c r="AL227" s="278">
        <v>54051473.65</v>
      </c>
      <c r="AO227" s="278">
        <f>+SUM(Q227,N227,K227,H227,E227,T227,W227,Z227,AC227,AF227,AI227,AL227)</f>
        <v>693277671.9</v>
      </c>
    </row>
    <row r="228" spans="1:42">
      <c r="E228" s="257"/>
      <c r="H228" s="278"/>
      <c r="I228" s="341"/>
      <c r="K228" s="278"/>
      <c r="L228" s="341"/>
      <c r="N228" s="278"/>
      <c r="O228" s="341"/>
      <c r="Q228" s="278"/>
      <c r="R228" s="341"/>
      <c r="T228" s="278"/>
      <c r="U228" s="341"/>
      <c r="W228" s="278"/>
      <c r="X228" s="341"/>
      <c r="Z228" s="278"/>
      <c r="AA228" s="341"/>
      <c r="AC228" s="278"/>
      <c r="AD228" s="341"/>
      <c r="AF228" s="278"/>
      <c r="AG228" s="341"/>
      <c r="AI228" s="278"/>
      <c r="AJ228" s="341"/>
      <c r="AL228" s="278"/>
      <c r="AM228" s="341"/>
      <c r="AO228" s="278"/>
      <c r="AP228" s="341"/>
    </row>
    <row r="229" spans="1:42">
      <c r="D229" t="s">
        <v>198</v>
      </c>
      <c r="E229" s="342">
        <f>+E227/E226</f>
        <v>38.2362572509744</v>
      </c>
      <c r="F229" s="342"/>
      <c r="H229" s="342">
        <f>+H227/H226</f>
        <v>39.0487896732504</v>
      </c>
      <c r="I229" s="342"/>
      <c r="K229" s="342">
        <f>+K227/K226</f>
        <v>41.6190313023054</v>
      </c>
      <c r="N229" s="342">
        <f>+N227/N226</f>
        <v>43.8952724763536</v>
      </c>
      <c r="Q229" s="342">
        <f>+Q227/Q226</f>
        <v>44.7354183793424</v>
      </c>
      <c r="T229" s="342">
        <f>+T227/T226</f>
        <v>46.4375638601238</v>
      </c>
      <c r="W229" s="342">
        <f>+W227/W226</f>
        <v>45.9698191394824</v>
      </c>
      <c r="Z229" s="342">
        <f>+Z227/Z226</f>
        <v>47.6715028478229</v>
      </c>
      <c r="AC229" s="342">
        <f>+AC227/AC226</f>
        <v>49.274771229413</v>
      </c>
      <c r="AF229" s="342">
        <f>+AF227/AF226</f>
        <v>47.3141016101498</v>
      </c>
      <c r="AI229" s="342">
        <f>+AI227/AI226</f>
        <v>48.0402472543971</v>
      </c>
      <c r="AL229" s="342">
        <f>+AL227/AL226</f>
        <v>48.6089332699693</v>
      </c>
      <c r="AO229" s="342">
        <f>+AO227/AO226</f>
        <v>44.9346809134056</v>
      </c>
    </row>
    <row r="230" spans="1:42">
      <c r="E230" s="343"/>
      <c r="H230" s="278"/>
      <c r="K230" s="278"/>
      <c r="N230" s="278"/>
      <c r="P230" s="248"/>
      <c r="Q230" s="278"/>
      <c r="T230" s="278"/>
      <c r="W230" s="278"/>
      <c r="Z230" s="278"/>
      <c r="AC230" s="278"/>
      <c r="AF230" s="278"/>
      <c r="AI230" s="278"/>
      <c r="AL230" s="278"/>
      <c r="AO230" s="278"/>
    </row>
    <row r="231" spans="1:42">
      <c r="E231" s="278"/>
    </row>
    <row r="232" spans="1:42">
      <c r="E232" s="342"/>
      <c r="H232" s="278"/>
      <c r="K232" s="278"/>
      <c r="N232" s="278"/>
      <c r="Q232" s="278"/>
      <c r="T232" s="278"/>
      <c r="W232" s="278"/>
      <c r="Z232" s="278"/>
      <c r="AC232" s="278"/>
      <c r="AF232" s="278"/>
      <c r="AI232" s="278"/>
      <c r="AL232" s="278"/>
      <c r="AO232" s="278"/>
    </row>
    <row r="233" spans="1:42">
      <c r="E233" s="278"/>
    </row>
    <row r="234" ht="17.4" spans="1:42">
      <c r="B234" s="344" t="s">
        <v>199</v>
      </c>
      <c r="C234" s="344"/>
      <c r="D234" s="344"/>
      <c r="E234" s="278"/>
    </row>
    <row r="235" spans="1:42">
      <c r="A235" s="269" t="s">
        <v>32</v>
      </c>
      <c r="B235" s="256">
        <v>6666110101</v>
      </c>
      <c r="C235" s="256" t="s">
        <v>33</v>
      </c>
      <c r="D235" s="256" t="s">
        <v>34</v>
      </c>
      <c r="E235" s="345">
        <f>21.3282004444444</f>
        <v>21.3282004444444</v>
      </c>
      <c r="F235" s="323"/>
      <c r="H235" s="345">
        <f>18.6560404444444</f>
        <v>18.6560404444444</v>
      </c>
      <c r="I235" s="323"/>
      <c r="K235" s="345">
        <f>21.3282004444444</f>
        <v>21.3282004444444</v>
      </c>
      <c r="L235" s="323"/>
      <c r="N235" s="345">
        <f>20.445</f>
        <v>20.445</v>
      </c>
      <c r="O235" s="323"/>
      <c r="Q235" s="345">
        <v>21.15307832869</v>
      </c>
      <c r="R235" s="323"/>
      <c r="T235" s="345">
        <v>20.7365374485701</v>
      </c>
      <c r="U235" s="323"/>
      <c r="W235" s="345">
        <v>21.6720196350847</v>
      </c>
      <c r="X235" s="323"/>
      <c r="Z235" s="345">
        <v>21.737229710937</v>
      </c>
      <c r="AA235" s="323"/>
      <c r="AC235" s="345">
        <f>21820.88/1000</f>
        <v>21.82088</v>
      </c>
      <c r="AD235" s="323"/>
      <c r="AF235" s="345">
        <v>22.5694009560825</v>
      </c>
      <c r="AG235" s="323"/>
      <c r="AI235" s="345">
        <v>21.8809363585787</v>
      </c>
      <c r="AJ235" s="323"/>
      <c r="AL235" s="345">
        <v>22.8229344864367</v>
      </c>
      <c r="AM235" s="323"/>
      <c r="AO235" s="345">
        <f>+E235+H235+K235+N235+Q235+T235+W235+Z235+AC235+AF235+AI235+AL235</f>
        <v>256.150458257713</v>
      </c>
      <c r="AP235" s="323"/>
    </row>
    <row r="236" spans="1:42">
      <c r="A236" s="269" t="s">
        <v>32</v>
      </c>
      <c r="B236" s="256">
        <v>6666110106</v>
      </c>
      <c r="C236" s="256" t="s">
        <v>35</v>
      </c>
      <c r="D236" s="256" t="s">
        <v>34</v>
      </c>
      <c r="E236" s="259">
        <v>0</v>
      </c>
      <c r="F236" s="346"/>
      <c r="H236" s="259">
        <v>0</v>
      </c>
      <c r="I236" s="346"/>
      <c r="K236" s="259">
        <v>0</v>
      </c>
      <c r="L236" s="346"/>
      <c r="N236" s="259">
        <v>0</v>
      </c>
      <c r="O236" s="346"/>
      <c r="Q236" s="259">
        <v>0</v>
      </c>
      <c r="R236" s="346"/>
      <c r="T236" s="259">
        <v>0</v>
      </c>
      <c r="U236" s="346"/>
      <c r="W236" s="259"/>
      <c r="X236" s="346"/>
      <c r="Z236" s="259">
        <v>0</v>
      </c>
      <c r="AA236" s="346"/>
      <c r="AC236" s="259"/>
      <c r="AD236" s="346"/>
      <c r="AF236" s="259">
        <v>0</v>
      </c>
      <c r="AG236" s="346"/>
      <c r="AI236" s="259">
        <v>0</v>
      </c>
      <c r="AJ236" s="346"/>
      <c r="AL236" s="259">
        <v>0</v>
      </c>
      <c r="AM236" s="346"/>
      <c r="AO236" s="259">
        <f t="shared" ref="AO236:AO242" si="86">+E236+H236+K236+N236+Q236+T236+W236+Z236+AC236+AF236+AI236+AL236</f>
        <v>0</v>
      </c>
      <c r="AP236" s="346"/>
    </row>
    <row r="237" spans="1:42">
      <c r="A237" s="269" t="s">
        <v>32</v>
      </c>
      <c r="B237" s="256">
        <v>6666110107</v>
      </c>
      <c r="C237" s="256" t="s">
        <v>36</v>
      </c>
      <c r="D237" s="256" t="s">
        <v>34</v>
      </c>
      <c r="E237" s="259">
        <v>120.32286</v>
      </c>
      <c r="F237" s="346"/>
      <c r="H237" s="259">
        <f>109.209985777778</f>
        <v>109.209985777778</v>
      </c>
      <c r="I237" s="346"/>
      <c r="K237" s="259">
        <f>119.675125777778</f>
        <v>119.675125777778</v>
      </c>
      <c r="L237" s="346"/>
      <c r="N237" s="259">
        <f>117.086</f>
        <v>117.086</v>
      </c>
      <c r="O237" s="346"/>
      <c r="Q237" s="259">
        <v>126.577615799026</v>
      </c>
      <c r="R237" s="346"/>
      <c r="T237" s="259">
        <v>128.317919519997</v>
      </c>
      <c r="U237" s="346"/>
      <c r="W237" s="259">
        <v>134.494809809295</v>
      </c>
      <c r="X237" s="346"/>
      <c r="Z237" s="259">
        <v>135.747766710303</v>
      </c>
      <c r="AA237" s="346"/>
      <c r="AC237" s="259">
        <f>134789.77/1000</f>
        <v>134.78977</v>
      </c>
      <c r="AD237" s="346"/>
      <c r="AF237" s="347">
        <f>126.850888051804-82.86761</f>
        <v>43.983278051804</v>
      </c>
      <c r="AG237" s="346"/>
      <c r="AI237" s="259">
        <v>126.234351915616</v>
      </c>
      <c r="AJ237" s="346"/>
      <c r="AL237" s="259">
        <v>130.483017136754</v>
      </c>
      <c r="AM237" s="346"/>
      <c r="AO237" s="259">
        <f t="shared" si="86"/>
        <v>1426.92250049835</v>
      </c>
      <c r="AP237" s="346"/>
    </row>
    <row r="238" spans="1:42">
      <c r="A238" s="269" t="s">
        <v>32</v>
      </c>
      <c r="B238" s="256">
        <v>6666110110</v>
      </c>
      <c r="C238" s="256" t="s">
        <v>37</v>
      </c>
      <c r="D238" s="256" t="s">
        <v>34</v>
      </c>
      <c r="E238" s="259">
        <f>225.680081111111</f>
        <v>225.680081111111</v>
      </c>
      <c r="F238" s="346"/>
      <c r="H238" s="259">
        <f>198.482281111111</f>
        <v>198.482281111111</v>
      </c>
      <c r="I238" s="346"/>
      <c r="K238" s="259">
        <f>225.680081111111</f>
        <v>225.680081111111</v>
      </c>
      <c r="L238" s="346"/>
      <c r="N238" s="259">
        <f>216.6537</f>
        <v>216.6537</v>
      </c>
      <c r="O238" s="346"/>
      <c r="Q238" s="259">
        <v>228.570310188259</v>
      </c>
      <c r="R238" s="346"/>
      <c r="T238" s="259">
        <v>222.795344905679</v>
      </c>
      <c r="U238" s="346"/>
      <c r="W238" s="259">
        <v>232.187132829291</v>
      </c>
      <c r="X238" s="346"/>
      <c r="Z238" s="259">
        <v>233.136734452707</v>
      </c>
      <c r="AA238" s="346"/>
      <c r="AC238" s="259">
        <f>227902.81/1000</f>
        <v>227.90281</v>
      </c>
      <c r="AD238" s="346"/>
      <c r="AF238" s="347">
        <f>228.861264957898-61.24974</f>
        <v>167.611524957898</v>
      </c>
      <c r="AG238" s="346"/>
      <c r="AI238" s="259">
        <v>222.055594996441</v>
      </c>
      <c r="AJ238" s="346"/>
      <c r="AL238" s="259">
        <v>231.029325412902</v>
      </c>
      <c r="AM238" s="346"/>
      <c r="AO238" s="259">
        <f t="shared" si="86"/>
        <v>2631.78492107651</v>
      </c>
      <c r="AP238" s="346"/>
    </row>
    <row r="239" spans="1:42">
      <c r="A239" s="269" t="s">
        <v>32</v>
      </c>
      <c r="B239" s="256">
        <v>6666110112</v>
      </c>
      <c r="C239" s="256" t="s">
        <v>38</v>
      </c>
      <c r="D239" s="256" t="s">
        <v>34</v>
      </c>
      <c r="E239" s="259">
        <f>4.13525311111111</f>
        <v>4.13525311111111</v>
      </c>
      <c r="F239" s="346"/>
      <c r="H239" s="259">
        <f>3.61013311111111</f>
        <v>3.61013311111111</v>
      </c>
      <c r="I239" s="346"/>
      <c r="K239" s="259">
        <f>4.13525311111111</f>
        <v>4.13525311111111</v>
      </c>
      <c r="L239" s="346"/>
      <c r="N239" s="259">
        <f>3.8942</f>
        <v>3.8942</v>
      </c>
      <c r="O239" s="346"/>
      <c r="Q239" s="259">
        <v>5.21228476036063</v>
      </c>
      <c r="R239" s="346"/>
      <c r="T239" s="259">
        <v>5.36114813622613</v>
      </c>
      <c r="U239" s="346"/>
      <c r="W239" s="259">
        <v>5.68518928219481</v>
      </c>
      <c r="X239" s="346"/>
      <c r="Z239" s="259">
        <v>6.31177672916715</v>
      </c>
      <c r="AA239" s="346"/>
      <c r="AC239" s="259">
        <f>5050.16/1000</f>
        <v>5.05016</v>
      </c>
      <c r="AD239" s="346"/>
      <c r="AF239" s="347">
        <f>5.18900861534227-(455.16/1000)</f>
        <v>4.73384861534227</v>
      </c>
      <c r="AG239" s="346"/>
      <c r="AI239" s="259">
        <v>5.05756987187773</v>
      </c>
      <c r="AJ239" s="346"/>
      <c r="AL239" s="259">
        <v>4.63267595493251</v>
      </c>
      <c r="AM239" s="346"/>
      <c r="AO239" s="259">
        <f t="shared" si="86"/>
        <v>57.8194926834346</v>
      </c>
      <c r="AP239" s="346"/>
    </row>
    <row r="240" spans="1:42">
      <c r="A240" s="269" t="s">
        <v>32</v>
      </c>
      <c r="B240" s="256">
        <v>6666110204</v>
      </c>
      <c r="C240" s="256" t="s">
        <v>39</v>
      </c>
      <c r="D240" s="256" t="s">
        <v>34</v>
      </c>
      <c r="E240" s="259">
        <f>0.0561666666666667</f>
        <v>0.0561666666666667</v>
      </c>
      <c r="F240" s="346"/>
      <c r="H240" s="259">
        <f>-0.0561566666666667</f>
        <v>-0.0561566666666667</v>
      </c>
      <c r="I240" s="346"/>
      <c r="K240" s="259">
        <f>0.0561666666666667</f>
        <v>0.0561666666666667</v>
      </c>
      <c r="L240" s="346"/>
      <c r="N240" s="259">
        <f>0.0562</f>
        <v>0.0562</v>
      </c>
      <c r="O240" s="346"/>
      <c r="Q240" s="259">
        <v>0.0507349696283237</v>
      </c>
      <c r="R240" s="346"/>
      <c r="T240" s="259">
        <v>0.0580454961668209</v>
      </c>
      <c r="U240" s="346"/>
      <c r="W240" s="259">
        <v>0.0644561052284313</v>
      </c>
      <c r="X240" s="346"/>
      <c r="Z240" s="259">
        <v>0.0664843948730797</v>
      </c>
      <c r="AA240" s="346"/>
      <c r="AC240" s="259">
        <f>70.3/1000</f>
        <v>0.0703</v>
      </c>
      <c r="AD240" s="346"/>
      <c r="AF240" s="259">
        <v>0.0710097668236788</v>
      </c>
      <c r="AG240" s="346"/>
      <c r="AI240" s="259">
        <v>0.0717827466108143</v>
      </c>
      <c r="AJ240" s="346"/>
      <c r="AL240" s="259">
        <v>0.0756941362230961</v>
      </c>
      <c r="AM240" s="346"/>
      <c r="AO240" s="259">
        <f t="shared" si="86"/>
        <v>0.640884282220911</v>
      </c>
      <c r="AP240" s="346"/>
    </row>
    <row r="241" spans="1:42">
      <c r="A241" s="269" t="s">
        <v>32</v>
      </c>
      <c r="B241" s="256">
        <v>6666110207</v>
      </c>
      <c r="C241" s="256" t="s">
        <v>40</v>
      </c>
      <c r="D241" s="256" t="s">
        <v>34</v>
      </c>
      <c r="E241" s="259">
        <f>4.67692644444444</f>
        <v>4.67692644444444</v>
      </c>
      <c r="F241" s="346"/>
      <c r="H241" s="259">
        <f>4.05927644444445</f>
        <v>4.05927644444445</v>
      </c>
      <c r="I241" s="346"/>
      <c r="K241" s="259">
        <f>4.67692644444444</f>
        <v>4.67692644444444</v>
      </c>
      <c r="L241" s="346"/>
      <c r="N241" s="259">
        <f>3.2851</f>
        <v>3.2851</v>
      </c>
      <c r="O241" s="346"/>
      <c r="Q241" s="259">
        <v>3.30890250143866</v>
      </c>
      <c r="R241" s="346"/>
      <c r="T241" s="259">
        <v>3.25163455006693</v>
      </c>
      <c r="U241" s="346"/>
      <c r="W241" s="259">
        <v>1.7994235914736</v>
      </c>
      <c r="X241" s="346"/>
      <c r="Z241" s="259">
        <v>0.778685688266738</v>
      </c>
      <c r="AA241" s="346"/>
      <c r="AC241" s="259">
        <f>1081.81/1000</f>
        <v>1.08181</v>
      </c>
      <c r="AD241" s="346"/>
      <c r="AF241" s="259">
        <v>1.11290736515482</v>
      </c>
      <c r="AG241" s="346"/>
      <c r="AI241" s="259">
        <v>1.10005043697383</v>
      </c>
      <c r="AJ241" s="346"/>
      <c r="AL241" s="259">
        <v>1.20922598194899</v>
      </c>
      <c r="AM241" s="346"/>
      <c r="AO241" s="259">
        <f t="shared" si="86"/>
        <v>30.3408694486569</v>
      </c>
      <c r="AP241" s="346"/>
    </row>
    <row r="242" spans="1:42">
      <c r="A242" s="269" t="s">
        <v>32</v>
      </c>
      <c r="B242" s="256">
        <v>6666110506</v>
      </c>
      <c r="C242" s="256" t="s">
        <v>41</v>
      </c>
      <c r="D242" s="256" t="s">
        <v>34</v>
      </c>
      <c r="E242" s="259">
        <f>0.250798</f>
        <v>0.250798</v>
      </c>
      <c r="F242" s="346"/>
      <c r="H242" s="259">
        <f>0.250798</f>
        <v>0.250798</v>
      </c>
      <c r="I242" s="346"/>
      <c r="K242" s="259">
        <f>0.250798</f>
        <v>0.250798</v>
      </c>
      <c r="L242" s="346"/>
      <c r="N242" s="259">
        <f>0.2508</f>
        <v>0.2508</v>
      </c>
      <c r="O242" s="346"/>
      <c r="Q242" s="259">
        <v>0.232482771632398</v>
      </c>
      <c r="R242" s="346"/>
      <c r="T242" s="259">
        <v>0.257144594575559</v>
      </c>
      <c r="U242" s="346"/>
      <c r="W242" s="259">
        <v>0.278799319867613</v>
      </c>
      <c r="X242" s="346"/>
      <c r="Z242" s="259">
        <v>0.28569456304752</v>
      </c>
      <c r="AA242" s="346"/>
      <c r="AC242" s="259"/>
      <c r="AD242" s="346"/>
      <c r="AF242" s="259"/>
      <c r="AG242" s="346"/>
      <c r="AI242" s="259"/>
      <c r="AJ242" s="346"/>
      <c r="AL242" s="259"/>
      <c r="AM242" s="346"/>
      <c r="AO242" s="259">
        <f t="shared" si="86"/>
        <v>2.05731524912309</v>
      </c>
      <c r="AP242" s="346"/>
    </row>
    <row r="243" spans="1:42">
      <c r="E243" s="348">
        <f>SUM(E235:E242)</f>
        <v>376.450285777778</v>
      </c>
      <c r="F243" s="289">
        <f>E243/$E$1*1000</f>
        <v>7.75051544703172</v>
      </c>
      <c r="H243" s="288">
        <f>SUM(H235:H242)</f>
        <v>334.212358222222</v>
      </c>
      <c r="I243" s="289">
        <f>H243/$H$1*1000</f>
        <v>7.26027758830018</v>
      </c>
      <c r="K243" s="288">
        <f>SUM(K235:K242)</f>
        <v>375.802551555556</v>
      </c>
      <c r="L243" s="289">
        <f>K243/$K$1*1000</f>
        <v>8.11020462169661</v>
      </c>
      <c r="N243" s="288">
        <f>SUM(N235:N242)</f>
        <v>361.671</v>
      </c>
      <c r="O243" s="289">
        <f>N243/$N$1*1000</f>
        <v>7.32676296011183</v>
      </c>
      <c r="Q243" s="288">
        <f>SUM(Q235:Q242)</f>
        <v>385.105409319035</v>
      </c>
      <c r="R243" s="289">
        <f>Q243/$Q$1*1000</f>
        <v>7.17088874793376</v>
      </c>
      <c r="T243" s="288">
        <f>SUM(T235:T242)</f>
        <v>380.777774651282</v>
      </c>
      <c r="U243" s="349">
        <f>T243/$T$1*1000</f>
        <v>12.8363597172088</v>
      </c>
      <c r="W243" s="288">
        <f>SUM(W235:W242)</f>
        <v>396.181830572435</v>
      </c>
      <c r="X243" s="349">
        <f>W243/$W$1*1000</f>
        <v>9.4651272325402</v>
      </c>
      <c r="Z243" s="288">
        <f>SUM(Z235:Z242)</f>
        <v>398.064372249301</v>
      </c>
      <c r="AA243" s="349">
        <f>Z243/$Z$1*1000</f>
        <v>12.4484589626701</v>
      </c>
      <c r="AC243" s="288">
        <f>SUM(AC235:AC242)</f>
        <v>390.71573</v>
      </c>
      <c r="AD243" s="349">
        <f>AC243/$AC$1*1000</f>
        <v>13.8218384746003</v>
      </c>
      <c r="AF243" s="288">
        <f>SUM(AF235:AF242)</f>
        <v>240.081969713105</v>
      </c>
      <c r="AG243" s="349">
        <f>AF243/$AF$1*1000</f>
        <v>9.15958832982737</v>
      </c>
      <c r="AI243" s="288">
        <f>SUM(AI235:AI242)</f>
        <v>376.400286326098</v>
      </c>
      <c r="AJ243" s="349">
        <f>AI243/$AI$1*1000</f>
        <v>11.0627876300875</v>
      </c>
      <c r="AL243" s="288">
        <f>SUM(AL235:AL242)</f>
        <v>390.252873109197</v>
      </c>
      <c r="AM243" s="349">
        <f>AL243/$AL$1*1000</f>
        <v>9.27120597508367</v>
      </c>
      <c r="AO243" s="288">
        <f>SUM(AO235:AO242)</f>
        <v>4405.71644149601</v>
      </c>
      <c r="AP243" s="349">
        <f>AO243/$AO$1*1000</f>
        <v>9.21501361947034</v>
      </c>
    </row>
    <row r="245" spans="1:42">
      <c r="AO245" s="297"/>
    </row>
    <row r="248" spans="1:42">
      <c r="C248" s="350" t="s">
        <v>200</v>
      </c>
      <c r="D248" s="350" t="s">
        <v>32</v>
      </c>
      <c r="E248" s="351">
        <f>+SUMIF($A$5:$A$242,D248,E5:E243)</f>
        <v>1565.02277577778</v>
      </c>
      <c r="F248" s="352">
        <f>+E248*1000/E$1</f>
        <v>32.22134145432</v>
      </c>
      <c r="H248" s="351">
        <f>+SUMIF($A$5:$A$242,$D$248,H5:H243)</f>
        <v>1403.55799</v>
      </c>
      <c r="I248" s="352">
        <f>+H248*1000/H$1</f>
        <v>30.4902567723155</v>
      </c>
      <c r="K248" s="351">
        <f>+SUMIF($A$5:$A$242,$D$248,K5:K243)</f>
        <v>1626.50106</v>
      </c>
      <c r="L248" s="352">
        <f>+K248*1000/K$1</f>
        <v>35.1015616030386</v>
      </c>
      <c r="N248" s="351">
        <f>+SUMIF($A$5:$A$242,$D$248,N5:N243)</f>
        <v>1502.1595</v>
      </c>
      <c r="O248" s="352">
        <f>+N248*1000/N$1</f>
        <v>30.4308794036019</v>
      </c>
      <c r="Q248" s="351">
        <f>+SUMIF($A$5:$A$242,$D$248,Q5:Q243)</f>
        <v>1710.32300931904</v>
      </c>
      <c r="R248" s="352">
        <f>+Q248*1000/Q$1</f>
        <v>31.8472182578399</v>
      </c>
      <c r="T248" s="351">
        <f>+SUMIF($A$5:$A$242,$D$248,T5:T243)</f>
        <v>1505.64209</v>
      </c>
      <c r="U248" s="352">
        <f>+T248*1000/T$1</f>
        <v>50.7565429476807</v>
      </c>
      <c r="W248" s="351">
        <f>+SUMIF($A$5:$A$242,$D$248,W5:W243)</f>
        <v>1496.68518</v>
      </c>
      <c r="X248" s="352">
        <f>+W248*1000/W$1</f>
        <v>35.7571058604295</v>
      </c>
      <c r="Z248" s="351">
        <f>+SUMIF($A$5:$A$242,$D$248,Z5:Z243)</f>
        <v>1394.98878</v>
      </c>
      <c r="AA248" s="352">
        <f>+Z248*1000/Z$1</f>
        <v>43.6247546674172</v>
      </c>
      <c r="AC248" s="351">
        <f>+SUMIF($A$5:$A$242,$D$248,AC5:AC243)</f>
        <v>1423.97802</v>
      </c>
      <c r="AD248" s="352">
        <f>+AC248*1000/AC$1</f>
        <v>50.3742047544927</v>
      </c>
      <c r="AF248" s="351">
        <f>+SUMIF($A$5:$A$242,$D$248,AF5:AF243)</f>
        <v>1227.17018</v>
      </c>
      <c r="AG248" s="352">
        <f>+AF248*1000/AF$1</f>
        <v>46.8188996985998</v>
      </c>
      <c r="AI248" s="351">
        <f>+SUMIF($A$5:$A$242,$D$248,AI5:AI243)</f>
        <v>1564.41463</v>
      </c>
      <c r="AJ248" s="352">
        <f>+AI248*1000/AI$1</f>
        <v>45.9797387138491</v>
      </c>
      <c r="AL248" s="351">
        <f>+SUMIF($A$5:$A$242,$D$248,AL5:AL243)</f>
        <v>1492.56517</v>
      </c>
      <c r="AM248" s="352">
        <f>+AL248*1000/AL$1</f>
        <v>35.4587501484807</v>
      </c>
      <c r="AO248" s="353">
        <f>+E248+H248+K248+N248+Q248+T248+W248+Z248+AC248+AF248+AI248+AL248</f>
        <v>17913.0083850968</v>
      </c>
      <c r="AP248" s="352">
        <f>+AO248*1000/AO1</f>
        <v>37.4669179068417</v>
      </c>
    </row>
    <row r="249" spans="1:42">
      <c r="C249" s="350" t="s">
        <v>201</v>
      </c>
      <c r="D249" s="350" t="s">
        <v>53</v>
      </c>
      <c r="E249" s="354">
        <f>+SUMIF($A$5:$A$243,D249,E5:E244)</f>
        <v>137.76822</v>
      </c>
      <c r="F249" s="355">
        <f>+E249*1000/E$1</f>
        <v>2.83642955673138</v>
      </c>
      <c r="H249" s="354">
        <f>+SUMIF($A$5:$A$243,$D$249,H5:H244)</f>
        <v>228.66164</v>
      </c>
      <c r="I249" s="355">
        <f>+H249*1000/H$1</f>
        <v>4.96734168965742</v>
      </c>
      <c r="K249" s="354">
        <f>+SUMIF($A$5:$A$243,$D$249,K5:K244)</f>
        <v>200.66043</v>
      </c>
      <c r="L249" s="355">
        <f>+K249*1000/K$1</f>
        <v>4.33045794937091</v>
      </c>
      <c r="N249" s="354">
        <f>+SUMIF($A$5:$A$243,$D$249,N5:N244)</f>
        <v>90.50566</v>
      </c>
      <c r="O249" s="355">
        <f>+N249*1000/N$1</f>
        <v>1.8334716285477</v>
      </c>
      <c r="Q249" s="354">
        <f>+SUMIF($A$5:$A$243,$D$249,Q5:Q244)</f>
        <v>158.41361</v>
      </c>
      <c r="R249" s="355">
        <f>+Q249*1000/Q$1</f>
        <v>2.94975439445851</v>
      </c>
      <c r="T249" s="354">
        <f>+SUMIF($A$5:$A$243,$D$249,T5:T244)</f>
        <v>232.25792</v>
      </c>
      <c r="U249" s="355">
        <f>+T249*1000/T$1</f>
        <v>7.82962243797195</v>
      </c>
      <c r="W249" s="354">
        <f>+SUMIF($A$5:$A$243,$D$249,W5:W244)</f>
        <v>140.72712</v>
      </c>
      <c r="X249" s="355">
        <f>+W249*1000/W$1</f>
        <v>3.3620928399073</v>
      </c>
      <c r="Z249" s="354">
        <f>+SUMIF($A$5:$A$243,$D$249,Z5:Z244)</f>
        <v>138.62112</v>
      </c>
      <c r="AA249" s="355">
        <f>+Z249*1000/Z$1</f>
        <v>4.3350257997936</v>
      </c>
      <c r="AC249" s="354">
        <f>+SUMIF($A$5:$A$243,$D$249,AC5:AC244)</f>
        <v>173.59303</v>
      </c>
      <c r="AD249" s="355">
        <f>+AC249*1000/AC$1</f>
        <v>6.14097318522711</v>
      </c>
      <c r="AF249" s="354">
        <f>+SUMIF($A$5:$A$243,$D$249,AF5:AF244)</f>
        <v>215.91962</v>
      </c>
      <c r="AG249" s="355">
        <f>+AF249*1000/AF$1</f>
        <v>8.23774827362558</v>
      </c>
      <c r="AI249" s="354">
        <f>+SUMIF($A$5:$A$243,$D$249,AI5:AI244)</f>
        <v>194.49173</v>
      </c>
      <c r="AJ249" s="355">
        <f>+AI249*1000/AI$1</f>
        <v>5.71630995767693</v>
      </c>
      <c r="AL249" s="354">
        <f>+SUMIF($A$5:$A$243,$D$249,AL5:AL244)</f>
        <v>9.65355</v>
      </c>
      <c r="AM249" s="355">
        <f>+AL249*1000/AL$1</f>
        <v>0.229338607369396</v>
      </c>
      <c r="AO249" s="356">
        <f>+E249+H249+K249+N249+Q249+T249+W249+Z249+AC249+AF249+AI249+AL249</f>
        <v>1921.27365</v>
      </c>
      <c r="AP249" s="355">
        <f>+AO249*1000/AO1</f>
        <v>4.01854342797144</v>
      </c>
    </row>
    <row r="250" spans="1:42">
      <c r="C250" s="350" t="s">
        <v>193</v>
      </c>
      <c r="E250" s="357">
        <f>+E249+E248</f>
        <v>1702.79099577778</v>
      </c>
      <c r="F250" s="357">
        <f>+F249+F248</f>
        <v>35.0577710110514</v>
      </c>
      <c r="H250" s="357">
        <f>+H249+H248</f>
        <v>1632.21963</v>
      </c>
      <c r="I250" s="357">
        <f>+I249+I248</f>
        <v>35.4575984619729</v>
      </c>
      <c r="K250" s="357">
        <f>+K249+K248</f>
        <v>1827.16149</v>
      </c>
      <c r="L250" s="357">
        <f>+L249+L248</f>
        <v>39.4320195524095</v>
      </c>
      <c r="N250" s="357">
        <f>+N249+N248</f>
        <v>1592.66516</v>
      </c>
      <c r="O250" s="357">
        <f>+O249+O248</f>
        <v>32.2643510321496</v>
      </c>
      <c r="P250" s="244"/>
      <c r="Q250" s="357">
        <f>+Q249+Q248</f>
        <v>1868.73661931904</v>
      </c>
      <c r="R250" s="357">
        <f>+R249+R248</f>
        <v>34.7969726522984</v>
      </c>
      <c r="T250" s="357">
        <f>+T249+T248</f>
        <v>1737.90001</v>
      </c>
      <c r="U250" s="357">
        <f>+U249+U248</f>
        <v>58.5861653856526</v>
      </c>
      <c r="W250" s="357">
        <f>+W249+W248</f>
        <v>1637.4123</v>
      </c>
      <c r="X250" s="357">
        <f>+X249+X248</f>
        <v>39.1191987003369</v>
      </c>
      <c r="Z250" s="357">
        <f>+Z249+Z248</f>
        <v>1533.6099</v>
      </c>
      <c r="AA250" s="357">
        <f>+AA249+AA248</f>
        <v>47.9597804672108</v>
      </c>
      <c r="AC250" s="357">
        <f>+AC249+AC248</f>
        <v>1597.57105</v>
      </c>
      <c r="AD250" s="357">
        <f>+AD249+AD248</f>
        <v>56.5151779397198</v>
      </c>
      <c r="AE250" s="127"/>
      <c r="AF250" s="357">
        <f>+AF249+AF248</f>
        <v>1443.0898</v>
      </c>
      <c r="AG250" s="357">
        <f>+AG249+AG248</f>
        <v>55.0566479722254</v>
      </c>
      <c r="AH250" s="127"/>
      <c r="AI250" s="357">
        <f>+AI249+AI248</f>
        <v>1758.90636</v>
      </c>
      <c r="AJ250" s="357">
        <f>+AJ249+AJ248</f>
        <v>51.696048671526</v>
      </c>
      <c r="AK250" s="265"/>
      <c r="AL250" s="357">
        <f>+AL249+AL248</f>
        <v>1502.21872</v>
      </c>
      <c r="AM250" s="357">
        <f>+AM249+AM248</f>
        <v>35.6880887558501</v>
      </c>
      <c r="AN250" s="265"/>
      <c r="AO250" s="358">
        <f>+AO249+AO248</f>
        <v>19834.2820350968</v>
      </c>
      <c r="AP250" s="357">
        <f>+AP249+AP248</f>
        <v>41.4854613348131</v>
      </c>
    </row>
    <row r="251" spans="1:42">
      <c r="H251" s="278"/>
      <c r="K251" s="278"/>
      <c r="N251" s="278"/>
      <c r="Q251" s="278"/>
      <c r="T251" s="278"/>
      <c r="W251" s="278"/>
      <c r="Z251" s="278"/>
      <c r="AC251" s="278"/>
      <c r="AF251" s="278"/>
      <c r="AI251" s="278"/>
      <c r="AL251" s="278"/>
      <c r="AO251" s="257"/>
    </row>
    <row r="252" s="244" customFormat="1" spans="1:42">
      <c r="A252" s="340"/>
      <c r="B252" s="298"/>
      <c r="C252" s="298"/>
      <c r="D252" s="359" t="s">
        <v>202</v>
      </c>
      <c r="E252" s="357">
        <f>+E224+E243</f>
        <v>1702.79099577778</v>
      </c>
      <c r="F252" s="357">
        <f>+F224+F243</f>
        <v>35.0577710110514</v>
      </c>
      <c r="G252" s="247"/>
      <c r="H252" s="357">
        <f>+H224+H243</f>
        <v>1632.21963</v>
      </c>
      <c r="I252" s="357">
        <f>+I224+I243</f>
        <v>35.4575984619729</v>
      </c>
      <c r="J252" s="247"/>
      <c r="K252" s="357">
        <f>+K224+K243</f>
        <v>1827.16149</v>
      </c>
      <c r="L252" s="357">
        <f>+L224+L243</f>
        <v>39.4320195524095</v>
      </c>
      <c r="M252" s="248"/>
      <c r="N252" s="357">
        <f>+N224+N243</f>
        <v>1592.66516</v>
      </c>
      <c r="O252" s="357">
        <f>+O224+O243</f>
        <v>32.2643510321496</v>
      </c>
      <c r="Q252" s="357">
        <f>+Q224+Q243</f>
        <v>1868.73661931903</v>
      </c>
      <c r="R252" s="357">
        <f>+R224+R243</f>
        <v>34.7969726522984</v>
      </c>
      <c r="T252" s="357">
        <f>+T224+T243</f>
        <v>1737.90001</v>
      </c>
      <c r="U252" s="357">
        <f>+U224+U243</f>
        <v>58.5861653856526</v>
      </c>
      <c r="W252" s="357">
        <f>+W224+W243</f>
        <v>1637.4123</v>
      </c>
      <c r="X252" s="357">
        <f>+X224+X243</f>
        <v>39.1191987003369</v>
      </c>
      <c r="Z252" s="357">
        <f>+Z224+Z243</f>
        <v>1533.6099</v>
      </c>
      <c r="AA252" s="357">
        <f>+AA224+AA243</f>
        <v>47.9597804672108</v>
      </c>
      <c r="AC252" s="357">
        <f>+AC224+AC243</f>
        <v>1597.57105</v>
      </c>
      <c r="AD252" s="357">
        <f>+AD224+AD243</f>
        <v>56.5151779397198</v>
      </c>
      <c r="AF252" s="357">
        <f>+AF224+AF243</f>
        <v>1443.0898</v>
      </c>
      <c r="AG252" s="357">
        <f>+AG224+AG243</f>
        <v>55.0566479722254</v>
      </c>
      <c r="AI252" s="357">
        <f>+AI224+AI243</f>
        <v>1758.90636</v>
      </c>
      <c r="AJ252" s="357">
        <f>+AJ224+AJ243</f>
        <v>51.696048671526</v>
      </c>
      <c r="AK252" s="248"/>
      <c r="AL252" s="357">
        <f>+AL224+AL243</f>
        <v>1502.21872</v>
      </c>
      <c r="AM252" s="357">
        <f>+AM224+AM243</f>
        <v>35.6880887558501</v>
      </c>
      <c r="AN252" s="248"/>
      <c r="AO252" s="358">
        <f>+AO224+AO243</f>
        <v>19834.2820350968</v>
      </c>
      <c r="AP252" s="357">
        <f>+AP224+AP243</f>
        <v>41.4854613348131</v>
      </c>
    </row>
    <row r="253" spans="1:42">
      <c r="D253" s="121" t="s">
        <v>203</v>
      </c>
      <c r="E253" s="357">
        <f>+E252-E250</f>
        <v>0</v>
      </c>
      <c r="F253" s="357">
        <f>+F252-F250</f>
        <v>0</v>
      </c>
      <c r="H253" s="357">
        <f>+H252-H250</f>
        <v>0</v>
      </c>
      <c r="I253" s="357">
        <f>+I252-I250</f>
        <v>0</v>
      </c>
      <c r="K253" s="357">
        <f>+K252-K250</f>
        <v>0</v>
      </c>
      <c r="L253" s="357">
        <f>+L252-L250</f>
        <v>0</v>
      </c>
      <c r="N253" s="357">
        <f>+N252-N250</f>
        <v>0</v>
      </c>
      <c r="O253" s="357">
        <f>+O252-O250</f>
        <v>0</v>
      </c>
      <c r="Q253" s="357">
        <f>+Q252-Q250</f>
        <v>0</v>
      </c>
      <c r="R253" s="357">
        <f>+R252-R250</f>
        <v>0</v>
      </c>
      <c r="T253" s="357">
        <f>+T252-T250</f>
        <v>0</v>
      </c>
      <c r="U253" s="357">
        <f>+U252-U250</f>
        <v>0</v>
      </c>
      <c r="W253" s="357">
        <f>+W252-W250</f>
        <v>0</v>
      </c>
      <c r="X253" s="357">
        <f>+X252-X250</f>
        <v>0</v>
      </c>
      <c r="Z253" s="357">
        <f>+Z252-Z250</f>
        <v>0</v>
      </c>
      <c r="AA253" s="357">
        <f>+AA252-AA250</f>
        <v>0</v>
      </c>
      <c r="AC253" s="357">
        <f>+AC252-AC250</f>
        <v>0</v>
      </c>
      <c r="AD253" s="357">
        <f>+AD252-AD250</f>
        <v>0</v>
      </c>
      <c r="AF253" s="357">
        <f>+AF252-AF250</f>
        <v>0</v>
      </c>
      <c r="AG253" s="357">
        <f>+AG252-AG250</f>
        <v>0</v>
      </c>
      <c r="AI253" s="357">
        <f>+AI252-AI250</f>
        <v>0</v>
      </c>
      <c r="AJ253" s="357">
        <f>+AJ252-AJ250</f>
        <v>0</v>
      </c>
      <c r="AL253" s="357">
        <f>+AL252-AL250</f>
        <v>0</v>
      </c>
      <c r="AM253" s="357">
        <f>+AM252-AM250</f>
        <v>0</v>
      </c>
      <c r="AO253" s="358">
        <f>+AO252-AO250</f>
        <v>0</v>
      </c>
      <c r="AP253" s="357">
        <f>+AP252-AP250</f>
        <v>0</v>
      </c>
    </row>
    <row r="255" spans="1:42">
      <c r="E255" s="297"/>
      <c r="H255" s="278"/>
      <c r="K255" s="278"/>
      <c r="N255" s="278"/>
      <c r="Q255" s="278"/>
      <c r="T255" s="278"/>
      <c r="W255" s="278"/>
      <c r="Z255" s="278"/>
      <c r="AC255" s="278"/>
      <c r="AF255" s="278"/>
      <c r="AI255" s="278"/>
      <c r="AL255" s="278"/>
      <c r="AO255" s="278"/>
    </row>
    <row r="256" s="244" customFormat="1" spans="1:42">
      <c r="A256" s="340"/>
      <c r="B256" s="298"/>
      <c r="C256" s="298"/>
      <c r="D256" s="298"/>
      <c r="E256" s="278"/>
      <c r="F256" s="278"/>
      <c r="G256" s="247"/>
      <c r="H256" s="278"/>
      <c r="I256" s="278"/>
      <c r="J256" s="247"/>
      <c r="K256" s="278"/>
      <c r="L256" s="278"/>
      <c r="M256" s="248"/>
      <c r="N256" s="278"/>
      <c r="O256" s="278"/>
      <c r="Q256" s="278"/>
      <c r="R256" s="278"/>
      <c r="T256" s="278"/>
      <c r="U256" s="278"/>
      <c r="W256" s="278"/>
      <c r="X256" s="278"/>
      <c r="Z256" s="278"/>
      <c r="AA256" s="278"/>
      <c r="AC256" s="278"/>
      <c r="AD256" s="278"/>
      <c r="AF256" s="278"/>
      <c r="AG256" s="278"/>
      <c r="AI256" s="278"/>
      <c r="AJ256" s="278"/>
      <c r="AK256" s="248"/>
      <c r="AL256" s="278"/>
      <c r="AM256" s="278"/>
      <c r="AN256" s="248"/>
      <c r="AO256" s="297"/>
      <c r="AP256" s="278"/>
    </row>
    <row r="257" spans="5:41">
      <c r="H257" s="278"/>
      <c r="K257" s="278"/>
    </row>
    <row r="258" spans="5:41">
      <c r="E258" s="297"/>
      <c r="F258" s="297"/>
      <c r="H258" s="360"/>
      <c r="I258" s="297"/>
      <c r="K258" s="297"/>
      <c r="L258" s="297"/>
      <c r="N258" s="297"/>
      <c r="Q258" s="278"/>
      <c r="AO258" s="297"/>
    </row>
    <row r="259" spans="5:41">
      <c r="H259" s="278"/>
      <c r="K259" s="361"/>
      <c r="AO259" s="278"/>
    </row>
    <row r="260" spans="5:41">
      <c r="E260" s="297"/>
      <c r="H260" s="297"/>
      <c r="K260" s="297"/>
      <c r="N260" s="297"/>
    </row>
    <row r="262" spans="5:41">
      <c r="E262" s="297"/>
    </row>
    <row r="264" spans="5:41">
      <c r="E264" s="361"/>
    </row>
  </sheetData>
  <autoFilter xmlns:etc="http://www.wps.cn/officeDocument/2017/etCustomData" ref="A1:AR243" etc:filterBottomFollowUsedRange="0">
    <extLst/>
  </autoFilter>
  <mergeCells count="1">
    <mergeCell ref="B234:D234"/>
  </mergeCells>
  <pageMargins left="0.7" right="0.7" top="0.75" bottom="0.75" header="0.3" footer="0.3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C199"/>
  <sheetViews>
    <sheetView showGridLines="0" zoomScale="80" zoomScaleNormal="80" workbookViewId="0">
      <pane xSplit="4" ySplit="4" topLeftCell="E5" activePane="bottomRight" state="frozen"/>
      <selection/>
      <selection pane="topRight"/>
      <selection pane="bottomLeft"/>
      <selection pane="bottomRight" activeCell="AT2" sqref="AT2"/>
    </sheetView>
  </sheetViews>
  <sheetFormatPr defaultColWidth="8.77777777777778" defaultRowHeight="14.4"/>
  <cols>
    <col min="1" max="1" width="12.3333333333333" style="121" hidden="1" customWidth="1"/>
    <col min="2" max="2" width="13.8888888888889" style="121" customWidth="1"/>
    <col min="3" max="3" width="51.8888888888889" style="121" customWidth="1"/>
    <col min="4" max="4" width="47.4444444444444" style="121" customWidth="1"/>
    <col min="5" max="6" width="12.5555555555556" style="126" customWidth="1"/>
    <col min="7" max="7" width="17.8888888888889" style="126" customWidth="1"/>
    <col min="8" max="8" width="3.22222222222222" style="127" customWidth="1"/>
    <col min="9" max="10" width="12.5555555555556" style="126" customWidth="1"/>
    <col min="11" max="11" width="17.8888888888889" style="126" customWidth="1"/>
    <col min="12" max="12" width="5.11111111111111" style="127" customWidth="1"/>
    <col min="13" max="14" width="12.5555555555556" style="126" customWidth="1"/>
    <col min="15" max="15" width="17.8888888888889" style="126" customWidth="1"/>
    <col min="16" max="16" width="4.88888888888889" style="127" customWidth="1"/>
    <col min="17" max="18" width="12.5555555555556" style="126" customWidth="1"/>
    <col min="19" max="19" width="17.8888888888889" style="126" customWidth="1"/>
    <col min="20" max="20" width="8.77777777777778" style="127"/>
    <col min="21" max="22" width="12.5555555555556" style="126" customWidth="1"/>
    <col min="23" max="23" width="17.8888888888889" style="126" customWidth="1"/>
    <col min="24" max="24" width="8.77777777777778" style="127"/>
    <col min="25" max="26" width="12.5555555555556" style="126" customWidth="1"/>
    <col min="27" max="27" width="17.8888888888889" style="126" customWidth="1"/>
    <col min="28" max="28" width="8.77777777777778" style="127"/>
    <col min="29" max="30" width="12.5555555555556" style="126" customWidth="1"/>
    <col min="31" max="31" width="17.8888888888889" style="126" customWidth="1"/>
    <col min="32" max="32" width="8.77777777777778" style="127"/>
    <col min="33" max="34" width="12.5555555555556" style="126" customWidth="1"/>
    <col min="35" max="35" width="17.8888888888889" style="126" customWidth="1"/>
    <col min="36" max="36" width="8.77777777777778" style="127"/>
    <col min="37" max="38" width="12.5555555555556" style="126" customWidth="1"/>
    <col min="39" max="39" width="17.8888888888889" style="126" customWidth="1"/>
    <col min="40" max="40" width="8.77777777777778" style="127"/>
    <col min="41" max="42" width="12.5555555555556" style="126" customWidth="1"/>
    <col min="43" max="43" width="17.8888888888889" style="126" customWidth="1"/>
    <col min="44" max="44" width="8.77777777777778" style="127"/>
    <col min="45" max="46" width="12.5555555555556" style="126" customWidth="1"/>
    <col min="47" max="47" width="17.8888888888889" style="126" customWidth="1"/>
    <col min="48" max="48" width="8.77777777777778" style="127"/>
    <col min="49" max="50" width="12.5555555555556" style="126" customWidth="1"/>
    <col min="51" max="51" width="17.8888888888889" style="126" customWidth="1"/>
    <col min="52" max="52" width="8.77777777777778" style="127"/>
    <col min="53" max="53" width="14" style="127" customWidth="1"/>
    <col min="54" max="54" width="15.4444444444444" style="127" customWidth="1"/>
    <col min="55" max="16384" width="8.77777777777778" style="127"/>
  </cols>
  <sheetData>
    <row r="1" s="119" customFormat="1" spans="1:55">
      <c r="A1" s="128"/>
      <c r="B1" s="129" t="s">
        <v>14</v>
      </c>
      <c r="C1" s="128"/>
      <c r="D1" s="130" t="s">
        <v>15</v>
      </c>
      <c r="E1" s="131"/>
      <c r="F1" s="132">
        <f>'2024_ACT@ACT FX old format '!E3</f>
        <v>16045</v>
      </c>
      <c r="G1" s="133"/>
      <c r="H1" s="134"/>
      <c r="I1" s="131"/>
      <c r="J1" s="132">
        <f>'2024_ACT@ACT FX old format '!F3</f>
        <v>19752</v>
      </c>
      <c r="K1" s="133"/>
      <c r="M1" s="131"/>
      <c r="N1" s="132">
        <f>'2024_ACT@ACT FX old format '!G3</f>
        <v>20037</v>
      </c>
      <c r="O1" s="133"/>
      <c r="Q1" s="131"/>
      <c r="R1" s="132">
        <f>'2024_ACT@ACT FX old format '!H3</f>
        <v>28043</v>
      </c>
      <c r="S1" s="133"/>
      <c r="U1" s="131"/>
      <c r="V1" s="132">
        <f>'2024_ACT@ACT FX old format '!I3</f>
        <v>40794</v>
      </c>
      <c r="W1" s="133"/>
      <c r="Y1" s="131"/>
      <c r="Z1" s="132">
        <f>'2024_ACT@ACT FX old format '!J3</f>
        <v>30976</v>
      </c>
      <c r="AA1" s="133"/>
      <c r="AC1" s="131"/>
      <c r="AD1" s="132">
        <f>'2024_ACT@ACT FX old format '!K3</f>
        <v>34477</v>
      </c>
      <c r="AE1" s="133"/>
      <c r="AG1" s="131"/>
      <c r="AH1" s="132">
        <f>'2024_ACT@ACT FX old format '!L3</f>
        <v>25578</v>
      </c>
      <c r="AI1" s="133"/>
      <c r="AK1" s="131"/>
      <c r="AL1" s="132">
        <f>'2024_ACT@ACT FX old format '!M3</f>
        <v>40104</v>
      </c>
      <c r="AM1" s="133"/>
      <c r="AO1" s="131"/>
      <c r="AP1" s="132">
        <f>'2024_ACT@ACT FX old format '!N3</f>
        <v>41187</v>
      </c>
      <c r="AQ1" s="133"/>
      <c r="AS1" s="131"/>
      <c r="AT1" s="132">
        <f>'2024_ACT@ACT FX old format '!O3</f>
        <v>43110</v>
      </c>
      <c r="AU1" s="133"/>
      <c r="AW1" s="131"/>
      <c r="AX1" s="132">
        <f>'2024_ACT@ACT FX old format '!P3</f>
        <v>26153</v>
      </c>
      <c r="AY1" s="133"/>
      <c r="BB1" s="135">
        <f>SUM(E1:AX1)</f>
        <v>366256</v>
      </c>
    </row>
    <row r="2" s="119" customFormat="1" spans="1:55">
      <c r="A2" s="128"/>
      <c r="B2" s="128"/>
      <c r="C2" s="128"/>
      <c r="D2" s="130" t="s">
        <v>204</v>
      </c>
      <c r="E2" s="131"/>
      <c r="F2" s="131">
        <v>32.8165</v>
      </c>
      <c r="G2" s="131"/>
      <c r="H2" s="136"/>
      <c r="I2" s="131"/>
      <c r="J2" s="131">
        <f>'2024_ACT@ACT FX old format '!F2</f>
        <v>33.2644</v>
      </c>
      <c r="K2" s="131"/>
      <c r="M2" s="131"/>
      <c r="N2" s="131">
        <f>'2024_ACT@ACT FX old format '!G2</f>
        <v>34.8229</v>
      </c>
      <c r="O2" s="131"/>
      <c r="Q2" s="131"/>
      <c r="R2" s="131">
        <f>'2024_ACT@ACT FX old format '!H2</f>
        <v>34.6926</v>
      </c>
      <c r="S2" s="131"/>
      <c r="U2" s="131"/>
      <c r="V2" s="131">
        <f>'2024_ACT@ACT FX old format '!I2</f>
        <v>34.8605</v>
      </c>
      <c r="W2" s="131"/>
      <c r="Y2" s="131"/>
      <c r="Z2" s="131">
        <f>'2024_ACT@ACT FX old format '!J2</f>
        <v>35.0667</v>
      </c>
      <c r="AA2" s="131"/>
      <c r="AC2" s="131"/>
      <c r="AD2" s="131">
        <f>'2024_ACT@ACT FX old format '!K2</f>
        <v>35.6969</v>
      </c>
      <c r="AE2" s="131"/>
      <c r="AG2" s="131"/>
      <c r="AH2" s="131">
        <f>'2024_ACT@ACT FX old format '!L2</f>
        <v>37.1098</v>
      </c>
      <c r="AI2" s="131"/>
      <c r="AK2" s="131"/>
      <c r="AL2" s="131">
        <f>'2024_ACT@ACT FX old format '!M2</f>
        <v>37.8238238095238</v>
      </c>
      <c r="AM2" s="131"/>
      <c r="AO2" s="131"/>
      <c r="AP2" s="131">
        <f>'2024_ACT@ACT FX old format '!N2</f>
        <v>37.3473086956522</v>
      </c>
      <c r="AQ2" s="131"/>
      <c r="AS2" s="131"/>
      <c r="AT2" s="137">
        <f>'2024_ACT@ACT FX old format '!O2</f>
        <v>36.6237</v>
      </c>
      <c r="AU2" s="131"/>
      <c r="AW2" s="131"/>
      <c r="AX2" s="131">
        <f>'2024_ACT@ACT FX old format '!P2</f>
        <v>36.65884</v>
      </c>
      <c r="AY2" s="131"/>
      <c r="BB2" s="138">
        <f>BA191/BB191</f>
        <v>35.6556123543432</v>
      </c>
    </row>
    <row r="4" spans="1:55">
      <c r="A4" s="121" t="s">
        <v>219</v>
      </c>
      <c r="E4" s="139" t="s">
        <v>220</v>
      </c>
      <c r="F4" s="139" t="s">
        <v>221</v>
      </c>
      <c r="G4" s="139" t="s">
        <v>205</v>
      </c>
      <c r="I4" s="139" t="s">
        <v>222</v>
      </c>
      <c r="J4" s="139" t="s">
        <v>223</v>
      </c>
      <c r="K4" s="139" t="s">
        <v>224</v>
      </c>
      <c r="M4" s="139" t="s">
        <v>225</v>
      </c>
      <c r="N4" s="139" t="s">
        <v>226</v>
      </c>
      <c r="O4" s="139" t="s">
        <v>218</v>
      </c>
      <c r="Q4" s="139" t="s">
        <v>227</v>
      </c>
      <c r="R4" s="139" t="s">
        <v>22</v>
      </c>
      <c r="S4" s="139" t="s">
        <v>218</v>
      </c>
      <c r="U4" s="139" t="s">
        <v>228</v>
      </c>
      <c r="V4" s="139" t="s">
        <v>23</v>
      </c>
      <c r="W4" s="139" t="s">
        <v>218</v>
      </c>
      <c r="Y4" s="139" t="s">
        <v>229</v>
      </c>
      <c r="Z4" s="139" t="s">
        <v>230</v>
      </c>
      <c r="AA4" s="139" t="s">
        <v>218</v>
      </c>
      <c r="AC4" s="139" t="s">
        <v>231</v>
      </c>
      <c r="AD4" s="139" t="s">
        <v>25</v>
      </c>
      <c r="AE4" s="139" t="s">
        <v>218</v>
      </c>
      <c r="AG4" s="139" t="s">
        <v>232</v>
      </c>
      <c r="AH4" s="139" t="s">
        <v>233</v>
      </c>
      <c r="AI4" s="139" t="s">
        <v>218</v>
      </c>
      <c r="AK4" s="139" t="s">
        <v>234</v>
      </c>
      <c r="AL4" s="139" t="s">
        <v>235</v>
      </c>
      <c r="AM4" s="139" t="s">
        <v>218</v>
      </c>
      <c r="AO4" s="139" t="s">
        <v>236</v>
      </c>
      <c r="AP4" s="139" t="s">
        <v>237</v>
      </c>
      <c r="AQ4" s="139" t="s">
        <v>218</v>
      </c>
      <c r="AS4" s="139" t="s">
        <v>238</v>
      </c>
      <c r="AT4" s="139" t="s">
        <v>29</v>
      </c>
      <c r="AU4" s="139" t="s">
        <v>218</v>
      </c>
      <c r="AW4" s="139" t="s">
        <v>239</v>
      </c>
      <c r="AX4" s="139" t="s">
        <v>240</v>
      </c>
      <c r="AY4" s="139" t="s">
        <v>218</v>
      </c>
      <c r="BA4" s="139" t="s">
        <v>241</v>
      </c>
      <c r="BB4" s="139" t="s">
        <v>242</v>
      </c>
      <c r="BC4" s="139" t="s">
        <v>218</v>
      </c>
    </row>
    <row r="5" outlineLevel="1" spans="1:55">
      <c r="A5" s="140">
        <v>6666110101</v>
      </c>
      <c r="B5" s="140">
        <v>6666110101</v>
      </c>
      <c r="C5" s="140" t="s">
        <v>33</v>
      </c>
      <c r="D5" s="140" t="s">
        <v>34</v>
      </c>
      <c r="E5" s="141">
        <f>VLOOKUP(B5,'2024 by account '!$A$2:$M$102,2,0)/1000</f>
        <v>229.04796</v>
      </c>
      <c r="F5" s="141">
        <f>E5/$F$2</f>
        <v>6.979658403547</v>
      </c>
      <c r="G5" s="142">
        <f>F5/$F$1*1000</f>
        <v>0.435005198102025</v>
      </c>
      <c r="H5" s="121"/>
      <c r="I5" s="143">
        <f>VLOOKUP(B5,'2024 by account '!$A$2:$M$102,3,0)/1000</f>
        <v>215.43536</v>
      </c>
      <c r="J5" s="141">
        <f>I5/$J$2</f>
        <v>6.47645410709347</v>
      </c>
      <c r="K5" s="142">
        <f>J5/$J$1*1000</f>
        <v>0.327888523040374</v>
      </c>
      <c r="L5" s="144"/>
      <c r="M5" s="141">
        <f>VLOOKUP(B5,'2024 by account '!$A$2:$M$102,4,0)/1000</f>
        <v>244.15648</v>
      </c>
      <c r="N5" s="141">
        <f>M5/$N$2</f>
        <v>7.01137699617206</v>
      </c>
      <c r="O5" s="142">
        <f>N5/$N$1*1000</f>
        <v>0.349921495042774</v>
      </c>
      <c r="P5" s="144"/>
      <c r="Q5" s="141">
        <f>VLOOKUP(B5,'2024 by account '!$A$2:$M$102,5,0)/1000</f>
        <v>249.92684</v>
      </c>
      <c r="R5" s="141">
        <f>Q5/$R$2</f>
        <v>7.20403890166779</v>
      </c>
      <c r="S5" s="142">
        <f>R5/$R$1*1000</f>
        <v>0.256892590010619</v>
      </c>
      <c r="T5" s="144"/>
      <c r="U5" s="141">
        <f>VLOOKUP(B5,'2024 by account '!$A$2:$M$102,6,0)/1000</f>
        <v>244.15647</v>
      </c>
      <c r="V5" s="141">
        <f>U5/$V$2</f>
        <v>7.00381434574949</v>
      </c>
      <c r="W5" s="142">
        <f>V5/$V$1*1000</f>
        <v>0.171687364459222</v>
      </c>
      <c r="X5" s="144"/>
      <c r="Y5" s="141">
        <f>VLOOKUP(B5,'2024 by account '!$A$2:$M$102,7,0)/1000</f>
        <v>236.28043</v>
      </c>
      <c r="Z5" s="141">
        <f>Y5/$Z$2</f>
        <v>6.73802867107541</v>
      </c>
      <c r="AA5" s="142">
        <f>Z5/$Z$1*1000</f>
        <v>0.217524169391639</v>
      </c>
      <c r="AB5" s="144"/>
      <c r="AC5" s="141">
        <f>VLOOKUP(B5,'2024 by account '!$A$2:$M$102,8,0)/1000</f>
        <v>244.15648</v>
      </c>
      <c r="AD5" s="141">
        <f>AC5/$AD$2</f>
        <v>6.83971101132031</v>
      </c>
      <c r="AE5" s="142">
        <f>AD5/$AD$1*1000</f>
        <v>0.198384749581469</v>
      </c>
      <c r="AF5" s="144"/>
      <c r="AG5" s="141">
        <f>VLOOKUP(B5,'2024 by account '!$A$2:$M$102,9,0)/1000</f>
        <v>244.15647</v>
      </c>
      <c r="AH5" s="141">
        <f>AG5/$AH$2</f>
        <v>6.5792989991862</v>
      </c>
      <c r="AI5" s="142">
        <f>AH5/$AH$1*1000</f>
        <v>0.257224919821182</v>
      </c>
      <c r="AJ5" s="144"/>
      <c r="AK5" s="141">
        <f>VLOOKUP(B5,'2024 by account '!$A$2:$M$102,10,0)/1000</f>
        <v>236.28045</v>
      </c>
      <c r="AL5" s="141">
        <f>AK5/$AL$2</f>
        <v>6.24686840732655</v>
      </c>
      <c r="AM5" s="142">
        <f>AL5/$AL$1*1000</f>
        <v>0.155766716719692</v>
      </c>
      <c r="AN5" s="144"/>
      <c r="AO5" s="141">
        <f>VLOOKUP(B5,'2024 by account '!$A$2:$M$102,11,0)/1000</f>
        <v>263.51746</v>
      </c>
      <c r="AP5" s="141">
        <f>AO5/$AP$2</f>
        <v>7.055862101</v>
      </c>
      <c r="AQ5" s="142">
        <f>AP5/$AP$1*1000</f>
        <v>0.171312843882779</v>
      </c>
      <c r="AR5" s="144"/>
      <c r="AS5" s="141">
        <f>VLOOKUP(B5,'2024 by account '!$A$2:$M$102,12,0)/1000</f>
        <v>325.48604</v>
      </c>
      <c r="AT5" s="141">
        <f>AS5/$AT$2</f>
        <v>8.88730630711807</v>
      </c>
      <c r="AU5" s="142">
        <f>AT5/$AT$1*1000</f>
        <v>0.206154170891164</v>
      </c>
      <c r="AV5" s="144"/>
      <c r="AW5" s="145">
        <f>VLOOKUP(B5,'2024 by account '!$A$2:$M$102,13,0)/1000</f>
        <v>341.7917</v>
      </c>
      <c r="AX5" s="146">
        <f>AW5/$AX$2</f>
        <v>9.32358197913518</v>
      </c>
      <c r="AY5" s="147">
        <f>AX5/$AX$1*1000</f>
        <v>0.356501433072121</v>
      </c>
      <c r="AZ5" s="121"/>
      <c r="BA5" s="145">
        <f t="shared" ref="BA5:BA36" si="0">SUM(AW5,AS5,AO5,AK5,AG5,AC5,Y5,U5,Q5,M5,I5,E5)</f>
        <v>3074.39214</v>
      </c>
      <c r="BB5" s="146">
        <f t="shared" ref="BB5:BB36" si="1">SUM(AX5,AT5,AP5,AL5,AH5,AD5,Z5,V5,R5,N5,J5,F5)</f>
        <v>86.3460002303915</v>
      </c>
      <c r="BC5" s="147">
        <f>BB5/$BB$1*1000</f>
        <v>0.235753135048686</v>
      </c>
    </row>
    <row r="6" outlineLevel="1" spans="1:55">
      <c r="A6" s="140">
        <v>6666110106</v>
      </c>
      <c r="B6" s="140">
        <v>6666110106</v>
      </c>
      <c r="C6" s="140" t="s">
        <v>35</v>
      </c>
      <c r="D6" s="140" t="s">
        <v>34</v>
      </c>
      <c r="E6" s="141">
        <f>VLOOKUP(B6,'2024 by account '!$A$2:$M$102,2,0)/1000</f>
        <v>119.52379</v>
      </c>
      <c r="F6" s="141">
        <f t="shared" ref="F6:F69" si="2">E6/$F$2</f>
        <v>3.64218579068456</v>
      </c>
      <c r="G6" s="142">
        <f t="shared" ref="G6:G69" si="3">F6/$F$1*1000</f>
        <v>0.226998179537835</v>
      </c>
      <c r="H6" s="121"/>
      <c r="I6" s="143">
        <f>VLOOKUP(B6,'2024 by account '!$A$2:$M$102,3,0)/1000</f>
        <v>111.81259</v>
      </c>
      <c r="J6" s="141">
        <f>I6/$J$2</f>
        <v>3.36132892822357</v>
      </c>
      <c r="K6" s="142">
        <f t="shared" ref="K6:K69" si="4">J6/$J$1*1000</f>
        <v>0.170176636706337</v>
      </c>
      <c r="L6" s="144"/>
      <c r="M6" s="141">
        <f>VLOOKUP(B6,'2024 by account '!$A$2:$M$102,4,0)/1000</f>
        <v>119.52379</v>
      </c>
      <c r="N6" s="141">
        <f t="shared" ref="N6:N12" si="5">M6/$N$2</f>
        <v>3.43233303372206</v>
      </c>
      <c r="O6" s="142">
        <f t="shared" ref="O6:O69" si="6">N6/$N$1*1000</f>
        <v>0.171299747153868</v>
      </c>
      <c r="P6" s="144"/>
      <c r="Q6" s="141">
        <f>VLOOKUP(B6,'2024 by account '!$A$2:$M$102,5,0)/1000</f>
        <v>115.66819</v>
      </c>
      <c r="R6" s="141">
        <f t="shared" ref="R6:R69" si="7">Q6/$R$2</f>
        <v>3.3340882493673</v>
      </c>
      <c r="S6" s="142">
        <f t="shared" ref="S6:S69" si="8">R6/$R$1*1000</f>
        <v>0.118891996197529</v>
      </c>
      <c r="T6" s="144"/>
      <c r="U6" s="141">
        <f>VLOOKUP(B6,'2024 by account '!$A$2:$M$102,6,0)/1000</f>
        <v>119.52379</v>
      </c>
      <c r="V6" s="141">
        <f t="shared" ref="V6:V69" si="9">U6/$V$2</f>
        <v>3.42863097201704</v>
      </c>
      <c r="W6" s="142">
        <f t="shared" ref="W6:W69" si="10">V6/$V$1*1000</f>
        <v>0.0840474327601372</v>
      </c>
      <c r="X6" s="144"/>
      <c r="Y6" s="141">
        <f>VLOOKUP(B6,'2024 by account '!$A$2:$M$102,7,0)/1000</f>
        <v>115.66819</v>
      </c>
      <c r="Z6" s="141">
        <f t="shared" ref="Z6:Z69" si="11">Y6/$Z$2</f>
        <v>3.2985193930424</v>
      </c>
      <c r="AA6" s="142">
        <f t="shared" ref="AA6:AA69" si="12">Z6/$Z$1*1000</f>
        <v>0.106486292389024</v>
      </c>
      <c r="AB6" s="144"/>
      <c r="AC6" s="141">
        <f>VLOOKUP(B6,'2024 by account '!$A$2:$M$102,8,0)/1000</f>
        <v>119.5238</v>
      </c>
      <c r="AD6" s="141">
        <f t="shared" ref="AD6:AD69" si="13">AC6/$AD$2</f>
        <v>3.3482963506635</v>
      </c>
      <c r="AE6" s="142">
        <f t="shared" ref="AE6:AE69" si="14">AD6/$AD$1*1000</f>
        <v>0.0971168126769587</v>
      </c>
      <c r="AF6" s="144"/>
      <c r="AG6" s="141">
        <f>VLOOKUP(B6,'2024 by account '!$A$2:$M$102,9,0)/1000</f>
        <v>119.52379</v>
      </c>
      <c r="AH6" s="141">
        <f t="shared" ref="AH6:AH69" si="15">AG6/$AH$2</f>
        <v>3.22081471740618</v>
      </c>
      <c r="AI6" s="142">
        <f t="shared" ref="AI6:AI69" si="16">AH6/$AH$1*1000</f>
        <v>0.125921288505989</v>
      </c>
      <c r="AJ6" s="144"/>
      <c r="AK6" s="141">
        <f>VLOOKUP(B6,'2024 by account '!$A$2:$M$102,10,0)/1000</f>
        <v>-940.76793</v>
      </c>
      <c r="AL6" s="141">
        <f t="shared" ref="AL6:AL69" si="17">AK6/$AL$2</f>
        <v>-24.8723644319409</v>
      </c>
      <c r="AM6" s="142">
        <f t="shared" ref="AM6:AM69" si="18">AL6/$AL$1*1000</f>
        <v>-0.62019659963946</v>
      </c>
      <c r="AN6" s="144"/>
      <c r="AO6" s="141">
        <f>VLOOKUP(B6,'2024 by account '!$A$2:$M$102,11,0)/1000</f>
        <v>0</v>
      </c>
      <c r="AP6" s="141">
        <f t="shared" ref="AP6:AP69" si="19">AO6/$AP$2</f>
        <v>0</v>
      </c>
      <c r="AQ6" s="142">
        <f t="shared" ref="AQ6:AQ69" si="20">AP6/$AP$1*1000</f>
        <v>0</v>
      </c>
      <c r="AR6" s="144"/>
      <c r="AS6" s="141">
        <f>VLOOKUP(B6,'2024 by account '!$A$2:$M$102,12,0)/1000</f>
        <v>0</v>
      </c>
      <c r="AT6" s="141">
        <f t="shared" ref="AT6:AT69" si="21">AS6/$AT$2</f>
        <v>0</v>
      </c>
      <c r="AU6" s="142">
        <f t="shared" ref="AU6:AU69" si="22">AT6/$AT$1*1000</f>
        <v>0</v>
      </c>
      <c r="AV6" s="144"/>
      <c r="AW6" s="143">
        <f>VLOOKUP(B6,'2024 by account '!$A$2:$M$102,13,0)/1000</f>
        <v>0</v>
      </c>
      <c r="AX6" s="141">
        <f t="shared" ref="AX6:AX69" si="23">AW6/$AX$2</f>
        <v>0</v>
      </c>
      <c r="AY6" s="142">
        <f t="shared" ref="AY6:AY69" si="24">AX6/$AX$1*1000</f>
        <v>0</v>
      </c>
      <c r="AZ6" s="121"/>
      <c r="BA6" s="143">
        <f t="shared" si="0"/>
        <v>-1.70530256582424e-13</v>
      </c>
      <c r="BB6" s="141">
        <f t="shared" si="1"/>
        <v>2.19383300318571</v>
      </c>
      <c r="BC6" s="142">
        <f t="shared" ref="BC6:BC69" si="25">BB6/$BB$1*1000</f>
        <v>0.00598988959412462</v>
      </c>
    </row>
    <row r="7" outlineLevel="1" spans="1:55">
      <c r="A7" s="140">
        <v>6666110107</v>
      </c>
      <c r="B7" s="140">
        <v>6666110107</v>
      </c>
      <c r="C7" s="140" t="s">
        <v>36</v>
      </c>
      <c r="D7" s="140" t="s">
        <v>34</v>
      </c>
      <c r="E7" s="141">
        <f>VLOOKUP(B7,'2024 by account '!$A$2:$M$102,2,0)/1000</f>
        <v>1169.8779</v>
      </c>
      <c r="F7" s="141">
        <f t="shared" si="2"/>
        <v>35.6490759221733</v>
      </c>
      <c r="G7" s="142">
        <f t="shared" si="3"/>
        <v>2.22181838093944</v>
      </c>
      <c r="H7" s="121"/>
      <c r="I7" s="143">
        <f>VLOOKUP(B7,'2024 by account '!$A$2:$M$102,3,0)/1000</f>
        <v>1865.98216</v>
      </c>
      <c r="J7" s="141">
        <f t="shared" ref="J7:J12" si="26">I7/$J$2</f>
        <v>56.0954702324407</v>
      </c>
      <c r="K7" s="142">
        <f t="shared" si="4"/>
        <v>2.83998937993321</v>
      </c>
      <c r="L7" s="144"/>
      <c r="M7" s="141">
        <f>VLOOKUP(B7,'2024 by account '!$A$2:$M$102,4,0)/1000</f>
        <v>1963.73176</v>
      </c>
      <c r="N7" s="141">
        <f t="shared" si="5"/>
        <v>56.3919650574766</v>
      </c>
      <c r="O7" s="142">
        <f t="shared" si="6"/>
        <v>2.81439162836136</v>
      </c>
      <c r="P7" s="144"/>
      <c r="Q7" s="141">
        <f>VLOOKUP(B7,'2024 by account '!$A$2:$M$102,5,0)/1000</f>
        <v>2713.83932</v>
      </c>
      <c r="R7" s="141">
        <f t="shared" si="7"/>
        <v>78.2253079907531</v>
      </c>
      <c r="S7" s="142">
        <f t="shared" si="8"/>
        <v>2.78947715974586</v>
      </c>
      <c r="T7" s="144"/>
      <c r="U7" s="141">
        <f>VLOOKUP(B7,'2024 by account '!$A$2:$M$102,6,0)/1000</f>
        <v>2884.26654</v>
      </c>
      <c r="V7" s="141">
        <f t="shared" si="9"/>
        <v>82.737382997949</v>
      </c>
      <c r="W7" s="142">
        <f t="shared" si="10"/>
        <v>2.0281752953363</v>
      </c>
      <c r="X7" s="144"/>
      <c r="Y7" s="141">
        <f>VLOOKUP(B7,'2024 by account '!$A$2:$M$102,7,0)/1000</f>
        <v>3089.32145</v>
      </c>
      <c r="Z7" s="141">
        <f t="shared" si="11"/>
        <v>88.0984366935012</v>
      </c>
      <c r="AA7" s="142">
        <f t="shared" si="12"/>
        <v>2.84408692838008</v>
      </c>
      <c r="AB7" s="144"/>
      <c r="AC7" s="141">
        <f>VLOOKUP(B7,'2024 by account '!$A$2:$M$102,8,0)/1000</f>
        <v>3173.63559</v>
      </c>
      <c r="AD7" s="141">
        <f t="shared" si="13"/>
        <v>88.9050755107586</v>
      </c>
      <c r="AE7" s="142">
        <f t="shared" si="14"/>
        <v>2.57867782900944</v>
      </c>
      <c r="AF7" s="144"/>
      <c r="AG7" s="141">
        <f>VLOOKUP(B7,'2024 by account '!$A$2:$M$102,9,0)/1000</f>
        <v>3413.34995</v>
      </c>
      <c r="AH7" s="141">
        <f t="shared" si="15"/>
        <v>91.9797452424966</v>
      </c>
      <c r="AI7" s="142">
        <f t="shared" si="16"/>
        <v>3.59604915327612</v>
      </c>
      <c r="AJ7" s="144"/>
      <c r="AK7" s="141">
        <f>VLOOKUP(B7,'2024 by account '!$A$2:$M$102,10,0)/1000</f>
        <v>3336.53129</v>
      </c>
      <c r="AL7" s="141">
        <f t="shared" si="17"/>
        <v>88.2124268239607</v>
      </c>
      <c r="AM7" s="142">
        <f t="shared" si="18"/>
        <v>2.19959173209557</v>
      </c>
      <c r="AN7" s="144"/>
      <c r="AO7" s="141">
        <f>VLOOKUP(B7,'2024 by account '!$A$2:$M$102,11,0)/1000</f>
        <v>3703.67664</v>
      </c>
      <c r="AP7" s="141">
        <f t="shared" si="19"/>
        <v>99.1685015426872</v>
      </c>
      <c r="AQ7" s="142">
        <f t="shared" si="20"/>
        <v>2.40776219541815</v>
      </c>
      <c r="AR7" s="144"/>
      <c r="AS7" s="141">
        <f>VLOOKUP(B7,'2024 by account '!$A$2:$M$102,12,0)/1000</f>
        <v>4072.31403</v>
      </c>
      <c r="AT7" s="141">
        <f t="shared" si="21"/>
        <v>111.193408366713</v>
      </c>
      <c r="AU7" s="142">
        <f t="shared" si="22"/>
        <v>2.57929502126452</v>
      </c>
      <c r="AV7" s="144"/>
      <c r="AW7" s="143">
        <f>VLOOKUP(B7,'2024 by account '!$A$2:$M$102,13,0)/1000</f>
        <v>4067.68314</v>
      </c>
      <c r="AX7" s="141">
        <f t="shared" si="23"/>
        <v>110.96049793174</v>
      </c>
      <c r="AY7" s="142">
        <f t="shared" si="24"/>
        <v>4.24274453912516</v>
      </c>
      <c r="AZ7" s="121"/>
      <c r="BA7" s="143">
        <f t="shared" si="0"/>
        <v>35454.20977</v>
      </c>
      <c r="BB7" s="141">
        <f t="shared" si="1"/>
        <v>987.617294312651</v>
      </c>
      <c r="BC7" s="142">
        <f t="shared" si="25"/>
        <v>2.69652181619591</v>
      </c>
    </row>
    <row r="8" outlineLevel="1" spans="1:55">
      <c r="A8" s="140">
        <v>6666110110</v>
      </c>
      <c r="B8" s="140">
        <v>6666110110</v>
      </c>
      <c r="C8" s="140" t="s">
        <v>37</v>
      </c>
      <c r="D8" s="140" t="s">
        <v>34</v>
      </c>
      <c r="E8" s="141">
        <f>VLOOKUP(B8,'2024 by account '!$A$2:$M$102,2,0)/1000</f>
        <v>2547.06527</v>
      </c>
      <c r="F8" s="141">
        <f t="shared" si="2"/>
        <v>77.615384638825</v>
      </c>
      <c r="G8" s="142">
        <f t="shared" si="3"/>
        <v>4.83735647484107</v>
      </c>
      <c r="H8" s="121"/>
      <c r="I8" s="143">
        <f>VLOOKUP(B8,'2024 by account '!$A$2:$M$102,3,0)/1000</f>
        <v>2536.59403</v>
      </c>
      <c r="J8" s="141">
        <f t="shared" si="26"/>
        <v>76.2555173097967</v>
      </c>
      <c r="K8" s="142">
        <f t="shared" si="4"/>
        <v>3.86064789944292</v>
      </c>
      <c r="L8" s="144"/>
      <c r="M8" s="141">
        <f>VLOOKUP(B8,'2024 by account '!$A$2:$M$102,4,0)/1000</f>
        <v>2822.7838</v>
      </c>
      <c r="N8" s="141">
        <f t="shared" si="5"/>
        <v>81.0611350576776</v>
      </c>
      <c r="O8" s="142">
        <f t="shared" si="6"/>
        <v>4.04557244386273</v>
      </c>
      <c r="P8" s="144"/>
      <c r="Q8" s="141">
        <f>VLOOKUP(B8,'2024 by account '!$A$2:$M$102,5,0)/1000</f>
        <v>2745.59515</v>
      </c>
      <c r="R8" s="141">
        <f t="shared" si="7"/>
        <v>79.1406567971268</v>
      </c>
      <c r="S8" s="142">
        <f t="shared" si="8"/>
        <v>2.82211806144588</v>
      </c>
      <c r="T8" s="144"/>
      <c r="U8" s="141">
        <f>VLOOKUP(B8,'2024 by account '!$A$2:$M$102,6,0)/1000</f>
        <v>2888.1313</v>
      </c>
      <c r="V8" s="141">
        <f t="shared" si="9"/>
        <v>82.8482465828086</v>
      </c>
      <c r="W8" s="142">
        <f t="shared" si="10"/>
        <v>2.03089293971684</v>
      </c>
      <c r="X8" s="144"/>
      <c r="Y8" s="141">
        <f>VLOOKUP(B8,'2024 by account '!$A$2:$M$102,7,0)/1000</f>
        <v>2815.48937</v>
      </c>
      <c r="Z8" s="141">
        <f t="shared" si="11"/>
        <v>80.2895444966307</v>
      </c>
      <c r="AA8" s="142">
        <f t="shared" si="12"/>
        <v>2.59199200983441</v>
      </c>
      <c r="AB8" s="144"/>
      <c r="AC8" s="141">
        <f>VLOOKUP(B8,'2024 by account '!$A$2:$M$102,8,0)/1000</f>
        <v>2907.51926</v>
      </c>
      <c r="AD8" s="141">
        <f t="shared" si="13"/>
        <v>81.4501892321182</v>
      </c>
      <c r="AE8" s="142">
        <f t="shared" si="14"/>
        <v>2.36245001688425</v>
      </c>
      <c r="AF8" s="144"/>
      <c r="AG8" s="141">
        <f>VLOOKUP(B8,'2024 by account '!$A$2:$M$102,9,0)/1000</f>
        <v>2915.66962</v>
      </c>
      <c r="AH8" s="141">
        <f t="shared" si="15"/>
        <v>78.5687236255652</v>
      </c>
      <c r="AI8" s="142">
        <f t="shared" si="16"/>
        <v>3.0717305350522</v>
      </c>
      <c r="AJ8" s="144"/>
      <c r="AK8" s="141">
        <f>VLOOKUP(B8,'2024 by account '!$A$2:$M$102,10,0)/1000</f>
        <v>2825.88643</v>
      </c>
      <c r="AL8" s="141">
        <f t="shared" si="17"/>
        <v>74.7118124341637</v>
      </c>
      <c r="AM8" s="142">
        <f t="shared" si="18"/>
        <v>1.86295163659894</v>
      </c>
      <c r="AN8" s="144"/>
      <c r="AO8" s="141">
        <f>VLOOKUP(B8,'2024 by account '!$A$2:$M$102,11,0)/1000</f>
        <v>2983.01406</v>
      </c>
      <c r="AP8" s="141">
        <f t="shared" si="19"/>
        <v>79.872262933561</v>
      </c>
      <c r="AQ8" s="142">
        <f t="shared" si="20"/>
        <v>1.93925906071238</v>
      </c>
      <c r="AR8" s="144"/>
      <c r="AS8" s="141">
        <f>VLOOKUP(B8,'2024 by account '!$A$2:$M$102,12,0)/1000</f>
        <v>2675.17019</v>
      </c>
      <c r="AT8" s="141">
        <f t="shared" si="21"/>
        <v>73.0447822038734</v>
      </c>
      <c r="AU8" s="142">
        <f t="shared" si="22"/>
        <v>1.69438140115689</v>
      </c>
      <c r="AV8" s="144"/>
      <c r="AW8" s="143">
        <f>VLOOKUP(B8,'2024 by account '!$A$2:$M$102,13,0)/1000</f>
        <v>2750.06467</v>
      </c>
      <c r="AX8" s="141">
        <f t="shared" si="23"/>
        <v>75.0177766126806</v>
      </c>
      <c r="AY8" s="142">
        <f t="shared" si="24"/>
        <v>2.86841955464691</v>
      </c>
      <c r="AZ8" s="121"/>
      <c r="BA8" s="143">
        <f t="shared" si="0"/>
        <v>33412.98315</v>
      </c>
      <c r="BB8" s="141">
        <f t="shared" si="1"/>
        <v>939.876031924828</v>
      </c>
      <c r="BC8" s="142">
        <f t="shared" si="25"/>
        <v>2.56617238195368</v>
      </c>
    </row>
    <row r="9" outlineLevel="1" spans="1:55">
      <c r="A9" s="140">
        <v>6666110112</v>
      </c>
      <c r="B9" s="140">
        <v>6666110112</v>
      </c>
      <c r="C9" s="140" t="s">
        <v>38</v>
      </c>
      <c r="D9" s="140" t="s">
        <v>34</v>
      </c>
      <c r="E9" s="141">
        <f>VLOOKUP(B9,'2024 by account '!$A$2:$M$102,2,0)/1000</f>
        <v>89.08978</v>
      </c>
      <c r="F9" s="141">
        <f t="shared" si="2"/>
        <v>2.71478615940152</v>
      </c>
      <c r="G9" s="142">
        <f t="shared" si="3"/>
        <v>0.169198264842725</v>
      </c>
      <c r="H9" s="121"/>
      <c r="I9" s="143">
        <f>VLOOKUP(B9,'2024 by account '!$A$2:$M$102,3,0)/1000</f>
        <v>88.55739</v>
      </c>
      <c r="J9" s="141">
        <f t="shared" si="26"/>
        <v>2.66222718582028</v>
      </c>
      <c r="K9" s="142">
        <f t="shared" si="4"/>
        <v>0.13478266432869</v>
      </c>
      <c r="L9" s="144"/>
      <c r="M9" s="141">
        <f>VLOOKUP(B9,'2024 by account '!$A$2:$M$102,4,0)/1000</f>
        <v>213.36808</v>
      </c>
      <c r="N9" s="141">
        <f t="shared" si="5"/>
        <v>6.12723466454546</v>
      </c>
      <c r="O9" s="142">
        <f t="shared" si="6"/>
        <v>0.305796010607649</v>
      </c>
      <c r="P9" s="144"/>
      <c r="Q9" s="141">
        <f>VLOOKUP(B9,'2024 by account '!$A$2:$M$102,5,0)/1000</f>
        <v>206.48513</v>
      </c>
      <c r="R9" s="141">
        <f t="shared" si="7"/>
        <v>5.95184938574797</v>
      </c>
      <c r="S9" s="142">
        <f t="shared" si="8"/>
        <v>0.21224010932311</v>
      </c>
      <c r="T9" s="144"/>
      <c r="U9" s="141">
        <f>VLOOKUP(B9,'2024 by account '!$A$2:$M$102,6,0)/1000</f>
        <v>-119.77734</v>
      </c>
      <c r="V9" s="141">
        <f t="shared" si="9"/>
        <v>-3.43590424692704</v>
      </c>
      <c r="W9" s="142">
        <f t="shared" si="10"/>
        <v>-0.0842257255215727</v>
      </c>
      <c r="X9" s="144"/>
      <c r="Y9" s="141">
        <f>VLOOKUP(B9,'2024 by account '!$A$2:$M$102,7,0)/1000</f>
        <v>99.15121</v>
      </c>
      <c r="Z9" s="141">
        <f t="shared" si="11"/>
        <v>2.82750330085238</v>
      </c>
      <c r="AA9" s="142">
        <f t="shared" si="12"/>
        <v>0.0912804526359884</v>
      </c>
      <c r="AB9" s="144"/>
      <c r="AC9" s="141">
        <f>VLOOKUP(B9,'2024 by account '!$A$2:$M$102,8,0)/1000</f>
        <v>102.44982</v>
      </c>
      <c r="AD9" s="141">
        <f t="shared" si="13"/>
        <v>2.86999207214072</v>
      </c>
      <c r="AE9" s="142">
        <f t="shared" si="14"/>
        <v>0.083243671785269</v>
      </c>
      <c r="AF9" s="144"/>
      <c r="AG9" s="141">
        <f>VLOOKUP(B9,'2024 by account '!$A$2:$M$102,9,0)/1000</f>
        <v>102.44981</v>
      </c>
      <c r="AH9" s="141">
        <f t="shared" si="15"/>
        <v>2.76072115721454</v>
      </c>
      <c r="AI9" s="142">
        <f t="shared" si="16"/>
        <v>0.107933425491224</v>
      </c>
      <c r="AJ9" s="144"/>
      <c r="AK9" s="141">
        <f>VLOOKUP(B9,'2024 by account '!$A$2:$M$102,10,0)/1000</f>
        <v>99.0009</v>
      </c>
      <c r="AL9" s="141">
        <f t="shared" si="17"/>
        <v>2.61742177360376</v>
      </c>
      <c r="AM9" s="142">
        <f t="shared" si="18"/>
        <v>0.0652658531219769</v>
      </c>
      <c r="AN9" s="144"/>
      <c r="AO9" s="141">
        <f>VLOOKUP(B9,'2024 by account '!$A$2:$M$102,11,0)/1000</f>
        <v>131.91101</v>
      </c>
      <c r="AP9" s="141">
        <f t="shared" si="19"/>
        <v>3.53200845273642</v>
      </c>
      <c r="AQ9" s="142">
        <f t="shared" si="20"/>
        <v>0.0857554192521044</v>
      </c>
      <c r="AR9" s="144"/>
      <c r="AS9" s="141">
        <f>VLOOKUP(B9,'2024 by account '!$A$2:$M$102,12,0)/1000</f>
        <v>140.72117</v>
      </c>
      <c r="AT9" s="141">
        <f t="shared" si="21"/>
        <v>3.84235262958139</v>
      </c>
      <c r="AU9" s="142">
        <f t="shared" si="22"/>
        <v>0.0891290333932125</v>
      </c>
      <c r="AV9" s="144"/>
      <c r="AW9" s="143">
        <f>VLOOKUP(B9,'2024 by account '!$A$2:$M$102,13,0)/1000</f>
        <v>143.98687</v>
      </c>
      <c r="AX9" s="141">
        <f t="shared" si="23"/>
        <v>3.92775303310197</v>
      </c>
      <c r="AY9" s="142">
        <f t="shared" si="24"/>
        <v>0.150183651324971</v>
      </c>
      <c r="AZ9" s="121"/>
      <c r="BA9" s="143">
        <f t="shared" si="0"/>
        <v>1297.39383</v>
      </c>
      <c r="BB9" s="141">
        <f t="shared" si="1"/>
        <v>36.3979455678194</v>
      </c>
      <c r="BC9" s="142">
        <f t="shared" si="25"/>
        <v>0.0993784281153602</v>
      </c>
    </row>
    <row r="10" outlineLevel="1" spans="1:55">
      <c r="A10" s="140">
        <v>6666110204</v>
      </c>
      <c r="B10" s="140">
        <v>6666110204</v>
      </c>
      <c r="C10" s="140" t="s">
        <v>39</v>
      </c>
      <c r="D10" s="140" t="s">
        <v>34</v>
      </c>
      <c r="E10" s="141">
        <f>VLOOKUP(B10,'2024 by account '!$A$2:$M$102,2,0)/1000</f>
        <v>0</v>
      </c>
      <c r="F10" s="141">
        <f t="shared" si="2"/>
        <v>0</v>
      </c>
      <c r="G10" s="142">
        <f t="shared" si="3"/>
        <v>0</v>
      </c>
      <c r="H10" s="121"/>
      <c r="I10" s="143">
        <f>VLOOKUP(B10,'2024 by account '!$A$2:$M$102,3,0)/1000</f>
        <v>0</v>
      </c>
      <c r="J10" s="141">
        <f t="shared" si="26"/>
        <v>0</v>
      </c>
      <c r="K10" s="142">
        <f t="shared" si="4"/>
        <v>0</v>
      </c>
      <c r="L10" s="144"/>
      <c r="M10" s="141">
        <f>VLOOKUP(B10,'2024 by account '!$A$2:$M$102,4,0)/1000</f>
        <v>0</v>
      </c>
      <c r="N10" s="141">
        <f t="shared" si="5"/>
        <v>0</v>
      </c>
      <c r="O10" s="142">
        <f t="shared" si="6"/>
        <v>0</v>
      </c>
      <c r="P10" s="144"/>
      <c r="Q10" s="141">
        <f>VLOOKUP(B10,'2024 by account '!$A$2:$M$102,5,0)/1000</f>
        <v>0</v>
      </c>
      <c r="R10" s="141">
        <f t="shared" si="7"/>
        <v>0</v>
      </c>
      <c r="S10" s="142">
        <f t="shared" si="8"/>
        <v>0</v>
      </c>
      <c r="T10" s="144"/>
      <c r="U10" s="141">
        <f>VLOOKUP(B10,'2024 by account '!$A$2:$M$102,6,0)/1000</f>
        <v>0</v>
      </c>
      <c r="V10" s="141">
        <f t="shared" si="9"/>
        <v>0</v>
      </c>
      <c r="W10" s="142">
        <f t="shared" si="10"/>
        <v>0</v>
      </c>
      <c r="X10" s="144"/>
      <c r="Y10" s="141">
        <f>VLOOKUP(B10,'2024 by account '!$A$2:$M$102,7,0)/1000</f>
        <v>8.8359</v>
      </c>
      <c r="Z10" s="141">
        <f t="shared" si="11"/>
        <v>0.251974095081659</v>
      </c>
      <c r="AA10" s="142">
        <f t="shared" si="12"/>
        <v>0.00813449428853495</v>
      </c>
      <c r="AB10" s="144"/>
      <c r="AC10" s="141">
        <f>VLOOKUP(B10,'2024 by account '!$A$2:$M$102,8,0)/1000</f>
        <v>8.8359</v>
      </c>
      <c r="AD10" s="141">
        <f t="shared" si="13"/>
        <v>0.247525695508574</v>
      </c>
      <c r="AE10" s="142">
        <f t="shared" si="14"/>
        <v>0.0071794441369195</v>
      </c>
      <c r="AF10" s="144"/>
      <c r="AG10" s="141">
        <f>VLOOKUP(B10,'2024 by account '!$A$2:$M$102,9,0)/1000</f>
        <v>8.8359</v>
      </c>
      <c r="AH10" s="141">
        <f t="shared" si="15"/>
        <v>0.238101525742526</v>
      </c>
      <c r="AI10" s="142">
        <f t="shared" si="16"/>
        <v>0.00930884063423748</v>
      </c>
      <c r="AJ10" s="144"/>
      <c r="AK10" s="141">
        <f>VLOOKUP(B10,'2024 by account '!$A$2:$M$102,10,0)/1000</f>
        <v>8.8359</v>
      </c>
      <c r="AL10" s="141">
        <f t="shared" si="17"/>
        <v>0.233606735387107</v>
      </c>
      <c r="AM10" s="142">
        <f t="shared" si="18"/>
        <v>0.00582502332403519</v>
      </c>
      <c r="AN10" s="144"/>
      <c r="AO10" s="141">
        <f>VLOOKUP(B10,'2024 by account '!$A$2:$M$102,11,0)/1000</f>
        <v>8.8359</v>
      </c>
      <c r="AP10" s="141">
        <f t="shared" si="19"/>
        <v>0.236587328741807</v>
      </c>
      <c r="AQ10" s="142">
        <f t="shared" si="20"/>
        <v>0.00574422338946286</v>
      </c>
      <c r="AR10" s="144"/>
      <c r="AS10" s="141">
        <f>VLOOKUP(B10,'2024 by account '!$A$2:$M$102,12,0)/1000</f>
        <v>8.83589</v>
      </c>
      <c r="AT10" s="141">
        <f t="shared" si="21"/>
        <v>0.241261532832565</v>
      </c>
      <c r="AU10" s="142">
        <f t="shared" si="22"/>
        <v>0.00559641690634574</v>
      </c>
      <c r="AV10" s="144"/>
      <c r="AW10" s="143">
        <f>VLOOKUP(B10,'2024 by account '!$A$2:$M$102,13,0)/1000</f>
        <v>8.8359</v>
      </c>
      <c r="AX10" s="141">
        <f t="shared" si="23"/>
        <v>0.241030539973442</v>
      </c>
      <c r="AY10" s="142">
        <f t="shared" si="24"/>
        <v>0.00921617175748257</v>
      </c>
      <c r="AZ10" s="121"/>
      <c r="BA10" s="143">
        <f t="shared" si="0"/>
        <v>61.85129</v>
      </c>
      <c r="BB10" s="141">
        <f t="shared" si="1"/>
        <v>1.69008745326768</v>
      </c>
      <c r="BC10" s="142">
        <f t="shared" si="25"/>
        <v>0.00461449765537678</v>
      </c>
    </row>
    <row r="11" outlineLevel="1" spans="1:55">
      <c r="A11" s="140">
        <v>6666110207</v>
      </c>
      <c r="B11" s="140">
        <v>6666110207</v>
      </c>
      <c r="C11" s="140" t="s">
        <v>40</v>
      </c>
      <c r="D11" s="140" t="s">
        <v>34</v>
      </c>
      <c r="E11" s="141">
        <f>VLOOKUP(B11,'2024 by account '!$A$2:$M$102,2,0)/1000</f>
        <v>42.95255</v>
      </c>
      <c r="F11" s="141">
        <f t="shared" si="2"/>
        <v>1.30887053768683</v>
      </c>
      <c r="G11" s="142">
        <f t="shared" si="3"/>
        <v>0.0815749789770542</v>
      </c>
      <c r="H11" s="121"/>
      <c r="I11" s="143">
        <f>VLOOKUP(B11,'2024 by account '!$A$2:$M$102,3,0)/1000</f>
        <v>231.95092</v>
      </c>
      <c r="J11" s="141">
        <f t="shared" si="26"/>
        <v>6.97294765575209</v>
      </c>
      <c r="K11" s="142">
        <f t="shared" si="4"/>
        <v>0.353024891441479</v>
      </c>
      <c r="L11" s="144"/>
      <c r="M11" s="141">
        <f>VLOOKUP(B11,'2024 by account '!$A$2:$M$102,4,0)/1000</f>
        <v>142.03351</v>
      </c>
      <c r="N11" s="141">
        <f t="shared" si="5"/>
        <v>4.07873870355427</v>
      </c>
      <c r="O11" s="142">
        <f t="shared" si="6"/>
        <v>0.203560348532928</v>
      </c>
      <c r="P11" s="144"/>
      <c r="Q11" s="141">
        <f>VLOOKUP(B11,'2024 by account '!$A$2:$M$102,5,0)/1000</f>
        <v>137.45174</v>
      </c>
      <c r="R11" s="141">
        <f t="shared" si="7"/>
        <v>3.96199016504961</v>
      </c>
      <c r="S11" s="142">
        <f t="shared" si="8"/>
        <v>0.141282678923425</v>
      </c>
      <c r="T11" s="144"/>
      <c r="U11" s="141">
        <f>VLOOKUP(B11,'2024 by account '!$A$2:$M$102,6,0)/1000</f>
        <v>147.71371</v>
      </c>
      <c r="V11" s="141">
        <f t="shared" si="9"/>
        <v>4.23728030292164</v>
      </c>
      <c r="W11" s="142">
        <f t="shared" si="10"/>
        <v>0.103870184412454</v>
      </c>
      <c r="X11" s="144"/>
      <c r="Y11" s="141">
        <f>VLOOKUP(B11,'2024 by account '!$A$2:$M$102,7,0)/1000</f>
        <v>143.13192</v>
      </c>
      <c r="Z11" s="141">
        <f t="shared" si="11"/>
        <v>4.08170486529956</v>
      </c>
      <c r="AA11" s="142">
        <f t="shared" si="12"/>
        <v>0.131769914298152</v>
      </c>
      <c r="AB11" s="144"/>
      <c r="AC11" s="141">
        <f>VLOOKUP(B11,'2024 by account '!$A$2:$M$102,8,0)/1000</f>
        <v>147.71372</v>
      </c>
      <c r="AD11" s="141">
        <f t="shared" si="13"/>
        <v>4.13799853768815</v>
      </c>
      <c r="AE11" s="142">
        <f t="shared" si="14"/>
        <v>0.120022001267168</v>
      </c>
      <c r="AF11" s="144"/>
      <c r="AG11" s="141">
        <f>VLOOKUP(B11,'2024 by account '!$A$2:$M$102,9,0)/1000</f>
        <v>147.71368</v>
      </c>
      <c r="AH11" s="141">
        <f t="shared" si="15"/>
        <v>3.98044936916933</v>
      </c>
      <c r="AI11" s="142">
        <f t="shared" si="16"/>
        <v>0.155620039454583</v>
      </c>
      <c r="AJ11" s="144"/>
      <c r="AK11" s="141">
        <f>VLOOKUP(B11,'2024 by account '!$A$2:$M$102,10,0)/1000</f>
        <v>143.13197</v>
      </c>
      <c r="AL11" s="141">
        <f t="shared" si="17"/>
        <v>3.78417504059862</v>
      </c>
      <c r="AM11" s="142">
        <f t="shared" si="18"/>
        <v>0.094359042504454</v>
      </c>
      <c r="AN11" s="144"/>
      <c r="AO11" s="141">
        <f>VLOOKUP(B11,'2024 by account '!$A$2:$M$102,11,0)/1000</f>
        <v>147.71368</v>
      </c>
      <c r="AP11" s="141">
        <f t="shared" si="19"/>
        <v>3.9551358627669</v>
      </c>
      <c r="AQ11" s="142">
        <f t="shared" si="20"/>
        <v>0.0960287436027605</v>
      </c>
      <c r="AR11" s="144"/>
      <c r="AS11" s="141">
        <f>VLOOKUP(B11,'2024 by account '!$A$2:$M$102,12,0)/1000</f>
        <v>157.90803</v>
      </c>
      <c r="AT11" s="141">
        <f t="shared" si="21"/>
        <v>4.311635088754</v>
      </c>
      <c r="AU11" s="142">
        <f t="shared" si="22"/>
        <v>0.100014731819856</v>
      </c>
      <c r="AV11" s="144"/>
      <c r="AW11" s="143">
        <f>VLOOKUP(B11,'2024 by account '!$A$2:$M$102,13,0)/1000</f>
        <v>162.48976</v>
      </c>
      <c r="AX11" s="141">
        <f t="shared" si="23"/>
        <v>4.43248504317103</v>
      </c>
      <c r="AY11" s="142">
        <f t="shared" si="24"/>
        <v>0.169482852566476</v>
      </c>
      <c r="AZ11" s="121"/>
      <c r="BA11" s="143">
        <f t="shared" si="0"/>
        <v>1751.90519</v>
      </c>
      <c r="BB11" s="141">
        <f t="shared" si="1"/>
        <v>49.243411172412</v>
      </c>
      <c r="BC11" s="142">
        <f t="shared" si="25"/>
        <v>0.134450797181239</v>
      </c>
    </row>
    <row r="12" outlineLevel="1" spans="1:55">
      <c r="A12" s="140">
        <v>6666110506</v>
      </c>
      <c r="B12" s="140">
        <v>6666110506</v>
      </c>
      <c r="C12" s="140" t="s">
        <v>41</v>
      </c>
      <c r="D12" s="140" t="s">
        <v>34</v>
      </c>
      <c r="E12" s="141">
        <f>VLOOKUP(B12,'2024 by account '!$A$2:$M$102,2,0)/1000</f>
        <v>0</v>
      </c>
      <c r="F12" s="141">
        <f t="shared" si="2"/>
        <v>0</v>
      </c>
      <c r="G12" s="142">
        <f t="shared" si="3"/>
        <v>0</v>
      </c>
      <c r="H12" s="121"/>
      <c r="I12" s="143">
        <f>VLOOKUP(B12,'2024 by account '!$A$2:$M$102,3,0)/1000</f>
        <v>0</v>
      </c>
      <c r="J12" s="141">
        <f t="shared" si="26"/>
        <v>0</v>
      </c>
      <c r="K12" s="142">
        <f t="shared" si="4"/>
        <v>0</v>
      </c>
      <c r="L12" s="144"/>
      <c r="M12" s="141">
        <f>VLOOKUP(B12,'2024 by account '!$A$2:$M$102,4,0)/1000</f>
        <v>0</v>
      </c>
      <c r="N12" s="141">
        <f t="shared" si="5"/>
        <v>0</v>
      </c>
      <c r="O12" s="142">
        <f t="shared" si="6"/>
        <v>0</v>
      </c>
      <c r="P12" s="144"/>
      <c r="Q12" s="141">
        <f>VLOOKUP(B12,'2024 by account '!$A$2:$M$102,5,0)/1000</f>
        <v>0</v>
      </c>
      <c r="R12" s="141">
        <f t="shared" si="7"/>
        <v>0</v>
      </c>
      <c r="S12" s="142">
        <f t="shared" si="8"/>
        <v>0</v>
      </c>
      <c r="T12" s="144"/>
      <c r="U12" s="141">
        <f>VLOOKUP(B12,'2024 by account '!$A$2:$M$102,6,0)/1000</f>
        <v>29.84724</v>
      </c>
      <c r="V12" s="141">
        <f t="shared" si="9"/>
        <v>0.856190817687641</v>
      </c>
      <c r="W12" s="142">
        <f t="shared" si="10"/>
        <v>0.0209881555544355</v>
      </c>
      <c r="X12" s="144"/>
      <c r="Y12" s="141">
        <f>VLOOKUP(B12,'2024 by account '!$A$2:$M$102,7,0)/1000</f>
        <v>29.84724</v>
      </c>
      <c r="Z12" s="141">
        <f t="shared" si="11"/>
        <v>0.851156225136668</v>
      </c>
      <c r="AA12" s="142">
        <f t="shared" si="12"/>
        <v>0.0274779256565298</v>
      </c>
      <c r="AB12" s="144"/>
      <c r="AC12" s="141">
        <f>VLOOKUP(B12,'2024 by account '!$A$2:$M$102,8,0)/1000</f>
        <v>29.84724</v>
      </c>
      <c r="AD12" s="141">
        <f t="shared" si="13"/>
        <v>0.836129747961308</v>
      </c>
      <c r="AE12" s="142">
        <f t="shared" si="14"/>
        <v>0.0242518127436061</v>
      </c>
      <c r="AF12" s="144"/>
      <c r="AG12" s="141">
        <f>VLOOKUP(B12,'2024 by account '!$A$2:$M$102,9,0)/1000</f>
        <v>29.84724</v>
      </c>
      <c r="AH12" s="141">
        <f t="shared" si="15"/>
        <v>0.804295361333125</v>
      </c>
      <c r="AI12" s="142">
        <f t="shared" si="16"/>
        <v>0.0314448104360437</v>
      </c>
      <c r="AJ12" s="144"/>
      <c r="AK12" s="141">
        <f>VLOOKUP(B12,'2024 by account '!$A$2:$M$102,10,0)/1000</f>
        <v>29.84724</v>
      </c>
      <c r="AL12" s="141">
        <f t="shared" si="17"/>
        <v>0.789112178353703</v>
      </c>
      <c r="AM12" s="142">
        <f t="shared" si="18"/>
        <v>0.019676645181371</v>
      </c>
      <c r="AN12" s="144"/>
      <c r="AO12" s="141">
        <f>VLOOKUP(B12,'2024 by account '!$A$2:$M$102,11,0)/1000</f>
        <v>29.84724</v>
      </c>
      <c r="AP12" s="141">
        <f t="shared" si="19"/>
        <v>0.799180477587524</v>
      </c>
      <c r="AQ12" s="142">
        <f t="shared" si="20"/>
        <v>0.0194037069363519</v>
      </c>
      <c r="AR12" s="144"/>
      <c r="AS12" s="141">
        <f>VLOOKUP(B12,'2024 by account '!$A$2:$M$102,12,0)/1000</f>
        <v>29.84725</v>
      </c>
      <c r="AT12" s="141">
        <f t="shared" si="21"/>
        <v>0.81497090681717</v>
      </c>
      <c r="AU12" s="142">
        <f t="shared" si="22"/>
        <v>0.018904451561521</v>
      </c>
      <c r="AV12" s="144"/>
      <c r="AW12" s="143">
        <f>VLOOKUP(B12,'2024 by account '!$A$2:$M$102,13,0)/1000</f>
        <v>29.84724</v>
      </c>
      <c r="AX12" s="141">
        <f t="shared" si="23"/>
        <v>0.814189428798074</v>
      </c>
      <c r="AY12" s="142">
        <f t="shared" si="24"/>
        <v>0.0311317794822037</v>
      </c>
      <c r="AZ12" s="121"/>
      <c r="BA12" s="143">
        <f t="shared" si="0"/>
        <v>238.77793</v>
      </c>
      <c r="BB12" s="141">
        <f t="shared" si="1"/>
        <v>6.56522514367521</v>
      </c>
      <c r="BC12" s="142">
        <f t="shared" si="25"/>
        <v>0.017925235746787</v>
      </c>
    </row>
    <row r="13" s="120" customFormat="1" spans="1:55">
      <c r="B13" s="148" t="s">
        <v>42</v>
      </c>
      <c r="C13" s="149" t="s">
        <v>34</v>
      </c>
      <c r="D13" s="150"/>
      <c r="E13" s="151">
        <f>SUM(E5:E12)</f>
        <v>4197.55725</v>
      </c>
      <c r="F13" s="151">
        <f t="shared" si="2"/>
        <v>127.909961452318</v>
      </c>
      <c r="G13" s="152">
        <f t="shared" si="3"/>
        <v>7.97195147724015</v>
      </c>
      <c r="H13" s="121"/>
      <c r="I13" s="151">
        <f>SUM(I5:I12)</f>
        <v>5050.33245</v>
      </c>
      <c r="J13" s="151">
        <f>SUM(J5:J12)</f>
        <v>151.823945419127</v>
      </c>
      <c r="K13" s="152">
        <f t="shared" si="4"/>
        <v>7.68650999489301</v>
      </c>
      <c r="L13" s="153"/>
      <c r="M13" s="154">
        <f>SUM(M5:M12)</f>
        <v>5505.59742</v>
      </c>
      <c r="N13" s="151">
        <f>SUM(N5:N12)</f>
        <v>158.102783513148</v>
      </c>
      <c r="O13" s="152">
        <f t="shared" si="6"/>
        <v>7.89054167356131</v>
      </c>
      <c r="P13" s="153"/>
      <c r="Q13" s="151">
        <f>SUM(Q5:Q12)</f>
        <v>6168.96637</v>
      </c>
      <c r="R13" s="151">
        <f t="shared" si="7"/>
        <v>177.817931489713</v>
      </c>
      <c r="S13" s="152">
        <f t="shared" si="8"/>
        <v>6.34090259564642</v>
      </c>
      <c r="T13" s="153"/>
      <c r="U13" s="151">
        <f>SUM(U5:U12)</f>
        <v>6193.86171</v>
      </c>
      <c r="V13" s="151">
        <f t="shared" si="9"/>
        <v>177.675641772206</v>
      </c>
      <c r="W13" s="152">
        <f t="shared" si="10"/>
        <v>4.35543564671781</v>
      </c>
      <c r="X13" s="153"/>
      <c r="Y13" s="151">
        <f>SUM(Y5:Y12)</f>
        <v>6537.72571</v>
      </c>
      <c r="Z13" s="151">
        <f t="shared" si="11"/>
        <v>186.43686774062</v>
      </c>
      <c r="AA13" s="152">
        <f t="shared" si="12"/>
        <v>6.01875218687436</v>
      </c>
      <c r="AB13" s="153"/>
      <c r="AC13" s="151">
        <f>SUM(AC5:AC12)</f>
        <v>6733.68181</v>
      </c>
      <c r="AD13" s="151">
        <f t="shared" si="13"/>
        <v>188.634918158159</v>
      </c>
      <c r="AE13" s="152">
        <f t="shared" si="14"/>
        <v>5.47132633808508</v>
      </c>
      <c r="AF13" s="153"/>
      <c r="AG13" s="151">
        <f>SUM(AG5:AG12)</f>
        <v>6981.54646</v>
      </c>
      <c r="AH13" s="151">
        <f t="shared" si="15"/>
        <v>188.132149998114</v>
      </c>
      <c r="AI13" s="152">
        <f t="shared" si="16"/>
        <v>7.35523301267158</v>
      </c>
      <c r="AJ13" s="153"/>
      <c r="AK13" s="151">
        <f>SUM(AK5:AK12)</f>
        <v>5738.74625</v>
      </c>
      <c r="AL13" s="151">
        <f t="shared" si="17"/>
        <v>151.723058961453</v>
      </c>
      <c r="AM13" s="152">
        <f t="shared" si="18"/>
        <v>3.78324004990657</v>
      </c>
      <c r="AN13" s="153"/>
      <c r="AO13" s="151">
        <f>SUM(AO5:AO12)</f>
        <v>7268.51599</v>
      </c>
      <c r="AP13" s="151">
        <f t="shared" si="19"/>
        <v>194.619538699081</v>
      </c>
      <c r="AQ13" s="152">
        <f t="shared" si="20"/>
        <v>4.72526619319399</v>
      </c>
      <c r="AR13" s="153"/>
      <c r="AS13" s="151">
        <f>SUM(AS5:AS12)</f>
        <v>7410.2826</v>
      </c>
      <c r="AT13" s="151">
        <f t="shared" si="21"/>
        <v>202.33571703569</v>
      </c>
      <c r="AU13" s="152">
        <f t="shared" si="22"/>
        <v>4.6934752269935</v>
      </c>
      <c r="AV13" s="153"/>
      <c r="AW13" s="151">
        <f>SUM(AW5:AW12)</f>
        <v>7504.69928</v>
      </c>
      <c r="AX13" s="151">
        <f t="shared" si="23"/>
        <v>204.717314568601</v>
      </c>
      <c r="AY13" s="152">
        <f t="shared" si="24"/>
        <v>7.82767998197532</v>
      </c>
      <c r="AZ13" s="155"/>
      <c r="BA13" s="151">
        <f t="shared" si="0"/>
        <v>75291.5133</v>
      </c>
      <c r="BB13" s="151">
        <f t="shared" si="1"/>
        <v>2109.92982880823</v>
      </c>
      <c r="BC13" s="152">
        <f t="shared" si="25"/>
        <v>5.76080618149117</v>
      </c>
    </row>
    <row r="14" outlineLevel="1" spans="1:55">
      <c r="A14" s="140">
        <v>5001010205</v>
      </c>
      <c r="B14" s="140">
        <v>5001010205</v>
      </c>
      <c r="C14" s="140" t="s">
        <v>43</v>
      </c>
      <c r="D14" s="140" t="s">
        <v>44</v>
      </c>
      <c r="E14" s="141">
        <f>VLOOKUP(B14,'2024 by account '!$A$2:$M$102,2,0)/1000</f>
        <v>93.63996</v>
      </c>
      <c r="F14" s="141">
        <f t="shared" si="2"/>
        <v>2.85344140904728</v>
      </c>
      <c r="G14" s="142">
        <f t="shared" si="3"/>
        <v>0.177839913309273</v>
      </c>
      <c r="H14" s="121"/>
      <c r="I14" s="143">
        <f>VLOOKUP(B14,'2024 by account '!$A$2:$M$102,3,0)/1000</f>
        <v>278.32027</v>
      </c>
      <c r="J14" s="141">
        <f t="shared" ref="J14:J21" si="27">I14/$J$2</f>
        <v>8.36691087168264</v>
      </c>
      <c r="K14" s="142">
        <f t="shared" si="4"/>
        <v>0.423598160777776</v>
      </c>
      <c r="L14" s="144"/>
      <c r="M14" s="141">
        <f>VLOOKUP(B14,'2024 by account '!$A$2:$M$102,4,0)/1000</f>
        <v>127.67943</v>
      </c>
      <c r="N14" s="141">
        <f t="shared" ref="N14:N21" si="28">M14/$N$2</f>
        <v>3.66653638841107</v>
      </c>
      <c r="O14" s="142">
        <f t="shared" si="6"/>
        <v>0.182988291082052</v>
      </c>
      <c r="P14" s="144"/>
      <c r="Q14" s="141">
        <f>VLOOKUP(B14,'2024 by account '!$A$2:$M$102,5,0)/1000</f>
        <v>219.87927</v>
      </c>
      <c r="R14" s="141">
        <f t="shared" si="7"/>
        <v>6.33792999083378</v>
      </c>
      <c r="S14" s="142">
        <f t="shared" si="8"/>
        <v>0.226007559491987</v>
      </c>
      <c r="T14" s="144"/>
      <c r="U14" s="141">
        <f>VLOOKUP(B14,'2024 by account '!$A$2:$M$102,6,0)/1000</f>
        <v>219.76398</v>
      </c>
      <c r="V14" s="141">
        <f t="shared" si="9"/>
        <v>6.30409718736105</v>
      </c>
      <c r="W14" s="142">
        <f t="shared" si="10"/>
        <v>0.154534911687039</v>
      </c>
      <c r="X14" s="144"/>
      <c r="Y14" s="141">
        <f>VLOOKUP(B14,'2024 by account '!$A$2:$M$102,7,0)/1000</f>
        <v>-1233.59071</v>
      </c>
      <c r="Z14" s="141">
        <f t="shared" si="11"/>
        <v>-35.1784088608281</v>
      </c>
      <c r="AA14" s="142">
        <f t="shared" si="12"/>
        <v>-1.13566660836868</v>
      </c>
      <c r="AB14" s="144"/>
      <c r="AC14" s="141">
        <f>VLOOKUP(B14,'2024 by account '!$A$2:$M$102,8,0)/1000</f>
        <v>127.96846</v>
      </c>
      <c r="AD14" s="141">
        <f t="shared" si="13"/>
        <v>3.58486199081713</v>
      </c>
      <c r="AE14" s="142">
        <f t="shared" si="14"/>
        <v>0.103978362120171</v>
      </c>
      <c r="AF14" s="144"/>
      <c r="AG14" s="141">
        <f>VLOOKUP(B14,'2024 by account '!$A$2:$M$102,9,0)/1000</f>
        <v>216.4907</v>
      </c>
      <c r="AH14" s="141">
        <f t="shared" si="15"/>
        <v>5.83378784040873</v>
      </c>
      <c r="AI14" s="142">
        <f t="shared" si="16"/>
        <v>0.228078342341416</v>
      </c>
      <c r="AJ14" s="144"/>
      <c r="AK14" s="141">
        <f>VLOOKUP(B14,'2024 by account '!$A$2:$M$102,10,0)/1000</f>
        <v>267.50368</v>
      </c>
      <c r="AL14" s="141">
        <f t="shared" si="17"/>
        <v>7.07235950936944</v>
      </c>
      <c r="AM14" s="142">
        <f t="shared" si="18"/>
        <v>0.176350476495348</v>
      </c>
      <c r="AN14" s="144"/>
      <c r="AO14" s="141">
        <f>VLOOKUP(B14,'2024 by account '!$A$2:$M$102,11,0)/1000</f>
        <v>273.72953</v>
      </c>
      <c r="AP14" s="141">
        <f t="shared" si="19"/>
        <v>7.32929733252416</v>
      </c>
      <c r="AQ14" s="142">
        <f t="shared" si="20"/>
        <v>0.177951716136746</v>
      </c>
      <c r="AR14" s="144"/>
      <c r="AS14" s="141">
        <f>VLOOKUP(B14,'2024 by account '!$A$2:$M$102,12,0)/1000</f>
        <v>255.52615</v>
      </c>
      <c r="AT14" s="141">
        <f t="shared" si="21"/>
        <v>6.97707085848781</v>
      </c>
      <c r="AU14" s="142">
        <f t="shared" si="22"/>
        <v>0.161843443713473</v>
      </c>
      <c r="AV14" s="144"/>
      <c r="AW14" s="143">
        <f>VLOOKUP(B14,'2024 by account '!$A$2:$M$102,13,0)/1000</f>
        <v>256.71133</v>
      </c>
      <c r="AX14" s="141">
        <f t="shared" si="23"/>
        <v>7.00271285179782</v>
      </c>
      <c r="AY14" s="142">
        <f t="shared" si="24"/>
        <v>0.267759448315597</v>
      </c>
      <c r="AZ14" s="121"/>
      <c r="BA14" s="143">
        <f t="shared" si="0"/>
        <v>1103.62205</v>
      </c>
      <c r="BB14" s="141">
        <f t="shared" si="1"/>
        <v>30.1505973699128</v>
      </c>
      <c r="BC14" s="142">
        <f t="shared" si="25"/>
        <v>0.082321101551682</v>
      </c>
    </row>
    <row r="15" outlineLevel="1" spans="1:55">
      <c r="A15" s="140">
        <v>6666010380</v>
      </c>
      <c r="B15" s="140">
        <v>6666010380</v>
      </c>
      <c r="C15" s="140" t="s">
        <v>45</v>
      </c>
      <c r="D15" s="140" t="s">
        <v>44</v>
      </c>
      <c r="E15" s="141">
        <f>VLOOKUP(B15,'2024 by account '!$A$2:$M$102,2,0)/1000</f>
        <v>-15.29521</v>
      </c>
      <c r="F15" s="141">
        <f t="shared" si="2"/>
        <v>-0.466082915606478</v>
      </c>
      <c r="G15" s="142">
        <f t="shared" si="3"/>
        <v>-0.0290484833659382</v>
      </c>
      <c r="H15" s="121"/>
      <c r="I15" s="143">
        <f>VLOOKUP(B15,'2024 by account '!$A$2:$M$102,3,0)/1000</f>
        <v>-15.2952</v>
      </c>
      <c r="J15" s="141">
        <f t="shared" si="27"/>
        <v>-0.459806880629141</v>
      </c>
      <c r="K15" s="142">
        <f t="shared" si="4"/>
        <v>-0.0232790036770525</v>
      </c>
      <c r="L15" s="144"/>
      <c r="M15" s="141">
        <f>VLOOKUP(B15,'2024 by account '!$A$2:$M$102,4,0)/1000</f>
        <v>-14.26176</v>
      </c>
      <c r="N15" s="141">
        <f t="shared" si="28"/>
        <v>-0.40955118614475</v>
      </c>
      <c r="O15" s="142">
        <f t="shared" si="6"/>
        <v>-0.020439745777549</v>
      </c>
      <c r="P15" s="144"/>
      <c r="Q15" s="141">
        <f>VLOOKUP(B15,'2024 by account '!$A$2:$M$102,5,0)/1000</f>
        <v>-51.17454</v>
      </c>
      <c r="R15" s="141">
        <f t="shared" si="7"/>
        <v>-1.47508517666592</v>
      </c>
      <c r="S15" s="142">
        <f t="shared" si="8"/>
        <v>-0.052600833600753</v>
      </c>
      <c r="T15" s="144"/>
      <c r="U15" s="141">
        <f>VLOOKUP(B15,'2024 by account '!$A$2:$M$102,6,0)/1000</f>
        <v>-43.87473</v>
      </c>
      <c r="V15" s="141">
        <f t="shared" si="9"/>
        <v>-1.25858005478981</v>
      </c>
      <c r="W15" s="142">
        <f t="shared" si="10"/>
        <v>-0.0308520874341767</v>
      </c>
      <c r="X15" s="144"/>
      <c r="Y15" s="141">
        <f>VLOOKUP(B15,'2024 by account '!$A$2:$M$102,7,0)/1000</f>
        <v>-44.25363</v>
      </c>
      <c r="Z15" s="141">
        <f t="shared" si="11"/>
        <v>-1.26198444678285</v>
      </c>
      <c r="AA15" s="142">
        <f t="shared" si="12"/>
        <v>-0.0407407169028553</v>
      </c>
      <c r="AB15" s="144"/>
      <c r="AC15" s="141">
        <f>VLOOKUP(B15,'2024 by account '!$A$2:$M$102,8,0)/1000</f>
        <v>-45.88254</v>
      </c>
      <c r="AD15" s="141">
        <f t="shared" si="13"/>
        <v>-1.28533682196493</v>
      </c>
      <c r="AE15" s="142">
        <f t="shared" si="14"/>
        <v>-0.0372809937629415</v>
      </c>
      <c r="AF15" s="144"/>
      <c r="AG15" s="141">
        <f>VLOOKUP(B15,'2024 by account '!$A$2:$M$102,9,0)/1000</f>
        <v>-47.3294</v>
      </c>
      <c r="AH15" s="141">
        <f t="shared" si="15"/>
        <v>-1.27538817239651</v>
      </c>
      <c r="AI15" s="142">
        <f t="shared" si="16"/>
        <v>-0.0498627012431195</v>
      </c>
      <c r="AJ15" s="144"/>
      <c r="AK15" s="141">
        <f>VLOOKUP(B15,'2024 by account '!$A$2:$M$102,10,0)/1000</f>
        <v>-50.9899</v>
      </c>
      <c r="AL15" s="141">
        <f t="shared" si="17"/>
        <v>-1.34808950720527</v>
      </c>
      <c r="AM15" s="142">
        <f t="shared" si="18"/>
        <v>-0.0336148390984758</v>
      </c>
      <c r="AN15" s="144"/>
      <c r="AO15" s="141">
        <f>VLOOKUP(B15,'2024 by account '!$A$2:$M$102,11,0)/1000</f>
        <v>-49.40683</v>
      </c>
      <c r="AP15" s="141">
        <f t="shared" si="19"/>
        <v>-1.32290201691968</v>
      </c>
      <c r="AQ15" s="142">
        <f t="shared" si="20"/>
        <v>-0.0321194070196828</v>
      </c>
      <c r="AR15" s="144"/>
      <c r="AS15" s="141">
        <f>VLOOKUP(B15,'2024 by account '!$A$2:$M$102,12,0)/1000</f>
        <v>-45.20467</v>
      </c>
      <c r="AT15" s="141">
        <f t="shared" si="21"/>
        <v>-1.23430101273219</v>
      </c>
      <c r="AU15" s="142">
        <f t="shared" si="22"/>
        <v>-0.0286314315177962</v>
      </c>
      <c r="AV15" s="144"/>
      <c r="AW15" s="143">
        <f>VLOOKUP(B15,'2024 by account '!$A$2:$M$102,13,0)/1000</f>
        <v>-47.04062</v>
      </c>
      <c r="AX15" s="141">
        <f t="shared" si="23"/>
        <v>-1.28319990485242</v>
      </c>
      <c r="AY15" s="142">
        <f t="shared" si="24"/>
        <v>-0.0490651131744893</v>
      </c>
      <c r="AZ15" s="121"/>
      <c r="BA15" s="143">
        <f t="shared" si="0"/>
        <v>-470.00903</v>
      </c>
      <c r="BB15" s="141">
        <f t="shared" si="1"/>
        <v>-13.0803080966899</v>
      </c>
      <c r="BC15" s="142">
        <f t="shared" si="25"/>
        <v>-0.035713566731166</v>
      </c>
    </row>
    <row r="16" outlineLevel="1" spans="1:55">
      <c r="A16" s="140">
        <v>6666010019</v>
      </c>
      <c r="B16" s="140">
        <v>6666010019</v>
      </c>
      <c r="C16" s="140" t="s">
        <v>46</v>
      </c>
      <c r="D16" s="140" t="s">
        <v>44</v>
      </c>
      <c r="E16" s="141">
        <f>VLOOKUP(B16,'2024 by account '!$A$2:$M$102,2,0)/1000</f>
        <v>735.87608</v>
      </c>
      <c r="F16" s="141">
        <f t="shared" si="2"/>
        <v>22.4239659927171</v>
      </c>
      <c r="G16" s="142">
        <f t="shared" si="3"/>
        <v>1.39756721674771</v>
      </c>
      <c r="H16" s="121"/>
      <c r="I16" s="143">
        <f>VLOOKUP(B16,'2024 by account '!$A$2:$M$102,3,0)/1000</f>
        <v>2185.29933</v>
      </c>
      <c r="J16" s="141">
        <f t="shared" si="27"/>
        <v>65.694836822549</v>
      </c>
      <c r="K16" s="142">
        <f t="shared" si="4"/>
        <v>3.32598404326392</v>
      </c>
      <c r="L16" s="144"/>
      <c r="M16" s="141">
        <f>VLOOKUP(B16,'2024 by account '!$A$2:$M$102,4,0)/1000</f>
        <v>1003.32412</v>
      </c>
      <c r="N16" s="141">
        <f t="shared" si="28"/>
        <v>28.8121931257879</v>
      </c>
      <c r="O16" s="142">
        <f t="shared" si="6"/>
        <v>1.43794944980725</v>
      </c>
      <c r="P16" s="144"/>
      <c r="Q16" s="141">
        <f>VLOOKUP(B16,'2024 by account '!$A$2:$M$102,5,0)/1000</f>
        <v>1730.17269</v>
      </c>
      <c r="R16" s="141">
        <f t="shared" si="7"/>
        <v>49.8715198630255</v>
      </c>
      <c r="S16" s="142">
        <f t="shared" si="8"/>
        <v>1.7783946033957</v>
      </c>
      <c r="T16" s="144"/>
      <c r="U16" s="141">
        <f>VLOOKUP(B16,'2024 by account '!$A$2:$M$102,6,0)/1000</f>
        <v>1728.70857</v>
      </c>
      <c r="V16" s="141">
        <f t="shared" si="9"/>
        <v>49.589322298877</v>
      </c>
      <c r="W16" s="142">
        <f t="shared" si="10"/>
        <v>1.21560333134473</v>
      </c>
      <c r="X16" s="144"/>
      <c r="Y16" s="141">
        <f>VLOOKUP(B16,'2024 by account '!$A$2:$M$102,7,0)/1000</f>
        <v>1955.00516</v>
      </c>
      <c r="Z16" s="141">
        <f t="shared" si="11"/>
        <v>55.7510447233415</v>
      </c>
      <c r="AA16" s="142">
        <f t="shared" si="12"/>
        <v>1.79981420207068</v>
      </c>
      <c r="AB16" s="144"/>
      <c r="AC16" s="141">
        <f>VLOOKUP(B16,'2024 by account '!$A$2:$M$102,8,0)/1000</f>
        <v>1727.43392</v>
      </c>
      <c r="AD16" s="141">
        <f t="shared" si="13"/>
        <v>48.3917068428911</v>
      </c>
      <c r="AE16" s="142">
        <f t="shared" si="14"/>
        <v>1.40359389862491</v>
      </c>
      <c r="AF16" s="144"/>
      <c r="AG16" s="141">
        <f>VLOOKUP(B16,'2024 by account '!$A$2:$M$102,9,0)/1000</f>
        <v>1704.20145</v>
      </c>
      <c r="AH16" s="141">
        <f t="shared" si="15"/>
        <v>45.9232183951409</v>
      </c>
      <c r="AI16" s="142">
        <f t="shared" si="16"/>
        <v>1.79541865646809</v>
      </c>
      <c r="AJ16" s="144"/>
      <c r="AK16" s="141">
        <f>VLOOKUP(B16,'2024 by account '!$A$2:$M$102,10,0)/1000</f>
        <v>2143.24837</v>
      </c>
      <c r="AL16" s="141">
        <f t="shared" si="17"/>
        <v>56.6639793161352</v>
      </c>
      <c r="AM16" s="142">
        <f t="shared" si="18"/>
        <v>1.41292587562675</v>
      </c>
      <c r="AN16" s="144"/>
      <c r="AO16" s="141">
        <f>VLOOKUP(B16,'2024 by account '!$A$2:$M$102,11,0)/1000</f>
        <v>2190.4237</v>
      </c>
      <c r="AP16" s="141">
        <f t="shared" si="19"/>
        <v>58.6501083076704</v>
      </c>
      <c r="AQ16" s="142">
        <f t="shared" si="20"/>
        <v>1.42399563715906</v>
      </c>
      <c r="AR16" s="144"/>
      <c r="AS16" s="141">
        <f>VLOOKUP(B16,'2024 by account '!$A$2:$M$102,12,0)/1000</f>
        <v>2043.1771</v>
      </c>
      <c r="AT16" s="141">
        <f t="shared" si="21"/>
        <v>55.7883856628358</v>
      </c>
      <c r="AU16" s="142">
        <f t="shared" si="22"/>
        <v>1.29409384511333</v>
      </c>
      <c r="AV16" s="144"/>
      <c r="AW16" s="143">
        <f>VLOOKUP(B16,'2024 by account '!$A$2:$M$102,13,0)/1000</f>
        <v>2052.71597</v>
      </c>
      <c r="AX16" s="141">
        <f t="shared" si="23"/>
        <v>55.9951152300509</v>
      </c>
      <c r="AY16" s="142">
        <f t="shared" si="24"/>
        <v>2.14105896952743</v>
      </c>
      <c r="AZ16" s="121"/>
      <c r="BA16" s="143">
        <f t="shared" si="0"/>
        <v>21199.58646</v>
      </c>
      <c r="BB16" s="141">
        <f t="shared" si="1"/>
        <v>593.555396581022</v>
      </c>
      <c r="BC16" s="142">
        <f t="shared" si="25"/>
        <v>1.62060252004342</v>
      </c>
    </row>
    <row r="17" outlineLevel="1" spans="1:55">
      <c r="A17" s="140">
        <v>6666010183</v>
      </c>
      <c r="B17" s="140">
        <v>6666010183</v>
      </c>
      <c r="C17" s="140" t="s">
        <v>47</v>
      </c>
      <c r="D17" s="140" t="s">
        <v>44</v>
      </c>
      <c r="E17" s="141">
        <f>VLOOKUP(B17,'2024 by account '!$A$2:$M$102,2,0)/1000</f>
        <v>3.0032</v>
      </c>
      <c r="F17" s="141">
        <f t="shared" si="2"/>
        <v>0.0915149391312297</v>
      </c>
      <c r="G17" s="142">
        <f t="shared" si="3"/>
        <v>0.00570364220200871</v>
      </c>
      <c r="H17" s="121"/>
      <c r="I17" s="143">
        <f>VLOOKUP(B17,'2024 by account '!$A$2:$M$102,3,0)/1000</f>
        <v>384.55487</v>
      </c>
      <c r="J17" s="141">
        <f t="shared" si="27"/>
        <v>11.5605533242746</v>
      </c>
      <c r="K17" s="142">
        <f t="shared" si="4"/>
        <v>0.585285202727552</v>
      </c>
      <c r="L17" s="144"/>
      <c r="M17" s="141">
        <f>VLOOKUP(B17,'2024 by account '!$A$2:$M$102,4,0)/1000</f>
        <v>241.26001</v>
      </c>
      <c r="N17" s="141">
        <f t="shared" si="28"/>
        <v>6.92819983401727</v>
      </c>
      <c r="O17" s="142">
        <f t="shared" si="6"/>
        <v>0.345770316615126</v>
      </c>
      <c r="P17" s="144"/>
      <c r="Q17" s="141">
        <f>VLOOKUP(B17,'2024 by account '!$A$2:$M$102,5,0)/1000</f>
        <v>1361.69037</v>
      </c>
      <c r="R17" s="141">
        <f t="shared" si="7"/>
        <v>39.2501677591187</v>
      </c>
      <c r="S17" s="142">
        <f t="shared" si="8"/>
        <v>1.3996422550768</v>
      </c>
      <c r="T17" s="144"/>
      <c r="U17" s="141">
        <f>VLOOKUP(B17,'2024 by account '!$A$2:$M$102,6,0)/1000</f>
        <v>756.53928</v>
      </c>
      <c r="V17" s="141">
        <f t="shared" si="9"/>
        <v>21.7019055951578</v>
      </c>
      <c r="W17" s="142">
        <f t="shared" si="10"/>
        <v>0.531987684344704</v>
      </c>
      <c r="X17" s="144"/>
      <c r="Y17" s="141">
        <f>VLOOKUP(B17,'2024 by account '!$A$2:$M$102,7,0)/1000</f>
        <v>326.00622</v>
      </c>
      <c r="Z17" s="141">
        <f t="shared" si="11"/>
        <v>9.29674648598243</v>
      </c>
      <c r="AA17" s="142">
        <f t="shared" si="12"/>
        <v>0.30012740463528</v>
      </c>
      <c r="AB17" s="144"/>
      <c r="AC17" s="141">
        <f>VLOOKUP(B17,'2024 by account '!$A$2:$M$102,8,0)/1000</f>
        <v>555.05243</v>
      </c>
      <c r="AD17" s="141">
        <f t="shared" si="13"/>
        <v>15.5490373113632</v>
      </c>
      <c r="AE17" s="142">
        <f t="shared" si="14"/>
        <v>0.450997398595097</v>
      </c>
      <c r="AF17" s="144"/>
      <c r="AG17" s="141">
        <f>VLOOKUP(B17,'2024 by account '!$A$2:$M$102,9,0)/1000</f>
        <v>277.24708</v>
      </c>
      <c r="AH17" s="141">
        <f t="shared" si="15"/>
        <v>7.4709936458833</v>
      </c>
      <c r="AI17" s="142">
        <f t="shared" si="16"/>
        <v>0.292086701301247</v>
      </c>
      <c r="AJ17" s="144"/>
      <c r="AK17" s="141">
        <f>VLOOKUP(B17,'2024 by account '!$A$2:$M$102,10,0)/1000</f>
        <v>517.45021</v>
      </c>
      <c r="AL17" s="141">
        <f t="shared" si="17"/>
        <v>13.6805367063313</v>
      </c>
      <c r="AM17" s="142">
        <f t="shared" si="18"/>
        <v>0.341126488787436</v>
      </c>
      <c r="AN17" s="144"/>
      <c r="AO17" s="141">
        <f>VLOOKUP(B17,'2024 by account '!$A$2:$M$102,11,0)/1000</f>
        <v>953.19511</v>
      </c>
      <c r="AP17" s="141">
        <f t="shared" si="19"/>
        <v>25.5224577965632</v>
      </c>
      <c r="AQ17" s="142">
        <f t="shared" si="20"/>
        <v>0.619672658765222</v>
      </c>
      <c r="AR17" s="144"/>
      <c r="AS17" s="141">
        <f>VLOOKUP(B17,'2024 by account '!$A$2:$M$102,12,0)/1000</f>
        <v>782.80508</v>
      </c>
      <c r="AT17" s="141">
        <f t="shared" si="21"/>
        <v>21.3742762200433</v>
      </c>
      <c r="AU17" s="142">
        <f t="shared" si="22"/>
        <v>0.495807845512487</v>
      </c>
      <c r="AV17" s="144"/>
      <c r="AW17" s="143">
        <f>VLOOKUP(B17,'2024 by account '!$A$2:$M$102,13,0)/1000</f>
        <v>439.8043</v>
      </c>
      <c r="AX17" s="141">
        <f t="shared" si="23"/>
        <v>11.9972235891807</v>
      </c>
      <c r="AY17" s="142">
        <f t="shared" si="24"/>
        <v>0.458732213863827</v>
      </c>
      <c r="AZ17" s="121"/>
      <c r="BA17" s="143">
        <f t="shared" si="0"/>
        <v>6598.60816</v>
      </c>
      <c r="BB17" s="141">
        <f t="shared" si="1"/>
        <v>184.423613207047</v>
      </c>
      <c r="BC17" s="142">
        <f t="shared" si="25"/>
        <v>0.503537452511487</v>
      </c>
    </row>
    <row r="18" outlineLevel="1" spans="1:55">
      <c r="A18" s="140">
        <v>6666010229</v>
      </c>
      <c r="B18" s="140">
        <v>6666010229</v>
      </c>
      <c r="C18" s="140" t="s">
        <v>48</v>
      </c>
      <c r="D18" s="140" t="s">
        <v>44</v>
      </c>
      <c r="E18" s="141">
        <f>VLOOKUP(B18,'2024 by account '!$A$2:$M$102,2,0)/1000</f>
        <v>422.9396</v>
      </c>
      <c r="F18" s="141">
        <f t="shared" si="2"/>
        <v>12.8880166989167</v>
      </c>
      <c r="G18" s="142">
        <f t="shared" si="3"/>
        <v>0.803241925766077</v>
      </c>
      <c r="H18" s="121"/>
      <c r="I18" s="143">
        <f>VLOOKUP(B18,'2024 by account '!$A$2:$M$102,3,0)/1000</f>
        <v>650.58637</v>
      </c>
      <c r="J18" s="141">
        <f t="shared" si="27"/>
        <v>19.5580371207657</v>
      </c>
      <c r="K18" s="142">
        <f t="shared" si="4"/>
        <v>0.990180089143669</v>
      </c>
      <c r="L18" s="144"/>
      <c r="M18" s="141">
        <f>VLOOKUP(B18,'2024 by account '!$A$2:$M$102,4,0)/1000</f>
        <v>65.75232</v>
      </c>
      <c r="N18" s="141">
        <f t="shared" si="28"/>
        <v>1.88819196563181</v>
      </c>
      <c r="O18" s="142">
        <f t="shared" si="6"/>
        <v>0.0942352630449574</v>
      </c>
      <c r="P18" s="144"/>
      <c r="Q18" s="141">
        <f>VLOOKUP(B18,'2024 by account '!$A$2:$M$102,5,0)/1000</f>
        <v>356.45789</v>
      </c>
      <c r="R18" s="141">
        <f t="shared" si="7"/>
        <v>10.2747528291336</v>
      </c>
      <c r="S18" s="142">
        <f t="shared" si="8"/>
        <v>0.36639278355146</v>
      </c>
      <c r="T18" s="144"/>
      <c r="U18" s="141">
        <f>VLOOKUP(B18,'2024 by account '!$A$2:$M$102,6,0)/1000</f>
        <v>272.91219</v>
      </c>
      <c r="V18" s="141">
        <f t="shared" si="9"/>
        <v>7.82869408069305</v>
      </c>
      <c r="W18" s="142">
        <f t="shared" si="10"/>
        <v>0.191907978641296</v>
      </c>
      <c r="X18" s="144"/>
      <c r="Y18" s="141">
        <f>VLOOKUP(B18,'2024 by account '!$A$2:$M$102,7,0)/1000</f>
        <v>318.15728</v>
      </c>
      <c r="Z18" s="141">
        <f t="shared" si="11"/>
        <v>9.07291761129505</v>
      </c>
      <c r="AA18" s="142">
        <f t="shared" si="12"/>
        <v>0.292901524124969</v>
      </c>
      <c r="AB18" s="144"/>
      <c r="AC18" s="141">
        <f>VLOOKUP(B18,'2024 by account '!$A$2:$M$102,8,0)/1000</f>
        <v>330.71258</v>
      </c>
      <c r="AD18" s="141">
        <f t="shared" si="13"/>
        <v>9.26446218018932</v>
      </c>
      <c r="AE18" s="142">
        <f t="shared" si="14"/>
        <v>0.268714278510001</v>
      </c>
      <c r="AF18" s="144"/>
      <c r="AG18" s="141">
        <f>VLOOKUP(B18,'2024 by account '!$A$2:$M$102,9,0)/1000</f>
        <v>355.12886</v>
      </c>
      <c r="AH18" s="141">
        <f t="shared" si="15"/>
        <v>9.56967862936475</v>
      </c>
      <c r="AI18" s="142">
        <f t="shared" si="16"/>
        <v>0.374137095526028</v>
      </c>
      <c r="AJ18" s="144"/>
      <c r="AK18" s="141">
        <f>VLOOKUP(B18,'2024 by account '!$A$2:$M$102,10,0)/1000</f>
        <v>361.58152</v>
      </c>
      <c r="AL18" s="141">
        <f t="shared" si="17"/>
        <v>9.55962363353004</v>
      </c>
      <c r="AM18" s="142">
        <f t="shared" si="18"/>
        <v>0.23837082668886</v>
      </c>
      <c r="AN18" s="144"/>
      <c r="AO18" s="141">
        <f>VLOOKUP(B18,'2024 by account '!$A$2:$M$102,11,0)/1000</f>
        <v>391.85944</v>
      </c>
      <c r="AP18" s="141">
        <f t="shared" si="19"/>
        <v>10.4923073090302</v>
      </c>
      <c r="AQ18" s="142">
        <f t="shared" si="20"/>
        <v>0.254748034793266</v>
      </c>
      <c r="AR18" s="144"/>
      <c r="AS18" s="141">
        <f>VLOOKUP(B18,'2024 by account '!$A$2:$M$102,12,0)/1000</f>
        <v>397.85932</v>
      </c>
      <c r="AT18" s="141">
        <f t="shared" si="21"/>
        <v>10.8634387022611</v>
      </c>
      <c r="AU18" s="142">
        <f t="shared" si="22"/>
        <v>0.251993474884275</v>
      </c>
      <c r="AV18" s="144"/>
      <c r="AW18" s="143">
        <f>VLOOKUP(B18,'2024 by account '!$A$2:$M$102,13,0)/1000</f>
        <v>415.06652</v>
      </c>
      <c r="AX18" s="141">
        <f t="shared" si="23"/>
        <v>11.322412820482</v>
      </c>
      <c r="AY18" s="142">
        <f t="shared" si="24"/>
        <v>0.432929790864606</v>
      </c>
      <c r="AZ18" s="121"/>
      <c r="BA18" s="143">
        <f t="shared" si="0"/>
        <v>4339.01389</v>
      </c>
      <c r="BB18" s="141">
        <f t="shared" si="1"/>
        <v>122.582533581293</v>
      </c>
      <c r="BC18" s="142">
        <f t="shared" si="25"/>
        <v>0.33469085443322</v>
      </c>
    </row>
    <row r="19" outlineLevel="1" spans="1:55">
      <c r="A19" s="140">
        <v>6666010188</v>
      </c>
      <c r="B19" s="140">
        <v>6666010188</v>
      </c>
      <c r="C19" s="140" t="s">
        <v>49</v>
      </c>
      <c r="D19" s="140" t="s">
        <v>44</v>
      </c>
      <c r="E19" s="141">
        <f>VLOOKUP(B19,'2024 by account '!$A$2:$M$102,2,0)/1000</f>
        <v>4465.97936</v>
      </c>
      <c r="F19" s="141">
        <f t="shared" si="2"/>
        <v>136.089447686377</v>
      </c>
      <c r="G19" s="142">
        <f t="shared" si="3"/>
        <v>8.48173559902632</v>
      </c>
      <c r="H19" s="121"/>
      <c r="I19" s="143">
        <f>VLOOKUP(B19,'2024 by account '!$A$2:$M$102,3,0)/1000</f>
        <v>13639.44704</v>
      </c>
      <c r="J19" s="141">
        <f t="shared" si="27"/>
        <v>410.0313560443</v>
      </c>
      <c r="K19" s="142">
        <f t="shared" si="4"/>
        <v>20.7589791435956</v>
      </c>
      <c r="L19" s="144"/>
      <c r="M19" s="141">
        <f>VLOOKUP(B19,'2024 by account '!$A$2:$M$102,4,0)/1000</f>
        <v>4580.14276</v>
      </c>
      <c r="N19" s="141">
        <f t="shared" si="28"/>
        <v>131.526747054381</v>
      </c>
      <c r="O19" s="142">
        <f t="shared" si="6"/>
        <v>6.56419359456909</v>
      </c>
      <c r="P19" s="144"/>
      <c r="Q19" s="141">
        <f>VLOOKUP(B19,'2024 by account '!$A$2:$M$102,5,0)/1000</f>
        <v>9638.49838</v>
      </c>
      <c r="R19" s="141">
        <f t="shared" si="7"/>
        <v>277.825772066666</v>
      </c>
      <c r="S19" s="142">
        <f t="shared" si="8"/>
        <v>9.90713447443803</v>
      </c>
      <c r="T19" s="144"/>
      <c r="U19" s="141">
        <f>VLOOKUP(B19,'2024 by account '!$A$2:$M$102,6,0)/1000</f>
        <v>10259.97129</v>
      </c>
      <c r="V19" s="141">
        <f t="shared" si="9"/>
        <v>294.315092726725</v>
      </c>
      <c r="W19" s="142">
        <f t="shared" si="10"/>
        <v>7.214666194213</v>
      </c>
      <c r="X19" s="144"/>
      <c r="Y19" s="141">
        <f>VLOOKUP(B19,'2024 by account '!$A$2:$M$102,7,0)/1000</f>
        <v>12027.99387</v>
      </c>
      <c r="Z19" s="141">
        <f t="shared" si="11"/>
        <v>343.003301422717</v>
      </c>
      <c r="AA19" s="142">
        <f t="shared" si="12"/>
        <v>11.0731954229958</v>
      </c>
      <c r="AB19" s="144"/>
      <c r="AC19" s="141">
        <f>VLOOKUP(B19,'2024 by account '!$A$2:$M$102,8,0)/1000</f>
        <v>9147.09453</v>
      </c>
      <c r="AD19" s="141">
        <f t="shared" si="13"/>
        <v>256.243386120363</v>
      </c>
      <c r="AE19" s="142">
        <f t="shared" si="14"/>
        <v>7.43229939148892</v>
      </c>
      <c r="AF19" s="144"/>
      <c r="AG19" s="141">
        <f>VLOOKUP(B19,'2024 by account '!$A$2:$M$102,9,0)/1000</f>
        <v>10575.98214</v>
      </c>
      <c r="AH19" s="141">
        <f t="shared" si="15"/>
        <v>284.991623236989</v>
      </c>
      <c r="AI19" s="142">
        <f t="shared" si="16"/>
        <v>11.1420604909293</v>
      </c>
      <c r="AJ19" s="144"/>
      <c r="AK19" s="141">
        <f>VLOOKUP(B19,'2024 by account '!$A$2:$M$102,10,0)/1000</f>
        <v>12607.75585</v>
      </c>
      <c r="AL19" s="141">
        <f t="shared" si="17"/>
        <v>333.328431136184</v>
      </c>
      <c r="AM19" s="142">
        <f t="shared" si="18"/>
        <v>8.31160061680091</v>
      </c>
      <c r="AN19" s="144"/>
      <c r="AO19" s="141">
        <f>VLOOKUP(B19,'2024 by account '!$A$2:$M$102,11,0)/1000</f>
        <v>12454.5781</v>
      </c>
      <c r="AP19" s="141">
        <f t="shared" si="19"/>
        <v>333.479935635895</v>
      </c>
      <c r="AQ19" s="142">
        <f t="shared" si="20"/>
        <v>8.0967279878577</v>
      </c>
      <c r="AR19" s="144"/>
      <c r="AS19" s="141">
        <f>VLOOKUP(B19,'2024 by account '!$A$2:$M$102,12,0)/1000</f>
        <v>11929.46996</v>
      </c>
      <c r="AT19" s="141">
        <f t="shared" si="21"/>
        <v>325.730878092601</v>
      </c>
      <c r="AU19" s="142">
        <f t="shared" si="22"/>
        <v>7.55580788894923</v>
      </c>
      <c r="AV19" s="144"/>
      <c r="AW19" s="143">
        <f>VLOOKUP(B19,'2024 by account '!$A$2:$M$102,13,0)/1000</f>
        <v>10234.57322</v>
      </c>
      <c r="AX19" s="141">
        <f t="shared" si="23"/>
        <v>279.184317343375</v>
      </c>
      <c r="AY19" s="142">
        <f t="shared" si="24"/>
        <v>10.6750398555949</v>
      </c>
      <c r="AZ19" s="121"/>
      <c r="BA19" s="143">
        <f t="shared" si="0"/>
        <v>121561.4865</v>
      </c>
      <c r="BB19" s="141">
        <f t="shared" si="1"/>
        <v>3405.75028856657</v>
      </c>
      <c r="BC19" s="142">
        <f t="shared" si="25"/>
        <v>9.29882456141762</v>
      </c>
    </row>
    <row r="20" s="121" customFormat="1" outlineLevel="1" spans="1:55">
      <c r="A20" s="140">
        <v>5102040406</v>
      </c>
      <c r="B20" s="140">
        <v>5102040406</v>
      </c>
      <c r="C20" s="140" t="s">
        <v>50</v>
      </c>
      <c r="D20" s="140" t="s">
        <v>44</v>
      </c>
      <c r="E20" s="141"/>
      <c r="F20" s="141">
        <f t="shared" si="2"/>
        <v>0</v>
      </c>
      <c r="G20" s="142">
        <f t="shared" si="3"/>
        <v>0</v>
      </c>
      <c r="I20" s="143"/>
      <c r="J20" s="141"/>
      <c r="K20" s="142">
        <f t="shared" si="4"/>
        <v>0</v>
      </c>
      <c r="L20" s="144"/>
      <c r="M20" s="141"/>
      <c r="N20" s="141"/>
      <c r="O20" s="142">
        <f t="shared" si="6"/>
        <v>0</v>
      </c>
      <c r="P20" s="144"/>
      <c r="Q20" s="141"/>
      <c r="R20" s="141">
        <f t="shared" si="7"/>
        <v>0</v>
      </c>
      <c r="S20" s="142">
        <f t="shared" si="8"/>
        <v>0</v>
      </c>
      <c r="T20" s="144"/>
      <c r="U20" s="141"/>
      <c r="V20" s="141">
        <f t="shared" si="9"/>
        <v>0</v>
      </c>
      <c r="W20" s="142">
        <f t="shared" si="10"/>
        <v>0</v>
      </c>
      <c r="X20" s="144"/>
      <c r="Y20" s="141"/>
      <c r="Z20" s="141">
        <f t="shared" si="11"/>
        <v>0</v>
      </c>
      <c r="AA20" s="142">
        <f t="shared" si="12"/>
        <v>0</v>
      </c>
      <c r="AB20" s="144"/>
      <c r="AC20" s="141"/>
      <c r="AD20" s="141">
        <f t="shared" si="13"/>
        <v>0</v>
      </c>
      <c r="AE20" s="142">
        <f t="shared" si="14"/>
        <v>0</v>
      </c>
      <c r="AF20" s="144"/>
      <c r="AG20" s="141"/>
      <c r="AH20" s="141">
        <f t="shared" si="15"/>
        <v>0</v>
      </c>
      <c r="AI20" s="142">
        <f t="shared" si="16"/>
        <v>0</v>
      </c>
      <c r="AJ20" s="144"/>
      <c r="AK20" s="141"/>
      <c r="AL20" s="141">
        <f t="shared" si="17"/>
        <v>0</v>
      </c>
      <c r="AM20" s="142">
        <f t="shared" si="18"/>
        <v>0</v>
      </c>
      <c r="AN20" s="144"/>
      <c r="AO20" s="141"/>
      <c r="AP20" s="141">
        <f t="shared" si="19"/>
        <v>0</v>
      </c>
      <c r="AQ20" s="142">
        <f t="shared" si="20"/>
        <v>0</v>
      </c>
      <c r="AR20" s="144"/>
      <c r="AS20" s="141"/>
      <c r="AT20" s="141">
        <f t="shared" si="21"/>
        <v>0</v>
      </c>
      <c r="AU20" s="142">
        <f t="shared" si="22"/>
        <v>0</v>
      </c>
      <c r="AV20" s="144"/>
      <c r="AW20" s="143"/>
      <c r="AX20" s="141">
        <f t="shared" si="23"/>
        <v>0</v>
      </c>
      <c r="AY20" s="142">
        <f t="shared" si="24"/>
        <v>0</v>
      </c>
      <c r="BA20" s="143">
        <f t="shared" si="0"/>
        <v>0</v>
      </c>
      <c r="BB20" s="141">
        <f t="shared" si="1"/>
        <v>0</v>
      </c>
      <c r="BC20" s="142">
        <f t="shared" si="25"/>
        <v>0</v>
      </c>
    </row>
    <row r="21" outlineLevel="1" spans="1:55">
      <c r="A21" s="140">
        <v>6666010115</v>
      </c>
      <c r="B21" s="140">
        <v>6666010115</v>
      </c>
      <c r="C21" s="140" t="s">
        <v>51</v>
      </c>
      <c r="D21" s="140" t="s">
        <v>44</v>
      </c>
      <c r="E21" s="141">
        <f>VLOOKUP(B21,'2024 by account '!$A$2:$M$102,2,0)/1000</f>
        <v>76.87885</v>
      </c>
      <c r="F21" s="141">
        <f t="shared" si="2"/>
        <v>2.34268889125897</v>
      </c>
      <c r="G21" s="142">
        <f t="shared" si="3"/>
        <v>0.146007409863445</v>
      </c>
      <c r="H21" s="121"/>
      <c r="I21" s="143">
        <f>VLOOKUP(B21,'2024 by account '!$A$2:$M$102,3,0)/1000</f>
        <v>-10888.23451</v>
      </c>
      <c r="J21" s="141">
        <f t="shared" si="27"/>
        <v>-327.323941210423</v>
      </c>
      <c r="K21" s="142">
        <f t="shared" si="4"/>
        <v>-16.5716859665058</v>
      </c>
      <c r="L21" s="144"/>
      <c r="M21" s="141">
        <f>VLOOKUP(B21,'2024 by account '!$A$2:$M$102,4,0)/1000</f>
        <v>-366.10808</v>
      </c>
      <c r="N21" s="141">
        <f t="shared" si="28"/>
        <v>-10.5134288069058</v>
      </c>
      <c r="O21" s="142">
        <f t="shared" si="6"/>
        <v>-0.524700743968948</v>
      </c>
      <c r="P21" s="144"/>
      <c r="Q21" s="141">
        <f>VLOOKUP(B21,'2024 by account '!$A$2:$M$102,5,0)/1000</f>
        <v>-8.33235</v>
      </c>
      <c r="R21" s="141">
        <f t="shared" si="7"/>
        <v>-0.240176579443455</v>
      </c>
      <c r="S21" s="142">
        <f t="shared" si="8"/>
        <v>-0.00856458222884338</v>
      </c>
      <c r="T21" s="144"/>
      <c r="U21" s="141">
        <f>VLOOKUP(B21,'2024 by account '!$A$2:$M$102,6,0)/1000</f>
        <v>35.23943</v>
      </c>
      <c r="V21" s="141">
        <f t="shared" si="9"/>
        <v>1.01086989572726</v>
      </c>
      <c r="W21" s="142">
        <f t="shared" si="10"/>
        <v>0.0247798670325846</v>
      </c>
      <c r="X21" s="144"/>
      <c r="Y21" s="141">
        <f>VLOOKUP(B21,'2024 by account '!$A$2:$M$102,7,0)/1000</f>
        <v>-3.60165</v>
      </c>
      <c r="Z21" s="141">
        <f t="shared" si="11"/>
        <v>-0.10270855255841</v>
      </c>
      <c r="AA21" s="142">
        <f t="shared" si="12"/>
        <v>-0.00331574614406024</v>
      </c>
      <c r="AB21" s="144"/>
      <c r="AC21" s="141">
        <f>VLOOKUP(B21,'2024 by account '!$A$2:$M$102,8,0)/1000</f>
        <v>140.22936</v>
      </c>
      <c r="AD21" s="141">
        <f t="shared" si="13"/>
        <v>3.9283343931826</v>
      </c>
      <c r="AE21" s="142">
        <f t="shared" si="14"/>
        <v>0.113940725503455</v>
      </c>
      <c r="AF21" s="144"/>
      <c r="AG21" s="141">
        <f>VLOOKUP(B21,'2024 by account '!$A$2:$M$102,9,0)/1000</f>
        <v>-135.88477</v>
      </c>
      <c r="AH21" s="141">
        <f t="shared" si="15"/>
        <v>-3.66169502395594</v>
      </c>
      <c r="AI21" s="142">
        <f t="shared" si="16"/>
        <v>-0.143157988269448</v>
      </c>
      <c r="AJ21" s="144"/>
      <c r="AK21" s="141">
        <f>VLOOKUP(B21,'2024 by account '!$A$2:$M$102,10,0)/1000</f>
        <v>25.77998</v>
      </c>
      <c r="AL21" s="141">
        <f t="shared" si="17"/>
        <v>0.681580480329669</v>
      </c>
      <c r="AM21" s="142">
        <f t="shared" si="18"/>
        <v>0.0169953241654116</v>
      </c>
      <c r="AN21" s="144"/>
      <c r="AO21" s="141">
        <f>VLOOKUP(B21,'2024 by account '!$A$2:$M$102,11,0)/1000</f>
        <v>74.7254</v>
      </c>
      <c r="AP21" s="141">
        <f t="shared" si="19"/>
        <v>2.00082422562082</v>
      </c>
      <c r="AQ21" s="142">
        <f t="shared" si="20"/>
        <v>0.0485790231291626</v>
      </c>
      <c r="AR21" s="144"/>
      <c r="AS21" s="141">
        <f>VLOOKUP(B21,'2024 by account '!$A$2:$M$102,12,0)/1000</f>
        <v>-58.9807</v>
      </c>
      <c r="AT21" s="141">
        <f t="shared" si="21"/>
        <v>-1.61045170203994</v>
      </c>
      <c r="AU21" s="142">
        <f t="shared" si="22"/>
        <v>-0.037356801253536</v>
      </c>
      <c r="AV21" s="144"/>
      <c r="AW21" s="143">
        <f>VLOOKUP(B21,'2024 by account '!$A$2:$M$102,13,0)/1000</f>
        <v>-47.45002</v>
      </c>
      <c r="AX21" s="141">
        <f t="shared" si="23"/>
        <v>-1.29436774322374</v>
      </c>
      <c r="AY21" s="142">
        <f t="shared" si="24"/>
        <v>-0.0494921325746085</v>
      </c>
      <c r="AZ21" s="121"/>
      <c r="BA21" s="143">
        <f t="shared" si="0"/>
        <v>-11155.73906</v>
      </c>
      <c r="BB21" s="141">
        <f t="shared" si="1"/>
        <v>-334.782471732431</v>
      </c>
      <c r="BC21" s="142">
        <f t="shared" si="25"/>
        <v>-0.914066859607573</v>
      </c>
    </row>
    <row r="22" s="122" customFormat="1" spans="1:55">
      <c r="B22" s="148" t="s">
        <v>52</v>
      </c>
      <c r="C22" s="149" t="s">
        <v>44</v>
      </c>
      <c r="D22" s="150"/>
      <c r="E22" s="151">
        <f>SUM(E14:E21)</f>
        <v>5783.02184</v>
      </c>
      <c r="F22" s="151">
        <f t="shared" si="2"/>
        <v>176.222992701842</v>
      </c>
      <c r="G22" s="152">
        <f t="shared" si="3"/>
        <v>10.9830472235489</v>
      </c>
      <c r="H22" s="121"/>
      <c r="I22" s="151">
        <f>SUM(I14:I21)</f>
        <v>6234.67817</v>
      </c>
      <c r="J22" s="151">
        <f>SUM(J14:J21)</f>
        <v>187.427946092519</v>
      </c>
      <c r="K22" s="152">
        <f t="shared" si="4"/>
        <v>9.4890616693256</v>
      </c>
      <c r="L22" s="156"/>
      <c r="M22" s="154">
        <f>SUM(M14:M21)</f>
        <v>5637.7888</v>
      </c>
      <c r="N22" s="151">
        <f>SUM(N14:N21)</f>
        <v>161.898888375178</v>
      </c>
      <c r="O22" s="152">
        <f t="shared" si="6"/>
        <v>8.07999642537198</v>
      </c>
      <c r="P22" s="156"/>
      <c r="Q22" s="151">
        <f>SUM(Q14:Q21)</f>
        <v>13247.19171</v>
      </c>
      <c r="R22" s="151">
        <f t="shared" si="7"/>
        <v>381.844880752668</v>
      </c>
      <c r="S22" s="152">
        <f t="shared" si="8"/>
        <v>13.6164062601244</v>
      </c>
      <c r="T22" s="156"/>
      <c r="U22" s="151">
        <f>SUM(U14:U21)</f>
        <v>13229.26001</v>
      </c>
      <c r="V22" s="151">
        <f t="shared" si="9"/>
        <v>379.491401729751</v>
      </c>
      <c r="W22" s="152">
        <f t="shared" si="10"/>
        <v>9.30262787982918</v>
      </c>
      <c r="X22" s="156"/>
      <c r="Y22" s="151">
        <f>SUM(Y14:Y21)</f>
        <v>13345.71654</v>
      </c>
      <c r="Z22" s="151">
        <f t="shared" si="11"/>
        <v>380.580908383167</v>
      </c>
      <c r="AA22" s="152">
        <f t="shared" si="12"/>
        <v>12.2863154824111</v>
      </c>
      <c r="AB22" s="156"/>
      <c r="AC22" s="151">
        <f>SUM(AC14:AC21)</f>
        <v>11982.60874</v>
      </c>
      <c r="AD22" s="151">
        <f t="shared" si="13"/>
        <v>335.676452016842</v>
      </c>
      <c r="AE22" s="152">
        <f t="shared" si="14"/>
        <v>9.73624306107961</v>
      </c>
      <c r="AF22" s="156"/>
      <c r="AG22" s="151">
        <f>SUM(AG14:AG21)</f>
        <v>12945.83606</v>
      </c>
      <c r="AH22" s="151">
        <f t="shared" si="15"/>
        <v>348.852218551434</v>
      </c>
      <c r="AI22" s="152">
        <f t="shared" si="16"/>
        <v>13.6387605970535</v>
      </c>
      <c r="AJ22" s="156"/>
      <c r="AK22" s="151">
        <f>SUM(AK14:AK21)</f>
        <v>15872.32971</v>
      </c>
      <c r="AL22" s="151">
        <f t="shared" si="17"/>
        <v>419.638421274674</v>
      </c>
      <c r="AM22" s="152">
        <f t="shared" si="18"/>
        <v>10.4637547694662</v>
      </c>
      <c r="AN22" s="156"/>
      <c r="AO22" s="151">
        <f>SUM(AO14:AO21)</f>
        <v>16289.10445</v>
      </c>
      <c r="AP22" s="151">
        <f t="shared" si="19"/>
        <v>436.152028590384</v>
      </c>
      <c r="AQ22" s="152">
        <f t="shared" si="20"/>
        <v>10.5895556508215</v>
      </c>
      <c r="AR22" s="156"/>
      <c r="AS22" s="151">
        <f>SUM(AS14:AS21)</f>
        <v>15304.65224</v>
      </c>
      <c r="AT22" s="151">
        <f t="shared" si="21"/>
        <v>417.889296821457</v>
      </c>
      <c r="AU22" s="152">
        <f t="shared" si="22"/>
        <v>9.69355826540146</v>
      </c>
      <c r="AV22" s="156"/>
      <c r="AW22" s="151">
        <f>SUM(AW14:AW21)</f>
        <v>13304.3807</v>
      </c>
      <c r="AX22" s="151">
        <f t="shared" si="23"/>
        <v>362.92421418681</v>
      </c>
      <c r="AY22" s="152">
        <f t="shared" si="24"/>
        <v>13.8769630324173</v>
      </c>
      <c r="AZ22" s="157"/>
      <c r="BA22" s="151">
        <f t="shared" si="0"/>
        <v>143176.56897</v>
      </c>
      <c r="BB22" s="151">
        <f t="shared" si="1"/>
        <v>3988.59964947673</v>
      </c>
      <c r="BC22" s="152">
        <f t="shared" si="25"/>
        <v>10.8901960636187</v>
      </c>
    </row>
    <row r="23" outlineLevel="2" spans="1:55">
      <c r="A23" s="140">
        <v>8701530201</v>
      </c>
      <c r="B23" s="140">
        <v>8701530201</v>
      </c>
      <c r="C23" s="140" t="s">
        <v>54</v>
      </c>
      <c r="D23" s="140" t="s">
        <v>55</v>
      </c>
      <c r="E23" s="141">
        <f>VLOOKUP(B23,'2024 by account '!$A$2:$M$102,2,0)/1000</f>
        <v>0</v>
      </c>
      <c r="F23" s="141">
        <f t="shared" si="2"/>
        <v>0</v>
      </c>
      <c r="G23" s="142">
        <f t="shared" si="3"/>
        <v>0</v>
      </c>
      <c r="H23" s="121"/>
      <c r="I23" s="143">
        <f>VLOOKUP(B23,'2024 by account '!$A$2:$M$102,3,0)/1000</f>
        <v>0</v>
      </c>
      <c r="J23" s="141">
        <f t="shared" ref="J23:J26" si="29">I23/$J$2</f>
        <v>0</v>
      </c>
      <c r="K23" s="142">
        <f t="shared" si="4"/>
        <v>0</v>
      </c>
      <c r="L23" s="144"/>
      <c r="M23" s="141">
        <f>VLOOKUP(B23,'2024 by account '!$A$2:$M$102,4,0)/1000</f>
        <v>0</v>
      </c>
      <c r="N23" s="141">
        <f t="shared" ref="N23:N26" si="30">M23/$N$2</f>
        <v>0</v>
      </c>
      <c r="O23" s="142">
        <f t="shared" si="6"/>
        <v>0</v>
      </c>
      <c r="P23" s="144"/>
      <c r="Q23" s="141">
        <f>VLOOKUP(B23,'2024 by account '!$A$2:$M$102,5,0)/1000</f>
        <v>0</v>
      </c>
      <c r="R23" s="141">
        <f t="shared" si="7"/>
        <v>0</v>
      </c>
      <c r="S23" s="142">
        <f t="shared" si="8"/>
        <v>0</v>
      </c>
      <c r="T23" s="144"/>
      <c r="U23" s="141">
        <f>VLOOKUP(B23,'2024 by account '!$A$2:$M$102,6,0)/1000</f>
        <v>0</v>
      </c>
      <c r="V23" s="141">
        <f t="shared" si="9"/>
        <v>0</v>
      </c>
      <c r="W23" s="142">
        <f t="shared" si="10"/>
        <v>0</v>
      </c>
      <c r="X23" s="144"/>
      <c r="Y23" s="141">
        <f>VLOOKUP(B23,'2024 by account '!$A$2:$M$102,7,0)/1000</f>
        <v>0</v>
      </c>
      <c r="Z23" s="141">
        <f t="shared" si="11"/>
        <v>0</v>
      </c>
      <c r="AA23" s="142">
        <f t="shared" si="12"/>
        <v>0</v>
      </c>
      <c r="AB23" s="144"/>
      <c r="AC23" s="141">
        <f>VLOOKUP(B23,'2024 by account '!$A$2:$M$102,8,0)/1000</f>
        <v>0</v>
      </c>
      <c r="AD23" s="141">
        <f t="shared" si="13"/>
        <v>0</v>
      </c>
      <c r="AE23" s="142">
        <f t="shared" si="14"/>
        <v>0</v>
      </c>
      <c r="AF23" s="144"/>
      <c r="AG23" s="141">
        <f>VLOOKUP(B23,'2024 by account '!$A$2:$M$102,9,0)/1000</f>
        <v>0</v>
      </c>
      <c r="AH23" s="141">
        <f t="shared" si="15"/>
        <v>0</v>
      </c>
      <c r="AI23" s="142">
        <f t="shared" si="16"/>
        <v>0</v>
      </c>
      <c r="AJ23" s="144"/>
      <c r="AK23" s="141">
        <f>VLOOKUP(B23,'2024 by account '!$A$2:$M$102,10,0)/1000</f>
        <v>0</v>
      </c>
      <c r="AL23" s="141">
        <f t="shared" si="17"/>
        <v>0</v>
      </c>
      <c r="AM23" s="142">
        <f t="shared" si="18"/>
        <v>0</v>
      </c>
      <c r="AN23" s="144"/>
      <c r="AO23" s="141">
        <f>VLOOKUP(B23,'2024 by account '!$A$2:$M$102,11,0)/1000</f>
        <v>0</v>
      </c>
      <c r="AP23" s="141">
        <f t="shared" si="19"/>
        <v>0</v>
      </c>
      <c r="AQ23" s="142">
        <f t="shared" si="20"/>
        <v>0</v>
      </c>
      <c r="AR23" s="144"/>
      <c r="AS23" s="141">
        <f>VLOOKUP(B23,'2024 by account '!$A$2:$M$102,12,0)/1000</f>
        <v>0</v>
      </c>
      <c r="AT23" s="141">
        <f t="shared" si="21"/>
        <v>0</v>
      </c>
      <c r="AU23" s="142">
        <f t="shared" si="22"/>
        <v>0</v>
      </c>
      <c r="AV23" s="144"/>
      <c r="AW23" s="143">
        <f>VLOOKUP(B23,'2024 by account '!$A$2:$M$102,13,0)/1000</f>
        <v>0</v>
      </c>
      <c r="AX23" s="141">
        <f t="shared" si="23"/>
        <v>0</v>
      </c>
      <c r="AY23" s="142">
        <f t="shared" si="24"/>
        <v>0</v>
      </c>
      <c r="AZ23" s="121"/>
      <c r="BA23" s="143">
        <f t="shared" si="0"/>
        <v>0</v>
      </c>
      <c r="BB23" s="141">
        <f t="shared" si="1"/>
        <v>0</v>
      </c>
      <c r="BC23" s="142">
        <f t="shared" si="25"/>
        <v>0</v>
      </c>
    </row>
    <row r="24" outlineLevel="2" spans="1:55">
      <c r="A24" s="140">
        <v>6666050309</v>
      </c>
      <c r="B24" s="140">
        <v>6666050309</v>
      </c>
      <c r="C24" s="140" t="s">
        <v>56</v>
      </c>
      <c r="D24" s="140" t="s">
        <v>55</v>
      </c>
      <c r="E24" s="141">
        <f>VLOOKUP(B24,'2024 by account '!$A$2:$M$102,2,0)/1000</f>
        <v>248.528</v>
      </c>
      <c r="F24" s="141">
        <f t="shared" si="2"/>
        <v>7.57326344978898</v>
      </c>
      <c r="G24" s="142">
        <f t="shared" si="3"/>
        <v>0.472001461501339</v>
      </c>
      <c r="H24" s="121"/>
      <c r="I24" s="143">
        <f>VLOOKUP(B24,'2024 by account '!$A$2:$M$102,3,0)/1000</f>
        <v>213.3173</v>
      </c>
      <c r="J24" s="141">
        <f t="shared" si="29"/>
        <v>6.41278063034355</v>
      </c>
      <c r="K24" s="142">
        <f t="shared" si="4"/>
        <v>0.324664875979321</v>
      </c>
      <c r="L24" s="144"/>
      <c r="M24" s="141">
        <f>VLOOKUP(B24,'2024 by account '!$A$2:$M$102,4,0)/1000</f>
        <v>200.72754</v>
      </c>
      <c r="N24" s="141">
        <f t="shared" si="30"/>
        <v>5.76423962392564</v>
      </c>
      <c r="O24" s="142">
        <f t="shared" si="6"/>
        <v>0.287679773615094</v>
      </c>
      <c r="P24" s="144"/>
      <c r="Q24" s="141">
        <f>VLOOKUP(B24,'2024 by account '!$A$2:$M$102,5,0)/1000</f>
        <v>439.46484</v>
      </c>
      <c r="R24" s="141">
        <f t="shared" si="7"/>
        <v>12.6673941993393</v>
      </c>
      <c r="S24" s="142">
        <f t="shared" si="8"/>
        <v>0.45171323322538</v>
      </c>
      <c r="T24" s="144"/>
      <c r="U24" s="141">
        <f>VLOOKUP(B24,'2024 by account '!$A$2:$M$102,6,0)/1000</f>
        <v>622.70351</v>
      </c>
      <c r="V24" s="141">
        <f t="shared" si="9"/>
        <v>17.8627245736579</v>
      </c>
      <c r="W24" s="142">
        <f t="shared" si="10"/>
        <v>0.437876270374512</v>
      </c>
      <c r="X24" s="144"/>
      <c r="Y24" s="141">
        <f>VLOOKUP(B24,'2024 by account '!$A$2:$M$102,7,0)/1000</f>
        <v>678.06636</v>
      </c>
      <c r="Z24" s="141">
        <f t="shared" si="11"/>
        <v>19.3364747752141</v>
      </c>
      <c r="AA24" s="142">
        <f t="shared" si="12"/>
        <v>0.624240533807273</v>
      </c>
      <c r="AB24" s="144"/>
      <c r="AC24" s="141">
        <f>VLOOKUP(B24,'2024 by account '!$A$2:$M$102,8,0)/1000</f>
        <v>463.74725</v>
      </c>
      <c r="AD24" s="141">
        <f t="shared" si="13"/>
        <v>12.9912471391073</v>
      </c>
      <c r="AE24" s="142">
        <f t="shared" si="14"/>
        <v>0.376809094152836</v>
      </c>
      <c r="AF24" s="144"/>
      <c r="AG24" s="141">
        <f>VLOOKUP(B24,'2024 by account '!$A$2:$M$102,9,0)/1000</f>
        <v>497.21587</v>
      </c>
      <c r="AH24" s="141">
        <f t="shared" si="15"/>
        <v>13.3985057855337</v>
      </c>
      <c r="AI24" s="142">
        <f t="shared" si="16"/>
        <v>0.523829298050424</v>
      </c>
      <c r="AJ24" s="144"/>
      <c r="AK24" s="141">
        <f>VLOOKUP(B24,'2024 by account '!$A$2:$M$102,10,0)/1000</f>
        <v>528.54885</v>
      </c>
      <c r="AL24" s="141">
        <f t="shared" si="17"/>
        <v>13.9739665841748</v>
      </c>
      <c r="AM24" s="142">
        <f t="shared" si="18"/>
        <v>0.348443212252513</v>
      </c>
      <c r="AN24" s="144"/>
      <c r="AO24" s="141">
        <f>VLOOKUP(B24,'2024 by account '!$A$2:$M$102,11,0)/1000</f>
        <v>998.42047</v>
      </c>
      <c r="AP24" s="141">
        <f t="shared" si="19"/>
        <v>26.7333980645366</v>
      </c>
      <c r="AQ24" s="142">
        <f t="shared" si="20"/>
        <v>0.649073689866624</v>
      </c>
      <c r="AR24" s="144"/>
      <c r="AS24" s="141">
        <f>VLOOKUP(B24,'2024 by account '!$A$2:$M$102,12,0)/1000</f>
        <v>498.71391</v>
      </c>
      <c r="AT24" s="141">
        <f t="shared" si="21"/>
        <v>13.6172453902801</v>
      </c>
      <c r="AU24" s="142">
        <f t="shared" si="22"/>
        <v>0.315872080498262</v>
      </c>
      <c r="AV24" s="144"/>
      <c r="AW24" s="143">
        <f>VLOOKUP(B24,'2024 by account '!$A$2:$M$102,13,0)/1000</f>
        <v>356.59041</v>
      </c>
      <c r="AX24" s="141">
        <f t="shared" si="23"/>
        <v>9.72726932985332</v>
      </c>
      <c r="AY24" s="142">
        <f t="shared" si="24"/>
        <v>0.37193703704559</v>
      </c>
      <c r="AZ24" s="121"/>
      <c r="BA24" s="143">
        <f t="shared" si="0"/>
        <v>5746.04431</v>
      </c>
      <c r="BB24" s="141">
        <f t="shared" si="1"/>
        <v>160.058509545755</v>
      </c>
      <c r="BC24" s="142">
        <f t="shared" si="25"/>
        <v>0.437012662033537</v>
      </c>
    </row>
    <row r="25" outlineLevel="2" spans="1:55">
      <c r="A25" s="140">
        <v>6666050308</v>
      </c>
      <c r="B25" s="140">
        <v>6666050308</v>
      </c>
      <c r="C25" s="140" t="s">
        <v>57</v>
      </c>
      <c r="D25" s="140" t="s">
        <v>55</v>
      </c>
      <c r="E25" s="141">
        <f>VLOOKUP(B25,'2024 by account '!$A$2:$M$102,2,0)/1000</f>
        <v>-45.79438</v>
      </c>
      <c r="F25" s="141">
        <f t="shared" si="2"/>
        <v>-1.3954681334085</v>
      </c>
      <c r="G25" s="142">
        <f t="shared" si="3"/>
        <v>-0.0869721491684948</v>
      </c>
      <c r="H25" s="121"/>
      <c r="I25" s="143">
        <f>VLOOKUP(B25,'2024 by account '!$A$2:$M$102,3,0)/1000</f>
        <v>25.18104</v>
      </c>
      <c r="J25" s="141">
        <f t="shared" si="29"/>
        <v>0.756996669111723</v>
      </c>
      <c r="K25" s="142">
        <f t="shared" si="4"/>
        <v>0.0383250642523149</v>
      </c>
      <c r="L25" s="144"/>
      <c r="M25" s="141">
        <f>VLOOKUP(B25,'2024 by account '!$A$2:$M$102,4,0)/1000</f>
        <v>87.06643</v>
      </c>
      <c r="N25" s="141">
        <f t="shared" si="30"/>
        <v>2.50026361962961</v>
      </c>
      <c r="O25" s="142">
        <f t="shared" si="6"/>
        <v>0.124782333664202</v>
      </c>
      <c r="P25" s="144"/>
      <c r="Q25" s="141">
        <f>VLOOKUP(B25,'2024 by account '!$A$2:$M$102,5,0)/1000</f>
        <v>-18.99198</v>
      </c>
      <c r="R25" s="141">
        <f t="shared" si="7"/>
        <v>-0.547436052645233</v>
      </c>
      <c r="S25" s="142">
        <f t="shared" si="8"/>
        <v>-0.019521308442222</v>
      </c>
      <c r="T25" s="144"/>
      <c r="U25" s="141">
        <f>VLOOKUP(B25,'2024 by account '!$A$2:$M$102,6,0)/1000</f>
        <v>-35.11939</v>
      </c>
      <c r="V25" s="141">
        <f t="shared" si="9"/>
        <v>-1.00742645687813</v>
      </c>
      <c r="W25" s="142">
        <f t="shared" si="10"/>
        <v>-0.0246954566082789</v>
      </c>
      <c r="X25" s="144"/>
      <c r="Y25" s="141">
        <f>VLOOKUP(B25,'2024 by account '!$A$2:$M$102,7,0)/1000</f>
        <v>282.19544</v>
      </c>
      <c r="Z25" s="141">
        <f t="shared" si="11"/>
        <v>8.0473908294764</v>
      </c>
      <c r="AA25" s="142">
        <f t="shared" si="12"/>
        <v>0.259794383699522</v>
      </c>
      <c r="AB25" s="144"/>
      <c r="AC25" s="141">
        <f>VLOOKUP(B25,'2024 by account '!$A$2:$M$102,8,0)/1000</f>
        <v>61.0478</v>
      </c>
      <c r="AD25" s="141">
        <f t="shared" si="13"/>
        <v>1.71017091119957</v>
      </c>
      <c r="AE25" s="142">
        <f t="shared" si="14"/>
        <v>0.0496032401658953</v>
      </c>
      <c r="AF25" s="144"/>
      <c r="AG25" s="141">
        <f>VLOOKUP(B25,'2024 by account '!$A$2:$M$102,9,0)/1000</f>
        <v>69.44699</v>
      </c>
      <c r="AH25" s="141">
        <f t="shared" si="15"/>
        <v>1.87139219289783</v>
      </c>
      <c r="AI25" s="142">
        <f t="shared" si="16"/>
        <v>0.0731641329618357</v>
      </c>
      <c r="AJ25" s="144"/>
      <c r="AK25" s="141">
        <f>VLOOKUP(B25,'2024 by account '!$A$2:$M$102,10,0)/1000</f>
        <v>141.58387</v>
      </c>
      <c r="AL25" s="141">
        <f t="shared" si="17"/>
        <v>3.74324581018035</v>
      </c>
      <c r="AM25" s="142">
        <f t="shared" si="18"/>
        <v>0.0933384652448722</v>
      </c>
      <c r="AN25" s="144"/>
      <c r="AO25" s="141">
        <f>VLOOKUP(B25,'2024 by account '!$A$2:$M$102,11,0)/1000</f>
        <v>-284.19875</v>
      </c>
      <c r="AP25" s="141">
        <f t="shared" si="19"/>
        <v>-7.60961793300745</v>
      </c>
      <c r="AQ25" s="142">
        <f t="shared" si="20"/>
        <v>-0.184757761745392</v>
      </c>
      <c r="AR25" s="144"/>
      <c r="AS25" s="141">
        <f>VLOOKUP(B25,'2024 by account '!$A$2:$M$102,12,0)/1000</f>
        <v>327.33227</v>
      </c>
      <c r="AT25" s="141">
        <f t="shared" si="21"/>
        <v>8.93771710668228</v>
      </c>
      <c r="AU25" s="142">
        <f t="shared" si="22"/>
        <v>0.207323523699427</v>
      </c>
      <c r="AV25" s="144"/>
      <c r="AW25" s="143">
        <f>VLOOKUP(B25,'2024 by account '!$A$2:$M$102,13,0)/1000</f>
        <v>605.26309</v>
      </c>
      <c r="AX25" s="141">
        <f t="shared" si="23"/>
        <v>16.5106994656678</v>
      </c>
      <c r="AY25" s="142">
        <f t="shared" si="24"/>
        <v>0.631311874953839</v>
      </c>
      <c r="AZ25" s="121"/>
      <c r="BA25" s="143">
        <f t="shared" si="0"/>
        <v>1215.01243</v>
      </c>
      <c r="BB25" s="141">
        <f t="shared" si="1"/>
        <v>33.5179280289062</v>
      </c>
      <c r="BC25" s="142">
        <f t="shared" si="25"/>
        <v>0.0915150278190835</v>
      </c>
    </row>
    <row r="26" outlineLevel="2" spans="1:55">
      <c r="A26" s="140">
        <v>6666050306</v>
      </c>
      <c r="B26" s="140">
        <v>6666050306</v>
      </c>
      <c r="C26" s="140" t="s">
        <v>58</v>
      </c>
      <c r="D26" s="140" t="s">
        <v>55</v>
      </c>
      <c r="E26" s="141">
        <f>VLOOKUP(B26,'2024 by account '!$A$2:$M$102,2,0)/1000</f>
        <v>0</v>
      </c>
      <c r="F26" s="141">
        <f t="shared" si="2"/>
        <v>0</v>
      </c>
      <c r="G26" s="142">
        <f t="shared" si="3"/>
        <v>0</v>
      </c>
      <c r="H26" s="121"/>
      <c r="I26" s="143">
        <f>VLOOKUP(B26,'2024 by account '!$A$2:$M$102,3,0)/1000</f>
        <v>56.56561</v>
      </c>
      <c r="J26" s="141">
        <f t="shared" si="29"/>
        <v>1.70048490277895</v>
      </c>
      <c r="K26" s="142">
        <f t="shared" si="4"/>
        <v>0.086091783251263</v>
      </c>
      <c r="L26" s="144"/>
      <c r="M26" s="141">
        <f>VLOOKUP(B26,'2024 by account '!$A$2:$M$102,4,0)/1000</f>
        <v>19.64788</v>
      </c>
      <c r="N26" s="141">
        <f t="shared" si="30"/>
        <v>0.564222968219189</v>
      </c>
      <c r="O26" s="142">
        <f t="shared" si="6"/>
        <v>0.028159054160762</v>
      </c>
      <c r="P26" s="144"/>
      <c r="Q26" s="141">
        <f>VLOOKUP(B26,'2024 by account '!$A$2:$M$102,5,0)/1000</f>
        <v>0</v>
      </c>
      <c r="R26" s="141">
        <f t="shared" si="7"/>
        <v>0</v>
      </c>
      <c r="S26" s="142">
        <f t="shared" si="8"/>
        <v>0</v>
      </c>
      <c r="T26" s="144"/>
      <c r="U26" s="141">
        <f>VLOOKUP(B26,'2024 by account '!$A$2:$M$102,6,0)/1000</f>
        <v>8.99129</v>
      </c>
      <c r="V26" s="141">
        <f t="shared" si="9"/>
        <v>0.257922003413606</v>
      </c>
      <c r="W26" s="142">
        <f t="shared" si="10"/>
        <v>0.0063225475171252</v>
      </c>
      <c r="X26" s="144"/>
      <c r="Y26" s="141">
        <f>VLOOKUP(B26,'2024 by account '!$A$2:$M$102,7,0)/1000</f>
        <v>9.29528</v>
      </c>
      <c r="Z26" s="141">
        <f t="shared" si="11"/>
        <v>0.265074272743087</v>
      </c>
      <c r="AA26" s="142">
        <f t="shared" si="12"/>
        <v>0.00855740808184035</v>
      </c>
      <c r="AB26" s="144"/>
      <c r="AC26" s="141">
        <f>VLOOKUP(B26,'2024 by account '!$A$2:$M$102,8,0)/1000</f>
        <v>194.08081</v>
      </c>
      <c r="AD26" s="141">
        <f t="shared" si="13"/>
        <v>5.43690936748009</v>
      </c>
      <c r="AE26" s="142">
        <f t="shared" si="14"/>
        <v>0.157696707006993</v>
      </c>
      <c r="AF26" s="144"/>
      <c r="AG26" s="141">
        <f>VLOOKUP(B26,'2024 by account '!$A$2:$M$102,9,0)/1000</f>
        <v>0</v>
      </c>
      <c r="AH26" s="141">
        <f t="shared" si="15"/>
        <v>0</v>
      </c>
      <c r="AI26" s="142">
        <f t="shared" si="16"/>
        <v>0</v>
      </c>
      <c r="AJ26" s="144"/>
      <c r="AK26" s="141">
        <f>VLOOKUP(B26,'2024 by account '!$A$2:$M$102,10,0)/1000</f>
        <v>9.42167</v>
      </c>
      <c r="AL26" s="141">
        <f t="shared" si="17"/>
        <v>0.24909353553058</v>
      </c>
      <c r="AM26" s="142">
        <f t="shared" si="18"/>
        <v>0.00621118929609464</v>
      </c>
      <c r="AN26" s="144"/>
      <c r="AO26" s="141">
        <f>VLOOKUP(B26,'2024 by account '!$A$2:$M$102,11,0)/1000</f>
        <v>26.25826</v>
      </c>
      <c r="AP26" s="141">
        <f t="shared" si="19"/>
        <v>0.703083057844457</v>
      </c>
      <c r="AQ26" s="142">
        <f t="shared" si="20"/>
        <v>0.0170705090888984</v>
      </c>
      <c r="AR26" s="144"/>
      <c r="AS26" s="141">
        <f>VLOOKUP(B26,'2024 by account '!$A$2:$M$102,12,0)/1000</f>
        <v>8.35038</v>
      </c>
      <c r="AT26" s="141">
        <f t="shared" si="21"/>
        <v>0.228004816553216</v>
      </c>
      <c r="AU26" s="142">
        <f t="shared" si="22"/>
        <v>0.00528890783004443</v>
      </c>
      <c r="AV26" s="144"/>
      <c r="AW26" s="143">
        <f>VLOOKUP(B26,'2024 by account '!$A$2:$M$102,13,0)/1000</f>
        <v>130.141</v>
      </c>
      <c r="AX26" s="141">
        <f t="shared" si="23"/>
        <v>3.55005777596891</v>
      </c>
      <c r="AY26" s="142">
        <f t="shared" si="24"/>
        <v>0.13574189484835</v>
      </c>
      <c r="AZ26" s="121"/>
      <c r="BA26" s="143">
        <f t="shared" si="0"/>
        <v>462.75218</v>
      </c>
      <c r="BB26" s="141">
        <f t="shared" si="1"/>
        <v>12.9548527005321</v>
      </c>
      <c r="BC26" s="142">
        <f t="shared" si="25"/>
        <v>0.0353710320118498</v>
      </c>
    </row>
    <row r="27" s="120" customFormat="1" spans="1:55">
      <c r="B27" s="148" t="s">
        <v>52</v>
      </c>
      <c r="C27" s="149" t="s">
        <v>55</v>
      </c>
      <c r="D27" s="150"/>
      <c r="E27" s="151">
        <f>SUM(E23:E26)</f>
        <v>202.73362</v>
      </c>
      <c r="F27" s="151">
        <f t="shared" si="2"/>
        <v>6.17779531638048</v>
      </c>
      <c r="G27" s="152">
        <f t="shared" si="3"/>
        <v>0.385029312332844</v>
      </c>
      <c r="H27" s="121"/>
      <c r="I27" s="151">
        <f>SUM(I23:I26)</f>
        <v>295.06395</v>
      </c>
      <c r="J27" s="151">
        <f>SUM(J23:J26)</f>
        <v>8.87026220223422</v>
      </c>
      <c r="K27" s="152">
        <f t="shared" si="4"/>
        <v>0.449081723482899</v>
      </c>
      <c r="L27" s="153"/>
      <c r="M27" s="154">
        <f>SUM(M23:M26)</f>
        <v>307.44185</v>
      </c>
      <c r="N27" s="151">
        <f>SUM(N23:N26)</f>
        <v>8.82872621177444</v>
      </c>
      <c r="O27" s="152">
        <f t="shared" si="6"/>
        <v>0.440621161440058</v>
      </c>
      <c r="P27" s="153"/>
      <c r="Q27" s="151">
        <f>SUM(Q23:Q26)</f>
        <v>420.47286</v>
      </c>
      <c r="R27" s="151">
        <f t="shared" si="7"/>
        <v>12.1199581466941</v>
      </c>
      <c r="S27" s="152">
        <f t="shared" si="8"/>
        <v>0.432191924783158</v>
      </c>
      <c r="T27" s="153"/>
      <c r="U27" s="151">
        <f>SUM(U23:U26)</f>
        <v>596.57541</v>
      </c>
      <c r="V27" s="151">
        <f t="shared" si="9"/>
        <v>17.1132201201933</v>
      </c>
      <c r="W27" s="152">
        <f t="shared" si="10"/>
        <v>0.419503361283359</v>
      </c>
      <c r="X27" s="153"/>
      <c r="Y27" s="151">
        <f>SUM(Y23:Y26)</f>
        <v>969.55708</v>
      </c>
      <c r="Z27" s="151">
        <f t="shared" si="11"/>
        <v>27.6489398774336</v>
      </c>
      <c r="AA27" s="152">
        <f t="shared" si="12"/>
        <v>0.892592325588636</v>
      </c>
      <c r="AB27" s="153"/>
      <c r="AC27" s="151">
        <f>SUM(AC23:AC26)</f>
        <v>718.87586</v>
      </c>
      <c r="AD27" s="151">
        <f t="shared" si="13"/>
        <v>20.138327417787</v>
      </c>
      <c r="AE27" s="152">
        <f t="shared" si="14"/>
        <v>0.584109041325724</v>
      </c>
      <c r="AF27" s="153"/>
      <c r="AG27" s="151">
        <f>SUM(AG23:AG26)</f>
        <v>566.66286</v>
      </c>
      <c r="AH27" s="151">
        <f t="shared" si="15"/>
        <v>15.2698979784316</v>
      </c>
      <c r="AI27" s="152">
        <f t="shared" si="16"/>
        <v>0.59699343101226</v>
      </c>
      <c r="AJ27" s="153"/>
      <c r="AK27" s="151">
        <f>SUM(AK23:AK26)</f>
        <v>679.55439</v>
      </c>
      <c r="AL27" s="151">
        <f t="shared" si="17"/>
        <v>17.9663059298857</v>
      </c>
      <c r="AM27" s="152">
        <f t="shared" si="18"/>
        <v>0.44799286679348</v>
      </c>
      <c r="AN27" s="153"/>
      <c r="AO27" s="151">
        <f>SUM(AO23:AO26)</f>
        <v>740.47998</v>
      </c>
      <c r="AP27" s="151">
        <f t="shared" si="19"/>
        <v>19.8268631893736</v>
      </c>
      <c r="AQ27" s="152">
        <f t="shared" si="20"/>
        <v>0.48138643721013</v>
      </c>
      <c r="AR27" s="153"/>
      <c r="AS27" s="151">
        <f>SUM(AS23:AS26)</f>
        <v>834.39656</v>
      </c>
      <c r="AT27" s="151">
        <f t="shared" si="21"/>
        <v>22.7829673135156</v>
      </c>
      <c r="AU27" s="152">
        <f t="shared" si="22"/>
        <v>0.528484512027733</v>
      </c>
      <c r="AV27" s="153"/>
      <c r="AW27" s="151">
        <f>SUM(AW23:AW26)</f>
        <v>1091.9945</v>
      </c>
      <c r="AX27" s="151">
        <f t="shared" si="23"/>
        <v>29.78802657149</v>
      </c>
      <c r="AY27" s="152">
        <f t="shared" si="24"/>
        <v>1.13899080684778</v>
      </c>
      <c r="AZ27" s="155"/>
      <c r="BA27" s="151">
        <f t="shared" si="0"/>
        <v>7423.80892</v>
      </c>
      <c r="BB27" s="151">
        <f t="shared" si="1"/>
        <v>206.531290275194</v>
      </c>
      <c r="BC27" s="152">
        <f t="shared" si="25"/>
        <v>0.563898721864471</v>
      </c>
    </row>
    <row r="28" outlineLevel="2" spans="1:55">
      <c r="A28" s="140">
        <v>5102010151</v>
      </c>
      <c r="B28" s="140">
        <v>5102010151</v>
      </c>
      <c r="C28" s="140" t="s">
        <v>59</v>
      </c>
      <c r="D28" s="140" t="s">
        <v>60</v>
      </c>
      <c r="E28" s="141">
        <f>VLOOKUP(B28,'2024 by account '!$A$2:$M$102,2,0)/1000</f>
        <v>0</v>
      </c>
      <c r="F28" s="141">
        <f t="shared" si="2"/>
        <v>0</v>
      </c>
      <c r="G28" s="142">
        <f t="shared" si="3"/>
        <v>0</v>
      </c>
      <c r="H28" s="121"/>
      <c r="I28" s="143">
        <f>VLOOKUP(B28,'2024 by account '!$A$2:$M$102,3,0)/1000</f>
        <v>0</v>
      </c>
      <c r="J28" s="141">
        <f t="shared" ref="J28:J68" si="31">I28/$J$2</f>
        <v>0</v>
      </c>
      <c r="K28" s="142">
        <f t="shared" si="4"/>
        <v>0</v>
      </c>
      <c r="L28" s="144"/>
      <c r="M28" s="141">
        <f>VLOOKUP(B28,'2024 by account '!$A$2:$M$102,4,0)/1000</f>
        <v>0</v>
      </c>
      <c r="N28" s="141">
        <f t="shared" ref="N28:N68" si="32">M28/$N$2</f>
        <v>0</v>
      </c>
      <c r="O28" s="142">
        <f t="shared" si="6"/>
        <v>0</v>
      </c>
      <c r="P28" s="144"/>
      <c r="Q28" s="141">
        <f>VLOOKUP(B28,'2024 by account '!$A$2:$M$102,5,0)/1000</f>
        <v>0</v>
      </c>
      <c r="R28" s="141">
        <f t="shared" si="7"/>
        <v>0</v>
      </c>
      <c r="S28" s="142">
        <f t="shared" si="8"/>
        <v>0</v>
      </c>
      <c r="T28" s="144"/>
      <c r="U28" s="141">
        <f>VLOOKUP(B28,'2024 by account '!$A$2:$M$102,6,0)/1000</f>
        <v>0</v>
      </c>
      <c r="V28" s="141">
        <f t="shared" si="9"/>
        <v>0</v>
      </c>
      <c r="W28" s="142">
        <f t="shared" si="10"/>
        <v>0</v>
      </c>
      <c r="X28" s="144"/>
      <c r="Y28" s="141">
        <f>VLOOKUP(B28,'2024 by account '!$A$2:$M$102,7,0)/1000</f>
        <v>0</v>
      </c>
      <c r="Z28" s="141">
        <f t="shared" si="11"/>
        <v>0</v>
      </c>
      <c r="AA28" s="142">
        <f t="shared" si="12"/>
        <v>0</v>
      </c>
      <c r="AB28" s="144"/>
      <c r="AC28" s="141">
        <f>VLOOKUP(B28,'2024 by account '!$A$2:$M$102,8,0)/1000</f>
        <v>0</v>
      </c>
      <c r="AD28" s="141">
        <f t="shared" si="13"/>
        <v>0</v>
      </c>
      <c r="AE28" s="142">
        <f t="shared" si="14"/>
        <v>0</v>
      </c>
      <c r="AF28" s="144"/>
      <c r="AG28" s="141">
        <f>VLOOKUP(B28,'2024 by account '!$A$2:$M$102,9,0)/1000</f>
        <v>1e-5</v>
      </c>
      <c r="AH28" s="141">
        <f t="shared" si="15"/>
        <v>2.69470598063045e-7</v>
      </c>
      <c r="AI28" s="142">
        <f t="shared" si="16"/>
        <v>1.05352489664182e-8</v>
      </c>
      <c r="AJ28" s="144"/>
      <c r="AK28" s="141">
        <f>VLOOKUP(B28,'2024 by account '!$A$2:$M$102,10,0)/1000</f>
        <v>0</v>
      </c>
      <c r="AL28" s="141">
        <f t="shared" si="17"/>
        <v>0</v>
      </c>
      <c r="AM28" s="142">
        <f t="shared" si="18"/>
        <v>0</v>
      </c>
      <c r="AN28" s="144"/>
      <c r="AO28" s="141">
        <f>VLOOKUP(B28,'2024 by account '!$A$2:$M$102,11,0)/1000</f>
        <v>0</v>
      </c>
      <c r="AP28" s="141">
        <f t="shared" si="19"/>
        <v>0</v>
      </c>
      <c r="AQ28" s="142">
        <f t="shared" si="20"/>
        <v>0</v>
      </c>
      <c r="AR28" s="144"/>
      <c r="AS28" s="141">
        <f>VLOOKUP(B28,'2024 by account '!$A$2:$M$102,12,0)/1000</f>
        <v>0</v>
      </c>
      <c r="AT28" s="141">
        <f t="shared" si="21"/>
        <v>0</v>
      </c>
      <c r="AU28" s="142">
        <f t="shared" si="22"/>
        <v>0</v>
      </c>
      <c r="AV28" s="144"/>
      <c r="AW28" s="143">
        <f>VLOOKUP(B28,'2024 by account '!$A$2:$M$102,13,0)/1000</f>
        <v>0</v>
      </c>
      <c r="AX28" s="141">
        <f t="shared" si="23"/>
        <v>0</v>
      </c>
      <c r="AY28" s="142">
        <f t="shared" si="24"/>
        <v>0</v>
      </c>
      <c r="AZ28" s="121"/>
      <c r="BA28" s="143">
        <f t="shared" si="0"/>
        <v>1e-5</v>
      </c>
      <c r="BB28" s="141">
        <f t="shared" si="1"/>
        <v>2.69470598063045e-7</v>
      </c>
      <c r="BC28" s="142">
        <f t="shared" si="25"/>
        <v>7.35743846006742e-10</v>
      </c>
    </row>
    <row r="29" outlineLevel="2" spans="1:55">
      <c r="A29" s="140"/>
      <c r="B29" s="140">
        <v>5102040893</v>
      </c>
      <c r="C29" s="140" t="s">
        <v>72</v>
      </c>
      <c r="D29" s="140" t="s">
        <v>60</v>
      </c>
      <c r="E29" s="141">
        <f>VLOOKUP(B29,'2024 by account '!$A$2:$M$102,2,0)/1000</f>
        <v>-130.9926</v>
      </c>
      <c r="F29" s="141">
        <f t="shared" si="2"/>
        <v>-3.9916688251337</v>
      </c>
      <c r="G29" s="142">
        <f t="shared" si="3"/>
        <v>-0.248779608920766</v>
      </c>
      <c r="H29" s="121"/>
      <c r="I29" s="143">
        <f>VLOOKUP(B29,'2024 by account '!$A$2:$M$102,3,0)/1000</f>
        <v>0</v>
      </c>
      <c r="J29" s="141">
        <f t="shared" si="31"/>
        <v>0</v>
      </c>
      <c r="K29" s="142">
        <f t="shared" si="4"/>
        <v>0</v>
      </c>
      <c r="L29" s="144"/>
      <c r="M29" s="141">
        <f>VLOOKUP(B29,'2024 by account '!$A$2:$M$102,4,0)/1000</f>
        <v>0</v>
      </c>
      <c r="N29" s="141">
        <f t="shared" si="32"/>
        <v>0</v>
      </c>
      <c r="O29" s="142">
        <f t="shared" si="6"/>
        <v>0</v>
      </c>
      <c r="P29" s="144"/>
      <c r="Q29" s="141">
        <f>VLOOKUP(B29,'2024 by account '!$A$2:$M$102,5,0)/1000</f>
        <v>0</v>
      </c>
      <c r="R29" s="141">
        <f t="shared" si="7"/>
        <v>0</v>
      </c>
      <c r="S29" s="142">
        <f t="shared" si="8"/>
        <v>0</v>
      </c>
      <c r="T29" s="144"/>
      <c r="U29" s="141">
        <f>VLOOKUP(B29,'2024 by account '!$A$2:$M$102,6,0)/1000</f>
        <v>0</v>
      </c>
      <c r="V29" s="141">
        <f t="shared" si="9"/>
        <v>0</v>
      </c>
      <c r="W29" s="142">
        <f t="shared" si="10"/>
        <v>0</v>
      </c>
      <c r="X29" s="144"/>
      <c r="Y29" s="141">
        <f>VLOOKUP(B29,'2024 by account '!$A$2:$M$102,7,0)/1000</f>
        <v>0</v>
      </c>
      <c r="Z29" s="141">
        <f t="shared" si="11"/>
        <v>0</v>
      </c>
      <c r="AA29" s="142">
        <f t="shared" si="12"/>
        <v>0</v>
      </c>
      <c r="AB29" s="144"/>
      <c r="AC29" s="141">
        <f>VLOOKUP(B29,'2024 by account '!$A$2:$M$102,8,0)/1000</f>
        <v>0</v>
      </c>
      <c r="AD29" s="141">
        <f t="shared" si="13"/>
        <v>0</v>
      </c>
      <c r="AE29" s="142">
        <f t="shared" si="14"/>
        <v>0</v>
      </c>
      <c r="AF29" s="144"/>
      <c r="AG29" s="141">
        <f>VLOOKUP(B29,'2024 by account '!$A$2:$M$102,9,0)/1000</f>
        <v>0</v>
      </c>
      <c r="AH29" s="141">
        <f t="shared" si="15"/>
        <v>0</v>
      </c>
      <c r="AI29" s="142">
        <f t="shared" si="16"/>
        <v>0</v>
      </c>
      <c r="AJ29" s="144"/>
      <c r="AK29" s="141">
        <f>VLOOKUP(B29,'2024 by account '!$A$2:$M$102,10,0)/1000</f>
        <v>0</v>
      </c>
      <c r="AL29" s="141">
        <f t="shared" si="17"/>
        <v>0</v>
      </c>
      <c r="AM29" s="142">
        <f t="shared" si="18"/>
        <v>0</v>
      </c>
      <c r="AN29" s="144"/>
      <c r="AO29" s="141">
        <f>VLOOKUP(B29,'2024 by account '!$A$2:$M$102,11,0)/1000</f>
        <v>0</v>
      </c>
      <c r="AP29" s="141">
        <f t="shared" si="19"/>
        <v>0</v>
      </c>
      <c r="AQ29" s="142">
        <f t="shared" si="20"/>
        <v>0</v>
      </c>
      <c r="AR29" s="144"/>
      <c r="AS29" s="141">
        <f>VLOOKUP(B29,'2024 by account '!$A$2:$M$102,12,0)/1000</f>
        <v>0</v>
      </c>
      <c r="AT29" s="141">
        <f t="shared" si="21"/>
        <v>0</v>
      </c>
      <c r="AU29" s="142">
        <f t="shared" si="22"/>
        <v>0</v>
      </c>
      <c r="AV29" s="144"/>
      <c r="AW29" s="143">
        <f>VLOOKUP(B29,'2024 by account '!$A$2:$M$102,13,0)/1000</f>
        <v>0.1</v>
      </c>
      <c r="AX29" s="141">
        <f t="shared" si="23"/>
        <v>0.00272785500032189</v>
      </c>
      <c r="AY29" s="142">
        <f t="shared" si="24"/>
        <v>0.000104303712779486</v>
      </c>
      <c r="AZ29" s="121"/>
      <c r="BA29" s="143">
        <f t="shared" si="0"/>
        <v>-130.8926</v>
      </c>
      <c r="BB29" s="141">
        <f t="shared" si="1"/>
        <v>-3.98894097013338</v>
      </c>
      <c r="BC29" s="142">
        <f t="shared" si="25"/>
        <v>-0.0108911279818853</v>
      </c>
    </row>
    <row r="30" outlineLevel="2" spans="1:55">
      <c r="A30" s="140">
        <v>5001010200</v>
      </c>
      <c r="B30" s="140">
        <v>5001010200</v>
      </c>
      <c r="C30" s="140" t="s">
        <v>61</v>
      </c>
      <c r="D30" s="140" t="s">
        <v>60</v>
      </c>
      <c r="E30" s="141">
        <f>VLOOKUP(B30,'2024 by account '!$A$2:$M$102,2,0)/1000</f>
        <v>0</v>
      </c>
      <c r="F30" s="141">
        <f t="shared" si="2"/>
        <v>0</v>
      </c>
      <c r="G30" s="142">
        <f t="shared" si="3"/>
        <v>0</v>
      </c>
      <c r="H30" s="121"/>
      <c r="I30" s="143">
        <f>VLOOKUP(B30,'2024 by account '!$A$2:$M$102,3,0)/1000</f>
        <v>-36.32398</v>
      </c>
      <c r="J30" s="141">
        <f t="shared" si="31"/>
        <v>-1.09197760969685</v>
      </c>
      <c r="K30" s="142">
        <f t="shared" si="4"/>
        <v>-0.0552844071332955</v>
      </c>
      <c r="L30" s="144"/>
      <c r="M30" s="141">
        <f>VLOOKUP(B30,'2024 by account '!$A$2:$M$102,4,0)/1000</f>
        <v>4.035</v>
      </c>
      <c r="N30" s="141">
        <f t="shared" si="32"/>
        <v>0.115872026741024</v>
      </c>
      <c r="O30" s="142">
        <f t="shared" si="6"/>
        <v>0.00578290296656305</v>
      </c>
      <c r="P30" s="144"/>
      <c r="Q30" s="141">
        <f>VLOOKUP(B30,'2024 by account '!$A$2:$M$102,5,0)/1000</f>
        <v>0</v>
      </c>
      <c r="R30" s="141">
        <f t="shared" si="7"/>
        <v>0</v>
      </c>
      <c r="S30" s="142">
        <f t="shared" si="8"/>
        <v>0</v>
      </c>
      <c r="T30" s="144"/>
      <c r="U30" s="141">
        <f>VLOOKUP(B30,'2024 by account '!$A$2:$M$102,6,0)/1000</f>
        <v>3.07097</v>
      </c>
      <c r="V30" s="141">
        <f t="shared" si="9"/>
        <v>0.0880931139828746</v>
      </c>
      <c r="W30" s="142">
        <f t="shared" si="10"/>
        <v>0.00215946251857809</v>
      </c>
      <c r="X30" s="144"/>
      <c r="Y30" s="141">
        <f>VLOOKUP(B30,'2024 by account '!$A$2:$M$102,7,0)/1000</f>
        <v>0</v>
      </c>
      <c r="Z30" s="141">
        <f t="shared" si="11"/>
        <v>0</v>
      </c>
      <c r="AA30" s="142">
        <f t="shared" si="12"/>
        <v>0</v>
      </c>
      <c r="AB30" s="144"/>
      <c r="AC30" s="141">
        <f>VLOOKUP(B30,'2024 by account '!$A$2:$M$102,8,0)/1000</f>
        <v>0</v>
      </c>
      <c r="AD30" s="141">
        <f t="shared" si="13"/>
        <v>0</v>
      </c>
      <c r="AE30" s="142">
        <f t="shared" si="14"/>
        <v>0</v>
      </c>
      <c r="AF30" s="144"/>
      <c r="AG30" s="141">
        <f>VLOOKUP(B30,'2024 by account '!$A$2:$M$102,9,0)/1000</f>
        <v>0</v>
      </c>
      <c r="AH30" s="141">
        <f t="shared" si="15"/>
        <v>0</v>
      </c>
      <c r="AI30" s="142">
        <f t="shared" si="16"/>
        <v>0</v>
      </c>
      <c r="AJ30" s="144"/>
      <c r="AK30" s="141">
        <f>VLOOKUP(B30,'2024 by account '!$A$2:$M$102,10,0)/1000</f>
        <v>0.66793</v>
      </c>
      <c r="AL30" s="141">
        <f t="shared" si="17"/>
        <v>0.0176589760824716</v>
      </c>
      <c r="AM30" s="142">
        <f t="shared" si="18"/>
        <v>0.000440329545244155</v>
      </c>
      <c r="AN30" s="144"/>
      <c r="AO30" s="141">
        <f>VLOOKUP(B30,'2024 by account '!$A$2:$M$102,11,0)/1000</f>
        <v>0.43734</v>
      </c>
      <c r="AP30" s="141">
        <f t="shared" si="19"/>
        <v>0.0117100807333652</v>
      </c>
      <c r="AQ30" s="142">
        <f t="shared" si="20"/>
        <v>0.000284314971553287</v>
      </c>
      <c r="AR30" s="144"/>
      <c r="AS30" s="141">
        <f>VLOOKUP(B30,'2024 by account '!$A$2:$M$102,12,0)/1000</f>
        <v>3.24422</v>
      </c>
      <c r="AT30" s="141">
        <f t="shared" si="21"/>
        <v>0.088582529891846</v>
      </c>
      <c r="AU30" s="142">
        <f t="shared" si="22"/>
        <v>0.00205480236353157</v>
      </c>
      <c r="AV30" s="144"/>
      <c r="AW30" s="143">
        <f>VLOOKUP(B30,'2024 by account '!$A$2:$M$102,13,0)/1000</f>
        <v>0</v>
      </c>
      <c r="AX30" s="141">
        <f t="shared" si="23"/>
        <v>0</v>
      </c>
      <c r="AY30" s="142">
        <f t="shared" si="24"/>
        <v>0</v>
      </c>
      <c r="AZ30" s="121"/>
      <c r="BA30" s="143">
        <f t="shared" si="0"/>
        <v>-24.86852</v>
      </c>
      <c r="BB30" s="141">
        <f t="shared" si="1"/>
        <v>-0.770060882265272</v>
      </c>
      <c r="BC30" s="142">
        <f t="shared" si="25"/>
        <v>-0.00210252086591147</v>
      </c>
    </row>
    <row r="31" outlineLevel="2" spans="1:55">
      <c r="A31" s="140">
        <v>5001010201</v>
      </c>
      <c r="B31" s="140">
        <v>5001010201</v>
      </c>
      <c r="C31" s="140" t="s">
        <v>62</v>
      </c>
      <c r="D31" s="140" t="s">
        <v>60</v>
      </c>
      <c r="E31" s="141">
        <f>VLOOKUP(B31,'2024 by account '!$A$2:$M$102,2,0)/1000</f>
        <v>0</v>
      </c>
      <c r="F31" s="141">
        <f t="shared" si="2"/>
        <v>0</v>
      </c>
      <c r="G31" s="142">
        <f t="shared" si="3"/>
        <v>0</v>
      </c>
      <c r="H31" s="121"/>
      <c r="I31" s="143">
        <f>VLOOKUP(B31,'2024 by account '!$A$2:$M$102,3,0)/1000</f>
        <v>0</v>
      </c>
      <c r="J31" s="141">
        <f t="shared" si="31"/>
        <v>0</v>
      </c>
      <c r="K31" s="142">
        <f t="shared" si="4"/>
        <v>0</v>
      </c>
      <c r="L31" s="144"/>
      <c r="M31" s="141">
        <f>VLOOKUP(B31,'2024 by account '!$A$2:$M$102,4,0)/1000</f>
        <v>0.59102</v>
      </c>
      <c r="N31" s="141">
        <f t="shared" si="32"/>
        <v>0.0169721648685204</v>
      </c>
      <c r="O31" s="142">
        <f t="shared" si="6"/>
        <v>0.000847041217174249</v>
      </c>
      <c r="P31" s="144"/>
      <c r="Q31" s="141">
        <f>VLOOKUP(B31,'2024 by account '!$A$2:$M$102,5,0)/1000</f>
        <v>0.62927</v>
      </c>
      <c r="R31" s="141">
        <f t="shared" si="7"/>
        <v>0.0181384502746983</v>
      </c>
      <c r="S31" s="142">
        <f t="shared" si="8"/>
        <v>0.000646808482498247</v>
      </c>
      <c r="T31" s="144"/>
      <c r="U31" s="141">
        <f>VLOOKUP(B31,'2024 by account '!$A$2:$M$102,6,0)/1000</f>
        <v>0</v>
      </c>
      <c r="V31" s="141">
        <f t="shared" si="9"/>
        <v>0</v>
      </c>
      <c r="W31" s="142">
        <f t="shared" si="10"/>
        <v>0</v>
      </c>
      <c r="X31" s="144"/>
      <c r="Y31" s="141">
        <f>VLOOKUP(B31,'2024 by account '!$A$2:$M$102,7,0)/1000</f>
        <v>0.56263</v>
      </c>
      <c r="Z31" s="141">
        <f t="shared" si="11"/>
        <v>0.0160445664975604</v>
      </c>
      <c r="AA31" s="142">
        <f t="shared" si="12"/>
        <v>0.000517967668438803</v>
      </c>
      <c r="AB31" s="144"/>
      <c r="AC31" s="141">
        <f>VLOOKUP(B31,'2024 by account '!$A$2:$M$102,8,0)/1000</f>
        <v>0</v>
      </c>
      <c r="AD31" s="141">
        <f t="shared" si="13"/>
        <v>0</v>
      </c>
      <c r="AE31" s="142">
        <f t="shared" si="14"/>
        <v>0</v>
      </c>
      <c r="AF31" s="144"/>
      <c r="AG31" s="141">
        <f>VLOOKUP(B31,'2024 by account '!$A$2:$M$102,9,0)/1000</f>
        <v>0</v>
      </c>
      <c r="AH31" s="141">
        <f t="shared" si="15"/>
        <v>0</v>
      </c>
      <c r="AI31" s="142">
        <f t="shared" si="16"/>
        <v>0</v>
      </c>
      <c r="AJ31" s="144"/>
      <c r="AK31" s="141">
        <f>VLOOKUP(B31,'2024 by account '!$A$2:$M$102,10,0)/1000</f>
        <v>0.34287</v>
      </c>
      <c r="AL31" s="141">
        <f t="shared" si="17"/>
        <v>0.00906492166753557</v>
      </c>
      <c r="AM31" s="142">
        <f t="shared" si="18"/>
        <v>0.000226035349778964</v>
      </c>
      <c r="AN31" s="144"/>
      <c r="AO31" s="141">
        <f>VLOOKUP(B31,'2024 by account '!$A$2:$M$102,11,0)/1000</f>
        <v>0</v>
      </c>
      <c r="AP31" s="141">
        <f t="shared" si="19"/>
        <v>0</v>
      </c>
      <c r="AQ31" s="142">
        <f t="shared" si="20"/>
        <v>0</v>
      </c>
      <c r="AR31" s="144"/>
      <c r="AS31" s="141">
        <f>VLOOKUP(B31,'2024 by account '!$A$2:$M$102,12,0)/1000</f>
        <v>0.06808</v>
      </c>
      <c r="AT31" s="141">
        <f t="shared" si="21"/>
        <v>0.00185890557207491</v>
      </c>
      <c r="AU31" s="142">
        <f t="shared" si="22"/>
        <v>4.31200550237744e-5</v>
      </c>
      <c r="AV31" s="144"/>
      <c r="AW31" s="143">
        <f>VLOOKUP(B31,'2024 by account '!$A$2:$M$102,13,0)/1000</f>
        <v>0</v>
      </c>
      <c r="AX31" s="141">
        <f t="shared" si="23"/>
        <v>0</v>
      </c>
      <c r="AY31" s="142">
        <f t="shared" si="24"/>
        <v>0</v>
      </c>
      <c r="AZ31" s="121"/>
      <c r="BA31" s="143">
        <f t="shared" si="0"/>
        <v>2.19387</v>
      </c>
      <c r="BB31" s="141">
        <f t="shared" si="1"/>
        <v>0.0620790088803896</v>
      </c>
      <c r="BC31" s="142">
        <f t="shared" si="25"/>
        <v>0.000169496223626069</v>
      </c>
    </row>
    <row r="32" outlineLevel="2" spans="1:55">
      <c r="A32" s="140">
        <v>5207000011</v>
      </c>
      <c r="B32" s="140">
        <v>5207000011</v>
      </c>
      <c r="C32" s="140" t="s">
        <v>64</v>
      </c>
      <c r="D32" s="140" t="s">
        <v>60</v>
      </c>
      <c r="E32" s="141">
        <f>VLOOKUP(B32,'2024 by account '!$A$2:$M$102,2,0)/1000</f>
        <v>0</v>
      </c>
      <c r="F32" s="141">
        <f t="shared" si="2"/>
        <v>0</v>
      </c>
      <c r="G32" s="142">
        <f t="shared" si="3"/>
        <v>0</v>
      </c>
      <c r="H32" s="121"/>
      <c r="I32" s="143">
        <f>VLOOKUP(B32,'2024 by account '!$A$2:$M$102,3,0)/1000</f>
        <v>0</v>
      </c>
      <c r="J32" s="141">
        <f t="shared" si="31"/>
        <v>0</v>
      </c>
      <c r="K32" s="142">
        <f t="shared" si="4"/>
        <v>0</v>
      </c>
      <c r="L32" s="144"/>
      <c r="M32" s="141">
        <f>VLOOKUP(B32,'2024 by account '!$A$2:$M$102,4,0)/1000</f>
        <v>-109.88595</v>
      </c>
      <c r="N32" s="141">
        <f t="shared" si="32"/>
        <v>-3.15556573404283</v>
      </c>
      <c r="O32" s="142">
        <f t="shared" si="6"/>
        <v>-0.15748693587078</v>
      </c>
      <c r="P32" s="144"/>
      <c r="Q32" s="141">
        <f>VLOOKUP(B32,'2024 by account '!$A$2:$M$102,5,0)/1000</f>
        <v>0</v>
      </c>
      <c r="R32" s="141">
        <f t="shared" si="7"/>
        <v>0</v>
      </c>
      <c r="S32" s="142">
        <f t="shared" si="8"/>
        <v>0</v>
      </c>
      <c r="T32" s="144"/>
      <c r="U32" s="141">
        <f>VLOOKUP(B32,'2024 by account '!$A$2:$M$102,6,0)/1000</f>
        <v>0</v>
      </c>
      <c r="V32" s="141">
        <f t="shared" si="9"/>
        <v>0</v>
      </c>
      <c r="W32" s="142">
        <f t="shared" si="10"/>
        <v>0</v>
      </c>
      <c r="X32" s="144"/>
      <c r="Y32" s="141">
        <f>VLOOKUP(B32,'2024 by account '!$A$2:$M$102,7,0)/1000</f>
        <v>0</v>
      </c>
      <c r="Z32" s="141">
        <f t="shared" si="11"/>
        <v>0</v>
      </c>
      <c r="AA32" s="142">
        <f t="shared" si="12"/>
        <v>0</v>
      </c>
      <c r="AB32" s="144"/>
      <c r="AC32" s="141">
        <f>VLOOKUP(B32,'2024 by account '!$A$2:$M$102,8,0)/1000</f>
        <v>0</v>
      </c>
      <c r="AD32" s="141">
        <f t="shared" si="13"/>
        <v>0</v>
      </c>
      <c r="AE32" s="142">
        <f t="shared" si="14"/>
        <v>0</v>
      </c>
      <c r="AF32" s="144"/>
      <c r="AG32" s="141">
        <f>VLOOKUP(B32,'2024 by account '!$A$2:$M$102,9,0)/1000</f>
        <v>0</v>
      </c>
      <c r="AH32" s="141">
        <f t="shared" si="15"/>
        <v>0</v>
      </c>
      <c r="AI32" s="142">
        <f t="shared" si="16"/>
        <v>0</v>
      </c>
      <c r="AJ32" s="144"/>
      <c r="AK32" s="141">
        <f>VLOOKUP(B32,'2024 by account '!$A$2:$M$102,10,0)/1000</f>
        <v>0</v>
      </c>
      <c r="AL32" s="141">
        <f t="shared" si="17"/>
        <v>0</v>
      </c>
      <c r="AM32" s="142">
        <f t="shared" si="18"/>
        <v>0</v>
      </c>
      <c r="AN32" s="144"/>
      <c r="AO32" s="141">
        <f>VLOOKUP(B32,'2024 by account '!$A$2:$M$102,11,0)/1000</f>
        <v>0</v>
      </c>
      <c r="AP32" s="141">
        <f t="shared" si="19"/>
        <v>0</v>
      </c>
      <c r="AQ32" s="142">
        <f t="shared" si="20"/>
        <v>0</v>
      </c>
      <c r="AR32" s="144"/>
      <c r="AS32" s="141">
        <f>VLOOKUP(B32,'2024 by account '!$A$2:$M$102,12,0)/1000</f>
        <v>-39.35582</v>
      </c>
      <c r="AT32" s="141">
        <f t="shared" si="21"/>
        <v>-1.07459978101612</v>
      </c>
      <c r="AU32" s="142">
        <f t="shared" si="22"/>
        <v>-0.0249269260268179</v>
      </c>
      <c r="AV32" s="144"/>
      <c r="AW32" s="143">
        <f>VLOOKUP(B32,'2024 by account '!$A$2:$M$102,13,0)/1000</f>
        <v>0</v>
      </c>
      <c r="AX32" s="141">
        <f t="shared" si="23"/>
        <v>0</v>
      </c>
      <c r="AY32" s="142">
        <f t="shared" si="24"/>
        <v>0</v>
      </c>
      <c r="AZ32" s="121"/>
      <c r="BA32" s="143">
        <f t="shared" si="0"/>
        <v>-149.24177</v>
      </c>
      <c r="BB32" s="141">
        <f t="shared" si="1"/>
        <v>-4.23016551505895</v>
      </c>
      <c r="BC32" s="142">
        <f t="shared" si="25"/>
        <v>-0.0115497507619232</v>
      </c>
    </row>
    <row r="33" outlineLevel="2" spans="1:55">
      <c r="A33" s="140">
        <v>5207000012</v>
      </c>
      <c r="B33" s="140">
        <v>5207000012</v>
      </c>
      <c r="C33" s="140" t="s">
        <v>65</v>
      </c>
      <c r="D33" s="140" t="s">
        <v>60</v>
      </c>
      <c r="E33" s="141">
        <f>VLOOKUP(B33,'2024 by account '!$A$2:$M$102,2,0)/1000</f>
        <v>0</v>
      </c>
      <c r="F33" s="141">
        <f t="shared" si="2"/>
        <v>0</v>
      </c>
      <c r="G33" s="142">
        <f t="shared" si="3"/>
        <v>0</v>
      </c>
      <c r="H33" s="121"/>
      <c r="I33" s="143">
        <f>VLOOKUP(B33,'2024 by account '!$A$2:$M$102,3,0)/1000</f>
        <v>0</v>
      </c>
      <c r="J33" s="141">
        <f t="shared" si="31"/>
        <v>0</v>
      </c>
      <c r="K33" s="142">
        <f t="shared" si="4"/>
        <v>0</v>
      </c>
      <c r="L33" s="144"/>
      <c r="M33" s="141">
        <f>VLOOKUP(B33,'2024 by account '!$A$2:$M$102,4,0)/1000</f>
        <v>0</v>
      </c>
      <c r="N33" s="141">
        <f t="shared" si="32"/>
        <v>0</v>
      </c>
      <c r="O33" s="142">
        <f t="shared" si="6"/>
        <v>0</v>
      </c>
      <c r="P33" s="144"/>
      <c r="Q33" s="141">
        <f>VLOOKUP(B33,'2024 by account '!$A$2:$M$102,5,0)/1000</f>
        <v>-28.81012</v>
      </c>
      <c r="R33" s="141">
        <f t="shared" si="7"/>
        <v>-0.830439920905323</v>
      </c>
      <c r="S33" s="142">
        <f t="shared" si="8"/>
        <v>-0.0296130913563215</v>
      </c>
      <c r="T33" s="144"/>
      <c r="U33" s="141">
        <f>VLOOKUP(B33,'2024 by account '!$A$2:$M$102,6,0)/1000</f>
        <v>0</v>
      </c>
      <c r="V33" s="141">
        <f t="shared" si="9"/>
        <v>0</v>
      </c>
      <c r="W33" s="142">
        <f t="shared" si="10"/>
        <v>0</v>
      </c>
      <c r="X33" s="144"/>
      <c r="Y33" s="141">
        <f>VLOOKUP(B33,'2024 by account '!$A$2:$M$102,7,0)/1000</f>
        <v>0</v>
      </c>
      <c r="Z33" s="141">
        <f t="shared" si="11"/>
        <v>0</v>
      </c>
      <c r="AA33" s="142">
        <f t="shared" si="12"/>
        <v>0</v>
      </c>
      <c r="AB33" s="144"/>
      <c r="AC33" s="141">
        <f>VLOOKUP(B33,'2024 by account '!$A$2:$M$102,8,0)/1000</f>
        <v>0</v>
      </c>
      <c r="AD33" s="141">
        <f t="shared" si="13"/>
        <v>0</v>
      </c>
      <c r="AE33" s="142">
        <f t="shared" si="14"/>
        <v>0</v>
      </c>
      <c r="AF33" s="144"/>
      <c r="AG33" s="141">
        <f>VLOOKUP(B33,'2024 by account '!$A$2:$M$102,9,0)/1000</f>
        <v>0</v>
      </c>
      <c r="AH33" s="141">
        <f t="shared" si="15"/>
        <v>0</v>
      </c>
      <c r="AI33" s="142">
        <f t="shared" si="16"/>
        <v>0</v>
      </c>
      <c r="AJ33" s="144"/>
      <c r="AK33" s="141">
        <f>VLOOKUP(B33,'2024 by account '!$A$2:$M$102,10,0)/1000</f>
        <v>0</v>
      </c>
      <c r="AL33" s="141">
        <f t="shared" si="17"/>
        <v>0</v>
      </c>
      <c r="AM33" s="142">
        <f t="shared" si="18"/>
        <v>0</v>
      </c>
      <c r="AN33" s="144"/>
      <c r="AO33" s="141">
        <f>VLOOKUP(B33,'2024 by account '!$A$2:$M$102,11,0)/1000</f>
        <v>0</v>
      </c>
      <c r="AP33" s="141">
        <f t="shared" si="19"/>
        <v>0</v>
      </c>
      <c r="AQ33" s="142">
        <f t="shared" si="20"/>
        <v>0</v>
      </c>
      <c r="AR33" s="144"/>
      <c r="AS33" s="141">
        <f>VLOOKUP(B33,'2024 by account '!$A$2:$M$102,12,0)/1000</f>
        <v>33.95411</v>
      </c>
      <c r="AT33" s="141">
        <f t="shared" si="21"/>
        <v>0.927107583340842</v>
      </c>
      <c r="AU33" s="142">
        <f t="shared" si="22"/>
        <v>0.0215056270781917</v>
      </c>
      <c r="AV33" s="144"/>
      <c r="AW33" s="143">
        <f>VLOOKUP(B33,'2024 by account '!$A$2:$M$102,13,0)/1000</f>
        <v>0</v>
      </c>
      <c r="AX33" s="141">
        <f t="shared" si="23"/>
        <v>0</v>
      </c>
      <c r="AY33" s="142">
        <f t="shared" si="24"/>
        <v>0</v>
      </c>
      <c r="AZ33" s="121"/>
      <c r="BA33" s="143">
        <f t="shared" si="0"/>
        <v>5.14399</v>
      </c>
      <c r="BB33" s="141">
        <f t="shared" si="1"/>
        <v>0.0966676624355195</v>
      </c>
      <c r="BC33" s="142">
        <f t="shared" si="25"/>
        <v>0.000263934686218163</v>
      </c>
    </row>
    <row r="34" outlineLevel="2" spans="1:55">
      <c r="A34" s="140">
        <v>5207000022</v>
      </c>
      <c r="B34" s="140">
        <v>5207000022</v>
      </c>
      <c r="C34" s="140" t="s">
        <v>66</v>
      </c>
      <c r="D34" s="140" t="s">
        <v>60</v>
      </c>
      <c r="E34" s="141"/>
      <c r="F34" s="141">
        <f t="shared" si="2"/>
        <v>0</v>
      </c>
      <c r="G34" s="142">
        <f t="shared" si="3"/>
        <v>0</v>
      </c>
      <c r="H34" s="121"/>
      <c r="I34" s="143"/>
      <c r="J34" s="141"/>
      <c r="K34" s="142">
        <f t="shared" si="4"/>
        <v>0</v>
      </c>
      <c r="L34" s="144"/>
      <c r="M34" s="141"/>
      <c r="N34" s="141"/>
      <c r="O34" s="142">
        <f t="shared" si="6"/>
        <v>0</v>
      </c>
      <c r="P34" s="144"/>
      <c r="Q34" s="141"/>
      <c r="R34" s="141">
        <f t="shared" si="7"/>
        <v>0</v>
      </c>
      <c r="S34" s="142">
        <f t="shared" si="8"/>
        <v>0</v>
      </c>
      <c r="T34" s="144"/>
      <c r="U34" s="141"/>
      <c r="V34" s="141">
        <f t="shared" si="9"/>
        <v>0</v>
      </c>
      <c r="W34" s="142">
        <f t="shared" si="10"/>
        <v>0</v>
      </c>
      <c r="X34" s="144"/>
      <c r="Y34" s="141"/>
      <c r="Z34" s="141">
        <f t="shared" si="11"/>
        <v>0</v>
      </c>
      <c r="AA34" s="142">
        <f t="shared" si="12"/>
        <v>0</v>
      </c>
      <c r="AB34" s="144"/>
      <c r="AC34" s="141"/>
      <c r="AD34" s="141">
        <f t="shared" si="13"/>
        <v>0</v>
      </c>
      <c r="AE34" s="142">
        <f t="shared" si="14"/>
        <v>0</v>
      </c>
      <c r="AF34" s="144"/>
      <c r="AG34" s="141"/>
      <c r="AH34" s="141">
        <f t="shared" si="15"/>
        <v>0</v>
      </c>
      <c r="AI34" s="142">
        <f t="shared" si="16"/>
        <v>0</v>
      </c>
      <c r="AJ34" s="144"/>
      <c r="AK34" s="141"/>
      <c r="AL34" s="141">
        <f t="shared" si="17"/>
        <v>0</v>
      </c>
      <c r="AM34" s="142">
        <f t="shared" si="18"/>
        <v>0</v>
      </c>
      <c r="AN34" s="144"/>
      <c r="AO34" s="141"/>
      <c r="AP34" s="141">
        <f t="shared" si="19"/>
        <v>0</v>
      </c>
      <c r="AQ34" s="142">
        <f t="shared" si="20"/>
        <v>0</v>
      </c>
      <c r="AR34" s="144"/>
      <c r="AS34" s="141"/>
      <c r="AT34" s="141">
        <f t="shared" si="21"/>
        <v>0</v>
      </c>
      <c r="AU34" s="142">
        <f t="shared" si="22"/>
        <v>0</v>
      </c>
      <c r="AV34" s="144"/>
      <c r="AW34" s="143"/>
      <c r="AX34" s="141">
        <f t="shared" si="23"/>
        <v>0</v>
      </c>
      <c r="AY34" s="142">
        <f t="shared" si="24"/>
        <v>0</v>
      </c>
      <c r="AZ34" s="121"/>
      <c r="BA34" s="143">
        <f t="shared" si="0"/>
        <v>0</v>
      </c>
      <c r="BB34" s="141">
        <f t="shared" si="1"/>
        <v>0</v>
      </c>
      <c r="BC34" s="142">
        <f t="shared" si="25"/>
        <v>0</v>
      </c>
    </row>
    <row r="35" outlineLevel="2" spans="1:55">
      <c r="A35" s="140">
        <v>5301060000</v>
      </c>
      <c r="B35" s="140">
        <v>5301060000</v>
      </c>
      <c r="C35" s="140" t="s">
        <v>67</v>
      </c>
      <c r="D35" s="140" t="s">
        <v>60</v>
      </c>
      <c r="E35" s="141"/>
      <c r="F35" s="141">
        <f t="shared" si="2"/>
        <v>0</v>
      </c>
      <c r="G35" s="142">
        <f t="shared" si="3"/>
        <v>0</v>
      </c>
      <c r="H35" s="121"/>
      <c r="I35" s="143"/>
      <c r="J35" s="141"/>
      <c r="K35" s="142">
        <f t="shared" si="4"/>
        <v>0</v>
      </c>
      <c r="L35" s="144"/>
      <c r="M35" s="141"/>
      <c r="N35" s="141"/>
      <c r="O35" s="142">
        <f t="shared" si="6"/>
        <v>0</v>
      </c>
      <c r="P35" s="144"/>
      <c r="Q35" s="141"/>
      <c r="R35" s="141">
        <f t="shared" si="7"/>
        <v>0</v>
      </c>
      <c r="S35" s="142">
        <f t="shared" si="8"/>
        <v>0</v>
      </c>
      <c r="T35" s="144"/>
      <c r="U35" s="141"/>
      <c r="V35" s="141">
        <f t="shared" si="9"/>
        <v>0</v>
      </c>
      <c r="W35" s="142">
        <f t="shared" si="10"/>
        <v>0</v>
      </c>
      <c r="X35" s="144"/>
      <c r="Y35" s="141"/>
      <c r="Z35" s="141">
        <f t="shared" si="11"/>
        <v>0</v>
      </c>
      <c r="AA35" s="142">
        <f t="shared" si="12"/>
        <v>0</v>
      </c>
      <c r="AB35" s="144"/>
      <c r="AC35" s="141"/>
      <c r="AD35" s="141">
        <f t="shared" si="13"/>
        <v>0</v>
      </c>
      <c r="AE35" s="142">
        <f t="shared" si="14"/>
        <v>0</v>
      </c>
      <c r="AF35" s="144"/>
      <c r="AG35" s="141"/>
      <c r="AH35" s="141">
        <f t="shared" si="15"/>
        <v>0</v>
      </c>
      <c r="AI35" s="142">
        <f t="shared" si="16"/>
        <v>0</v>
      </c>
      <c r="AJ35" s="144"/>
      <c r="AK35" s="141"/>
      <c r="AL35" s="141">
        <f t="shared" si="17"/>
        <v>0</v>
      </c>
      <c r="AM35" s="142">
        <f t="shared" si="18"/>
        <v>0</v>
      </c>
      <c r="AN35" s="144"/>
      <c r="AO35" s="141"/>
      <c r="AP35" s="141">
        <f t="shared" si="19"/>
        <v>0</v>
      </c>
      <c r="AQ35" s="142">
        <f t="shared" si="20"/>
        <v>0</v>
      </c>
      <c r="AR35" s="144"/>
      <c r="AS35" s="141"/>
      <c r="AT35" s="141">
        <f t="shared" si="21"/>
        <v>0</v>
      </c>
      <c r="AU35" s="142">
        <f t="shared" si="22"/>
        <v>0</v>
      </c>
      <c r="AV35" s="144"/>
      <c r="AW35" s="143"/>
      <c r="AX35" s="141">
        <f t="shared" si="23"/>
        <v>0</v>
      </c>
      <c r="AY35" s="142">
        <f t="shared" si="24"/>
        <v>0</v>
      </c>
      <c r="AZ35" s="121"/>
      <c r="BA35" s="143">
        <f t="shared" si="0"/>
        <v>0</v>
      </c>
      <c r="BB35" s="141">
        <f t="shared" si="1"/>
        <v>0</v>
      </c>
      <c r="BC35" s="142">
        <f t="shared" si="25"/>
        <v>0</v>
      </c>
    </row>
    <row r="36" outlineLevel="2" spans="1:55">
      <c r="A36" s="140">
        <v>5301999999</v>
      </c>
      <c r="B36" s="140">
        <v>5301999999</v>
      </c>
      <c r="C36" s="140" t="s">
        <v>68</v>
      </c>
      <c r="D36" s="140" t="s">
        <v>60</v>
      </c>
      <c r="E36" s="141">
        <f>VLOOKUP(B36,'2024 by account '!$A$2:$M$102,2,0)/1000</f>
        <v>0</v>
      </c>
      <c r="F36" s="141">
        <f t="shared" si="2"/>
        <v>0</v>
      </c>
      <c r="G36" s="142">
        <f t="shared" si="3"/>
        <v>0</v>
      </c>
      <c r="H36" s="121"/>
      <c r="I36" s="143">
        <f>VLOOKUP(B36,'2024 by account '!$A$2:$M$102,3,0)/1000</f>
        <v>0</v>
      </c>
      <c r="J36" s="141">
        <f t="shared" si="31"/>
        <v>0</v>
      </c>
      <c r="K36" s="142">
        <f t="shared" si="4"/>
        <v>0</v>
      </c>
      <c r="L36" s="144"/>
      <c r="M36" s="141">
        <f>VLOOKUP(B36,'2024 by account '!$A$2:$M$102,4,0)/1000</f>
        <v>0</v>
      </c>
      <c r="N36" s="141">
        <f t="shared" si="32"/>
        <v>0</v>
      </c>
      <c r="O36" s="142">
        <f t="shared" si="6"/>
        <v>0</v>
      </c>
      <c r="P36" s="144"/>
      <c r="Q36" s="141">
        <f>VLOOKUP(B36,'2024 by account '!$A$2:$M$102,5,0)/1000</f>
        <v>0</v>
      </c>
      <c r="R36" s="141">
        <f t="shared" si="7"/>
        <v>0</v>
      </c>
      <c r="S36" s="142">
        <f t="shared" si="8"/>
        <v>0</v>
      </c>
      <c r="T36" s="144"/>
      <c r="U36" s="141">
        <f>VLOOKUP(B36,'2024 by account '!$A$2:$M$102,6,0)/1000</f>
        <v>-3e-5</v>
      </c>
      <c r="V36" s="141">
        <f t="shared" si="9"/>
        <v>-8.60572854663588e-7</v>
      </c>
      <c r="W36" s="142">
        <f t="shared" si="10"/>
        <v>-2.10955742183553e-8</v>
      </c>
      <c r="X36" s="144"/>
      <c r="Y36" s="141">
        <f>VLOOKUP(B36,'2024 by account '!$A$2:$M$102,7,0)/1000</f>
        <v>0</v>
      </c>
      <c r="Z36" s="141">
        <f t="shared" si="11"/>
        <v>0</v>
      </c>
      <c r="AA36" s="142">
        <f t="shared" si="12"/>
        <v>0</v>
      </c>
      <c r="AB36" s="144"/>
      <c r="AC36" s="141">
        <f>VLOOKUP(B36,'2024 by account '!$A$2:$M$102,8,0)/1000</f>
        <v>0.17348</v>
      </c>
      <c r="AD36" s="141">
        <f t="shared" si="13"/>
        <v>0.00485980575344078</v>
      </c>
      <c r="AE36" s="142">
        <f t="shared" si="14"/>
        <v>0.000140957906820221</v>
      </c>
      <c r="AF36" s="144"/>
      <c r="AG36" s="141">
        <f>VLOOKUP(B36,'2024 by account '!$A$2:$M$102,9,0)/1000</f>
        <v>0</v>
      </c>
      <c r="AH36" s="141">
        <f t="shared" si="15"/>
        <v>0</v>
      </c>
      <c r="AI36" s="142">
        <f t="shared" si="16"/>
        <v>0</v>
      </c>
      <c r="AJ36" s="144"/>
      <c r="AK36" s="141">
        <f>VLOOKUP(B36,'2024 by account '!$A$2:$M$102,10,0)/1000</f>
        <v>-0.23162</v>
      </c>
      <c r="AL36" s="141">
        <f t="shared" si="17"/>
        <v>-0.00612365373650243</v>
      </c>
      <c r="AM36" s="142">
        <f t="shared" si="18"/>
        <v>-0.000152694338133414</v>
      </c>
      <c r="AN36" s="144"/>
      <c r="AO36" s="141">
        <f>VLOOKUP(B36,'2024 by account '!$A$2:$M$102,11,0)/1000</f>
        <v>3e-5</v>
      </c>
      <c r="AP36" s="141">
        <f t="shared" si="19"/>
        <v>8.03270732155661e-7</v>
      </c>
      <c r="AQ36" s="142">
        <f t="shared" si="20"/>
        <v>1.95030162953277e-8</v>
      </c>
      <c r="AR36" s="144"/>
      <c r="AS36" s="141">
        <f>VLOOKUP(B36,'2024 by account '!$A$2:$M$102,12,0)/1000</f>
        <v>0</v>
      </c>
      <c r="AT36" s="141">
        <f t="shared" si="21"/>
        <v>0</v>
      </c>
      <c r="AU36" s="142">
        <f t="shared" si="22"/>
        <v>0</v>
      </c>
      <c r="AV36" s="144"/>
      <c r="AW36" s="143">
        <f>VLOOKUP(B36,'2024 by account '!$A$2:$M$102,13,0)/1000</f>
        <v>0</v>
      </c>
      <c r="AX36" s="141">
        <f t="shared" si="23"/>
        <v>0</v>
      </c>
      <c r="AY36" s="142">
        <f t="shared" si="24"/>
        <v>0</v>
      </c>
      <c r="AZ36" s="121"/>
      <c r="BA36" s="143">
        <f t="shared" si="0"/>
        <v>-0.05814</v>
      </c>
      <c r="BB36" s="141">
        <f t="shared" si="1"/>
        <v>-0.00126390528518416</v>
      </c>
      <c r="BC36" s="142">
        <f t="shared" si="25"/>
        <v>-3.45087939906557e-6</v>
      </c>
    </row>
    <row r="37" outlineLevel="2" spans="1:55">
      <c r="A37" s="140">
        <v>5405030000</v>
      </c>
      <c r="B37" s="140">
        <v>5405030000</v>
      </c>
      <c r="C37" s="140" t="s">
        <v>69</v>
      </c>
      <c r="D37" s="140" t="s">
        <v>60</v>
      </c>
      <c r="E37" s="141">
        <f>VLOOKUP(B37,'2024 by account '!$A$2:$M$102,2,0)/1000</f>
        <v>0</v>
      </c>
      <c r="F37" s="141">
        <f t="shared" si="2"/>
        <v>0</v>
      </c>
      <c r="G37" s="142">
        <f t="shared" si="3"/>
        <v>0</v>
      </c>
      <c r="H37" s="121"/>
      <c r="I37" s="143">
        <f>VLOOKUP(B37,'2024 by account '!$A$2:$M$102,3,0)/1000</f>
        <v>0</v>
      </c>
      <c r="J37" s="141">
        <f t="shared" si="31"/>
        <v>0</v>
      </c>
      <c r="K37" s="142">
        <f t="shared" si="4"/>
        <v>0</v>
      </c>
      <c r="L37" s="144"/>
      <c r="M37" s="141">
        <f>VLOOKUP(B37,'2024 by account '!$A$2:$M$102,4,0)/1000</f>
        <v>0</v>
      </c>
      <c r="N37" s="141">
        <f t="shared" si="32"/>
        <v>0</v>
      </c>
      <c r="O37" s="142">
        <f t="shared" si="6"/>
        <v>0</v>
      </c>
      <c r="P37" s="144"/>
      <c r="Q37" s="141">
        <f>VLOOKUP(B37,'2024 by account '!$A$2:$M$102,5,0)/1000</f>
        <v>0</v>
      </c>
      <c r="R37" s="141">
        <f t="shared" si="7"/>
        <v>0</v>
      </c>
      <c r="S37" s="142">
        <f t="shared" si="8"/>
        <v>0</v>
      </c>
      <c r="T37" s="144"/>
      <c r="U37" s="141">
        <f>VLOOKUP(B37,'2024 by account '!$A$2:$M$102,6,0)/1000</f>
        <v>0</v>
      </c>
      <c r="V37" s="141">
        <f t="shared" si="9"/>
        <v>0</v>
      </c>
      <c r="W37" s="142">
        <f t="shared" si="10"/>
        <v>0</v>
      </c>
      <c r="X37" s="144"/>
      <c r="Y37" s="141">
        <f>VLOOKUP(B37,'2024 by account '!$A$2:$M$102,7,0)/1000</f>
        <v>0</v>
      </c>
      <c r="Z37" s="141">
        <f t="shared" si="11"/>
        <v>0</v>
      </c>
      <c r="AA37" s="142">
        <f t="shared" si="12"/>
        <v>0</v>
      </c>
      <c r="AB37" s="144"/>
      <c r="AC37" s="141">
        <f>VLOOKUP(B37,'2024 by account '!$A$2:$M$102,8,0)/1000</f>
        <v>-0.00025</v>
      </c>
      <c r="AD37" s="141">
        <f t="shared" si="13"/>
        <v>-7.00340925962759e-6</v>
      </c>
      <c r="AE37" s="142">
        <f t="shared" si="14"/>
        <v>-2.03132791705415e-7</v>
      </c>
      <c r="AF37" s="144"/>
      <c r="AG37" s="141">
        <f>VLOOKUP(B37,'2024 by account '!$A$2:$M$102,9,0)/1000</f>
        <v>1e-5</v>
      </c>
      <c r="AH37" s="141">
        <f t="shared" si="15"/>
        <v>2.69470598063045e-7</v>
      </c>
      <c r="AI37" s="142">
        <f t="shared" si="16"/>
        <v>1.05352489664182e-8</v>
      </c>
      <c r="AJ37" s="144"/>
      <c r="AK37" s="141">
        <f>VLOOKUP(B37,'2024 by account '!$A$2:$M$102,10,0)/1000</f>
        <v>1e-5</v>
      </c>
      <c r="AL37" s="141">
        <f t="shared" si="17"/>
        <v>2.6438363425017e-7</v>
      </c>
      <c r="AM37" s="142">
        <f t="shared" si="18"/>
        <v>6.59245048499326e-9</v>
      </c>
      <c r="AN37" s="144"/>
      <c r="AO37" s="141">
        <f>VLOOKUP(B37,'2024 by account '!$A$2:$M$102,11,0)/1000</f>
        <v>1e-5</v>
      </c>
      <c r="AP37" s="141">
        <f t="shared" si="19"/>
        <v>2.67756910718554e-7</v>
      </c>
      <c r="AQ37" s="142">
        <f t="shared" si="20"/>
        <v>6.50100543177589e-9</v>
      </c>
      <c r="AR37" s="144"/>
      <c r="AS37" s="141">
        <f>VLOOKUP(B37,'2024 by account '!$A$2:$M$102,12,0)/1000</f>
        <v>0</v>
      </c>
      <c r="AT37" s="141">
        <f t="shared" si="21"/>
        <v>0</v>
      </c>
      <c r="AU37" s="142">
        <f t="shared" si="22"/>
        <v>0</v>
      </c>
      <c r="AV37" s="144"/>
      <c r="AW37" s="143">
        <f>VLOOKUP(B37,'2024 by account '!$A$2:$M$102,13,0)/1000</f>
        <v>1e-5</v>
      </c>
      <c r="AX37" s="141">
        <f t="shared" si="23"/>
        <v>2.72785500032189e-7</v>
      </c>
      <c r="AY37" s="142">
        <f t="shared" si="24"/>
        <v>1.04303712779486e-8</v>
      </c>
      <c r="AZ37" s="121"/>
      <c r="BA37" s="143">
        <f t="shared" ref="BA37:BA68" si="33">SUM(AW37,AS37,AO37,AK37,AG37,AC37,Y37,U37,Q37,M37,I37,E37)</f>
        <v>-0.00021</v>
      </c>
      <c r="BB37" s="141">
        <f t="shared" ref="BB37:BB68" si="34">SUM(AX37,AT37,AP37,AL37,AH37,AD37,Z37,V37,R37,N37,J37,F37)</f>
        <v>-5.92901261656363e-6</v>
      </c>
      <c r="BC37" s="142">
        <f t="shared" si="25"/>
        <v>-1.61881651537821e-8</v>
      </c>
    </row>
    <row r="38" outlineLevel="2" spans="1:55">
      <c r="A38" s="140">
        <v>5601050000</v>
      </c>
      <c r="B38" s="140">
        <v>5601050000</v>
      </c>
      <c r="C38" s="140" t="s">
        <v>70</v>
      </c>
      <c r="D38" s="140" t="s">
        <v>60</v>
      </c>
      <c r="E38" s="141">
        <f>VLOOKUP(B38,'2024 by account '!$A$2:$M$102,2,0)/1000</f>
        <v>0</v>
      </c>
      <c r="F38" s="141">
        <f t="shared" si="2"/>
        <v>0</v>
      </c>
      <c r="G38" s="142">
        <f t="shared" si="3"/>
        <v>0</v>
      </c>
      <c r="H38" s="121"/>
      <c r="I38" s="143">
        <f>VLOOKUP(B38,'2024 by account '!$A$2:$M$102,3,0)/1000</f>
        <v>0.16512</v>
      </c>
      <c r="J38" s="141">
        <f t="shared" si="31"/>
        <v>0.00496386527338536</v>
      </c>
      <c r="K38" s="142">
        <f t="shared" si="4"/>
        <v>0.000251309501487716</v>
      </c>
      <c r="L38" s="144"/>
      <c r="M38" s="141">
        <f>VLOOKUP(B38,'2024 by account '!$A$2:$M$102,4,0)/1000</f>
        <v>0</v>
      </c>
      <c r="N38" s="141">
        <f t="shared" si="32"/>
        <v>0</v>
      </c>
      <c r="O38" s="142">
        <f t="shared" si="6"/>
        <v>0</v>
      </c>
      <c r="P38" s="144"/>
      <c r="Q38" s="141">
        <f>VLOOKUP(B38,'2024 by account '!$A$2:$M$102,5,0)/1000</f>
        <v>0</v>
      </c>
      <c r="R38" s="141">
        <f t="shared" si="7"/>
        <v>0</v>
      </c>
      <c r="S38" s="142">
        <f t="shared" si="8"/>
        <v>0</v>
      </c>
      <c r="T38" s="144"/>
      <c r="U38" s="141">
        <f>VLOOKUP(B38,'2024 by account '!$A$2:$M$102,6,0)/1000</f>
        <v>0</v>
      </c>
      <c r="V38" s="141">
        <f t="shared" si="9"/>
        <v>0</v>
      </c>
      <c r="W38" s="142">
        <f t="shared" si="10"/>
        <v>0</v>
      </c>
      <c r="X38" s="144"/>
      <c r="Y38" s="141">
        <f>VLOOKUP(B38,'2024 by account '!$A$2:$M$102,7,0)/1000</f>
        <v>0</v>
      </c>
      <c r="Z38" s="141">
        <f t="shared" si="11"/>
        <v>0</v>
      </c>
      <c r="AA38" s="142">
        <f t="shared" si="12"/>
        <v>0</v>
      </c>
      <c r="AB38" s="144"/>
      <c r="AC38" s="141">
        <f>VLOOKUP(B38,'2024 by account '!$A$2:$M$102,8,0)/1000</f>
        <v>0</v>
      </c>
      <c r="AD38" s="141">
        <f t="shared" si="13"/>
        <v>0</v>
      </c>
      <c r="AE38" s="142">
        <f t="shared" si="14"/>
        <v>0</v>
      </c>
      <c r="AF38" s="144"/>
      <c r="AG38" s="141">
        <f>VLOOKUP(B38,'2024 by account '!$A$2:$M$102,9,0)/1000</f>
        <v>0</v>
      </c>
      <c r="AH38" s="141">
        <f t="shared" si="15"/>
        <v>0</v>
      </c>
      <c r="AI38" s="142">
        <f t="shared" si="16"/>
        <v>0</v>
      </c>
      <c r="AJ38" s="144"/>
      <c r="AK38" s="141">
        <f>VLOOKUP(B38,'2024 by account '!$A$2:$M$102,10,0)/1000</f>
        <v>0.10417</v>
      </c>
      <c r="AL38" s="141">
        <f t="shared" si="17"/>
        <v>0.00275408431798402</v>
      </c>
      <c r="AM38" s="142">
        <f t="shared" si="18"/>
        <v>6.86735567021748e-5</v>
      </c>
      <c r="AN38" s="144"/>
      <c r="AO38" s="141">
        <f>VLOOKUP(B38,'2024 by account '!$A$2:$M$102,11,0)/1000</f>
        <v>0</v>
      </c>
      <c r="AP38" s="141">
        <f t="shared" si="19"/>
        <v>0</v>
      </c>
      <c r="AQ38" s="142">
        <f t="shared" si="20"/>
        <v>0</v>
      </c>
      <c r="AR38" s="144"/>
      <c r="AS38" s="141">
        <f>VLOOKUP(B38,'2024 by account '!$A$2:$M$102,12,0)/1000</f>
        <v>0.00011</v>
      </c>
      <c r="AT38" s="141">
        <f t="shared" si="21"/>
        <v>3.00351957885195e-6</v>
      </c>
      <c r="AU38" s="142">
        <f t="shared" si="22"/>
        <v>6.96710642276026e-8</v>
      </c>
      <c r="AV38" s="144"/>
      <c r="AW38" s="143">
        <f>VLOOKUP(B38,'2024 by account '!$A$2:$M$102,13,0)/1000</f>
        <v>0</v>
      </c>
      <c r="AX38" s="141">
        <f t="shared" si="23"/>
        <v>0</v>
      </c>
      <c r="AY38" s="142">
        <f t="shared" si="24"/>
        <v>0</v>
      </c>
      <c r="AZ38" s="121"/>
      <c r="BA38" s="143">
        <f t="shared" si="33"/>
        <v>0.2694</v>
      </c>
      <c r="BB38" s="141">
        <f t="shared" si="34"/>
        <v>0.00772095311094823</v>
      </c>
      <c r="BC38" s="142">
        <f t="shared" si="25"/>
        <v>2.10807552939699e-5</v>
      </c>
    </row>
    <row r="39" outlineLevel="2" spans="1:55">
      <c r="A39" s="140">
        <v>5601050100</v>
      </c>
      <c r="B39" s="140">
        <v>5601050100</v>
      </c>
      <c r="C39" s="140" t="s">
        <v>71</v>
      </c>
      <c r="D39" s="140" t="s">
        <v>60</v>
      </c>
      <c r="E39" s="141">
        <f>VLOOKUP(B39,'2024 by account '!$A$2:$M$102,2,0)/1000</f>
        <v>0.05846</v>
      </c>
      <c r="F39" s="141">
        <f t="shared" si="2"/>
        <v>0.00178142093154358</v>
      </c>
      <c r="G39" s="142">
        <f t="shared" si="3"/>
        <v>0.000111026546060678</v>
      </c>
      <c r="H39" s="121"/>
      <c r="I39" s="143">
        <f>VLOOKUP(B39,'2024 by account '!$A$2:$M$102,3,0)/1000</f>
        <v>0.01038</v>
      </c>
      <c r="J39" s="141">
        <f t="shared" si="31"/>
        <v>0.000312045309700461</v>
      </c>
      <c r="K39" s="142">
        <f t="shared" si="4"/>
        <v>1.57981627025345e-5</v>
      </c>
      <c r="L39" s="144"/>
      <c r="M39" s="141">
        <f>VLOOKUP(B39,'2024 by account '!$A$2:$M$102,4,0)/1000</f>
        <v>0.01042</v>
      </c>
      <c r="N39" s="141">
        <f t="shared" si="32"/>
        <v>0.000299228381323784</v>
      </c>
      <c r="O39" s="142">
        <f t="shared" si="6"/>
        <v>1.49337915518183e-5</v>
      </c>
      <c r="P39" s="144"/>
      <c r="Q39" s="141">
        <f>VLOOKUP(B39,'2024 by account '!$A$2:$M$102,5,0)/1000</f>
        <v>1.00127</v>
      </c>
      <c r="R39" s="141">
        <f t="shared" si="7"/>
        <v>0.0288611980652935</v>
      </c>
      <c r="S39" s="142">
        <f t="shared" si="8"/>
        <v>0.00102917655262609</v>
      </c>
      <c r="T39" s="144"/>
      <c r="U39" s="141">
        <f>VLOOKUP(B39,'2024 by account '!$A$2:$M$102,6,0)/1000</f>
        <v>0</v>
      </c>
      <c r="V39" s="141">
        <f t="shared" si="9"/>
        <v>0</v>
      </c>
      <c r="W39" s="142">
        <f t="shared" si="10"/>
        <v>0</v>
      </c>
      <c r="X39" s="144"/>
      <c r="Y39" s="141">
        <f>VLOOKUP(B39,'2024 by account '!$A$2:$M$102,7,0)/1000</f>
        <v>0.30396</v>
      </c>
      <c r="Z39" s="141">
        <f t="shared" si="11"/>
        <v>0.00866805259690818</v>
      </c>
      <c r="AA39" s="142">
        <f t="shared" si="12"/>
        <v>0.000279831243443575</v>
      </c>
      <c r="AB39" s="144"/>
      <c r="AC39" s="141">
        <f>VLOOKUP(B39,'2024 by account '!$A$2:$M$102,8,0)/1000</f>
        <v>0.08566</v>
      </c>
      <c r="AD39" s="141">
        <f t="shared" si="13"/>
        <v>0.0023996481487188</v>
      </c>
      <c r="AE39" s="142">
        <f t="shared" si="14"/>
        <v>6.96014197499433e-5</v>
      </c>
      <c r="AF39" s="144"/>
      <c r="AG39" s="141">
        <f>VLOOKUP(B39,'2024 by account '!$A$2:$M$102,9,0)/1000</f>
        <v>0.36623</v>
      </c>
      <c r="AH39" s="141">
        <f t="shared" si="15"/>
        <v>0.00986882171286291</v>
      </c>
      <c r="AI39" s="142">
        <f t="shared" si="16"/>
        <v>0.000385832422897135</v>
      </c>
      <c r="AJ39" s="144"/>
      <c r="AK39" s="141">
        <f>VLOOKUP(B39,'2024 by account '!$A$2:$M$102,10,0)/1000</f>
        <v>0</v>
      </c>
      <c r="AL39" s="141">
        <f t="shared" si="17"/>
        <v>0</v>
      </c>
      <c r="AM39" s="142">
        <f t="shared" si="18"/>
        <v>0</v>
      </c>
      <c r="AN39" s="144"/>
      <c r="AO39" s="141">
        <f>VLOOKUP(B39,'2024 by account '!$A$2:$M$102,11,0)/1000</f>
        <v>1.31782</v>
      </c>
      <c r="AP39" s="141">
        <f t="shared" si="19"/>
        <v>0.0352855412083124</v>
      </c>
      <c r="AQ39" s="142">
        <f t="shared" si="20"/>
        <v>0.00085671549781029</v>
      </c>
      <c r="AR39" s="144"/>
      <c r="AS39" s="141">
        <f>VLOOKUP(B39,'2024 by account '!$A$2:$M$102,12,0)/1000</f>
        <v>0</v>
      </c>
      <c r="AT39" s="141">
        <f t="shared" si="21"/>
        <v>0</v>
      </c>
      <c r="AU39" s="142">
        <f t="shared" si="22"/>
        <v>0</v>
      </c>
      <c r="AV39" s="144"/>
      <c r="AW39" s="143">
        <f>VLOOKUP(B39,'2024 by account '!$A$2:$M$102,13,0)/1000</f>
        <v>0</v>
      </c>
      <c r="AX39" s="141">
        <f t="shared" si="23"/>
        <v>0</v>
      </c>
      <c r="AY39" s="142">
        <f t="shared" si="24"/>
        <v>0</v>
      </c>
      <c r="AZ39" s="121"/>
      <c r="BA39" s="143">
        <f t="shared" si="33"/>
        <v>3.1542</v>
      </c>
      <c r="BB39" s="141">
        <f t="shared" si="34"/>
        <v>0.0874759563546636</v>
      </c>
      <c r="BC39" s="142">
        <f t="shared" si="25"/>
        <v>0.000238838288941788</v>
      </c>
    </row>
    <row r="40" outlineLevel="2" spans="1:55">
      <c r="A40" s="140">
        <v>801000041</v>
      </c>
      <c r="B40" s="140">
        <v>5801000041</v>
      </c>
      <c r="C40" s="140" t="s">
        <v>73</v>
      </c>
      <c r="D40" s="140" t="s">
        <v>60</v>
      </c>
      <c r="E40" s="141">
        <f>VLOOKUP(B40,'2024 by account '!$A$2:$M$102,2,0)/1000</f>
        <v>0</v>
      </c>
      <c r="F40" s="141">
        <f t="shared" si="2"/>
        <v>0</v>
      </c>
      <c r="G40" s="142">
        <f t="shared" si="3"/>
        <v>0</v>
      </c>
      <c r="H40" s="121"/>
      <c r="I40" s="143">
        <f>VLOOKUP(B40,'2024 by account '!$A$2:$M$102,3,0)/1000</f>
        <v>0</v>
      </c>
      <c r="J40" s="141"/>
      <c r="K40" s="142">
        <f t="shared" si="4"/>
        <v>0</v>
      </c>
      <c r="L40" s="144"/>
      <c r="M40" s="141"/>
      <c r="N40" s="141"/>
      <c r="O40" s="142">
        <f t="shared" si="6"/>
        <v>0</v>
      </c>
      <c r="P40" s="144"/>
      <c r="Q40" s="141"/>
      <c r="R40" s="141">
        <f t="shared" si="7"/>
        <v>0</v>
      </c>
      <c r="S40" s="142">
        <f t="shared" si="8"/>
        <v>0</v>
      </c>
      <c r="T40" s="144"/>
      <c r="U40" s="141"/>
      <c r="V40" s="141">
        <f t="shared" si="9"/>
        <v>0</v>
      </c>
      <c r="W40" s="142">
        <f t="shared" si="10"/>
        <v>0</v>
      </c>
      <c r="X40" s="144"/>
      <c r="Y40" s="141"/>
      <c r="Z40" s="141">
        <f t="shared" si="11"/>
        <v>0</v>
      </c>
      <c r="AA40" s="142">
        <f t="shared" si="12"/>
        <v>0</v>
      </c>
      <c r="AB40" s="144"/>
      <c r="AC40" s="141"/>
      <c r="AD40" s="141">
        <f t="shared" si="13"/>
        <v>0</v>
      </c>
      <c r="AE40" s="142">
        <f t="shared" si="14"/>
        <v>0</v>
      </c>
      <c r="AF40" s="144"/>
      <c r="AG40" s="141"/>
      <c r="AH40" s="141">
        <f t="shared" si="15"/>
        <v>0</v>
      </c>
      <c r="AI40" s="142">
        <f t="shared" si="16"/>
        <v>0</v>
      </c>
      <c r="AJ40" s="144"/>
      <c r="AK40" s="141"/>
      <c r="AL40" s="141">
        <f t="shared" si="17"/>
        <v>0</v>
      </c>
      <c r="AM40" s="142">
        <f t="shared" si="18"/>
        <v>0</v>
      </c>
      <c r="AN40" s="144"/>
      <c r="AO40" s="141"/>
      <c r="AP40" s="141">
        <f t="shared" si="19"/>
        <v>0</v>
      </c>
      <c r="AQ40" s="142">
        <f t="shared" si="20"/>
        <v>0</v>
      </c>
      <c r="AR40" s="144"/>
      <c r="AS40" s="141"/>
      <c r="AT40" s="141">
        <f t="shared" si="21"/>
        <v>0</v>
      </c>
      <c r="AU40" s="142">
        <f t="shared" si="22"/>
        <v>0</v>
      </c>
      <c r="AV40" s="144"/>
      <c r="AW40" s="143"/>
      <c r="AX40" s="141">
        <f t="shared" si="23"/>
        <v>0</v>
      </c>
      <c r="AY40" s="142">
        <f t="shared" si="24"/>
        <v>0</v>
      </c>
      <c r="AZ40" s="121"/>
      <c r="BA40" s="143">
        <f t="shared" si="33"/>
        <v>0</v>
      </c>
      <c r="BB40" s="141">
        <f t="shared" si="34"/>
        <v>0</v>
      </c>
      <c r="BC40" s="142">
        <f t="shared" si="25"/>
        <v>0</v>
      </c>
    </row>
    <row r="41" outlineLevel="2" spans="1:55">
      <c r="A41" s="140">
        <v>6666010322</v>
      </c>
      <c r="B41" s="140">
        <v>6666010322</v>
      </c>
      <c r="C41" s="140" t="s">
        <v>74</v>
      </c>
      <c r="D41" s="140" t="s">
        <v>60</v>
      </c>
      <c r="E41" s="141">
        <f>VLOOKUP(B41,'2024 by account '!$A$2:$M$102,2,0)/1000</f>
        <v>79.38039</v>
      </c>
      <c r="F41" s="141">
        <f t="shared" si="2"/>
        <v>2.41891700821233</v>
      </c>
      <c r="G41" s="142">
        <f t="shared" si="3"/>
        <v>0.150758305279672</v>
      </c>
      <c r="H41" s="121"/>
      <c r="I41" s="143">
        <f>VLOOKUP(B41,'2024 by account '!$A$2:$M$102,3,0)/1000</f>
        <v>58.34228</v>
      </c>
      <c r="J41" s="141">
        <f t="shared" si="31"/>
        <v>1.7538954558026</v>
      </c>
      <c r="K41" s="142">
        <f t="shared" si="4"/>
        <v>0.0887958412212738</v>
      </c>
      <c r="L41" s="144"/>
      <c r="M41" s="141">
        <f>VLOOKUP(B41,'2024 by account '!$A$2:$M$102,4,0)/1000</f>
        <v>60.64517</v>
      </c>
      <c r="N41" s="141">
        <f t="shared" si="32"/>
        <v>1.74153129119057</v>
      </c>
      <c r="O41" s="142">
        <f t="shared" si="6"/>
        <v>0.0869157703843174</v>
      </c>
      <c r="P41" s="144"/>
      <c r="Q41" s="141">
        <f>VLOOKUP(B41,'2024 by account '!$A$2:$M$102,5,0)/1000</f>
        <v>40.69103</v>
      </c>
      <c r="R41" s="141">
        <f t="shared" si="7"/>
        <v>1.17290229040199</v>
      </c>
      <c r="S41" s="142">
        <f t="shared" si="8"/>
        <v>0.0418251360554145</v>
      </c>
      <c r="T41" s="144"/>
      <c r="U41" s="141">
        <f>VLOOKUP(B41,'2024 by account '!$A$2:$M$102,6,0)/1000</f>
        <v>80.00544</v>
      </c>
      <c r="V41" s="141">
        <f t="shared" si="9"/>
        <v>2.29501699631388</v>
      </c>
      <c r="W41" s="142">
        <f t="shared" si="10"/>
        <v>0.0562586899130725</v>
      </c>
      <c r="X41" s="144"/>
      <c r="Y41" s="141">
        <f>VLOOKUP(B41,'2024 by account '!$A$2:$M$102,7,0)/1000</f>
        <v>20.58244</v>
      </c>
      <c r="Z41" s="141">
        <f t="shared" si="11"/>
        <v>0.586951153088258</v>
      </c>
      <c r="AA41" s="142">
        <f t="shared" si="12"/>
        <v>0.0189485780310001</v>
      </c>
      <c r="AB41" s="144"/>
      <c r="AC41" s="141">
        <f>VLOOKUP(B41,'2024 by account '!$A$2:$M$102,8,0)/1000</f>
        <v>43.40099</v>
      </c>
      <c r="AD41" s="141">
        <f t="shared" si="13"/>
        <v>1.21581958097202</v>
      </c>
      <c r="AE41" s="142">
        <f t="shared" si="14"/>
        <v>0.0352646570459152</v>
      </c>
      <c r="AF41" s="144"/>
      <c r="AG41" s="141">
        <f>VLOOKUP(B41,'2024 by account '!$A$2:$M$102,9,0)/1000</f>
        <v>43.76795</v>
      </c>
      <c r="AH41" s="141">
        <f t="shared" si="15"/>
        <v>1.17941756624935</v>
      </c>
      <c r="AI41" s="142">
        <f t="shared" si="16"/>
        <v>0.0461106249999745</v>
      </c>
      <c r="AJ41" s="144"/>
      <c r="AK41" s="141">
        <f>VLOOKUP(B41,'2024 by account '!$A$2:$M$102,10,0)/1000</f>
        <v>38.9639</v>
      </c>
      <c r="AL41" s="141">
        <f t="shared" si="17"/>
        <v>1.03014174865602</v>
      </c>
      <c r="AM41" s="142">
        <f t="shared" si="18"/>
        <v>0.0256867581452229</v>
      </c>
      <c r="AN41" s="144"/>
      <c r="AO41" s="141">
        <f>VLOOKUP(B41,'2024 by account '!$A$2:$M$102,11,0)/1000</f>
        <v>29.11574</v>
      </c>
      <c r="AP41" s="141">
        <f t="shared" si="19"/>
        <v>0.779594059568462</v>
      </c>
      <c r="AQ41" s="142">
        <f t="shared" si="20"/>
        <v>0.0189281583890175</v>
      </c>
      <c r="AR41" s="144"/>
      <c r="AS41" s="141">
        <f>VLOOKUP(B41,'2024 by account '!$A$2:$M$102,12,0)/1000</f>
        <v>32.5643</v>
      </c>
      <c r="AT41" s="141">
        <f t="shared" si="21"/>
        <v>0.889159205650986</v>
      </c>
      <c r="AU41" s="142">
        <f t="shared" si="22"/>
        <v>0.0206253585166083</v>
      </c>
      <c r="AV41" s="144"/>
      <c r="AW41" s="143">
        <f>VLOOKUP(B41,'2024 by account '!$A$2:$M$102,13,0)/1000</f>
        <v>28.27229</v>
      </c>
      <c r="AX41" s="141">
        <f t="shared" si="23"/>
        <v>0.771227076470505</v>
      </c>
      <c r="AY41" s="142">
        <f t="shared" si="24"/>
        <v>0.0294890481577832</v>
      </c>
      <c r="AZ41" s="121"/>
      <c r="BA41" s="143">
        <f t="shared" si="33"/>
        <v>555.73192</v>
      </c>
      <c r="BB41" s="141">
        <f t="shared" si="34"/>
        <v>15.834573432577</v>
      </c>
      <c r="BC41" s="142">
        <f t="shared" si="25"/>
        <v>0.0432336219272229</v>
      </c>
    </row>
    <row r="42" outlineLevel="2" spans="1:55">
      <c r="A42" s="140">
        <v>6666020101</v>
      </c>
      <c r="B42" s="140">
        <v>6666020101</v>
      </c>
      <c r="C42" s="140" t="s">
        <v>75</v>
      </c>
      <c r="D42" s="140" t="s">
        <v>60</v>
      </c>
      <c r="E42" s="141">
        <f>VLOOKUP(B42,'2024 by account '!$A$2:$M$102,2,0)/1000</f>
        <v>0</v>
      </c>
      <c r="F42" s="141">
        <f t="shared" si="2"/>
        <v>0</v>
      </c>
      <c r="G42" s="142">
        <f t="shared" si="3"/>
        <v>0</v>
      </c>
      <c r="H42" s="121"/>
      <c r="I42" s="143">
        <f>VLOOKUP(B42,'2024 by account '!$A$2:$M$102,3,0)/1000</f>
        <v>86.50906</v>
      </c>
      <c r="J42" s="141">
        <f t="shared" si="31"/>
        <v>2.60064994408437</v>
      </c>
      <c r="K42" s="142">
        <f t="shared" si="4"/>
        <v>0.131665145002246</v>
      </c>
      <c r="L42" s="144"/>
      <c r="M42" s="141">
        <f>VLOOKUP(B42,'2024 by account '!$A$2:$M$102,4,0)/1000</f>
        <v>87.9272</v>
      </c>
      <c r="N42" s="141">
        <f t="shared" si="32"/>
        <v>2.52498212383231</v>
      </c>
      <c r="O42" s="142">
        <f t="shared" si="6"/>
        <v>0.126015976634841</v>
      </c>
      <c r="P42" s="144"/>
      <c r="Q42" s="141">
        <f>VLOOKUP(B42,'2024 by account '!$A$2:$M$102,5,0)/1000</f>
        <v>85.09093</v>
      </c>
      <c r="R42" s="141">
        <f t="shared" si="7"/>
        <v>2.45271124101393</v>
      </c>
      <c r="S42" s="142">
        <f t="shared" si="8"/>
        <v>0.0874625126061382</v>
      </c>
      <c r="T42" s="144"/>
      <c r="U42" s="141">
        <f>VLOOKUP(B42,'2024 by account '!$A$2:$M$102,6,0)/1000</f>
        <v>86.50907</v>
      </c>
      <c r="V42" s="141">
        <f t="shared" si="9"/>
        <v>2.48157857747307</v>
      </c>
      <c r="W42" s="142">
        <f t="shared" si="10"/>
        <v>0.0608319502248633</v>
      </c>
      <c r="X42" s="144"/>
      <c r="Y42" s="141">
        <f>VLOOKUP(B42,'2024 by account '!$A$2:$M$102,7,0)/1000</f>
        <v>86.50906</v>
      </c>
      <c r="Z42" s="141">
        <f t="shared" si="11"/>
        <v>2.46698605799804</v>
      </c>
      <c r="AA42" s="142">
        <f t="shared" si="12"/>
        <v>0.0796418536285525</v>
      </c>
      <c r="AB42" s="144"/>
      <c r="AC42" s="141">
        <f>VLOOKUP(B42,'2024 by account '!$A$2:$M$102,8,0)/1000</f>
        <v>86.50906</v>
      </c>
      <c r="AD42" s="141">
        <f t="shared" si="13"/>
        <v>2.42343340738271</v>
      </c>
      <c r="AE42" s="142">
        <f t="shared" si="14"/>
        <v>0.0702913074624449</v>
      </c>
      <c r="AF42" s="144"/>
      <c r="AG42" s="141">
        <f>VLOOKUP(B42,'2024 by account '!$A$2:$M$102,9,0)/1000</f>
        <v>86.50906</v>
      </c>
      <c r="AH42" s="141">
        <f t="shared" si="15"/>
        <v>2.33116481360719</v>
      </c>
      <c r="AI42" s="142">
        <f t="shared" si="16"/>
        <v>0.0911394484950812</v>
      </c>
      <c r="AJ42" s="144"/>
      <c r="AK42" s="141">
        <f>VLOOKUP(B42,'2024 by account '!$A$2:$M$102,10,0)/1000</f>
        <v>86.50906</v>
      </c>
      <c r="AL42" s="141">
        <f t="shared" si="17"/>
        <v>2.2871579678366</v>
      </c>
      <c r="AM42" s="142">
        <f t="shared" si="18"/>
        <v>0.0570306694553311</v>
      </c>
      <c r="AN42" s="144"/>
      <c r="AO42" s="141">
        <f>VLOOKUP(B42,'2024 by account '!$A$2:$M$102,11,0)/1000</f>
        <v>-51.93694</v>
      </c>
      <c r="AP42" s="141">
        <f t="shared" si="19"/>
        <v>-1.39064746065749</v>
      </c>
      <c r="AQ42" s="142">
        <f t="shared" si="20"/>
        <v>-0.0337642329049818</v>
      </c>
      <c r="AR42" s="144"/>
      <c r="AS42" s="141">
        <f>VLOOKUP(B42,'2024 by account '!$A$2:$M$102,12,0)/1000</f>
        <v>-51.93694</v>
      </c>
      <c r="AT42" s="141">
        <f t="shared" si="21"/>
        <v>-1.41812378323326</v>
      </c>
      <c r="AU42" s="142">
        <f t="shared" si="22"/>
        <v>-0.0328954716593195</v>
      </c>
      <c r="AV42" s="144"/>
      <c r="AW42" s="143">
        <f>VLOOKUP(B42,'2024 by account '!$A$2:$M$102,13,0)/1000</f>
        <v>-570.99011</v>
      </c>
      <c r="AX42" s="141">
        <f t="shared" si="23"/>
        <v>-15.5757822669784</v>
      </c>
      <c r="AY42" s="142">
        <f t="shared" si="24"/>
        <v>-0.595563884333669</v>
      </c>
      <c r="AZ42" s="121"/>
      <c r="BA42" s="143">
        <f t="shared" si="33"/>
        <v>17.2085099999998</v>
      </c>
      <c r="BB42" s="141">
        <f t="shared" si="34"/>
        <v>1.18411062235903</v>
      </c>
      <c r="BC42" s="142">
        <f t="shared" si="25"/>
        <v>0.00323301358164516</v>
      </c>
    </row>
    <row r="43" outlineLevel="2" spans="1:55">
      <c r="A43" s="140">
        <v>6666020201</v>
      </c>
      <c r="B43" s="140">
        <v>6666020201</v>
      </c>
      <c r="C43" s="140" t="s">
        <v>76</v>
      </c>
      <c r="D43" s="140" t="s">
        <v>60</v>
      </c>
      <c r="E43" s="141">
        <f>VLOOKUP(B43,'2024 by account '!$A$2:$M$102,2,0)/1000</f>
        <v>0.97676</v>
      </c>
      <c r="F43" s="141">
        <f t="shared" si="2"/>
        <v>0.0297642954001798</v>
      </c>
      <c r="G43" s="142">
        <f t="shared" si="3"/>
        <v>0.00185505113120472</v>
      </c>
      <c r="H43" s="121"/>
      <c r="I43" s="143">
        <f>VLOOKUP(B43,'2024 by account '!$A$2:$M$102,3,0)/1000</f>
        <v>3.00798</v>
      </c>
      <c r="J43" s="141">
        <f t="shared" si="31"/>
        <v>0.0904264017989202</v>
      </c>
      <c r="K43" s="142">
        <f t="shared" si="4"/>
        <v>0.00457808838593156</v>
      </c>
      <c r="L43" s="144"/>
      <c r="M43" s="141">
        <f>VLOOKUP(B43,'2024 by account '!$A$2:$M$102,4,0)/1000</f>
        <v>2.23912</v>
      </c>
      <c r="N43" s="141">
        <f t="shared" si="32"/>
        <v>0.0643002162370165</v>
      </c>
      <c r="O43" s="142">
        <f t="shared" si="6"/>
        <v>0.00320907402490475</v>
      </c>
      <c r="P43" s="144"/>
      <c r="Q43" s="141">
        <f>VLOOKUP(B43,'2024 by account '!$A$2:$M$102,5,0)/1000</f>
        <v>5.38268</v>
      </c>
      <c r="R43" s="141">
        <f t="shared" si="7"/>
        <v>0.155153548595378</v>
      </c>
      <c r="S43" s="142">
        <f t="shared" si="8"/>
        <v>0.00553270151536489</v>
      </c>
      <c r="T43" s="144"/>
      <c r="U43" s="141">
        <f>VLOOKUP(B43,'2024 by account '!$A$2:$M$102,6,0)/1000</f>
        <v>5.57126</v>
      </c>
      <c r="V43" s="141">
        <f t="shared" si="9"/>
        <v>0.159815837409102</v>
      </c>
      <c r="W43" s="142">
        <f t="shared" si="10"/>
        <v>0.00391763096065848</v>
      </c>
      <c r="X43" s="144"/>
      <c r="Y43" s="141">
        <f>VLOOKUP(B43,'2024 by account '!$A$2:$M$102,7,0)/1000</f>
        <v>7.95339</v>
      </c>
      <c r="Z43" s="141">
        <f t="shared" si="11"/>
        <v>0.226807484023304</v>
      </c>
      <c r="AA43" s="142">
        <f t="shared" si="12"/>
        <v>0.00732203912781844</v>
      </c>
      <c r="AB43" s="144"/>
      <c r="AC43" s="141">
        <f>VLOOKUP(B43,'2024 by account '!$A$2:$M$102,8,0)/1000</f>
        <v>9.74679</v>
      </c>
      <c r="AD43" s="141">
        <f t="shared" si="13"/>
        <v>0.273043037350582</v>
      </c>
      <c r="AE43" s="142">
        <f t="shared" si="14"/>
        <v>0.00791957065146568</v>
      </c>
      <c r="AF43" s="144"/>
      <c r="AG43" s="141">
        <f>VLOOKUP(B43,'2024 by account '!$A$2:$M$102,9,0)/1000</f>
        <v>1.43889</v>
      </c>
      <c r="AH43" s="141">
        <f t="shared" si="15"/>
        <v>0.0387738548846935</v>
      </c>
      <c r="AI43" s="142">
        <f t="shared" si="16"/>
        <v>0.00151590643852895</v>
      </c>
      <c r="AJ43" s="144"/>
      <c r="AK43" s="141">
        <f>VLOOKUP(B43,'2024 by account '!$A$2:$M$102,10,0)/1000</f>
        <v>7.30365</v>
      </c>
      <c r="AL43" s="141">
        <f t="shared" si="17"/>
        <v>0.193096553029125</v>
      </c>
      <c r="AM43" s="142">
        <f t="shared" si="18"/>
        <v>0.0048148950984721</v>
      </c>
      <c r="AN43" s="144"/>
      <c r="AO43" s="141">
        <f>VLOOKUP(B43,'2024 by account '!$A$2:$M$102,11,0)/1000</f>
        <v>5.39678</v>
      </c>
      <c r="AP43" s="141">
        <f t="shared" si="19"/>
        <v>0.144502514062768</v>
      </c>
      <c r="AQ43" s="142">
        <f t="shared" si="20"/>
        <v>0.00350844960940995</v>
      </c>
      <c r="AR43" s="144"/>
      <c r="AS43" s="141">
        <f>VLOOKUP(B43,'2024 by account '!$A$2:$M$102,12,0)/1000</f>
        <v>2.30656</v>
      </c>
      <c r="AT43" s="141">
        <f t="shared" si="21"/>
        <v>0.0629799829072431</v>
      </c>
      <c r="AU43" s="142">
        <f t="shared" si="22"/>
        <v>0.00146091354458926</v>
      </c>
      <c r="AV43" s="144"/>
      <c r="AW43" s="143">
        <f>VLOOKUP(B43,'2024 by account '!$A$2:$M$102,13,0)/1000</f>
        <v>2.96165</v>
      </c>
      <c r="AX43" s="141">
        <f t="shared" si="23"/>
        <v>0.0807895176170332</v>
      </c>
      <c r="AY43" s="142">
        <f t="shared" si="24"/>
        <v>0.00308911090953364</v>
      </c>
      <c r="AZ43" s="121"/>
      <c r="BA43" s="143">
        <f t="shared" si="33"/>
        <v>54.28551</v>
      </c>
      <c r="BB43" s="141">
        <f t="shared" si="34"/>
        <v>1.51945324331535</v>
      </c>
      <c r="BC43" s="142">
        <f t="shared" si="25"/>
        <v>0.00414860983387397</v>
      </c>
    </row>
    <row r="44" outlineLevel="2" spans="1:55">
      <c r="A44" s="140">
        <v>6666020202</v>
      </c>
      <c r="B44" s="140">
        <v>6666020202</v>
      </c>
      <c r="C44" s="140" t="s">
        <v>77</v>
      </c>
      <c r="D44" s="140" t="s">
        <v>60</v>
      </c>
      <c r="E44" s="141">
        <f>VLOOKUP(B44,'2024 by account '!$A$2:$M$102,2,0)/1000</f>
        <v>0.02103</v>
      </c>
      <c r="F44" s="141">
        <f t="shared" si="2"/>
        <v>0.000640836164734204</v>
      </c>
      <c r="G44" s="142">
        <f t="shared" si="3"/>
        <v>3.99399292448865e-5</v>
      </c>
      <c r="H44" s="121"/>
      <c r="I44" s="143">
        <f>VLOOKUP(B44,'2024 by account '!$A$2:$M$102,3,0)/1000</f>
        <v>0</v>
      </c>
      <c r="J44" s="141">
        <f t="shared" si="31"/>
        <v>0</v>
      </c>
      <c r="K44" s="142">
        <f t="shared" si="4"/>
        <v>0</v>
      </c>
      <c r="L44" s="144"/>
      <c r="M44" s="141">
        <f>VLOOKUP(B44,'2024 by account '!$A$2:$M$102,4,0)/1000</f>
        <v>10.5948</v>
      </c>
      <c r="N44" s="141">
        <f t="shared" si="32"/>
        <v>0.304248066645799</v>
      </c>
      <c r="O44" s="142">
        <f t="shared" si="6"/>
        <v>0.0151843123544343</v>
      </c>
      <c r="P44" s="144"/>
      <c r="Q44" s="141">
        <f>VLOOKUP(B44,'2024 by account '!$A$2:$M$102,5,0)/1000</f>
        <v>8.0616</v>
      </c>
      <c r="R44" s="141">
        <f t="shared" si="7"/>
        <v>0.232372321474897</v>
      </c>
      <c r="S44" s="142">
        <f t="shared" si="8"/>
        <v>0.00828628611328662</v>
      </c>
      <c r="T44" s="144"/>
      <c r="U44" s="141">
        <f>VLOOKUP(B44,'2024 by account '!$A$2:$M$102,6,0)/1000</f>
        <v>0</v>
      </c>
      <c r="V44" s="141">
        <f t="shared" si="9"/>
        <v>0</v>
      </c>
      <c r="W44" s="142">
        <f t="shared" si="10"/>
        <v>0</v>
      </c>
      <c r="X44" s="144"/>
      <c r="Y44" s="141">
        <f>VLOOKUP(B44,'2024 by account '!$A$2:$M$102,7,0)/1000</f>
        <v>1.56772</v>
      </c>
      <c r="Z44" s="141">
        <f t="shared" si="11"/>
        <v>0.0447068016095042</v>
      </c>
      <c r="AA44" s="142">
        <f t="shared" si="12"/>
        <v>0.00144327226270352</v>
      </c>
      <c r="AB44" s="144"/>
      <c r="AC44" s="141">
        <f>VLOOKUP(B44,'2024 by account '!$A$2:$M$102,8,0)/1000</f>
        <v>0</v>
      </c>
      <c r="AD44" s="141">
        <f t="shared" si="13"/>
        <v>0</v>
      </c>
      <c r="AE44" s="142">
        <f t="shared" si="14"/>
        <v>0</v>
      </c>
      <c r="AF44" s="144"/>
      <c r="AG44" s="141">
        <f>VLOOKUP(B44,'2024 by account '!$A$2:$M$102,9,0)/1000</f>
        <v>0</v>
      </c>
      <c r="AH44" s="141">
        <f t="shared" si="15"/>
        <v>0</v>
      </c>
      <c r="AI44" s="142">
        <f t="shared" si="16"/>
        <v>0</v>
      </c>
      <c r="AJ44" s="144"/>
      <c r="AK44" s="141">
        <f>VLOOKUP(B44,'2024 by account '!$A$2:$M$102,10,0)/1000</f>
        <v>28</v>
      </c>
      <c r="AL44" s="141">
        <f t="shared" si="17"/>
        <v>0.740274175900475</v>
      </c>
      <c r="AM44" s="142">
        <f t="shared" si="18"/>
        <v>0.0184588613579811</v>
      </c>
      <c r="AN44" s="144"/>
      <c r="AO44" s="141">
        <f>VLOOKUP(B44,'2024 by account '!$A$2:$M$102,11,0)/1000</f>
        <v>0</v>
      </c>
      <c r="AP44" s="141">
        <f t="shared" si="19"/>
        <v>0</v>
      </c>
      <c r="AQ44" s="142">
        <f t="shared" si="20"/>
        <v>0</v>
      </c>
      <c r="AR44" s="144"/>
      <c r="AS44" s="141">
        <f>VLOOKUP(B44,'2024 by account '!$A$2:$M$102,12,0)/1000</f>
        <v>4.4112</v>
      </c>
      <c r="AT44" s="141">
        <f t="shared" si="21"/>
        <v>0.120446596056652</v>
      </c>
      <c r="AU44" s="142">
        <f t="shared" si="22"/>
        <v>0.00279393635018909</v>
      </c>
      <c r="AV44" s="144"/>
      <c r="AW44" s="143">
        <f>VLOOKUP(B44,'2024 by account '!$A$2:$M$102,13,0)/1000</f>
        <v>1.76125</v>
      </c>
      <c r="AX44" s="141">
        <f t="shared" si="23"/>
        <v>0.0480443461931692</v>
      </c>
      <c r="AY44" s="142">
        <f t="shared" si="24"/>
        <v>0.00183704914132869</v>
      </c>
      <c r="AZ44" s="121"/>
      <c r="BA44" s="143">
        <f t="shared" si="33"/>
        <v>54.4176</v>
      </c>
      <c r="BB44" s="141">
        <f t="shared" si="34"/>
        <v>1.49073314404523</v>
      </c>
      <c r="BC44" s="142">
        <f t="shared" si="25"/>
        <v>0.0040701944651971</v>
      </c>
    </row>
    <row r="45" outlineLevel="2" spans="1:55">
      <c r="A45" s="140">
        <v>6666020204</v>
      </c>
      <c r="B45" s="140">
        <v>6666020204</v>
      </c>
      <c r="C45" s="140" t="s">
        <v>78</v>
      </c>
      <c r="D45" s="140" t="s">
        <v>60</v>
      </c>
      <c r="E45" s="141">
        <f>VLOOKUP(B45,'2024 by account '!$A$2:$M$102,2,0)/1000</f>
        <v>8.36</v>
      </c>
      <c r="F45" s="141">
        <f t="shared" si="2"/>
        <v>0.254749897155394</v>
      </c>
      <c r="G45" s="142">
        <f t="shared" si="3"/>
        <v>0.0158772139080956</v>
      </c>
      <c r="H45" s="121"/>
      <c r="I45" s="143">
        <f>VLOOKUP(B45,'2024 by account '!$A$2:$M$102,3,0)/1000</f>
        <v>18.3671</v>
      </c>
      <c r="J45" s="141">
        <f t="shared" si="31"/>
        <v>0.55215485624271</v>
      </c>
      <c r="K45" s="142">
        <f t="shared" si="4"/>
        <v>0.027954377088027</v>
      </c>
      <c r="L45" s="144"/>
      <c r="M45" s="141">
        <f>VLOOKUP(B45,'2024 by account '!$A$2:$M$102,4,0)/1000</f>
        <v>16.741</v>
      </c>
      <c r="N45" s="141">
        <f t="shared" si="32"/>
        <v>0.480746864850429</v>
      </c>
      <c r="O45" s="142">
        <f t="shared" si="6"/>
        <v>0.0239929562734156</v>
      </c>
      <c r="P45" s="144"/>
      <c r="Q45" s="141">
        <f>VLOOKUP(B45,'2024 by account '!$A$2:$M$102,5,0)/1000</f>
        <v>10.96421</v>
      </c>
      <c r="R45" s="141">
        <f t="shared" si="7"/>
        <v>0.316038867078282</v>
      </c>
      <c r="S45" s="142">
        <f t="shared" si="8"/>
        <v>0.0112697952101516</v>
      </c>
      <c r="T45" s="144"/>
      <c r="U45" s="141">
        <f>VLOOKUP(B45,'2024 by account '!$A$2:$M$102,6,0)/1000</f>
        <v>6.94978</v>
      </c>
      <c r="V45" s="141">
        <f t="shared" si="9"/>
        <v>0.19935973379613</v>
      </c>
      <c r="W45" s="142">
        <f t="shared" si="10"/>
        <v>0.00488698665970805</v>
      </c>
      <c r="X45" s="144"/>
      <c r="Y45" s="141">
        <f>VLOOKUP(B45,'2024 by account '!$A$2:$M$102,7,0)/1000</f>
        <v>11.7898</v>
      </c>
      <c r="Z45" s="141">
        <f t="shared" si="11"/>
        <v>0.336210707024043</v>
      </c>
      <c r="AA45" s="142">
        <f t="shared" si="12"/>
        <v>0.0108539097050634</v>
      </c>
      <c r="AB45" s="144"/>
      <c r="AC45" s="141">
        <f>VLOOKUP(B45,'2024 by account '!$A$2:$M$102,8,0)/1000</f>
        <v>16.35327</v>
      </c>
      <c r="AD45" s="141">
        <f t="shared" si="13"/>
        <v>0.45811457017276</v>
      </c>
      <c r="AE45" s="142">
        <f t="shared" si="14"/>
        <v>0.0132875415544496</v>
      </c>
      <c r="AF45" s="144"/>
      <c r="AG45" s="141">
        <f>VLOOKUP(B45,'2024 by account '!$A$2:$M$102,9,0)/1000</f>
        <v>0</v>
      </c>
      <c r="AH45" s="141">
        <f t="shared" si="15"/>
        <v>0</v>
      </c>
      <c r="AI45" s="142">
        <f t="shared" si="16"/>
        <v>0</v>
      </c>
      <c r="AJ45" s="144"/>
      <c r="AK45" s="141">
        <f>VLOOKUP(B45,'2024 by account '!$A$2:$M$102,10,0)/1000</f>
        <v>1.75537</v>
      </c>
      <c r="AL45" s="141">
        <f t="shared" si="17"/>
        <v>0.046409110005372</v>
      </c>
      <c r="AM45" s="142">
        <f t="shared" si="18"/>
        <v>0.00115721898078426</v>
      </c>
      <c r="AN45" s="144"/>
      <c r="AO45" s="141">
        <f>VLOOKUP(B45,'2024 by account '!$A$2:$M$102,11,0)/1000</f>
        <v>0</v>
      </c>
      <c r="AP45" s="141">
        <f t="shared" si="19"/>
        <v>0</v>
      </c>
      <c r="AQ45" s="142">
        <f t="shared" si="20"/>
        <v>0</v>
      </c>
      <c r="AR45" s="144"/>
      <c r="AS45" s="141">
        <f>VLOOKUP(B45,'2024 by account '!$A$2:$M$102,12,0)/1000</f>
        <v>14.8527</v>
      </c>
      <c r="AT45" s="141">
        <f t="shared" si="21"/>
        <v>0.405548865898312</v>
      </c>
      <c r="AU45" s="142">
        <f t="shared" si="22"/>
        <v>0.00940730377866648</v>
      </c>
      <c r="AV45" s="144"/>
      <c r="AW45" s="143">
        <f>VLOOKUP(B45,'2024 by account '!$A$2:$M$102,13,0)/1000</f>
        <v>5.43135</v>
      </c>
      <c r="AX45" s="141">
        <f t="shared" si="23"/>
        <v>0.148159352559983</v>
      </c>
      <c r="AY45" s="142">
        <f t="shared" si="24"/>
        <v>0.00566509970404859</v>
      </c>
      <c r="AZ45" s="121"/>
      <c r="BA45" s="143">
        <f t="shared" si="33"/>
        <v>111.56458</v>
      </c>
      <c r="BB45" s="141">
        <f t="shared" si="34"/>
        <v>3.19749282478341</v>
      </c>
      <c r="BC45" s="142">
        <f t="shared" si="25"/>
        <v>0.00873021281503488</v>
      </c>
    </row>
    <row r="46" outlineLevel="2" spans="1:55">
      <c r="A46" s="140">
        <v>6666020205</v>
      </c>
      <c r="B46" s="140">
        <v>6666020205</v>
      </c>
      <c r="C46" s="140" t="s">
        <v>79</v>
      </c>
      <c r="D46" s="140" t="s">
        <v>60</v>
      </c>
      <c r="E46" s="141">
        <f>VLOOKUP(B46,'2024 by account '!$A$2:$M$102,2,0)/1000</f>
        <v>0</v>
      </c>
      <c r="F46" s="141">
        <f t="shared" si="2"/>
        <v>0</v>
      </c>
      <c r="G46" s="142">
        <f t="shared" si="3"/>
        <v>0</v>
      </c>
      <c r="H46" s="121"/>
      <c r="I46" s="143">
        <f>VLOOKUP(B46,'2024 by account '!$A$2:$M$102,3,0)/1000</f>
        <v>0</v>
      </c>
      <c r="J46" s="141">
        <f t="shared" si="31"/>
        <v>0</v>
      </c>
      <c r="K46" s="142">
        <f t="shared" si="4"/>
        <v>0</v>
      </c>
      <c r="L46" s="144"/>
      <c r="M46" s="141">
        <f>VLOOKUP(B46,'2024 by account '!$A$2:$M$102,4,0)/1000</f>
        <v>0</v>
      </c>
      <c r="N46" s="141">
        <f t="shared" si="32"/>
        <v>0</v>
      </c>
      <c r="O46" s="142">
        <f t="shared" si="6"/>
        <v>0</v>
      </c>
      <c r="P46" s="144"/>
      <c r="Q46" s="141">
        <f>VLOOKUP(B46,'2024 by account '!$A$2:$M$102,5,0)/1000</f>
        <v>0</v>
      </c>
      <c r="R46" s="141">
        <f t="shared" si="7"/>
        <v>0</v>
      </c>
      <c r="S46" s="142">
        <f t="shared" si="8"/>
        <v>0</v>
      </c>
      <c r="T46" s="144"/>
      <c r="U46" s="141">
        <f>VLOOKUP(B46,'2024 by account '!$A$2:$M$102,6,0)/1000</f>
        <v>0</v>
      </c>
      <c r="V46" s="141">
        <f t="shared" si="9"/>
        <v>0</v>
      </c>
      <c r="W46" s="142">
        <f t="shared" si="10"/>
        <v>0</v>
      </c>
      <c r="X46" s="144"/>
      <c r="Y46" s="141">
        <f>VLOOKUP(B46,'2024 by account '!$A$2:$M$102,7,0)/1000</f>
        <v>0</v>
      </c>
      <c r="Z46" s="141">
        <f t="shared" si="11"/>
        <v>0</v>
      </c>
      <c r="AA46" s="142">
        <f t="shared" si="12"/>
        <v>0</v>
      </c>
      <c r="AB46" s="144"/>
      <c r="AC46" s="141">
        <f>VLOOKUP(B46,'2024 by account '!$A$2:$M$102,8,0)/1000</f>
        <v>0.33333</v>
      </c>
      <c r="AD46" s="141">
        <f t="shared" si="13"/>
        <v>0.00933778563404665</v>
      </c>
      <c r="AE46" s="142">
        <f t="shared" si="14"/>
        <v>0.000270841013836664</v>
      </c>
      <c r="AF46" s="144"/>
      <c r="AG46" s="141">
        <f>VLOOKUP(B46,'2024 by account '!$A$2:$M$102,9,0)/1000</f>
        <v>0</v>
      </c>
      <c r="AH46" s="141">
        <f t="shared" si="15"/>
        <v>0</v>
      </c>
      <c r="AI46" s="142">
        <f t="shared" si="16"/>
        <v>0</v>
      </c>
      <c r="AJ46" s="144"/>
      <c r="AK46" s="141">
        <f>VLOOKUP(B46,'2024 by account '!$A$2:$M$102,10,0)/1000</f>
        <v>0</v>
      </c>
      <c r="AL46" s="141">
        <f t="shared" si="17"/>
        <v>0</v>
      </c>
      <c r="AM46" s="142">
        <f t="shared" si="18"/>
        <v>0</v>
      </c>
      <c r="AN46" s="144"/>
      <c r="AO46" s="141">
        <f>VLOOKUP(B46,'2024 by account '!$A$2:$M$102,11,0)/1000</f>
        <v>0</v>
      </c>
      <c r="AP46" s="141">
        <f t="shared" si="19"/>
        <v>0</v>
      </c>
      <c r="AQ46" s="142">
        <f t="shared" si="20"/>
        <v>0</v>
      </c>
      <c r="AR46" s="144"/>
      <c r="AS46" s="141">
        <f>VLOOKUP(B46,'2024 by account '!$A$2:$M$102,12,0)/1000</f>
        <v>0</v>
      </c>
      <c r="AT46" s="141">
        <f t="shared" si="21"/>
        <v>0</v>
      </c>
      <c r="AU46" s="142">
        <f t="shared" si="22"/>
        <v>0</v>
      </c>
      <c r="AV46" s="144"/>
      <c r="AW46" s="143">
        <f>VLOOKUP(B46,'2024 by account '!$A$2:$M$102,13,0)/1000</f>
        <v>0</v>
      </c>
      <c r="AX46" s="141">
        <f t="shared" si="23"/>
        <v>0</v>
      </c>
      <c r="AY46" s="142">
        <f t="shared" si="24"/>
        <v>0</v>
      </c>
      <c r="AZ46" s="121"/>
      <c r="BA46" s="143">
        <f t="shared" si="33"/>
        <v>0.33333</v>
      </c>
      <c r="BB46" s="141">
        <f t="shared" si="34"/>
        <v>0.00933778563404665</v>
      </c>
      <c r="BC46" s="142">
        <f t="shared" si="25"/>
        <v>2.5495242764751e-5</v>
      </c>
    </row>
    <row r="47" outlineLevel="2" spans="1:55">
      <c r="A47" s="140">
        <v>6666020301</v>
      </c>
      <c r="B47" s="140">
        <v>6666020301</v>
      </c>
      <c r="C47" s="140" t="s">
        <v>80</v>
      </c>
      <c r="D47" s="140" t="s">
        <v>60</v>
      </c>
      <c r="E47" s="141">
        <f>VLOOKUP(B47,'2024 by account '!$A$2:$M$102,2,0)/1000</f>
        <v>0</v>
      </c>
      <c r="F47" s="141">
        <f t="shared" si="2"/>
        <v>0</v>
      </c>
      <c r="G47" s="142">
        <f t="shared" si="3"/>
        <v>0</v>
      </c>
      <c r="H47" s="121"/>
      <c r="I47" s="143">
        <f>VLOOKUP(B47,'2024 by account '!$A$2:$M$102,3,0)/1000</f>
        <v>0</v>
      </c>
      <c r="J47" s="141">
        <f t="shared" si="31"/>
        <v>0</v>
      </c>
      <c r="K47" s="142">
        <f t="shared" si="4"/>
        <v>0</v>
      </c>
      <c r="L47" s="144"/>
      <c r="M47" s="141">
        <f>VLOOKUP(B47,'2024 by account '!$A$2:$M$102,4,0)/1000</f>
        <v>0</v>
      </c>
      <c r="N47" s="141">
        <f t="shared" si="32"/>
        <v>0</v>
      </c>
      <c r="O47" s="142">
        <f t="shared" si="6"/>
        <v>0</v>
      </c>
      <c r="P47" s="144"/>
      <c r="Q47" s="141">
        <f>VLOOKUP(B47,'2024 by account '!$A$2:$M$102,5,0)/1000</f>
        <v>0</v>
      </c>
      <c r="R47" s="141">
        <f t="shared" si="7"/>
        <v>0</v>
      </c>
      <c r="S47" s="142">
        <f t="shared" si="8"/>
        <v>0</v>
      </c>
      <c r="T47" s="144"/>
      <c r="U47" s="141">
        <f>VLOOKUP(B47,'2024 by account '!$A$2:$M$102,6,0)/1000</f>
        <v>0</v>
      </c>
      <c r="V47" s="141">
        <f t="shared" si="9"/>
        <v>0</v>
      </c>
      <c r="W47" s="142">
        <f t="shared" si="10"/>
        <v>0</v>
      </c>
      <c r="X47" s="144"/>
      <c r="Y47" s="141">
        <f>VLOOKUP(B47,'2024 by account '!$A$2:$M$102,7,0)/1000</f>
        <v>0</v>
      </c>
      <c r="Z47" s="141">
        <f t="shared" si="11"/>
        <v>0</v>
      </c>
      <c r="AA47" s="142">
        <f t="shared" si="12"/>
        <v>0</v>
      </c>
      <c r="AB47" s="144"/>
      <c r="AC47" s="141">
        <f>VLOOKUP(B47,'2024 by account '!$A$2:$M$102,8,0)/1000</f>
        <v>0</v>
      </c>
      <c r="AD47" s="141">
        <f t="shared" si="13"/>
        <v>0</v>
      </c>
      <c r="AE47" s="142">
        <f t="shared" si="14"/>
        <v>0</v>
      </c>
      <c r="AF47" s="144"/>
      <c r="AG47" s="141">
        <f>VLOOKUP(B47,'2024 by account '!$A$2:$M$102,9,0)/1000</f>
        <v>147.43109</v>
      </c>
      <c r="AH47" s="141">
        <f t="shared" si="15"/>
        <v>3.97283439953866</v>
      </c>
      <c r="AI47" s="142">
        <f t="shared" si="16"/>
        <v>0.155322323854041</v>
      </c>
      <c r="AJ47" s="144"/>
      <c r="AK47" s="141">
        <f>VLOOKUP(B47,'2024 by account '!$A$2:$M$102,10,0)/1000</f>
        <v>0</v>
      </c>
      <c r="AL47" s="141">
        <f t="shared" si="17"/>
        <v>0</v>
      </c>
      <c r="AM47" s="142">
        <f t="shared" si="18"/>
        <v>0</v>
      </c>
      <c r="AN47" s="144"/>
      <c r="AO47" s="141">
        <f>VLOOKUP(B47,'2024 by account '!$A$2:$M$102,11,0)/1000</f>
        <v>92.90962</v>
      </c>
      <c r="AP47" s="141">
        <f t="shared" si="19"/>
        <v>2.48771928272347</v>
      </c>
      <c r="AQ47" s="142">
        <f t="shared" si="20"/>
        <v>0.0604005944284234</v>
      </c>
      <c r="AR47" s="144"/>
      <c r="AS47" s="141">
        <f>VLOOKUP(B47,'2024 by account '!$A$2:$M$102,12,0)/1000</f>
        <v>32.50058</v>
      </c>
      <c r="AT47" s="141">
        <f t="shared" si="21"/>
        <v>0.887419348673127</v>
      </c>
      <c r="AU47" s="142">
        <f t="shared" si="22"/>
        <v>0.0205849999692212</v>
      </c>
      <c r="AV47" s="144"/>
      <c r="AW47" s="143">
        <f>VLOOKUP(B47,'2024 by account '!$A$2:$M$102,13,0)/1000</f>
        <v>32.06495</v>
      </c>
      <c r="AX47" s="141">
        <f t="shared" si="23"/>
        <v>0.874685341925713</v>
      </c>
      <c r="AY47" s="142">
        <f t="shared" si="24"/>
        <v>0.0334449333508857</v>
      </c>
      <c r="AZ47" s="121"/>
      <c r="BA47" s="143">
        <f t="shared" si="33"/>
        <v>304.90624</v>
      </c>
      <c r="BB47" s="141">
        <f t="shared" si="34"/>
        <v>8.22265837286098</v>
      </c>
      <c r="BC47" s="142">
        <f t="shared" si="25"/>
        <v>0.0224505765717448</v>
      </c>
    </row>
    <row r="48" outlineLevel="2" spans="1:55">
      <c r="A48" s="140">
        <v>6666020302</v>
      </c>
      <c r="B48" s="140">
        <v>6666020302</v>
      </c>
      <c r="C48" s="140" t="s">
        <v>81</v>
      </c>
      <c r="D48" s="140" t="s">
        <v>60</v>
      </c>
      <c r="E48" s="141">
        <f>VLOOKUP(B48,'2024 by account '!$A$2:$M$102,2,0)/1000</f>
        <v>0</v>
      </c>
      <c r="F48" s="141">
        <f t="shared" si="2"/>
        <v>0</v>
      </c>
      <c r="G48" s="142">
        <f t="shared" si="3"/>
        <v>0</v>
      </c>
      <c r="H48" s="121"/>
      <c r="I48" s="143">
        <f>VLOOKUP(B48,'2024 by account '!$A$2:$M$102,3,0)/1000</f>
        <v>0</v>
      </c>
      <c r="J48" s="141">
        <f t="shared" si="31"/>
        <v>0</v>
      </c>
      <c r="K48" s="142">
        <f t="shared" si="4"/>
        <v>0</v>
      </c>
      <c r="L48" s="144"/>
      <c r="M48" s="141">
        <f>VLOOKUP(B48,'2024 by account '!$A$2:$M$102,4,0)/1000</f>
        <v>0</v>
      </c>
      <c r="N48" s="141">
        <f t="shared" si="32"/>
        <v>0</v>
      </c>
      <c r="O48" s="142">
        <f t="shared" si="6"/>
        <v>0</v>
      </c>
      <c r="P48" s="144"/>
      <c r="Q48" s="141">
        <f>VLOOKUP(B48,'2024 by account '!$A$2:$M$102,5,0)/1000</f>
        <v>0</v>
      </c>
      <c r="R48" s="141">
        <f t="shared" si="7"/>
        <v>0</v>
      </c>
      <c r="S48" s="142">
        <f t="shared" si="8"/>
        <v>0</v>
      </c>
      <c r="T48" s="144"/>
      <c r="U48" s="141">
        <f>VLOOKUP(B48,'2024 by account '!$A$2:$M$102,6,0)/1000</f>
        <v>0</v>
      </c>
      <c r="V48" s="141">
        <f t="shared" si="9"/>
        <v>0</v>
      </c>
      <c r="W48" s="142">
        <f t="shared" si="10"/>
        <v>0</v>
      </c>
      <c r="X48" s="144"/>
      <c r="Y48" s="141">
        <f>VLOOKUP(B48,'2024 by account '!$A$2:$M$102,7,0)/1000</f>
        <v>0</v>
      </c>
      <c r="Z48" s="141">
        <f t="shared" si="11"/>
        <v>0</v>
      </c>
      <c r="AA48" s="142">
        <f t="shared" si="12"/>
        <v>0</v>
      </c>
      <c r="AB48" s="144"/>
      <c r="AC48" s="141">
        <f>VLOOKUP(B48,'2024 by account '!$A$2:$M$102,8,0)/1000</f>
        <v>0</v>
      </c>
      <c r="AD48" s="141">
        <f t="shared" si="13"/>
        <v>0</v>
      </c>
      <c r="AE48" s="142">
        <f t="shared" si="14"/>
        <v>0</v>
      </c>
      <c r="AF48" s="144"/>
      <c r="AG48" s="141">
        <f>VLOOKUP(B48,'2024 by account '!$A$2:$M$102,9,0)/1000</f>
        <v>0</v>
      </c>
      <c r="AH48" s="141">
        <f t="shared" si="15"/>
        <v>0</v>
      </c>
      <c r="AI48" s="142">
        <f t="shared" si="16"/>
        <v>0</v>
      </c>
      <c r="AJ48" s="144"/>
      <c r="AK48" s="141">
        <f>VLOOKUP(B48,'2024 by account '!$A$2:$M$102,10,0)/1000</f>
        <v>0</v>
      </c>
      <c r="AL48" s="141">
        <f t="shared" si="17"/>
        <v>0</v>
      </c>
      <c r="AM48" s="142">
        <f t="shared" si="18"/>
        <v>0</v>
      </c>
      <c r="AN48" s="144"/>
      <c r="AO48" s="141">
        <f>VLOOKUP(B48,'2024 by account '!$A$2:$M$102,11,0)/1000</f>
        <v>0</v>
      </c>
      <c r="AP48" s="141">
        <f t="shared" si="19"/>
        <v>0</v>
      </c>
      <c r="AQ48" s="142">
        <f t="shared" si="20"/>
        <v>0</v>
      </c>
      <c r="AR48" s="144"/>
      <c r="AS48" s="141">
        <f>VLOOKUP(B48,'2024 by account '!$A$2:$M$102,12,0)/1000</f>
        <v>0</v>
      </c>
      <c r="AT48" s="141">
        <f t="shared" si="21"/>
        <v>0</v>
      </c>
      <c r="AU48" s="142">
        <f t="shared" si="22"/>
        <v>0</v>
      </c>
      <c r="AV48" s="144"/>
      <c r="AW48" s="143">
        <f>VLOOKUP(B48,'2024 by account '!$A$2:$M$102,13,0)/1000</f>
        <v>0</v>
      </c>
      <c r="AX48" s="141">
        <f t="shared" si="23"/>
        <v>0</v>
      </c>
      <c r="AY48" s="142">
        <f t="shared" si="24"/>
        <v>0</v>
      </c>
      <c r="AZ48" s="121"/>
      <c r="BA48" s="143">
        <f t="shared" si="33"/>
        <v>0</v>
      </c>
      <c r="BB48" s="141">
        <f t="shared" si="34"/>
        <v>0</v>
      </c>
      <c r="BC48" s="142">
        <f t="shared" si="25"/>
        <v>0</v>
      </c>
    </row>
    <row r="49" outlineLevel="2" spans="1:55">
      <c r="A49" s="140">
        <v>6666020405</v>
      </c>
      <c r="B49" s="140">
        <v>6666020405</v>
      </c>
      <c r="C49" s="140" t="s">
        <v>83</v>
      </c>
      <c r="D49" s="140" t="s">
        <v>60</v>
      </c>
      <c r="E49" s="141">
        <f>VLOOKUP(B49,'2024 by account '!$A$2:$M$102,2,0)/1000</f>
        <v>0</v>
      </c>
      <c r="F49" s="141">
        <f t="shared" si="2"/>
        <v>0</v>
      </c>
      <c r="G49" s="142">
        <f t="shared" si="3"/>
        <v>0</v>
      </c>
      <c r="H49" s="121"/>
      <c r="I49" s="143">
        <f>VLOOKUP(B49,'2024 by account '!$A$2:$M$102,3,0)/1000</f>
        <v>0</v>
      </c>
      <c r="J49" s="141">
        <f t="shared" si="31"/>
        <v>0</v>
      </c>
      <c r="K49" s="142">
        <f t="shared" si="4"/>
        <v>0</v>
      </c>
      <c r="L49" s="144"/>
      <c r="M49" s="141">
        <f>VLOOKUP(B49,'2024 by account '!$A$2:$M$102,4,0)/1000</f>
        <v>0.27</v>
      </c>
      <c r="N49" s="141">
        <f t="shared" si="32"/>
        <v>0.00775351851798673</v>
      </c>
      <c r="O49" s="142">
        <f t="shared" si="6"/>
        <v>0.000386960049807193</v>
      </c>
      <c r="P49" s="144"/>
      <c r="Q49" s="141">
        <f>VLOOKUP(B49,'2024 by account '!$A$2:$M$102,5,0)/1000</f>
        <v>0</v>
      </c>
      <c r="R49" s="141">
        <f t="shared" si="7"/>
        <v>0</v>
      </c>
      <c r="S49" s="142">
        <f t="shared" si="8"/>
        <v>0</v>
      </c>
      <c r="T49" s="144"/>
      <c r="U49" s="141">
        <f>VLOOKUP(B49,'2024 by account '!$A$2:$M$102,6,0)/1000</f>
        <v>0</v>
      </c>
      <c r="V49" s="141">
        <f t="shared" si="9"/>
        <v>0</v>
      </c>
      <c r="W49" s="142">
        <f t="shared" si="10"/>
        <v>0</v>
      </c>
      <c r="X49" s="144"/>
      <c r="Y49" s="141">
        <f>VLOOKUP(B49,'2024 by account '!$A$2:$M$102,7,0)/1000</f>
        <v>0</v>
      </c>
      <c r="Z49" s="141">
        <f t="shared" si="11"/>
        <v>0</v>
      </c>
      <c r="AA49" s="142">
        <f t="shared" si="12"/>
        <v>0</v>
      </c>
      <c r="AB49" s="144"/>
      <c r="AC49" s="141">
        <f>VLOOKUP(B49,'2024 by account '!$A$2:$M$102,8,0)/1000</f>
        <v>0</v>
      </c>
      <c r="AD49" s="141">
        <f t="shared" si="13"/>
        <v>0</v>
      </c>
      <c r="AE49" s="142">
        <f t="shared" si="14"/>
        <v>0</v>
      </c>
      <c r="AF49" s="144"/>
      <c r="AG49" s="141">
        <f>VLOOKUP(B49,'2024 by account '!$A$2:$M$102,9,0)/1000</f>
        <v>0</v>
      </c>
      <c r="AH49" s="141">
        <f t="shared" si="15"/>
        <v>0</v>
      </c>
      <c r="AI49" s="142">
        <f t="shared" si="16"/>
        <v>0</v>
      </c>
      <c r="AJ49" s="144"/>
      <c r="AK49" s="141">
        <f>VLOOKUP(B49,'2024 by account '!$A$2:$M$102,10,0)/1000</f>
        <v>0</v>
      </c>
      <c r="AL49" s="141">
        <f t="shared" si="17"/>
        <v>0</v>
      </c>
      <c r="AM49" s="142">
        <f t="shared" si="18"/>
        <v>0</v>
      </c>
      <c r="AN49" s="144"/>
      <c r="AO49" s="141">
        <f>VLOOKUP(B49,'2024 by account '!$A$2:$M$102,11,0)/1000</f>
        <v>0</v>
      </c>
      <c r="AP49" s="141">
        <f t="shared" si="19"/>
        <v>0</v>
      </c>
      <c r="AQ49" s="142">
        <f t="shared" si="20"/>
        <v>0</v>
      </c>
      <c r="AR49" s="144"/>
      <c r="AS49" s="141">
        <f>VLOOKUP(B49,'2024 by account '!$A$2:$M$102,12,0)/1000</f>
        <v>0</v>
      </c>
      <c r="AT49" s="141">
        <f t="shared" si="21"/>
        <v>0</v>
      </c>
      <c r="AU49" s="142">
        <f t="shared" si="22"/>
        <v>0</v>
      </c>
      <c r="AV49" s="144"/>
      <c r="AW49" s="143">
        <f>VLOOKUP(B49,'2024 by account '!$A$2:$M$102,13,0)/1000</f>
        <v>0</v>
      </c>
      <c r="AX49" s="141">
        <f t="shared" si="23"/>
        <v>0</v>
      </c>
      <c r="AY49" s="142">
        <f t="shared" si="24"/>
        <v>0</v>
      </c>
      <c r="AZ49" s="121"/>
      <c r="BA49" s="143">
        <f t="shared" si="33"/>
        <v>0.27</v>
      </c>
      <c r="BB49" s="141">
        <f t="shared" si="34"/>
        <v>0.00775351851798673</v>
      </c>
      <c r="BC49" s="142">
        <f t="shared" si="25"/>
        <v>2.11696696244887e-5</v>
      </c>
    </row>
    <row r="50" outlineLevel="2" spans="1:55">
      <c r="A50" s="140">
        <v>6666020495</v>
      </c>
      <c r="B50" s="140">
        <v>6666020495</v>
      </c>
      <c r="C50" s="140" t="s">
        <v>84</v>
      </c>
      <c r="D50" s="140" t="s">
        <v>60</v>
      </c>
      <c r="E50" s="141">
        <f>VLOOKUP(B50,'2024 by account '!$A$2:$M$102,2,0)/1000</f>
        <v>1.31339</v>
      </c>
      <c r="F50" s="141">
        <f t="shared" si="2"/>
        <v>0.0400222449072875</v>
      </c>
      <c r="G50" s="142">
        <f t="shared" si="3"/>
        <v>0.00249437487736289</v>
      </c>
      <c r="H50" s="121"/>
      <c r="I50" s="143">
        <f>VLOOKUP(B50,'2024 by account '!$A$2:$M$102,3,0)/1000</f>
        <v>2.18716</v>
      </c>
      <c r="J50" s="141">
        <f t="shared" si="31"/>
        <v>0.0657507725977321</v>
      </c>
      <c r="K50" s="142">
        <f t="shared" si="4"/>
        <v>0.00332881594763731</v>
      </c>
      <c r="L50" s="144"/>
      <c r="M50" s="141">
        <f>VLOOKUP(B50,'2024 by account '!$A$2:$M$102,4,0)/1000</f>
        <v>0</v>
      </c>
      <c r="N50" s="141">
        <f t="shared" si="32"/>
        <v>0</v>
      </c>
      <c r="O50" s="142">
        <f t="shared" si="6"/>
        <v>0</v>
      </c>
      <c r="P50" s="144"/>
      <c r="Q50" s="141">
        <f>VLOOKUP(B50,'2024 by account '!$A$2:$M$102,5,0)/1000</f>
        <v>6.0374</v>
      </c>
      <c r="R50" s="141">
        <f t="shared" si="7"/>
        <v>0.174025584706825</v>
      </c>
      <c r="S50" s="142">
        <f t="shared" si="8"/>
        <v>0.0062056693187899</v>
      </c>
      <c r="T50" s="144"/>
      <c r="U50" s="141">
        <f>VLOOKUP(B50,'2024 by account '!$A$2:$M$102,6,0)/1000</f>
        <v>7.44819</v>
      </c>
      <c r="V50" s="141">
        <f t="shared" si="9"/>
        <v>0.213657004345893</v>
      </c>
      <c r="W50" s="142">
        <f t="shared" si="10"/>
        <v>0.00523746149791374</v>
      </c>
      <c r="X50" s="144"/>
      <c r="Y50" s="141">
        <f>VLOOKUP(B50,'2024 by account '!$A$2:$M$102,7,0)/1000</f>
        <v>4.94985</v>
      </c>
      <c r="Z50" s="141">
        <f t="shared" si="11"/>
        <v>0.141155284072924</v>
      </c>
      <c r="AA50" s="142">
        <f t="shared" si="12"/>
        <v>0.00455692420173437</v>
      </c>
      <c r="AB50" s="144"/>
      <c r="AC50" s="141">
        <f>VLOOKUP(B50,'2024 by account '!$A$2:$M$102,8,0)/1000</f>
        <v>7.27386</v>
      </c>
      <c r="AD50" s="141">
        <f t="shared" si="13"/>
        <v>0.203767273908939</v>
      </c>
      <c r="AE50" s="142">
        <f t="shared" si="14"/>
        <v>0.00591023795309739</v>
      </c>
      <c r="AF50" s="144"/>
      <c r="AG50" s="141">
        <f>VLOOKUP(B50,'2024 by account '!$A$2:$M$102,9,0)/1000</f>
        <v>9.90046</v>
      </c>
      <c r="AH50" s="141">
        <f t="shared" si="15"/>
        <v>0.266788287729926</v>
      </c>
      <c r="AI50" s="142">
        <f t="shared" si="16"/>
        <v>0.0104303810982065</v>
      </c>
      <c r="AJ50" s="144"/>
      <c r="AK50" s="141">
        <f>VLOOKUP(B50,'2024 by account '!$A$2:$M$102,10,0)/1000</f>
        <v>3.23784</v>
      </c>
      <c r="AL50" s="141">
        <f t="shared" si="17"/>
        <v>0.0856031906320569</v>
      </c>
      <c r="AM50" s="142">
        <f t="shared" si="18"/>
        <v>0.00213452998783306</v>
      </c>
      <c r="AN50" s="144"/>
      <c r="AO50" s="141">
        <f>VLOOKUP(B50,'2024 by account '!$A$2:$M$102,11,0)/1000</f>
        <v>9.77514</v>
      </c>
      <c r="AP50" s="141">
        <f t="shared" si="19"/>
        <v>0.261736128824136</v>
      </c>
      <c r="AQ50" s="142">
        <f t="shared" si="20"/>
        <v>0.00635482382363698</v>
      </c>
      <c r="AR50" s="144"/>
      <c r="AS50" s="141">
        <f>VLOOKUP(B50,'2024 by account '!$A$2:$M$102,12,0)/1000</f>
        <v>8.33753</v>
      </c>
      <c r="AT50" s="141">
        <f t="shared" si="21"/>
        <v>0.227653950856959</v>
      </c>
      <c r="AU50" s="142">
        <f t="shared" si="22"/>
        <v>0.00528076898299603</v>
      </c>
      <c r="AV50" s="144"/>
      <c r="AW50" s="143">
        <f>VLOOKUP(B50,'2024 by account '!$A$2:$M$102,13,0)/1000</f>
        <v>8.47229</v>
      </c>
      <c r="AX50" s="141">
        <f t="shared" si="23"/>
        <v>0.231111786406771</v>
      </c>
      <c r="AY50" s="142">
        <f t="shared" si="24"/>
        <v>0.00883691302744508</v>
      </c>
      <c r="AZ50" s="121"/>
      <c r="BA50" s="143">
        <f t="shared" si="33"/>
        <v>68.93311</v>
      </c>
      <c r="BB50" s="141">
        <f t="shared" si="34"/>
        <v>1.91127150898945</v>
      </c>
      <c r="BC50" s="142">
        <f t="shared" si="25"/>
        <v>0.00521840327254557</v>
      </c>
    </row>
    <row r="51" outlineLevel="2" spans="1:55">
      <c r="A51" s="140">
        <v>6666020504</v>
      </c>
      <c r="B51" s="140">
        <v>6666020504</v>
      </c>
      <c r="C51" s="140" t="s">
        <v>85</v>
      </c>
      <c r="D51" s="140" t="s">
        <v>60</v>
      </c>
      <c r="E51" s="141">
        <f>VLOOKUP(B51,'2024 by account '!$A$2:$M$102,2,0)/1000</f>
        <v>0</v>
      </c>
      <c r="F51" s="141">
        <f t="shared" si="2"/>
        <v>0</v>
      </c>
      <c r="G51" s="142">
        <f t="shared" si="3"/>
        <v>0</v>
      </c>
      <c r="H51" s="121"/>
      <c r="I51" s="143">
        <f>VLOOKUP(B51,'2024 by account '!$A$2:$M$102,3,0)/1000</f>
        <v>0</v>
      </c>
      <c r="J51" s="141">
        <f t="shared" si="31"/>
        <v>0</v>
      </c>
      <c r="K51" s="142">
        <f t="shared" si="4"/>
        <v>0</v>
      </c>
      <c r="L51" s="144"/>
      <c r="M51" s="141">
        <f>VLOOKUP(B51,'2024 by account '!$A$2:$M$102,4,0)/1000</f>
        <v>0</v>
      </c>
      <c r="N51" s="141">
        <f t="shared" si="32"/>
        <v>0</v>
      </c>
      <c r="O51" s="142">
        <f t="shared" si="6"/>
        <v>0</v>
      </c>
      <c r="P51" s="144"/>
      <c r="Q51" s="141">
        <f>VLOOKUP(B51,'2024 by account '!$A$2:$M$102,5,0)/1000</f>
        <v>0</v>
      </c>
      <c r="R51" s="141">
        <f t="shared" si="7"/>
        <v>0</v>
      </c>
      <c r="S51" s="142">
        <f t="shared" si="8"/>
        <v>0</v>
      </c>
      <c r="T51" s="144"/>
      <c r="U51" s="141">
        <f>VLOOKUP(B51,'2024 by account '!$A$2:$M$102,6,0)/1000</f>
        <v>4.5</v>
      </c>
      <c r="V51" s="141">
        <f t="shared" si="9"/>
        <v>0.129085928199538</v>
      </c>
      <c r="W51" s="142">
        <f t="shared" si="10"/>
        <v>0.0031643361327533</v>
      </c>
      <c r="X51" s="144"/>
      <c r="Y51" s="141">
        <f>VLOOKUP(B51,'2024 by account '!$A$2:$M$102,7,0)/1000</f>
        <v>0</v>
      </c>
      <c r="Z51" s="141">
        <f t="shared" si="11"/>
        <v>0</v>
      </c>
      <c r="AA51" s="142">
        <f t="shared" si="12"/>
        <v>0</v>
      </c>
      <c r="AB51" s="144"/>
      <c r="AC51" s="141">
        <f>VLOOKUP(B51,'2024 by account '!$A$2:$M$102,8,0)/1000</f>
        <v>0</v>
      </c>
      <c r="AD51" s="141">
        <f t="shared" si="13"/>
        <v>0</v>
      </c>
      <c r="AE51" s="142">
        <f t="shared" si="14"/>
        <v>0</v>
      </c>
      <c r="AF51" s="144"/>
      <c r="AG51" s="141">
        <f>VLOOKUP(B51,'2024 by account '!$A$2:$M$102,9,0)/1000</f>
        <v>0</v>
      </c>
      <c r="AH51" s="141">
        <f t="shared" si="15"/>
        <v>0</v>
      </c>
      <c r="AI51" s="142">
        <f t="shared" si="16"/>
        <v>0</v>
      </c>
      <c r="AJ51" s="144"/>
      <c r="AK51" s="141">
        <f>VLOOKUP(B51,'2024 by account '!$A$2:$M$102,10,0)/1000</f>
        <v>0</v>
      </c>
      <c r="AL51" s="141">
        <f t="shared" si="17"/>
        <v>0</v>
      </c>
      <c r="AM51" s="142">
        <f t="shared" si="18"/>
        <v>0</v>
      </c>
      <c r="AN51" s="144"/>
      <c r="AO51" s="141">
        <f>VLOOKUP(B51,'2024 by account '!$A$2:$M$102,11,0)/1000</f>
        <v>0</v>
      </c>
      <c r="AP51" s="141">
        <f t="shared" si="19"/>
        <v>0</v>
      </c>
      <c r="AQ51" s="142">
        <f t="shared" si="20"/>
        <v>0</v>
      </c>
      <c r="AR51" s="144"/>
      <c r="AS51" s="141">
        <f>VLOOKUP(B51,'2024 by account '!$A$2:$M$102,12,0)/1000</f>
        <v>0</v>
      </c>
      <c r="AT51" s="141">
        <f t="shared" si="21"/>
        <v>0</v>
      </c>
      <c r="AU51" s="142">
        <f t="shared" si="22"/>
        <v>0</v>
      </c>
      <c r="AV51" s="144"/>
      <c r="AW51" s="143">
        <f>VLOOKUP(B51,'2024 by account '!$A$2:$M$102,13,0)/1000</f>
        <v>0</v>
      </c>
      <c r="AX51" s="141">
        <f t="shared" si="23"/>
        <v>0</v>
      </c>
      <c r="AY51" s="142">
        <f t="shared" si="24"/>
        <v>0</v>
      </c>
      <c r="AZ51" s="121"/>
      <c r="BA51" s="143">
        <f t="shared" si="33"/>
        <v>4.5</v>
      </c>
      <c r="BB51" s="141">
        <f t="shared" si="34"/>
        <v>0.129085928199538</v>
      </c>
      <c r="BC51" s="142">
        <f t="shared" si="25"/>
        <v>0.000352447272398372</v>
      </c>
    </row>
    <row r="52" outlineLevel="2" spans="1:55">
      <c r="A52" s="140">
        <v>6666020508</v>
      </c>
      <c r="B52" s="140">
        <v>6666020508</v>
      </c>
      <c r="C52" s="140" t="s">
        <v>86</v>
      </c>
      <c r="D52" s="140" t="s">
        <v>60</v>
      </c>
      <c r="E52" s="141">
        <f>VLOOKUP(B52,'2024 by account '!$A$2:$M$102,2,0)/1000</f>
        <v>0</v>
      </c>
      <c r="F52" s="141">
        <f t="shared" si="2"/>
        <v>0</v>
      </c>
      <c r="G52" s="142">
        <f t="shared" si="3"/>
        <v>0</v>
      </c>
      <c r="H52" s="121"/>
      <c r="I52" s="143">
        <f>VLOOKUP(B52,'2024 by account '!$A$2:$M$102,3,0)/1000</f>
        <v>0</v>
      </c>
      <c r="J52" s="141">
        <f t="shared" si="31"/>
        <v>0</v>
      </c>
      <c r="K52" s="142">
        <f t="shared" si="4"/>
        <v>0</v>
      </c>
      <c r="L52" s="144"/>
      <c r="M52" s="141">
        <f>VLOOKUP(B52,'2024 by account '!$A$2:$M$102,4,0)/1000</f>
        <v>0</v>
      </c>
      <c r="N52" s="141">
        <f t="shared" si="32"/>
        <v>0</v>
      </c>
      <c r="O52" s="142">
        <f t="shared" si="6"/>
        <v>0</v>
      </c>
      <c r="P52" s="144"/>
      <c r="Q52" s="141">
        <f>VLOOKUP(B52,'2024 by account '!$A$2:$M$102,5,0)/1000</f>
        <v>0</v>
      </c>
      <c r="R52" s="141">
        <f t="shared" si="7"/>
        <v>0</v>
      </c>
      <c r="S52" s="142">
        <f t="shared" si="8"/>
        <v>0</v>
      </c>
      <c r="T52" s="144"/>
      <c r="U52" s="141">
        <f>VLOOKUP(B52,'2024 by account '!$A$2:$M$102,6,0)/1000</f>
        <v>0</v>
      </c>
      <c r="V52" s="141">
        <f t="shared" si="9"/>
        <v>0</v>
      </c>
      <c r="W52" s="142">
        <f t="shared" si="10"/>
        <v>0</v>
      </c>
      <c r="X52" s="144"/>
      <c r="Y52" s="141">
        <f>VLOOKUP(B52,'2024 by account '!$A$2:$M$102,7,0)/1000</f>
        <v>0</v>
      </c>
      <c r="Z52" s="141">
        <f t="shared" si="11"/>
        <v>0</v>
      </c>
      <c r="AA52" s="142">
        <f t="shared" si="12"/>
        <v>0</v>
      </c>
      <c r="AB52" s="144"/>
      <c r="AC52" s="141">
        <f>VLOOKUP(B52,'2024 by account '!$A$2:$M$102,8,0)/1000</f>
        <v>0</v>
      </c>
      <c r="AD52" s="141">
        <f t="shared" si="13"/>
        <v>0</v>
      </c>
      <c r="AE52" s="142">
        <f t="shared" si="14"/>
        <v>0</v>
      </c>
      <c r="AF52" s="144"/>
      <c r="AG52" s="141">
        <f>VLOOKUP(B52,'2024 by account '!$A$2:$M$102,9,0)/1000</f>
        <v>0</v>
      </c>
      <c r="AH52" s="141">
        <f t="shared" si="15"/>
        <v>0</v>
      </c>
      <c r="AI52" s="142">
        <f t="shared" si="16"/>
        <v>0</v>
      </c>
      <c r="AJ52" s="144"/>
      <c r="AK52" s="141">
        <f>VLOOKUP(B52,'2024 by account '!$A$2:$M$102,10,0)/1000</f>
        <v>0</v>
      </c>
      <c r="AL52" s="141">
        <f t="shared" si="17"/>
        <v>0</v>
      </c>
      <c r="AM52" s="142">
        <f t="shared" si="18"/>
        <v>0</v>
      </c>
      <c r="AN52" s="144"/>
      <c r="AO52" s="141">
        <f>VLOOKUP(B52,'2024 by account '!$A$2:$M$102,11,0)/1000</f>
        <v>0</v>
      </c>
      <c r="AP52" s="141">
        <f t="shared" si="19"/>
        <v>0</v>
      </c>
      <c r="AQ52" s="142">
        <f t="shared" si="20"/>
        <v>0</v>
      </c>
      <c r="AR52" s="144"/>
      <c r="AS52" s="141">
        <f>VLOOKUP(B52,'2024 by account '!$A$2:$M$102,12,0)/1000</f>
        <v>0</v>
      </c>
      <c r="AT52" s="141">
        <f t="shared" si="21"/>
        <v>0</v>
      </c>
      <c r="AU52" s="142">
        <f t="shared" si="22"/>
        <v>0</v>
      </c>
      <c r="AV52" s="144"/>
      <c r="AW52" s="143">
        <f>VLOOKUP(B52,'2024 by account '!$A$2:$M$102,13,0)/1000</f>
        <v>0</v>
      </c>
      <c r="AX52" s="141">
        <f t="shared" si="23"/>
        <v>0</v>
      </c>
      <c r="AY52" s="142">
        <f t="shared" si="24"/>
        <v>0</v>
      </c>
      <c r="AZ52" s="121"/>
      <c r="BA52" s="143">
        <f t="shared" si="33"/>
        <v>0</v>
      </c>
      <c r="BB52" s="141">
        <f t="shared" si="34"/>
        <v>0</v>
      </c>
      <c r="BC52" s="142">
        <f t="shared" si="25"/>
        <v>0</v>
      </c>
    </row>
    <row r="53" outlineLevel="2" spans="1:55">
      <c r="A53" s="140">
        <v>6666020602</v>
      </c>
      <c r="B53" s="140">
        <v>6666020602</v>
      </c>
      <c r="C53" s="140" t="s">
        <v>87</v>
      </c>
      <c r="D53" s="140" t="s">
        <v>60</v>
      </c>
      <c r="E53" s="141">
        <f>VLOOKUP(B53,'2024 by account '!$A$2:$M$102,2,0)/1000</f>
        <v>37.05</v>
      </c>
      <c r="F53" s="141">
        <f t="shared" si="2"/>
        <v>1.12900522602959</v>
      </c>
      <c r="G53" s="142">
        <f t="shared" si="3"/>
        <v>0.0703649252745147</v>
      </c>
      <c r="H53" s="121"/>
      <c r="I53" s="143">
        <f>VLOOKUP(B53,'2024 by account '!$A$2:$M$102,3,0)/1000</f>
        <v>17.389</v>
      </c>
      <c r="J53" s="141">
        <f t="shared" si="31"/>
        <v>0.522751049169683</v>
      </c>
      <c r="K53" s="142">
        <f t="shared" si="4"/>
        <v>0.0264657274792266</v>
      </c>
      <c r="L53" s="144"/>
      <c r="M53" s="141">
        <f>VLOOKUP(B53,'2024 by account '!$A$2:$M$102,4,0)/1000</f>
        <v>0.6</v>
      </c>
      <c r="N53" s="141">
        <f t="shared" si="32"/>
        <v>0.0172300411510816</v>
      </c>
      <c r="O53" s="142">
        <f t="shared" si="6"/>
        <v>0.000859911221793762</v>
      </c>
      <c r="P53" s="144"/>
      <c r="Q53" s="141">
        <f>VLOOKUP(B53,'2024 by account '!$A$2:$M$102,5,0)/1000</f>
        <v>232.32941</v>
      </c>
      <c r="R53" s="141">
        <f t="shared" si="7"/>
        <v>6.69680018217141</v>
      </c>
      <c r="S53" s="142">
        <f t="shared" si="8"/>
        <v>0.238804699289356</v>
      </c>
      <c r="T53" s="144"/>
      <c r="U53" s="141">
        <f>VLOOKUP(B53,'2024 by account '!$A$2:$M$102,6,0)/1000</f>
        <v>0</v>
      </c>
      <c r="V53" s="141">
        <f t="shared" si="9"/>
        <v>0</v>
      </c>
      <c r="W53" s="142">
        <f t="shared" si="10"/>
        <v>0</v>
      </c>
      <c r="X53" s="144"/>
      <c r="Y53" s="141">
        <f>VLOOKUP(B53,'2024 by account '!$A$2:$M$102,7,0)/1000</f>
        <v>0</v>
      </c>
      <c r="Z53" s="141">
        <f t="shared" si="11"/>
        <v>0</v>
      </c>
      <c r="AA53" s="142">
        <f t="shared" si="12"/>
        <v>0</v>
      </c>
      <c r="AB53" s="144"/>
      <c r="AC53" s="141">
        <f>VLOOKUP(B53,'2024 by account '!$A$2:$M$102,8,0)/1000</f>
        <v>49.4286</v>
      </c>
      <c r="AD53" s="141">
        <f t="shared" si="13"/>
        <v>1.38467485972171</v>
      </c>
      <c r="AE53" s="142">
        <f t="shared" si="14"/>
        <v>0.0401622780323611</v>
      </c>
      <c r="AF53" s="144"/>
      <c r="AG53" s="141">
        <f>VLOOKUP(B53,'2024 by account '!$A$2:$M$102,9,0)/1000</f>
        <v>10.5</v>
      </c>
      <c r="AH53" s="141">
        <f t="shared" si="15"/>
        <v>0.282944127966198</v>
      </c>
      <c r="AI53" s="142">
        <f t="shared" si="16"/>
        <v>0.0110620114147391</v>
      </c>
      <c r="AJ53" s="144"/>
      <c r="AK53" s="141">
        <f>VLOOKUP(B53,'2024 by account '!$A$2:$M$102,10,0)/1000</f>
        <v>-228</v>
      </c>
      <c r="AL53" s="141">
        <f t="shared" si="17"/>
        <v>-6.02794686090387</v>
      </c>
      <c r="AM53" s="142">
        <f t="shared" si="18"/>
        <v>-0.150307871057846</v>
      </c>
      <c r="AN53" s="144"/>
      <c r="AO53" s="141">
        <f>VLOOKUP(B53,'2024 by account '!$A$2:$M$102,11,0)/1000</f>
        <v>0</v>
      </c>
      <c r="AP53" s="141">
        <f t="shared" si="19"/>
        <v>0</v>
      </c>
      <c r="AQ53" s="142">
        <f t="shared" si="20"/>
        <v>0</v>
      </c>
      <c r="AR53" s="144"/>
      <c r="AS53" s="141">
        <f>VLOOKUP(B53,'2024 by account '!$A$2:$M$102,12,0)/1000</f>
        <v>-3.27941</v>
      </c>
      <c r="AT53" s="141">
        <f t="shared" si="21"/>
        <v>-0.0895433831098442</v>
      </c>
      <c r="AU53" s="142">
        <f t="shared" si="22"/>
        <v>-0.00207709077035129</v>
      </c>
      <c r="AV53" s="144"/>
      <c r="AW53" s="143">
        <f>VLOOKUP(B53,'2024 by account '!$A$2:$M$102,13,0)/1000</f>
        <v>-7.6794</v>
      </c>
      <c r="AX53" s="141">
        <f t="shared" si="23"/>
        <v>-0.209482896894719</v>
      </c>
      <c r="AY53" s="142">
        <f t="shared" si="24"/>
        <v>-0.00800989931918782</v>
      </c>
      <c r="AZ53" s="121"/>
      <c r="BA53" s="143">
        <f t="shared" si="33"/>
        <v>108.3382</v>
      </c>
      <c r="BB53" s="141">
        <f t="shared" si="34"/>
        <v>3.70643234530125</v>
      </c>
      <c r="BC53" s="142">
        <f t="shared" si="25"/>
        <v>0.0101197860111541</v>
      </c>
    </row>
    <row r="54" outlineLevel="2" spans="1:55">
      <c r="A54" s="140">
        <v>6666020701</v>
      </c>
      <c r="B54" s="140">
        <v>6666020701</v>
      </c>
      <c r="C54" s="140" t="s">
        <v>88</v>
      </c>
      <c r="D54" s="140" t="s">
        <v>60</v>
      </c>
      <c r="E54" s="141">
        <f>VLOOKUP(B54,'2024 by account '!$A$2:$M$102,2,0)/1000</f>
        <v>0</v>
      </c>
      <c r="F54" s="141">
        <f t="shared" si="2"/>
        <v>0</v>
      </c>
      <c r="G54" s="142">
        <f t="shared" si="3"/>
        <v>0</v>
      </c>
      <c r="H54" s="121"/>
      <c r="I54" s="143">
        <f>VLOOKUP(B54,'2024 by account '!$A$2:$M$102,3,0)/1000</f>
        <v>0</v>
      </c>
      <c r="J54" s="141">
        <f t="shared" si="31"/>
        <v>0</v>
      </c>
      <c r="K54" s="142">
        <f t="shared" si="4"/>
        <v>0</v>
      </c>
      <c r="L54" s="144"/>
      <c r="M54" s="141">
        <f>VLOOKUP(B54,'2024 by account '!$A$2:$M$102,4,0)/1000</f>
        <v>0</v>
      </c>
      <c r="N54" s="141">
        <f t="shared" si="32"/>
        <v>0</v>
      </c>
      <c r="O54" s="142">
        <f t="shared" si="6"/>
        <v>0</v>
      </c>
      <c r="P54" s="144"/>
      <c r="Q54" s="141">
        <f>VLOOKUP(B54,'2024 by account '!$A$2:$M$102,5,0)/1000</f>
        <v>0</v>
      </c>
      <c r="R54" s="141">
        <f t="shared" si="7"/>
        <v>0</v>
      </c>
      <c r="S54" s="142">
        <f t="shared" si="8"/>
        <v>0</v>
      </c>
      <c r="T54" s="144"/>
      <c r="U54" s="141">
        <f>VLOOKUP(B54,'2024 by account '!$A$2:$M$102,6,0)/1000</f>
        <v>0</v>
      </c>
      <c r="V54" s="141">
        <f t="shared" si="9"/>
        <v>0</v>
      </c>
      <c r="W54" s="142">
        <f t="shared" si="10"/>
        <v>0</v>
      </c>
      <c r="X54" s="144"/>
      <c r="Y54" s="141">
        <f>VLOOKUP(B54,'2024 by account '!$A$2:$M$102,7,0)/1000</f>
        <v>0</v>
      </c>
      <c r="Z54" s="141">
        <f t="shared" si="11"/>
        <v>0</v>
      </c>
      <c r="AA54" s="142">
        <f t="shared" si="12"/>
        <v>0</v>
      </c>
      <c r="AB54" s="144"/>
      <c r="AC54" s="141">
        <f>VLOOKUP(B54,'2024 by account '!$A$2:$M$102,8,0)/1000</f>
        <v>0</v>
      </c>
      <c r="AD54" s="141">
        <f t="shared" si="13"/>
        <v>0</v>
      </c>
      <c r="AE54" s="142">
        <f t="shared" si="14"/>
        <v>0</v>
      </c>
      <c r="AF54" s="144"/>
      <c r="AG54" s="141">
        <f>VLOOKUP(B54,'2024 by account '!$A$2:$M$102,9,0)/1000</f>
        <v>0</v>
      </c>
      <c r="AH54" s="141">
        <f t="shared" si="15"/>
        <v>0</v>
      </c>
      <c r="AI54" s="142">
        <f t="shared" si="16"/>
        <v>0</v>
      </c>
      <c r="AJ54" s="144"/>
      <c r="AK54" s="141">
        <f>VLOOKUP(B54,'2024 by account '!$A$2:$M$102,10,0)/1000</f>
        <v>0</v>
      </c>
      <c r="AL54" s="141">
        <f t="shared" si="17"/>
        <v>0</v>
      </c>
      <c r="AM54" s="142">
        <f t="shared" si="18"/>
        <v>0</v>
      </c>
      <c r="AN54" s="144"/>
      <c r="AO54" s="141">
        <f>VLOOKUP(B54,'2024 by account '!$A$2:$M$102,11,0)/1000</f>
        <v>0</v>
      </c>
      <c r="AP54" s="141">
        <f t="shared" si="19"/>
        <v>0</v>
      </c>
      <c r="AQ54" s="142">
        <f t="shared" si="20"/>
        <v>0</v>
      </c>
      <c r="AR54" s="144"/>
      <c r="AS54" s="141">
        <f>VLOOKUP(B54,'2024 by account '!$A$2:$M$102,12,0)/1000</f>
        <v>0</v>
      </c>
      <c r="AT54" s="141">
        <f t="shared" si="21"/>
        <v>0</v>
      </c>
      <c r="AU54" s="142">
        <f t="shared" si="22"/>
        <v>0</v>
      </c>
      <c r="AV54" s="144"/>
      <c r="AW54" s="143">
        <f>VLOOKUP(B54,'2024 by account '!$A$2:$M$102,13,0)/1000</f>
        <v>0</v>
      </c>
      <c r="AX54" s="141">
        <f t="shared" si="23"/>
        <v>0</v>
      </c>
      <c r="AY54" s="142">
        <f t="shared" si="24"/>
        <v>0</v>
      </c>
      <c r="AZ54" s="121"/>
      <c r="BA54" s="143">
        <f t="shared" si="33"/>
        <v>0</v>
      </c>
      <c r="BB54" s="141">
        <f t="shared" si="34"/>
        <v>0</v>
      </c>
      <c r="BC54" s="142">
        <f t="shared" si="25"/>
        <v>0</v>
      </c>
    </row>
    <row r="55" outlineLevel="2" spans="1:55">
      <c r="A55" s="140">
        <v>6666020802</v>
      </c>
      <c r="B55" s="140">
        <v>6666020802</v>
      </c>
      <c r="C55" s="140" t="s">
        <v>90</v>
      </c>
      <c r="D55" s="140" t="s">
        <v>60</v>
      </c>
      <c r="E55" s="141">
        <f>VLOOKUP(B55,'2024 by account '!$A$2:$M$102,2,0)/1000</f>
        <v>386.04138</v>
      </c>
      <c r="F55" s="141">
        <f t="shared" si="2"/>
        <v>11.7636365852544</v>
      </c>
      <c r="G55" s="142">
        <f t="shared" si="3"/>
        <v>0.733165259286654</v>
      </c>
      <c r="H55" s="121"/>
      <c r="I55" s="143">
        <f>VLOOKUP(B55,'2024 by account '!$A$2:$M$102,3,0)/1000</f>
        <v>396.10612</v>
      </c>
      <c r="J55" s="141">
        <f t="shared" si="31"/>
        <v>11.9078089489063</v>
      </c>
      <c r="K55" s="142">
        <f t="shared" si="4"/>
        <v>0.602865985667595</v>
      </c>
      <c r="L55" s="144"/>
      <c r="M55" s="141">
        <f>VLOOKUP(B55,'2024 by account '!$A$2:$M$102,4,0)/1000</f>
        <v>427.37945</v>
      </c>
      <c r="N55" s="141">
        <f t="shared" si="32"/>
        <v>12.272942517711</v>
      </c>
      <c r="O55" s="142">
        <f t="shared" si="6"/>
        <v>0.612513975031744</v>
      </c>
      <c r="P55" s="144"/>
      <c r="Q55" s="141">
        <f>VLOOKUP(B55,'2024 by account '!$A$2:$M$102,5,0)/1000</f>
        <v>381.76364</v>
      </c>
      <c r="R55" s="141">
        <f t="shared" si="7"/>
        <v>11.0041807186547</v>
      </c>
      <c r="S55" s="142">
        <f t="shared" si="8"/>
        <v>0.392403834063927</v>
      </c>
      <c r="T55" s="144"/>
      <c r="U55" s="141">
        <f>VLOOKUP(B55,'2024 by account '!$A$2:$M$102,6,0)/1000</f>
        <v>373.125</v>
      </c>
      <c r="V55" s="141">
        <f t="shared" si="9"/>
        <v>10.7033748798784</v>
      </c>
      <c r="W55" s="142">
        <f t="shared" si="10"/>
        <v>0.262376204340795</v>
      </c>
      <c r="X55" s="144"/>
      <c r="Y55" s="141">
        <f>VLOOKUP(B55,'2024 by account '!$A$2:$M$102,7,0)/1000</f>
        <v>501.41</v>
      </c>
      <c r="Z55" s="141">
        <f t="shared" si="11"/>
        <v>14.2987506665868</v>
      </c>
      <c r="AA55" s="142">
        <f t="shared" si="12"/>
        <v>0.461607394969874</v>
      </c>
      <c r="AB55" s="144"/>
      <c r="AC55" s="141">
        <f>VLOOKUP(B55,'2024 by account '!$A$2:$M$102,8,0)/1000</f>
        <v>502.45093</v>
      </c>
      <c r="AD55" s="141">
        <f t="shared" si="13"/>
        <v>14.075477982682</v>
      </c>
      <c r="AE55" s="142">
        <f t="shared" si="14"/>
        <v>0.408257040423528</v>
      </c>
      <c r="AF55" s="144"/>
      <c r="AG55" s="141">
        <f>VLOOKUP(B55,'2024 by account '!$A$2:$M$102,9,0)/1000</f>
        <v>352.45</v>
      </c>
      <c r="AH55" s="141">
        <f t="shared" si="15"/>
        <v>9.49749122873203</v>
      </c>
      <c r="AI55" s="142">
        <f t="shared" si="16"/>
        <v>0.37131484982141</v>
      </c>
      <c r="AJ55" s="144"/>
      <c r="AK55" s="141">
        <f>VLOOKUP(B55,'2024 by account '!$A$2:$M$102,10,0)/1000</f>
        <v>352.45</v>
      </c>
      <c r="AL55" s="141">
        <f t="shared" si="17"/>
        <v>9.31820118914723</v>
      </c>
      <c r="AM55" s="142">
        <f t="shared" si="18"/>
        <v>0.232350917343587</v>
      </c>
      <c r="AN55" s="144"/>
      <c r="AO55" s="141">
        <f>VLOOKUP(B55,'2024 by account '!$A$2:$M$102,11,0)/1000</f>
        <v>352.45</v>
      </c>
      <c r="AP55" s="141">
        <f t="shared" si="19"/>
        <v>9.43709231827542</v>
      </c>
      <c r="AQ55" s="142">
        <f t="shared" si="20"/>
        <v>0.229127936442941</v>
      </c>
      <c r="AR55" s="144"/>
      <c r="AS55" s="141">
        <f>VLOOKUP(B55,'2024 by account '!$A$2:$M$102,12,0)/1000</f>
        <v>352.45</v>
      </c>
      <c r="AT55" s="141">
        <f t="shared" si="21"/>
        <v>9.62354977787608</v>
      </c>
      <c r="AU55" s="142">
        <f t="shared" si="22"/>
        <v>0.22323242351835</v>
      </c>
      <c r="AV55" s="144"/>
      <c r="AW55" s="143">
        <f>VLOOKUP(B55,'2024 by account '!$A$2:$M$102,13,0)/1000</f>
        <v>385.1965</v>
      </c>
      <c r="AX55" s="141">
        <f t="shared" si="23"/>
        <v>10.5076019863149</v>
      </c>
      <c r="AY55" s="142">
        <f t="shared" si="24"/>
        <v>0.401774250996631</v>
      </c>
      <c r="AZ55" s="121"/>
      <c r="BA55" s="143">
        <f t="shared" si="33"/>
        <v>4763.27302</v>
      </c>
      <c r="BB55" s="141">
        <f t="shared" si="34"/>
        <v>134.410108800019</v>
      </c>
      <c r="BC55" s="142">
        <f t="shared" si="25"/>
        <v>0.36698404613172</v>
      </c>
    </row>
    <row r="56" outlineLevel="2" spans="1:55">
      <c r="A56" s="140">
        <v>6666020803</v>
      </c>
      <c r="B56" s="140">
        <v>6666020803</v>
      </c>
      <c r="C56" s="140" t="s">
        <v>91</v>
      </c>
      <c r="D56" s="140" t="s">
        <v>60</v>
      </c>
      <c r="E56" s="141">
        <f>VLOOKUP(B56,'2024 by account '!$A$2:$M$102,2,0)/1000</f>
        <v>242</v>
      </c>
      <c r="F56" s="141">
        <f t="shared" si="2"/>
        <v>7.37433912818247</v>
      </c>
      <c r="G56" s="142">
        <f t="shared" si="3"/>
        <v>0.459603560497505</v>
      </c>
      <c r="H56" s="121"/>
      <c r="I56" s="143">
        <f>VLOOKUP(B56,'2024 by account '!$A$2:$M$102,3,0)/1000</f>
        <v>372.32319</v>
      </c>
      <c r="J56" s="141">
        <f t="shared" si="31"/>
        <v>11.1928424982865</v>
      </c>
      <c r="K56" s="142">
        <f t="shared" si="4"/>
        <v>0.566668818260756</v>
      </c>
      <c r="L56" s="144"/>
      <c r="M56" s="141">
        <f>VLOOKUP(B56,'2024 by account '!$A$2:$M$102,4,0)/1000</f>
        <v>235.48512</v>
      </c>
      <c r="N56" s="141">
        <f t="shared" si="32"/>
        <v>6.76236384677899</v>
      </c>
      <c r="O56" s="142">
        <f t="shared" si="6"/>
        <v>0.337493828755751</v>
      </c>
      <c r="P56" s="144"/>
      <c r="Q56" s="141">
        <f>VLOOKUP(B56,'2024 by account '!$A$2:$M$102,5,0)/1000</f>
        <v>97.36897</v>
      </c>
      <c r="R56" s="141">
        <f t="shared" si="7"/>
        <v>2.80662072026888</v>
      </c>
      <c r="S56" s="142">
        <f t="shared" si="8"/>
        <v>0.100082755777516</v>
      </c>
      <c r="T56" s="144"/>
      <c r="U56" s="141">
        <f>VLOOKUP(B56,'2024 by account '!$A$2:$M$102,6,0)/1000</f>
        <v>242.10092</v>
      </c>
      <c r="V56" s="141">
        <f t="shared" si="9"/>
        <v>6.94484932803603</v>
      </c>
      <c r="W56" s="142">
        <f t="shared" si="10"/>
        <v>0.17024193087307</v>
      </c>
      <c r="X56" s="144"/>
      <c r="Y56" s="141">
        <f>VLOOKUP(B56,'2024 by account '!$A$2:$M$102,7,0)/1000</f>
        <v>119.36525</v>
      </c>
      <c r="Z56" s="141">
        <f t="shared" si="11"/>
        <v>3.40394876050498</v>
      </c>
      <c r="AA56" s="142">
        <f t="shared" si="12"/>
        <v>0.109889874758038</v>
      </c>
      <c r="AB56" s="144"/>
      <c r="AC56" s="141">
        <f>VLOOKUP(B56,'2024 by account '!$A$2:$M$102,8,0)/1000</f>
        <v>128.83311</v>
      </c>
      <c r="AD56" s="141">
        <f t="shared" si="13"/>
        <v>3.60908398208248</v>
      </c>
      <c r="AE56" s="142">
        <f t="shared" si="14"/>
        <v>0.104680917193563</v>
      </c>
      <c r="AF56" s="144"/>
      <c r="AG56" s="141">
        <f>VLOOKUP(B56,'2024 by account '!$A$2:$M$102,9,0)/1000</f>
        <v>197.94416</v>
      </c>
      <c r="AH56" s="141">
        <f t="shared" si="15"/>
        <v>5.33401311782871</v>
      </c>
      <c r="AI56" s="142">
        <f t="shared" si="16"/>
        <v>0.208539100704852</v>
      </c>
      <c r="AJ56" s="144"/>
      <c r="AK56" s="141">
        <f>VLOOKUP(B56,'2024 by account '!$A$2:$M$102,10,0)/1000</f>
        <v>157.87857</v>
      </c>
      <c r="AL56" s="141">
        <f t="shared" si="17"/>
        <v>4.17405101068198</v>
      </c>
      <c r="AM56" s="142">
        <f t="shared" si="18"/>
        <v>0.104080665536654</v>
      </c>
      <c r="AN56" s="144"/>
      <c r="AO56" s="141">
        <f>VLOOKUP(B56,'2024 by account '!$A$2:$M$102,11,0)/1000</f>
        <v>235.19533</v>
      </c>
      <c r="AP56" s="141">
        <f t="shared" si="19"/>
        <v>6.29751749762307</v>
      </c>
      <c r="AQ56" s="142">
        <f t="shared" si="20"/>
        <v>0.152900611785832</v>
      </c>
      <c r="AR56" s="144"/>
      <c r="AS56" s="141">
        <f>VLOOKUP(B56,'2024 by account '!$A$2:$M$102,12,0)/1000</f>
        <v>144.74238</v>
      </c>
      <c r="AT56" s="141">
        <f t="shared" si="21"/>
        <v>3.95215065654207</v>
      </c>
      <c r="AU56" s="142">
        <f t="shared" si="22"/>
        <v>0.0916759604857823</v>
      </c>
      <c r="AV56" s="144"/>
      <c r="AW56" s="143">
        <f>VLOOKUP(B56,'2024 by account '!$A$2:$M$102,13,0)/1000</f>
        <v>27.3256</v>
      </c>
      <c r="AX56" s="141">
        <f t="shared" si="23"/>
        <v>0.745402745967958</v>
      </c>
      <c r="AY56" s="142">
        <f t="shared" si="24"/>
        <v>0.0285016153392711</v>
      </c>
      <c r="AZ56" s="121"/>
      <c r="BA56" s="143">
        <f t="shared" si="33"/>
        <v>2200.5626</v>
      </c>
      <c r="BB56" s="141">
        <f t="shared" si="34"/>
        <v>62.5971832927841</v>
      </c>
      <c r="BC56" s="142">
        <f t="shared" si="25"/>
        <v>0.170911011130969</v>
      </c>
    </row>
    <row r="57" outlineLevel="2" spans="1:55">
      <c r="A57" s="140">
        <v>6666021100</v>
      </c>
      <c r="B57" s="140">
        <v>6666021100</v>
      </c>
      <c r="C57" s="140" t="s">
        <v>92</v>
      </c>
      <c r="D57" s="140" t="s">
        <v>60</v>
      </c>
      <c r="E57" s="141">
        <f>VLOOKUP(B57,'2024 by account '!$A$2:$M$102,2,0)/1000</f>
        <v>150.8075</v>
      </c>
      <c r="F57" s="141">
        <f t="shared" si="2"/>
        <v>4.59547788460073</v>
      </c>
      <c r="G57" s="142">
        <f t="shared" si="3"/>
        <v>0.286411834503006</v>
      </c>
      <c r="H57" s="121"/>
      <c r="I57" s="143">
        <f>VLOOKUP(B57,'2024 by account '!$A$2:$M$102,3,0)/1000</f>
        <v>233.404</v>
      </c>
      <c r="J57" s="141">
        <f t="shared" si="31"/>
        <v>7.01663039164993</v>
      </c>
      <c r="K57" s="142">
        <f t="shared" si="4"/>
        <v>0.355236451582115</v>
      </c>
      <c r="L57" s="144"/>
      <c r="M57" s="141">
        <f>VLOOKUP(B57,'2024 by account '!$A$2:$M$102,4,0)/1000</f>
        <v>320.60739</v>
      </c>
      <c r="N57" s="141">
        <f t="shared" si="32"/>
        <v>9.20679753840145</v>
      </c>
      <c r="O57" s="142">
        <f t="shared" si="6"/>
        <v>0.459489820751682</v>
      </c>
      <c r="P57" s="144"/>
      <c r="Q57" s="141">
        <f>VLOOKUP(B57,'2024 by account '!$A$2:$M$102,5,0)/1000</f>
        <v>234.93963</v>
      </c>
      <c r="R57" s="141">
        <f t="shared" si="7"/>
        <v>6.77203870566057</v>
      </c>
      <c r="S57" s="142">
        <f t="shared" si="8"/>
        <v>0.241487669138843</v>
      </c>
      <c r="T57" s="144"/>
      <c r="U57" s="141">
        <f>VLOOKUP(B57,'2024 by account '!$A$2:$M$102,6,0)/1000</f>
        <v>234.93963</v>
      </c>
      <c r="V57" s="141">
        <f t="shared" si="9"/>
        <v>6.7394222687569</v>
      </c>
      <c r="W57" s="142">
        <f t="shared" si="10"/>
        <v>0.165206213383265</v>
      </c>
      <c r="X57" s="144"/>
      <c r="Y57" s="141">
        <f>VLOOKUP(B57,'2024 by account '!$A$2:$M$102,7,0)/1000</f>
        <v>234.93963</v>
      </c>
      <c r="Z57" s="141">
        <f t="shared" si="11"/>
        <v>6.69979296597627</v>
      </c>
      <c r="AA57" s="142">
        <f t="shared" si="12"/>
        <v>0.21628980391194</v>
      </c>
      <c r="AB57" s="144"/>
      <c r="AC57" s="141">
        <f>VLOOKUP(B57,'2024 by account '!$A$2:$M$102,8,0)/1000</f>
        <v>242.93257</v>
      </c>
      <c r="AD57" s="141">
        <f t="shared" si="13"/>
        <v>6.80542484081251</v>
      </c>
      <c r="AE57" s="142">
        <f t="shared" si="14"/>
        <v>0.197390284561084</v>
      </c>
      <c r="AF57" s="144"/>
      <c r="AG57" s="141">
        <f>VLOOKUP(B57,'2024 by account '!$A$2:$M$102,9,0)/1000</f>
        <v>234.93963</v>
      </c>
      <c r="AH57" s="141">
        <f t="shared" si="15"/>
        <v>6.33093226048106</v>
      </c>
      <c r="AI57" s="142">
        <f t="shared" si="16"/>
        <v>0.247514749412818</v>
      </c>
      <c r="AJ57" s="144"/>
      <c r="AK57" s="141">
        <f>VLOOKUP(B57,'2024 by account '!$A$2:$M$102,10,0)/1000</f>
        <v>234.93963</v>
      </c>
      <c r="AL57" s="141">
        <f t="shared" si="17"/>
        <v>6.21141932087902</v>
      </c>
      <c r="AM57" s="142">
        <f t="shared" si="18"/>
        <v>0.154882787773764</v>
      </c>
      <c r="AN57" s="144"/>
      <c r="AO57" s="141">
        <f>VLOOKUP(B57,'2024 by account '!$A$2:$M$102,11,0)/1000</f>
        <v>234.93963</v>
      </c>
      <c r="AP57" s="141">
        <f t="shared" si="19"/>
        <v>6.290670953416</v>
      </c>
      <c r="AQ57" s="142">
        <f t="shared" si="20"/>
        <v>0.152734381076942</v>
      </c>
      <c r="AR57" s="144"/>
      <c r="AS57" s="141">
        <f>VLOOKUP(B57,'2024 by account '!$A$2:$M$102,12,0)/1000</f>
        <v>234.93963</v>
      </c>
      <c r="AT57" s="141">
        <f t="shared" si="21"/>
        <v>6.4149616232112</v>
      </c>
      <c r="AU57" s="142">
        <f t="shared" si="22"/>
        <v>0.148804491375811</v>
      </c>
      <c r="AV57" s="144"/>
      <c r="AW57" s="143">
        <f>VLOOKUP(B57,'2024 by account '!$A$2:$M$102,13,0)/1000</f>
        <v>-407.12678</v>
      </c>
      <c r="AX57" s="141">
        <f t="shared" si="23"/>
        <v>-11.1058282258795</v>
      </c>
      <c r="AY57" s="142">
        <f t="shared" si="24"/>
        <v>-0.424648347259568</v>
      </c>
      <c r="AZ57" s="121"/>
      <c r="BA57" s="143">
        <f t="shared" si="33"/>
        <v>2185.20209</v>
      </c>
      <c r="BB57" s="141">
        <f t="shared" si="34"/>
        <v>61.9777405279661</v>
      </c>
      <c r="BC57" s="142">
        <f t="shared" si="25"/>
        <v>0.169219727534747</v>
      </c>
    </row>
    <row r="58" outlineLevel="2" spans="1:55">
      <c r="A58" s="140">
        <v>6666021902</v>
      </c>
      <c r="B58" s="140">
        <v>6666021902</v>
      </c>
      <c r="C58" s="140" t="s">
        <v>95</v>
      </c>
      <c r="D58" s="140" t="s">
        <v>60</v>
      </c>
      <c r="E58" s="141">
        <f>VLOOKUP(B58,'2024 by account '!$A$2:$M$102,2,0)/1000</f>
        <v>208.16604</v>
      </c>
      <c r="F58" s="141">
        <f t="shared" si="2"/>
        <v>6.34333460301982</v>
      </c>
      <c r="G58" s="142">
        <f t="shared" si="3"/>
        <v>0.395346500655645</v>
      </c>
      <c r="H58" s="121"/>
      <c r="I58" s="143">
        <f>VLOOKUP(B58,'2024 by account '!$A$2:$M$102,3,0)/1000</f>
        <v>237.23543</v>
      </c>
      <c r="J58" s="141">
        <f t="shared" si="31"/>
        <v>7.13181148615336</v>
      </c>
      <c r="K58" s="142">
        <f t="shared" si="4"/>
        <v>0.361067815216351</v>
      </c>
      <c r="L58" s="144"/>
      <c r="M58" s="141">
        <f>VLOOKUP(B58,'2024 by account '!$A$2:$M$102,4,0)/1000</f>
        <v>273.97052</v>
      </c>
      <c r="N58" s="141">
        <f t="shared" si="32"/>
        <v>7.86753888963872</v>
      </c>
      <c r="O58" s="142">
        <f t="shared" si="6"/>
        <v>0.392650540981121</v>
      </c>
      <c r="P58" s="144"/>
      <c r="Q58" s="141">
        <f>VLOOKUP(B58,'2024 by account '!$A$2:$M$102,5,0)/1000</f>
        <v>316.33922</v>
      </c>
      <c r="R58" s="141">
        <f t="shared" si="7"/>
        <v>9.11834858154188</v>
      </c>
      <c r="S58" s="142">
        <f t="shared" si="8"/>
        <v>0.325155959831041</v>
      </c>
      <c r="T58" s="144"/>
      <c r="U58" s="141">
        <f>VLOOKUP(B58,'2024 by account '!$A$2:$M$102,6,0)/1000</f>
        <v>240.02211</v>
      </c>
      <c r="V58" s="141">
        <f t="shared" si="9"/>
        <v>6.88521707950259</v>
      </c>
      <c r="W58" s="142">
        <f t="shared" si="10"/>
        <v>0.168780141185042</v>
      </c>
      <c r="X58" s="144"/>
      <c r="Y58" s="141">
        <f>VLOOKUP(B58,'2024 by account '!$A$2:$M$102,7,0)/1000</f>
        <v>198.21817</v>
      </c>
      <c r="Z58" s="141">
        <f t="shared" si="11"/>
        <v>5.65260403744863</v>
      </c>
      <c r="AA58" s="142">
        <f t="shared" si="12"/>
        <v>0.182483343151105</v>
      </c>
      <c r="AB58" s="144"/>
      <c r="AC58" s="141">
        <f>VLOOKUP(B58,'2024 by account '!$A$2:$M$102,8,0)/1000</f>
        <v>229.7547</v>
      </c>
      <c r="AD58" s="141">
        <f t="shared" si="13"/>
        <v>6.43626477369183</v>
      </c>
      <c r="AE58" s="142">
        <f t="shared" si="14"/>
        <v>0.18668285447376</v>
      </c>
      <c r="AF58" s="144"/>
      <c r="AG58" s="141">
        <f>VLOOKUP(B58,'2024 by account '!$A$2:$M$102,9,0)/1000</f>
        <v>260.16275</v>
      </c>
      <c r="AH58" s="141">
        <f t="shared" si="15"/>
        <v>7.01062118362266</v>
      </c>
      <c r="AI58" s="142">
        <f t="shared" si="16"/>
        <v>0.274087934303802</v>
      </c>
      <c r="AJ58" s="144"/>
      <c r="AK58" s="141">
        <f>VLOOKUP(B58,'2024 by account '!$A$2:$M$102,10,0)/1000</f>
        <v>269.68529</v>
      </c>
      <c r="AL58" s="141">
        <f t="shared" si="17"/>
        <v>7.13003770740109</v>
      </c>
      <c r="AM58" s="142">
        <f t="shared" si="18"/>
        <v>0.177788692085605</v>
      </c>
      <c r="AN58" s="144"/>
      <c r="AO58" s="141">
        <f>VLOOKUP(B58,'2024 by account '!$A$2:$M$102,11,0)/1000</f>
        <v>304.1908</v>
      </c>
      <c r="AP58" s="141">
        <f t="shared" si="19"/>
        <v>8.14491888770054</v>
      </c>
      <c r="AQ58" s="142">
        <f t="shared" si="20"/>
        <v>0.197754604309625</v>
      </c>
      <c r="AR58" s="144"/>
      <c r="AS58" s="141">
        <f>VLOOKUP(B58,'2024 by account '!$A$2:$M$102,12,0)/1000</f>
        <v>333.94373</v>
      </c>
      <c r="AT58" s="141">
        <f t="shared" si="21"/>
        <v>9.11824119354407</v>
      </c>
      <c r="AU58" s="142">
        <f t="shared" si="22"/>
        <v>0.211511046011229</v>
      </c>
      <c r="AV58" s="144"/>
      <c r="AW58" s="143">
        <f>VLOOKUP(B58,'2024 by account '!$A$2:$M$102,13,0)/1000</f>
        <v>342.31553</v>
      </c>
      <c r="AX58" s="141">
        <f t="shared" si="23"/>
        <v>9.33787130198337</v>
      </c>
      <c r="AY58" s="142">
        <f t="shared" si="24"/>
        <v>0.357047807210774</v>
      </c>
      <c r="AZ58" s="121"/>
      <c r="BA58" s="143">
        <f t="shared" si="33"/>
        <v>3214.00429</v>
      </c>
      <c r="BB58" s="141">
        <f t="shared" si="34"/>
        <v>90.1768097252486</v>
      </c>
      <c r="BC58" s="142">
        <f t="shared" si="25"/>
        <v>0.246212511809359</v>
      </c>
    </row>
    <row r="59" outlineLevel="2" spans="1:55">
      <c r="A59" s="140">
        <v>6666022100</v>
      </c>
      <c r="B59" s="140">
        <v>6666022100</v>
      </c>
      <c r="C59" s="140" t="s">
        <v>96</v>
      </c>
      <c r="D59" s="140" t="s">
        <v>60</v>
      </c>
      <c r="E59" s="141">
        <f>VLOOKUP(B59,'2024 by account '!$A$2:$M$102,2,0)/1000</f>
        <v>37.12425</v>
      </c>
      <c r="F59" s="141">
        <f t="shared" si="2"/>
        <v>1.13126780735301</v>
      </c>
      <c r="G59" s="142">
        <f t="shared" si="3"/>
        <v>0.0705059400033037</v>
      </c>
      <c r="H59" s="121"/>
      <c r="I59" s="143">
        <f>VLOOKUP(B59,'2024 by account '!$A$2:$M$102,3,0)/1000</f>
        <v>39.77691</v>
      </c>
      <c r="J59" s="141">
        <f t="shared" si="31"/>
        <v>1.19578017339859</v>
      </c>
      <c r="K59" s="142">
        <f t="shared" si="4"/>
        <v>0.0605397009618564</v>
      </c>
      <c r="L59" s="144"/>
      <c r="M59" s="141">
        <f>VLOOKUP(B59,'2024 by account '!$A$2:$M$102,4,0)/1000</f>
        <v>37.16075</v>
      </c>
      <c r="N59" s="141">
        <f t="shared" si="32"/>
        <v>1.06713541950843</v>
      </c>
      <c r="O59" s="142">
        <f t="shared" si="6"/>
        <v>0.0532582432254543</v>
      </c>
      <c r="P59" s="144"/>
      <c r="Q59" s="141">
        <f>VLOOKUP(B59,'2024 by account '!$A$2:$M$102,5,0)/1000</f>
        <v>70.10008</v>
      </c>
      <c r="R59" s="141">
        <f t="shared" si="7"/>
        <v>2.02060612349608</v>
      </c>
      <c r="S59" s="142">
        <f t="shared" si="8"/>
        <v>0.0720538502833533</v>
      </c>
      <c r="T59" s="144"/>
      <c r="U59" s="141">
        <f>VLOOKUP(B59,'2024 by account '!$A$2:$M$102,6,0)/1000</f>
        <v>35.94105</v>
      </c>
      <c r="V59" s="141">
        <f t="shared" si="9"/>
        <v>1.03099639993689</v>
      </c>
      <c r="W59" s="142">
        <f t="shared" si="10"/>
        <v>0.0252732362586873</v>
      </c>
      <c r="X59" s="144"/>
      <c r="Y59" s="141">
        <f>VLOOKUP(B59,'2024 by account '!$A$2:$M$102,7,0)/1000</f>
        <v>43.11536</v>
      </c>
      <c r="Z59" s="141">
        <f t="shared" si="11"/>
        <v>1.22952430653583</v>
      </c>
      <c r="AA59" s="142">
        <f t="shared" si="12"/>
        <v>0.0396928043174016</v>
      </c>
      <c r="AB59" s="144"/>
      <c r="AC59" s="141">
        <f>VLOOKUP(B59,'2024 by account '!$A$2:$M$102,8,0)/1000</f>
        <v>30.33003</v>
      </c>
      <c r="AD59" s="141">
        <f t="shared" si="13"/>
        <v>0.84965445178713</v>
      </c>
      <c r="AE59" s="142">
        <f t="shared" si="14"/>
        <v>0.0246440946656359</v>
      </c>
      <c r="AF59" s="144"/>
      <c r="AG59" s="141">
        <f>VLOOKUP(B59,'2024 by account '!$A$2:$M$102,9,0)/1000</f>
        <v>40.93656</v>
      </c>
      <c r="AH59" s="141">
        <f t="shared" si="15"/>
        <v>1.10311993058437</v>
      </c>
      <c r="AI59" s="142">
        <f t="shared" si="16"/>
        <v>0.0431276851428718</v>
      </c>
      <c r="AJ59" s="144"/>
      <c r="AK59" s="141">
        <f>VLOOKUP(B59,'2024 by account '!$A$2:$M$102,10,0)/1000</f>
        <v>41.05696</v>
      </c>
      <c r="AL59" s="141">
        <f t="shared" si="17"/>
        <v>1.08547882960638</v>
      </c>
      <c r="AM59" s="142">
        <f t="shared" si="18"/>
        <v>0.0270665975864349</v>
      </c>
      <c r="AN59" s="144"/>
      <c r="AO59" s="141">
        <f>VLOOKUP(B59,'2024 by account '!$A$2:$M$102,11,0)/1000</f>
        <v>42.87878</v>
      </c>
      <c r="AP59" s="141">
        <f t="shared" si="19"/>
        <v>1.14810896681805</v>
      </c>
      <c r="AQ59" s="142">
        <f t="shared" si="20"/>
        <v>0.0278755181687923</v>
      </c>
      <c r="AR59" s="144"/>
      <c r="AS59" s="141">
        <f>VLOOKUP(B59,'2024 by account '!$A$2:$M$102,12,0)/1000</f>
        <v>36.14668</v>
      </c>
      <c r="AT59" s="141">
        <f t="shared" si="21"/>
        <v>0.986975100822691</v>
      </c>
      <c r="AU59" s="142">
        <f t="shared" si="22"/>
        <v>0.0228943423990418</v>
      </c>
      <c r="AV59" s="144"/>
      <c r="AW59" s="143">
        <f>VLOOKUP(B59,'2024 by account '!$A$2:$M$102,13,0)/1000</f>
        <v>38.80101</v>
      </c>
      <c r="AX59" s="141">
        <f t="shared" si="23"/>
        <v>1.0584352914604</v>
      </c>
      <c r="AY59" s="142">
        <f t="shared" si="24"/>
        <v>0.0404708940259395</v>
      </c>
      <c r="AZ59" s="121"/>
      <c r="BA59" s="143">
        <f t="shared" si="33"/>
        <v>493.36842</v>
      </c>
      <c r="BB59" s="141">
        <f t="shared" si="34"/>
        <v>13.9070828013078</v>
      </c>
      <c r="BC59" s="142">
        <f t="shared" si="25"/>
        <v>0.0379709350872282</v>
      </c>
    </row>
    <row r="60" outlineLevel="2" spans="1:55">
      <c r="A60" s="140">
        <v>6666022300</v>
      </c>
      <c r="B60" s="140">
        <v>6666022300</v>
      </c>
      <c r="C60" s="140" t="s">
        <v>97</v>
      </c>
      <c r="D60" s="140" t="s">
        <v>60</v>
      </c>
      <c r="E60" s="141">
        <f>VLOOKUP(B60,'2024 by account '!$A$2:$M$102,2,0)/1000</f>
        <v>0</v>
      </c>
      <c r="F60" s="141">
        <f t="shared" si="2"/>
        <v>0</v>
      </c>
      <c r="G60" s="142">
        <f t="shared" si="3"/>
        <v>0</v>
      </c>
      <c r="H60" s="121"/>
      <c r="I60" s="143">
        <f>VLOOKUP(B60,'2024 by account '!$A$2:$M$102,3,0)/1000</f>
        <v>0</v>
      </c>
      <c r="J60" s="141">
        <f t="shared" si="31"/>
        <v>0</v>
      </c>
      <c r="K60" s="142">
        <f t="shared" si="4"/>
        <v>0</v>
      </c>
      <c r="L60" s="144"/>
      <c r="M60" s="141">
        <f>VLOOKUP(B60,'2024 by account '!$A$2:$M$102,4,0)/1000</f>
        <v>0</v>
      </c>
      <c r="N60" s="141">
        <f t="shared" si="32"/>
        <v>0</v>
      </c>
      <c r="O60" s="142">
        <f t="shared" si="6"/>
        <v>0</v>
      </c>
      <c r="P60" s="144"/>
      <c r="Q60" s="141">
        <f>VLOOKUP(B60,'2024 by account '!$A$2:$M$102,5,0)/1000</f>
        <v>0</v>
      </c>
      <c r="R60" s="141">
        <f t="shared" si="7"/>
        <v>0</v>
      </c>
      <c r="S60" s="142">
        <f t="shared" si="8"/>
        <v>0</v>
      </c>
      <c r="T60" s="144"/>
      <c r="U60" s="141">
        <f>VLOOKUP(B60,'2024 by account '!$A$2:$M$102,6,0)/1000</f>
        <v>0</v>
      </c>
      <c r="V60" s="141">
        <f t="shared" si="9"/>
        <v>0</v>
      </c>
      <c r="W60" s="142">
        <f t="shared" si="10"/>
        <v>0</v>
      </c>
      <c r="X60" s="144"/>
      <c r="Y60" s="141">
        <f>VLOOKUP(B60,'2024 by account '!$A$2:$M$102,7,0)/1000</f>
        <v>0</v>
      </c>
      <c r="Z60" s="141">
        <f t="shared" si="11"/>
        <v>0</v>
      </c>
      <c r="AA60" s="142">
        <f t="shared" si="12"/>
        <v>0</v>
      </c>
      <c r="AB60" s="144"/>
      <c r="AC60" s="141">
        <f>VLOOKUP(B60,'2024 by account '!$A$2:$M$102,8,0)/1000</f>
        <v>0</v>
      </c>
      <c r="AD60" s="141">
        <f t="shared" si="13"/>
        <v>0</v>
      </c>
      <c r="AE60" s="142">
        <f t="shared" si="14"/>
        <v>0</v>
      </c>
      <c r="AF60" s="144"/>
      <c r="AG60" s="141">
        <f>VLOOKUP(B60,'2024 by account '!$A$2:$M$102,9,0)/1000</f>
        <v>0</v>
      </c>
      <c r="AH60" s="141">
        <f t="shared" si="15"/>
        <v>0</v>
      </c>
      <c r="AI60" s="142">
        <f t="shared" si="16"/>
        <v>0</v>
      </c>
      <c r="AJ60" s="144"/>
      <c r="AK60" s="141">
        <f>VLOOKUP(B60,'2024 by account '!$A$2:$M$102,10,0)/1000</f>
        <v>0</v>
      </c>
      <c r="AL60" s="141">
        <f t="shared" si="17"/>
        <v>0</v>
      </c>
      <c r="AM60" s="142">
        <f t="shared" si="18"/>
        <v>0</v>
      </c>
      <c r="AN60" s="144"/>
      <c r="AO60" s="141">
        <f>VLOOKUP(B60,'2024 by account '!$A$2:$M$102,11,0)/1000</f>
        <v>0</v>
      </c>
      <c r="AP60" s="141">
        <f t="shared" si="19"/>
        <v>0</v>
      </c>
      <c r="AQ60" s="142">
        <f t="shared" si="20"/>
        <v>0</v>
      </c>
      <c r="AR60" s="144"/>
      <c r="AS60" s="141">
        <f>VLOOKUP(B60,'2024 by account '!$A$2:$M$102,12,0)/1000</f>
        <v>0</v>
      </c>
      <c r="AT60" s="141">
        <f t="shared" si="21"/>
        <v>0</v>
      </c>
      <c r="AU60" s="142">
        <f t="shared" si="22"/>
        <v>0</v>
      </c>
      <c r="AV60" s="144"/>
      <c r="AW60" s="143">
        <f>VLOOKUP(B60,'2024 by account '!$A$2:$M$102,13,0)/1000</f>
        <v>0</v>
      </c>
      <c r="AX60" s="141">
        <f t="shared" si="23"/>
        <v>0</v>
      </c>
      <c r="AY60" s="142">
        <f t="shared" si="24"/>
        <v>0</v>
      </c>
      <c r="AZ60" s="121"/>
      <c r="BA60" s="143">
        <f t="shared" si="33"/>
        <v>0</v>
      </c>
      <c r="BB60" s="141">
        <f t="shared" si="34"/>
        <v>0</v>
      </c>
      <c r="BC60" s="142">
        <f t="shared" si="25"/>
        <v>0</v>
      </c>
    </row>
    <row r="61" outlineLevel="2" spans="1:55">
      <c r="A61" s="140">
        <v>6666029900</v>
      </c>
      <c r="B61" s="140">
        <v>6666029900</v>
      </c>
      <c r="C61" s="140" t="s">
        <v>99</v>
      </c>
      <c r="D61" s="140" t="s">
        <v>60</v>
      </c>
      <c r="E61" s="141">
        <f>VLOOKUP(B61,'2024 by account '!$A$2:$M$102,2,0)/1000</f>
        <v>0</v>
      </c>
      <c r="F61" s="141">
        <f t="shared" si="2"/>
        <v>0</v>
      </c>
      <c r="G61" s="142">
        <f t="shared" si="3"/>
        <v>0</v>
      </c>
      <c r="H61" s="121"/>
      <c r="I61" s="143">
        <f>VLOOKUP(B61,'2024 by account '!$A$2:$M$102,3,0)/1000</f>
        <v>26.71137</v>
      </c>
      <c r="J61" s="141">
        <f t="shared" si="31"/>
        <v>0.803001707531174</v>
      </c>
      <c r="K61" s="142">
        <f t="shared" si="4"/>
        <v>0.0406541974246241</v>
      </c>
      <c r="L61" s="144"/>
      <c r="M61" s="141">
        <f>VLOOKUP(B61,'2024 by account '!$A$2:$M$102,4,0)/1000</f>
        <v>-17.80011</v>
      </c>
      <c r="N61" s="141">
        <f t="shared" si="32"/>
        <v>-0.511161046322966</v>
      </c>
      <c r="O61" s="142">
        <f t="shared" si="6"/>
        <v>-0.0255108572302723</v>
      </c>
      <c r="P61" s="144"/>
      <c r="Q61" s="141">
        <f>VLOOKUP(B61,'2024 by account '!$A$2:$M$102,5,0)/1000</f>
        <v>0</v>
      </c>
      <c r="R61" s="141">
        <f t="shared" si="7"/>
        <v>0</v>
      </c>
      <c r="S61" s="142">
        <f t="shared" si="8"/>
        <v>0</v>
      </c>
      <c r="T61" s="144"/>
      <c r="U61" s="141">
        <f>VLOOKUP(B61,'2024 by account '!$A$2:$M$102,6,0)/1000</f>
        <v>0</v>
      </c>
      <c r="V61" s="141">
        <f t="shared" si="9"/>
        <v>0</v>
      </c>
      <c r="W61" s="142">
        <f t="shared" si="10"/>
        <v>0</v>
      </c>
      <c r="X61" s="144"/>
      <c r="Y61" s="141">
        <f>VLOOKUP(B61,'2024 by account '!$A$2:$M$102,7,0)/1000</f>
        <v>0</v>
      </c>
      <c r="Z61" s="141">
        <f t="shared" si="11"/>
        <v>0</v>
      </c>
      <c r="AA61" s="142">
        <f t="shared" si="12"/>
        <v>0</v>
      </c>
      <c r="AB61" s="144"/>
      <c r="AC61" s="141">
        <f>VLOOKUP(B61,'2024 by account '!$A$2:$M$102,8,0)/1000</f>
        <v>0</v>
      </c>
      <c r="AD61" s="141">
        <f t="shared" si="13"/>
        <v>0</v>
      </c>
      <c r="AE61" s="142">
        <f t="shared" si="14"/>
        <v>0</v>
      </c>
      <c r="AF61" s="144"/>
      <c r="AG61" s="141">
        <f>VLOOKUP(B61,'2024 by account '!$A$2:$M$102,9,0)/1000</f>
        <v>0</v>
      </c>
      <c r="AH61" s="141">
        <f t="shared" si="15"/>
        <v>0</v>
      </c>
      <c r="AI61" s="142">
        <f t="shared" si="16"/>
        <v>0</v>
      </c>
      <c r="AJ61" s="144"/>
      <c r="AK61" s="141">
        <f>VLOOKUP(B61,'2024 by account '!$A$2:$M$102,10,0)/1000</f>
        <v>0</v>
      </c>
      <c r="AL61" s="141">
        <f t="shared" si="17"/>
        <v>0</v>
      </c>
      <c r="AM61" s="142">
        <f t="shared" si="18"/>
        <v>0</v>
      </c>
      <c r="AN61" s="144"/>
      <c r="AO61" s="141">
        <f>VLOOKUP(B61,'2024 by account '!$A$2:$M$102,11,0)/1000</f>
        <v>0</v>
      </c>
      <c r="AP61" s="141">
        <f t="shared" si="19"/>
        <v>0</v>
      </c>
      <c r="AQ61" s="142">
        <f t="shared" si="20"/>
        <v>0</v>
      </c>
      <c r="AR61" s="144"/>
      <c r="AS61" s="141">
        <f>VLOOKUP(B61,'2024 by account '!$A$2:$M$102,12,0)/1000</f>
        <v>0</v>
      </c>
      <c r="AT61" s="141">
        <f t="shared" si="21"/>
        <v>0</v>
      </c>
      <c r="AU61" s="142">
        <f t="shared" si="22"/>
        <v>0</v>
      </c>
      <c r="AV61" s="144"/>
      <c r="AW61" s="143">
        <f>VLOOKUP(B61,'2024 by account '!$A$2:$M$102,13,0)/1000</f>
        <v>0</v>
      </c>
      <c r="AX61" s="141">
        <f t="shared" si="23"/>
        <v>0</v>
      </c>
      <c r="AY61" s="142">
        <f t="shared" si="24"/>
        <v>0</v>
      </c>
      <c r="AZ61" s="121"/>
      <c r="BA61" s="143">
        <f t="shared" si="33"/>
        <v>8.91126</v>
      </c>
      <c r="BB61" s="141">
        <f t="shared" si="34"/>
        <v>0.291840661208209</v>
      </c>
      <c r="BC61" s="142">
        <f t="shared" si="25"/>
        <v>0.000796821516120442</v>
      </c>
    </row>
    <row r="62" outlineLevel="2" spans="1:55">
      <c r="A62" s="140">
        <v>6666029997</v>
      </c>
      <c r="B62" s="140">
        <v>6666029997</v>
      </c>
      <c r="C62" s="140" t="s">
        <v>101</v>
      </c>
      <c r="D62" s="140" t="s">
        <v>60</v>
      </c>
      <c r="E62" s="141">
        <f>VLOOKUP(B62,'2024 by account '!$A$2:$M$102,2,0)/1000</f>
        <v>19</v>
      </c>
      <c r="F62" s="141">
        <f t="shared" si="2"/>
        <v>0.578977038989533</v>
      </c>
      <c r="G62" s="142">
        <f t="shared" si="3"/>
        <v>0.0360845770638537</v>
      </c>
      <c r="H62" s="121"/>
      <c r="I62" s="143">
        <f>VLOOKUP(B62,'2024 by account '!$A$2:$M$102,3,0)/1000</f>
        <v>19</v>
      </c>
      <c r="J62" s="141">
        <f t="shared" si="31"/>
        <v>0.57118120272724</v>
      </c>
      <c r="K62" s="142">
        <f t="shared" si="4"/>
        <v>0.0289176388582037</v>
      </c>
      <c r="L62" s="144"/>
      <c r="M62" s="141">
        <f>VLOOKUP(B62,'2024 by account '!$A$2:$M$102,4,0)/1000</f>
        <v>18.963</v>
      </c>
      <c r="N62" s="141">
        <f t="shared" si="32"/>
        <v>0.544555450579935</v>
      </c>
      <c r="O62" s="142">
        <f t="shared" si="6"/>
        <v>0.0271774941647919</v>
      </c>
      <c r="P62" s="144"/>
      <c r="Q62" s="141">
        <f>VLOOKUP(B62,'2024 by account '!$A$2:$M$102,5,0)/1000</f>
        <v>18.987</v>
      </c>
      <c r="R62" s="141">
        <f t="shared" si="7"/>
        <v>0.547292506182875</v>
      </c>
      <c r="S62" s="142">
        <f t="shared" si="8"/>
        <v>0.0195161896438639</v>
      </c>
      <c r="T62" s="144"/>
      <c r="U62" s="141">
        <f>VLOOKUP(B62,'2024 by account '!$A$2:$M$102,6,0)/1000</f>
        <v>18.9875</v>
      </c>
      <c r="V62" s="141">
        <f t="shared" si="9"/>
        <v>0.544670902597496</v>
      </c>
      <c r="W62" s="142">
        <f t="shared" si="10"/>
        <v>0.0133517405157007</v>
      </c>
      <c r="X62" s="144"/>
      <c r="Y62" s="141">
        <f>VLOOKUP(B62,'2024 by account '!$A$2:$M$102,7,0)/1000</f>
        <v>18.9875</v>
      </c>
      <c r="Z62" s="141">
        <f t="shared" si="11"/>
        <v>0.541468116475175</v>
      </c>
      <c r="AA62" s="142">
        <f t="shared" si="12"/>
        <v>0.0174802465287698</v>
      </c>
      <c r="AB62" s="144"/>
      <c r="AC62" s="141">
        <f>VLOOKUP(B62,'2024 by account '!$A$2:$M$102,8,0)/1000</f>
        <v>18.9875</v>
      </c>
      <c r="AD62" s="141">
        <f t="shared" si="13"/>
        <v>0.531908933268715</v>
      </c>
      <c r="AE62" s="142">
        <f t="shared" si="14"/>
        <v>0.0154279355300263</v>
      </c>
      <c r="AF62" s="144"/>
      <c r="AG62" s="141">
        <f>VLOOKUP(B62,'2024 by account '!$A$2:$M$102,9,0)/1000</f>
        <v>18.9875</v>
      </c>
      <c r="AH62" s="141">
        <f t="shared" si="15"/>
        <v>0.511657298072207</v>
      </c>
      <c r="AI62" s="142">
        <f t="shared" si="16"/>
        <v>0.0200038039749866</v>
      </c>
      <c r="AJ62" s="144"/>
      <c r="AK62" s="141">
        <f>VLOOKUP(B62,'2024 by account '!$A$2:$M$102,10,0)/1000</f>
        <v>18.9875</v>
      </c>
      <c r="AL62" s="141">
        <f t="shared" si="17"/>
        <v>0.50199842553251</v>
      </c>
      <c r="AM62" s="142">
        <f t="shared" si="18"/>
        <v>0.0125174153583809</v>
      </c>
      <c r="AN62" s="144"/>
      <c r="AO62" s="141">
        <f>VLOOKUP(B62,'2024 by account '!$A$2:$M$102,11,0)/1000</f>
        <v>18.9875</v>
      </c>
      <c r="AP62" s="141">
        <f t="shared" si="19"/>
        <v>0.508403434226854</v>
      </c>
      <c r="AQ62" s="142">
        <f t="shared" si="20"/>
        <v>0.0123437840635845</v>
      </c>
      <c r="AR62" s="144"/>
      <c r="AS62" s="141">
        <f>VLOOKUP(B62,'2024 by account '!$A$2:$M$102,12,0)/1000</f>
        <v>18.9875</v>
      </c>
      <c r="AT62" s="141">
        <f t="shared" si="21"/>
        <v>0.518448436395012</v>
      </c>
      <c r="AU62" s="142">
        <f t="shared" si="22"/>
        <v>0.0120261757456509</v>
      </c>
      <c r="AV62" s="144"/>
      <c r="AW62" s="143">
        <f>VLOOKUP(B62,'2024 by account '!$A$2:$M$102,13,0)/1000</f>
        <v>-208.8625</v>
      </c>
      <c r="AX62" s="141">
        <f t="shared" si="23"/>
        <v>-5.6974661500473</v>
      </c>
      <c r="AY62" s="142">
        <f t="shared" si="24"/>
        <v>-0.217851342104053</v>
      </c>
      <c r="AZ62" s="121"/>
      <c r="BA62" s="143">
        <f t="shared" si="33"/>
        <v>0</v>
      </c>
      <c r="BB62" s="141">
        <f t="shared" si="34"/>
        <v>0.203095595000248</v>
      </c>
      <c r="BC62" s="142">
        <f t="shared" si="25"/>
        <v>0.000554518137587502</v>
      </c>
    </row>
    <row r="63" outlineLevel="2" spans="1:55">
      <c r="A63" s="140">
        <v>6666030702</v>
      </c>
      <c r="B63" s="140">
        <v>6666030702</v>
      </c>
      <c r="C63" s="140" t="s">
        <v>102</v>
      </c>
      <c r="D63" s="140" t="s">
        <v>60</v>
      </c>
      <c r="E63" s="141"/>
      <c r="F63" s="141">
        <f t="shared" si="2"/>
        <v>0</v>
      </c>
      <c r="G63" s="142">
        <f t="shared" si="3"/>
        <v>0</v>
      </c>
      <c r="H63" s="121"/>
      <c r="I63" s="143"/>
      <c r="J63" s="141"/>
      <c r="K63" s="142">
        <f t="shared" si="4"/>
        <v>0</v>
      </c>
      <c r="L63" s="144"/>
      <c r="M63" s="141"/>
      <c r="N63" s="141"/>
      <c r="O63" s="142">
        <f t="shared" si="6"/>
        <v>0</v>
      </c>
      <c r="P63" s="144"/>
      <c r="Q63" s="141"/>
      <c r="R63" s="141">
        <f t="shared" si="7"/>
        <v>0</v>
      </c>
      <c r="S63" s="142">
        <f t="shared" si="8"/>
        <v>0</v>
      </c>
      <c r="T63" s="144"/>
      <c r="U63" s="141"/>
      <c r="V63" s="141">
        <f t="shared" si="9"/>
        <v>0</v>
      </c>
      <c r="W63" s="142">
        <f t="shared" si="10"/>
        <v>0</v>
      </c>
      <c r="X63" s="144"/>
      <c r="Y63" s="141"/>
      <c r="Z63" s="141">
        <f t="shared" si="11"/>
        <v>0</v>
      </c>
      <c r="AA63" s="142">
        <f t="shared" si="12"/>
        <v>0</v>
      </c>
      <c r="AB63" s="144"/>
      <c r="AC63" s="141"/>
      <c r="AD63" s="141">
        <f t="shared" si="13"/>
        <v>0</v>
      </c>
      <c r="AE63" s="142">
        <f t="shared" si="14"/>
        <v>0</v>
      </c>
      <c r="AF63" s="144"/>
      <c r="AG63" s="141"/>
      <c r="AH63" s="141">
        <f t="shared" si="15"/>
        <v>0</v>
      </c>
      <c r="AI63" s="142">
        <f t="shared" si="16"/>
        <v>0</v>
      </c>
      <c r="AJ63" s="144"/>
      <c r="AK63" s="141"/>
      <c r="AL63" s="141">
        <f t="shared" si="17"/>
        <v>0</v>
      </c>
      <c r="AM63" s="142">
        <f t="shared" si="18"/>
        <v>0</v>
      </c>
      <c r="AN63" s="144"/>
      <c r="AO63" s="141"/>
      <c r="AP63" s="141">
        <f t="shared" si="19"/>
        <v>0</v>
      </c>
      <c r="AQ63" s="142">
        <f t="shared" si="20"/>
        <v>0</v>
      </c>
      <c r="AR63" s="144"/>
      <c r="AS63" s="141"/>
      <c r="AT63" s="141">
        <f t="shared" si="21"/>
        <v>0</v>
      </c>
      <c r="AU63" s="142">
        <f t="shared" si="22"/>
        <v>0</v>
      </c>
      <c r="AV63" s="144"/>
      <c r="AW63" s="143"/>
      <c r="AX63" s="141">
        <f t="shared" si="23"/>
        <v>0</v>
      </c>
      <c r="AY63" s="142">
        <f t="shared" si="24"/>
        <v>0</v>
      </c>
      <c r="AZ63" s="121"/>
      <c r="BA63" s="143">
        <f t="shared" si="33"/>
        <v>0</v>
      </c>
      <c r="BB63" s="141">
        <f t="shared" si="34"/>
        <v>0</v>
      </c>
      <c r="BC63" s="142">
        <f t="shared" si="25"/>
        <v>0</v>
      </c>
    </row>
    <row r="64" outlineLevel="2" spans="1:55">
      <c r="A64" s="140">
        <v>6666031200</v>
      </c>
      <c r="B64" s="140">
        <v>6666031200</v>
      </c>
      <c r="C64" s="140" t="s">
        <v>103</v>
      </c>
      <c r="D64" s="140" t="s">
        <v>60</v>
      </c>
      <c r="E64" s="141">
        <f>VLOOKUP(B64,'2024 by account '!$A$2:$M$102,2,0)/1000</f>
        <v>4.299</v>
      </c>
      <c r="F64" s="141">
        <f t="shared" si="2"/>
        <v>0.131001173190316</v>
      </c>
      <c r="G64" s="142">
        <f t="shared" si="3"/>
        <v>0.00816461035776353</v>
      </c>
      <c r="H64" s="121"/>
      <c r="I64" s="143">
        <f>VLOOKUP(B64,'2024 by account '!$A$2:$M$102,3,0)/1000</f>
        <v>48.48426</v>
      </c>
      <c r="J64" s="141">
        <f t="shared" si="31"/>
        <v>1.45754199684948</v>
      </c>
      <c r="K64" s="142">
        <f t="shared" si="4"/>
        <v>0.0737921221572238</v>
      </c>
      <c r="L64" s="144"/>
      <c r="M64" s="141">
        <f>VLOOKUP(B64,'2024 by account '!$A$2:$M$102,4,0)/1000</f>
        <v>-12.48386</v>
      </c>
      <c r="N64" s="141">
        <f t="shared" si="32"/>
        <v>-0.35849570254057</v>
      </c>
      <c r="O64" s="142">
        <f t="shared" si="6"/>
        <v>-0.0178916855088371</v>
      </c>
      <c r="P64" s="144"/>
      <c r="Q64" s="141">
        <f>VLOOKUP(B64,'2024 by account '!$A$2:$M$102,5,0)/1000</f>
        <v>0</v>
      </c>
      <c r="R64" s="141">
        <f t="shared" si="7"/>
        <v>0</v>
      </c>
      <c r="S64" s="142">
        <f t="shared" si="8"/>
        <v>0</v>
      </c>
      <c r="T64" s="144"/>
      <c r="U64" s="141">
        <f>VLOOKUP(B64,'2024 by account '!$A$2:$M$102,6,0)/1000</f>
        <v>0</v>
      </c>
      <c r="V64" s="141">
        <f t="shared" si="9"/>
        <v>0</v>
      </c>
      <c r="W64" s="142">
        <f t="shared" si="10"/>
        <v>0</v>
      </c>
      <c r="X64" s="144"/>
      <c r="Y64" s="141">
        <f>VLOOKUP(B64,'2024 by account '!$A$2:$M$102,7,0)/1000</f>
        <v>35.81274</v>
      </c>
      <c r="Z64" s="141">
        <f t="shared" si="11"/>
        <v>1.02127488471969</v>
      </c>
      <c r="AA64" s="142">
        <f t="shared" si="12"/>
        <v>0.0329698761854239</v>
      </c>
      <c r="AB64" s="144"/>
      <c r="AC64" s="141">
        <f>VLOOKUP(B64,'2024 by account '!$A$2:$M$102,8,0)/1000</f>
        <v>0</v>
      </c>
      <c r="AD64" s="141">
        <f t="shared" si="13"/>
        <v>0</v>
      </c>
      <c r="AE64" s="142">
        <f t="shared" si="14"/>
        <v>0</v>
      </c>
      <c r="AF64" s="144"/>
      <c r="AG64" s="141">
        <f>VLOOKUP(B64,'2024 by account '!$A$2:$M$102,9,0)/1000</f>
        <v>22.812</v>
      </c>
      <c r="AH64" s="141">
        <f t="shared" si="15"/>
        <v>0.614716328301419</v>
      </c>
      <c r="AI64" s="142">
        <f t="shared" si="16"/>
        <v>0.0240330099421933</v>
      </c>
      <c r="AJ64" s="144"/>
      <c r="AK64" s="141">
        <f>VLOOKUP(B64,'2024 by account '!$A$2:$M$102,10,0)/1000</f>
        <v>0</v>
      </c>
      <c r="AL64" s="141">
        <f t="shared" si="17"/>
        <v>0</v>
      </c>
      <c r="AM64" s="142">
        <f t="shared" si="18"/>
        <v>0</v>
      </c>
      <c r="AN64" s="144"/>
      <c r="AO64" s="141">
        <f>VLOOKUP(B64,'2024 by account '!$A$2:$M$102,11,0)/1000</f>
        <v>0</v>
      </c>
      <c r="AP64" s="141">
        <f t="shared" si="19"/>
        <v>0</v>
      </c>
      <c r="AQ64" s="142">
        <f t="shared" si="20"/>
        <v>0</v>
      </c>
      <c r="AR64" s="144"/>
      <c r="AS64" s="141">
        <f>VLOOKUP(B64,'2024 by account '!$A$2:$M$102,12,0)/1000</f>
        <v>0</v>
      </c>
      <c r="AT64" s="141">
        <f t="shared" si="21"/>
        <v>0</v>
      </c>
      <c r="AU64" s="142">
        <f t="shared" si="22"/>
        <v>0</v>
      </c>
      <c r="AV64" s="144"/>
      <c r="AW64" s="143">
        <f>VLOOKUP(B64,'2024 by account '!$A$2:$M$102,13,0)/1000</f>
        <v>0</v>
      </c>
      <c r="AX64" s="141">
        <f t="shared" si="23"/>
        <v>0</v>
      </c>
      <c r="AY64" s="142">
        <f t="shared" si="24"/>
        <v>0</v>
      </c>
      <c r="AZ64" s="121"/>
      <c r="BA64" s="143">
        <f t="shared" si="33"/>
        <v>98.92414</v>
      </c>
      <c r="BB64" s="141">
        <f t="shared" si="34"/>
        <v>2.86603868052034</v>
      </c>
      <c r="BC64" s="142">
        <f t="shared" si="25"/>
        <v>0.00782523339008874</v>
      </c>
    </row>
    <row r="65" outlineLevel="2" spans="1:55">
      <c r="A65" s="140">
        <v>6666050107</v>
      </c>
      <c r="B65" s="140">
        <v>6666050107</v>
      </c>
      <c r="C65" s="140" t="s">
        <v>104</v>
      </c>
      <c r="D65" s="140" t="s">
        <v>60</v>
      </c>
      <c r="E65" s="141">
        <f>VLOOKUP(B65,'2024 by account '!$A$2:$M$102,2,0)/1000</f>
        <v>0</v>
      </c>
      <c r="F65" s="141">
        <f t="shared" si="2"/>
        <v>0</v>
      </c>
      <c r="G65" s="142">
        <f t="shared" si="3"/>
        <v>0</v>
      </c>
      <c r="H65" s="121"/>
      <c r="I65" s="143">
        <f>VLOOKUP(B65,'2024 by account '!$A$2:$M$102,3,0)/1000</f>
        <v>0</v>
      </c>
      <c r="J65" s="141">
        <f t="shared" si="31"/>
        <v>0</v>
      </c>
      <c r="K65" s="142">
        <f t="shared" si="4"/>
        <v>0</v>
      </c>
      <c r="L65" s="144"/>
      <c r="M65" s="141">
        <f>VLOOKUP(B65,'2024 by account '!$A$2:$M$102,4,0)/1000</f>
        <v>0</v>
      </c>
      <c r="N65" s="141">
        <f t="shared" si="32"/>
        <v>0</v>
      </c>
      <c r="O65" s="142">
        <f t="shared" si="6"/>
        <v>0</v>
      </c>
      <c r="P65" s="144"/>
      <c r="Q65" s="141">
        <f>VLOOKUP(B65,'2024 by account '!$A$2:$M$102,5,0)/1000</f>
        <v>1e-5</v>
      </c>
      <c r="R65" s="141">
        <f t="shared" si="7"/>
        <v>2.88245908349331e-7</v>
      </c>
      <c r="S65" s="142">
        <f t="shared" si="8"/>
        <v>1.02787115625764e-8</v>
      </c>
      <c r="T65" s="144"/>
      <c r="U65" s="141">
        <f>VLOOKUP(B65,'2024 by account '!$A$2:$M$102,6,0)/1000</f>
        <v>0</v>
      </c>
      <c r="V65" s="141">
        <f t="shared" si="9"/>
        <v>0</v>
      </c>
      <c r="W65" s="142">
        <f t="shared" si="10"/>
        <v>0</v>
      </c>
      <c r="X65" s="144"/>
      <c r="Y65" s="141">
        <f>VLOOKUP(B65,'2024 by account '!$A$2:$M$102,7,0)/1000</f>
        <v>0</v>
      </c>
      <c r="Z65" s="141">
        <f t="shared" si="11"/>
        <v>0</v>
      </c>
      <c r="AA65" s="142">
        <f t="shared" si="12"/>
        <v>0</v>
      </c>
      <c r="AB65" s="144"/>
      <c r="AC65" s="141">
        <f>VLOOKUP(B65,'2024 by account '!$A$2:$M$102,8,0)/1000</f>
        <v>3.96207</v>
      </c>
      <c r="AD65" s="141">
        <f t="shared" si="13"/>
        <v>0.110991990901171</v>
      </c>
      <c r="AE65" s="142">
        <f t="shared" si="14"/>
        <v>0.00321930536012909</v>
      </c>
      <c r="AF65" s="144"/>
      <c r="AG65" s="141">
        <f>VLOOKUP(B65,'2024 by account '!$A$2:$M$102,9,0)/1000</f>
        <v>-3.96207</v>
      </c>
      <c r="AH65" s="141">
        <f t="shared" si="15"/>
        <v>-0.106766137246765</v>
      </c>
      <c r="AI65" s="142">
        <f t="shared" si="16"/>
        <v>-0.00417413938723767</v>
      </c>
      <c r="AJ65" s="144"/>
      <c r="AK65" s="141">
        <f>VLOOKUP(B65,'2024 by account '!$A$2:$M$102,10,0)/1000</f>
        <v>0.00091</v>
      </c>
      <c r="AL65" s="141">
        <f t="shared" si="17"/>
        <v>2.40589107167654e-5</v>
      </c>
      <c r="AM65" s="142">
        <f t="shared" si="18"/>
        <v>5.99912994134386e-7</v>
      </c>
      <c r="AN65" s="144"/>
      <c r="AO65" s="141">
        <f>VLOOKUP(B65,'2024 by account '!$A$2:$M$102,11,0)/1000</f>
        <v>2.34623</v>
      </c>
      <c r="AP65" s="141">
        <f t="shared" si="19"/>
        <v>0.0628219296635192</v>
      </c>
      <c r="AQ65" s="142">
        <f t="shared" si="20"/>
        <v>0.00152528539741955</v>
      </c>
      <c r="AR65" s="144"/>
      <c r="AS65" s="141">
        <f>VLOOKUP(B65,'2024 by account '!$A$2:$M$102,12,0)/1000</f>
        <v>0</v>
      </c>
      <c r="AT65" s="141">
        <f t="shared" si="21"/>
        <v>0</v>
      </c>
      <c r="AU65" s="142">
        <f t="shared" si="22"/>
        <v>0</v>
      </c>
      <c r="AV65" s="144"/>
      <c r="AW65" s="143">
        <f>VLOOKUP(B65,'2024 by account '!$A$2:$M$102,13,0)/1000</f>
        <v>3.00331</v>
      </c>
      <c r="AX65" s="141">
        <f t="shared" si="23"/>
        <v>0.0819259420101673</v>
      </c>
      <c r="AY65" s="142">
        <f t="shared" si="24"/>
        <v>0.00313256383627757</v>
      </c>
      <c r="AZ65" s="121"/>
      <c r="BA65" s="143">
        <f t="shared" si="33"/>
        <v>5.35046</v>
      </c>
      <c r="BB65" s="141">
        <f t="shared" si="34"/>
        <v>0.148998072484717</v>
      </c>
      <c r="BC65" s="142">
        <f t="shared" si="25"/>
        <v>0.000406814011196314</v>
      </c>
    </row>
    <row r="66" outlineLevel="2" spans="1:55">
      <c r="A66" s="140">
        <v>6666070100</v>
      </c>
      <c r="B66" s="140">
        <v>6666070100</v>
      </c>
      <c r="C66" s="140" t="s">
        <v>106</v>
      </c>
      <c r="D66" s="140" t="s">
        <v>60</v>
      </c>
      <c r="E66" s="141">
        <f>VLOOKUP(B66,'2024 by account '!$A$2:$M$102,2,0)/1000</f>
        <v>0</v>
      </c>
      <c r="F66" s="141">
        <f t="shared" si="2"/>
        <v>0</v>
      </c>
      <c r="G66" s="142">
        <f t="shared" si="3"/>
        <v>0</v>
      </c>
      <c r="H66" s="121"/>
      <c r="I66" s="143">
        <f>VLOOKUP(B66,'2024 by account '!$A$2:$M$102,3,0)/1000</f>
        <v>0</v>
      </c>
      <c r="J66" s="141">
        <f t="shared" si="31"/>
        <v>0</v>
      </c>
      <c r="K66" s="142">
        <f t="shared" si="4"/>
        <v>0</v>
      </c>
      <c r="L66" s="144"/>
      <c r="M66" s="141">
        <f>VLOOKUP(B66,'2024 by account '!$A$2:$M$102,4,0)/1000</f>
        <v>0</v>
      </c>
      <c r="N66" s="141">
        <f t="shared" si="32"/>
        <v>0</v>
      </c>
      <c r="O66" s="142">
        <f t="shared" si="6"/>
        <v>0</v>
      </c>
      <c r="P66" s="144"/>
      <c r="Q66" s="141">
        <f>VLOOKUP(B66,'2024 by account '!$A$2:$M$102,5,0)/1000</f>
        <v>0</v>
      </c>
      <c r="R66" s="141">
        <f t="shared" si="7"/>
        <v>0</v>
      </c>
      <c r="S66" s="142">
        <f t="shared" si="8"/>
        <v>0</v>
      </c>
      <c r="T66" s="144"/>
      <c r="U66" s="141">
        <f>VLOOKUP(B66,'2024 by account '!$A$2:$M$102,6,0)/1000</f>
        <v>0</v>
      </c>
      <c r="V66" s="141">
        <f t="shared" si="9"/>
        <v>0</v>
      </c>
      <c r="W66" s="142">
        <f t="shared" si="10"/>
        <v>0</v>
      </c>
      <c r="X66" s="144"/>
      <c r="Y66" s="141">
        <f>VLOOKUP(B66,'2024 by account '!$A$2:$M$102,7,0)/1000</f>
        <v>0</v>
      </c>
      <c r="Z66" s="141">
        <f t="shared" si="11"/>
        <v>0</v>
      </c>
      <c r="AA66" s="142">
        <f t="shared" si="12"/>
        <v>0</v>
      </c>
      <c r="AB66" s="144"/>
      <c r="AC66" s="141">
        <f>VLOOKUP(B66,'2024 by account '!$A$2:$M$102,8,0)/1000</f>
        <v>0</v>
      </c>
      <c r="AD66" s="141">
        <f t="shared" si="13"/>
        <v>0</v>
      </c>
      <c r="AE66" s="142">
        <f t="shared" si="14"/>
        <v>0</v>
      </c>
      <c r="AF66" s="144"/>
      <c r="AG66" s="141">
        <f>VLOOKUP(B66,'2024 by account '!$A$2:$M$102,9,0)/1000</f>
        <v>0</v>
      </c>
      <c r="AH66" s="141">
        <f t="shared" si="15"/>
        <v>0</v>
      </c>
      <c r="AI66" s="142">
        <f t="shared" si="16"/>
        <v>0</v>
      </c>
      <c r="AJ66" s="144"/>
      <c r="AK66" s="141">
        <f>VLOOKUP(B66,'2024 by account '!$A$2:$M$102,10,0)/1000</f>
        <v>0</v>
      </c>
      <c r="AL66" s="141">
        <f t="shared" si="17"/>
        <v>0</v>
      </c>
      <c r="AM66" s="142">
        <f t="shared" si="18"/>
        <v>0</v>
      </c>
      <c r="AN66" s="144"/>
      <c r="AO66" s="141">
        <f>VLOOKUP(B66,'2024 by account '!$A$2:$M$102,11,0)/1000</f>
        <v>0</v>
      </c>
      <c r="AP66" s="141">
        <f t="shared" si="19"/>
        <v>0</v>
      </c>
      <c r="AQ66" s="142">
        <f t="shared" si="20"/>
        <v>0</v>
      </c>
      <c r="AR66" s="144"/>
      <c r="AS66" s="141">
        <f>VLOOKUP(B66,'2024 by account '!$A$2:$M$102,12,0)/1000</f>
        <v>0.03372</v>
      </c>
      <c r="AT66" s="141">
        <f t="shared" si="21"/>
        <v>0.000920715274535342</v>
      </c>
      <c r="AU66" s="142">
        <f t="shared" si="22"/>
        <v>2.1357348052316e-5</v>
      </c>
      <c r="AV66" s="144"/>
      <c r="AW66" s="143">
        <f>VLOOKUP(B66,'2024 by account '!$A$2:$M$102,13,0)/1000</f>
        <v>0</v>
      </c>
      <c r="AX66" s="141">
        <f t="shared" si="23"/>
        <v>0</v>
      </c>
      <c r="AY66" s="142">
        <f t="shared" si="24"/>
        <v>0</v>
      </c>
      <c r="AZ66" s="121"/>
      <c r="BA66" s="143">
        <f t="shared" si="33"/>
        <v>0.03372</v>
      </c>
      <c r="BB66" s="141">
        <f t="shared" si="34"/>
        <v>0.000920715274535342</v>
      </c>
      <c r="BC66" s="142">
        <f t="shared" si="25"/>
        <v>2.51385717786287e-6</v>
      </c>
    </row>
    <row r="67" outlineLevel="2" spans="1:55">
      <c r="A67" s="140">
        <v>6666070300</v>
      </c>
      <c r="B67" s="140">
        <v>6666070300</v>
      </c>
      <c r="C67" s="140" t="s">
        <v>107</v>
      </c>
      <c r="D67" s="140" t="s">
        <v>60</v>
      </c>
      <c r="E67" s="141">
        <f>VLOOKUP(B67,'2024 by account '!$A$2:$M$102,2,0)/1000</f>
        <v>0</v>
      </c>
      <c r="F67" s="141">
        <f t="shared" si="2"/>
        <v>0</v>
      </c>
      <c r="G67" s="142">
        <f t="shared" si="3"/>
        <v>0</v>
      </c>
      <c r="H67" s="121"/>
      <c r="I67" s="143">
        <f>VLOOKUP(B67,'2024 by account '!$A$2:$M$102,3,0)/1000</f>
        <v>-11.41056</v>
      </c>
      <c r="J67" s="141">
        <f t="shared" si="31"/>
        <v>-0.343026178136386</v>
      </c>
      <c r="K67" s="142">
        <f t="shared" si="4"/>
        <v>-0.0173666554342034</v>
      </c>
      <c r="L67" s="144"/>
      <c r="M67" s="141">
        <f>VLOOKUP(B67,'2024 by account '!$A$2:$M$102,4,0)/1000</f>
        <v>0</v>
      </c>
      <c r="N67" s="141">
        <f t="shared" si="32"/>
        <v>0</v>
      </c>
      <c r="O67" s="142">
        <f t="shared" si="6"/>
        <v>0</v>
      </c>
      <c r="P67" s="144"/>
      <c r="Q67" s="141">
        <f>VLOOKUP(B67,'2024 by account '!$A$2:$M$102,5,0)/1000</f>
        <v>0</v>
      </c>
      <c r="R67" s="141">
        <f t="shared" si="7"/>
        <v>0</v>
      </c>
      <c r="S67" s="142">
        <f t="shared" si="8"/>
        <v>0</v>
      </c>
      <c r="T67" s="144"/>
      <c r="U67" s="141">
        <f>VLOOKUP(B67,'2024 by account '!$A$2:$M$102,6,0)/1000</f>
        <v>0</v>
      </c>
      <c r="V67" s="141">
        <f t="shared" si="9"/>
        <v>0</v>
      </c>
      <c r="W67" s="142">
        <f t="shared" si="10"/>
        <v>0</v>
      </c>
      <c r="X67" s="144"/>
      <c r="Y67" s="141">
        <f>VLOOKUP(B67,'2024 by account '!$A$2:$M$102,7,0)/1000</f>
        <v>0</v>
      </c>
      <c r="Z67" s="141">
        <f t="shared" si="11"/>
        <v>0</v>
      </c>
      <c r="AA67" s="142">
        <f t="shared" si="12"/>
        <v>0</v>
      </c>
      <c r="AB67" s="144"/>
      <c r="AC67" s="141">
        <f>VLOOKUP(B67,'2024 by account '!$A$2:$M$102,8,0)/1000</f>
        <v>0</v>
      </c>
      <c r="AD67" s="141">
        <f t="shared" si="13"/>
        <v>0</v>
      </c>
      <c r="AE67" s="142">
        <f t="shared" si="14"/>
        <v>0</v>
      </c>
      <c r="AF67" s="144"/>
      <c r="AG67" s="141">
        <f>VLOOKUP(B67,'2024 by account '!$A$2:$M$102,9,0)/1000</f>
        <v>0</v>
      </c>
      <c r="AH67" s="141">
        <f t="shared" si="15"/>
        <v>0</v>
      </c>
      <c r="AI67" s="142">
        <f t="shared" si="16"/>
        <v>0</v>
      </c>
      <c r="AJ67" s="144"/>
      <c r="AK67" s="141">
        <f>VLOOKUP(B67,'2024 by account '!$A$2:$M$102,10,0)/1000</f>
        <v>0</v>
      </c>
      <c r="AL67" s="141">
        <f t="shared" si="17"/>
        <v>0</v>
      </c>
      <c r="AM67" s="142">
        <f t="shared" si="18"/>
        <v>0</v>
      </c>
      <c r="AN67" s="144"/>
      <c r="AO67" s="141">
        <f>VLOOKUP(B67,'2024 by account '!$A$2:$M$102,11,0)/1000</f>
        <v>0</v>
      </c>
      <c r="AP67" s="141">
        <f t="shared" si="19"/>
        <v>0</v>
      </c>
      <c r="AQ67" s="142">
        <f t="shared" si="20"/>
        <v>0</v>
      </c>
      <c r="AR67" s="144"/>
      <c r="AS67" s="141">
        <f>VLOOKUP(B67,'2024 by account '!$A$2:$M$102,12,0)/1000</f>
        <v>0</v>
      </c>
      <c r="AT67" s="141">
        <f t="shared" si="21"/>
        <v>0</v>
      </c>
      <c r="AU67" s="142">
        <f t="shared" si="22"/>
        <v>0</v>
      </c>
      <c r="AV67" s="144"/>
      <c r="AW67" s="143">
        <f>VLOOKUP(B67,'2024 by account '!$A$2:$M$102,13,0)/1000</f>
        <v>0</v>
      </c>
      <c r="AX67" s="141">
        <f t="shared" si="23"/>
        <v>0</v>
      </c>
      <c r="AY67" s="142">
        <f t="shared" si="24"/>
        <v>0</v>
      </c>
      <c r="AZ67" s="121"/>
      <c r="BA67" s="143">
        <f t="shared" si="33"/>
        <v>-11.41056</v>
      </c>
      <c r="BB67" s="141">
        <f t="shared" si="34"/>
        <v>-0.343026178136386</v>
      </c>
      <c r="BC67" s="142">
        <f t="shared" si="25"/>
        <v>-0.000936574904264738</v>
      </c>
    </row>
    <row r="68" outlineLevel="2" spans="1:55">
      <c r="A68" s="140">
        <v>6666070400</v>
      </c>
      <c r="B68" s="140">
        <v>6666070400</v>
      </c>
      <c r="C68" s="140" t="s">
        <v>108</v>
      </c>
      <c r="D68" s="140" t="s">
        <v>60</v>
      </c>
      <c r="E68" s="141">
        <f>VLOOKUP(B68,'2024 by account '!$A$2:$M$102,2,0)/1000</f>
        <v>324.13295</v>
      </c>
      <c r="F68" s="141">
        <f t="shared" si="2"/>
        <v>9.87713345420749</v>
      </c>
      <c r="G68" s="142">
        <f t="shared" si="3"/>
        <v>0.615589495432065</v>
      </c>
      <c r="H68" s="121"/>
      <c r="I68" s="143">
        <f>VLOOKUP(B68,'2024 by account '!$A$2:$M$102,3,0)/1000</f>
        <v>323.46465</v>
      </c>
      <c r="J68" s="141">
        <f t="shared" si="31"/>
        <v>9.72404883298662</v>
      </c>
      <c r="K68" s="142">
        <f t="shared" si="4"/>
        <v>0.492307049057646</v>
      </c>
      <c r="L68" s="144"/>
      <c r="M68" s="141">
        <f>VLOOKUP(B68,'2024 by account '!$A$2:$M$102,4,0)/1000</f>
        <v>324.80491</v>
      </c>
      <c r="N68" s="141">
        <f t="shared" si="32"/>
        <v>9.3273366089556</v>
      </c>
      <c r="O68" s="142">
        <f t="shared" si="6"/>
        <v>0.465505645004522</v>
      </c>
      <c r="P68" s="144"/>
      <c r="Q68" s="141">
        <f>VLOOKUP(B68,'2024 by account '!$A$2:$M$102,5,0)/1000</f>
        <v>322.79269</v>
      </c>
      <c r="R68" s="141">
        <f t="shared" si="7"/>
        <v>9.3043672137574</v>
      </c>
      <c r="S68" s="142">
        <f t="shared" si="8"/>
        <v>0.331789295501815</v>
      </c>
      <c r="T68" s="144"/>
      <c r="U68" s="141">
        <f>VLOOKUP(B68,'2024 by account '!$A$2:$M$102,6,0)/1000</f>
        <v>323.79879</v>
      </c>
      <c r="V68" s="141">
        <f t="shared" si="9"/>
        <v>9.28841496823052</v>
      </c>
      <c r="W68" s="142">
        <f t="shared" si="10"/>
        <v>0.227690713541955</v>
      </c>
      <c r="X68" s="144"/>
      <c r="Y68" s="141">
        <f>VLOOKUP(B68,'2024 by account '!$A$2:$M$102,7,0)/1000</f>
        <v>323.7988</v>
      </c>
      <c r="Z68" s="141">
        <f t="shared" si="11"/>
        <v>9.23379730627632</v>
      </c>
      <c r="AA68" s="142">
        <f t="shared" si="12"/>
        <v>0.29809521262514</v>
      </c>
      <c r="AB68" s="144"/>
      <c r="AC68" s="141">
        <f>VLOOKUP(B68,'2024 by account '!$A$2:$M$102,8,0)/1000</f>
        <v>323.7988</v>
      </c>
      <c r="AD68" s="141">
        <f t="shared" si="13"/>
        <v>9.0707820567052</v>
      </c>
      <c r="AE68" s="142">
        <f t="shared" si="14"/>
        <v>0.263096616779453</v>
      </c>
      <c r="AF68" s="144"/>
      <c r="AG68" s="141">
        <f>VLOOKUP(B68,'2024 by account '!$A$2:$M$102,9,0)/1000</f>
        <v>323.7988</v>
      </c>
      <c r="AH68" s="141">
        <f t="shared" si="15"/>
        <v>8.72542562880964</v>
      </c>
      <c r="AI68" s="142">
        <f t="shared" si="16"/>
        <v>0.341130097302746</v>
      </c>
      <c r="AJ68" s="144"/>
      <c r="AK68" s="141">
        <f>VLOOKUP(B68,'2024 by account '!$A$2:$M$102,10,0)/1000</f>
        <v>323.7988</v>
      </c>
      <c r="AL68" s="141">
        <f t="shared" si="17"/>
        <v>8.56071035098438</v>
      </c>
      <c r="AM68" s="142">
        <f t="shared" si="18"/>
        <v>0.213462755610023</v>
      </c>
      <c r="AN68" s="144"/>
      <c r="AO68" s="141">
        <f>VLOOKUP(B68,'2024 by account '!$A$2:$M$102,11,0)/1000</f>
        <v>-285.0262</v>
      </c>
      <c r="AP68" s="141">
        <f t="shared" si="19"/>
        <v>-7.63177347858486</v>
      </c>
      <c r="AQ68" s="142">
        <f t="shared" si="20"/>
        <v>-0.185295687439844</v>
      </c>
      <c r="AR68" s="144"/>
      <c r="AS68" s="141">
        <f>VLOOKUP(B68,'2024 by account '!$A$2:$M$102,12,0)/1000</f>
        <v>-285.0262</v>
      </c>
      <c r="AT68" s="141">
        <f t="shared" si="21"/>
        <v>-7.78256156532519</v>
      </c>
      <c r="AU68" s="142">
        <f t="shared" si="22"/>
        <v>-0.180527988061359</v>
      </c>
      <c r="AV68" s="144"/>
      <c r="AW68" s="143">
        <f>VLOOKUP(B68,'2024 by account '!$A$2:$M$102,13,0)/1000</f>
        <v>-764.37545</v>
      </c>
      <c r="AX68" s="141">
        <f t="shared" si="23"/>
        <v>-20.8510539340579</v>
      </c>
      <c r="AY68" s="142">
        <f t="shared" si="24"/>
        <v>-0.797271973924901</v>
      </c>
      <c r="AZ68" s="121"/>
      <c r="BA68" s="143">
        <f t="shared" si="33"/>
        <v>1579.76134</v>
      </c>
      <c r="BB68" s="141">
        <f t="shared" si="34"/>
        <v>46.8466274429452</v>
      </c>
      <c r="BC68" s="142">
        <f t="shared" si="25"/>
        <v>0.127906784989038</v>
      </c>
    </row>
    <row r="69" s="119" customFormat="1" spans="1:55">
      <c r="B69" s="148" t="s">
        <v>42</v>
      </c>
      <c r="C69" s="149" t="s">
        <v>60</v>
      </c>
      <c r="D69" s="150"/>
      <c r="E69" s="151">
        <f>SUM(E28:E68)</f>
        <v>1367.73855</v>
      </c>
      <c r="F69" s="151">
        <f t="shared" si="2"/>
        <v>41.6783797784651</v>
      </c>
      <c r="G69" s="152">
        <f t="shared" si="3"/>
        <v>2.59759300582519</v>
      </c>
      <c r="H69" s="121"/>
      <c r="I69" s="151">
        <f>SUM(I28:I68)</f>
        <v>1834.74947</v>
      </c>
      <c r="J69" s="151">
        <f>SUM(J28:J68)</f>
        <v>55.1565478409351</v>
      </c>
      <c r="K69" s="152">
        <f t="shared" si="4"/>
        <v>2.7924538194074</v>
      </c>
      <c r="L69" s="158"/>
      <c r="M69" s="154">
        <f>SUM(M28:M68)</f>
        <v>1681.85495</v>
      </c>
      <c r="N69" s="151">
        <f>SUM(N28:N68)</f>
        <v>48.2973833310839</v>
      </c>
      <c r="O69" s="152">
        <f t="shared" si="6"/>
        <v>2.41040990822398</v>
      </c>
      <c r="P69" s="158"/>
      <c r="Q69" s="151">
        <f>SUM(Q28:Q68)</f>
        <v>1803.66892</v>
      </c>
      <c r="R69" s="151">
        <f t="shared" si="7"/>
        <v>51.9900186206857</v>
      </c>
      <c r="S69" s="152">
        <f t="shared" si="8"/>
        <v>1.85393925830637</v>
      </c>
      <c r="T69" s="158"/>
      <c r="U69" s="151">
        <f>SUM(U28:U68)</f>
        <v>1662.96968</v>
      </c>
      <c r="V69" s="151">
        <f t="shared" si="9"/>
        <v>47.7035521578864</v>
      </c>
      <c r="W69" s="152">
        <f t="shared" si="10"/>
        <v>1.16937667691049</v>
      </c>
      <c r="X69" s="158"/>
      <c r="Y69" s="151">
        <f>SUM(Y28:Y68)</f>
        <v>1609.8663</v>
      </c>
      <c r="Z69" s="151">
        <f t="shared" si="11"/>
        <v>45.9086911514343</v>
      </c>
      <c r="AA69" s="152">
        <f t="shared" si="12"/>
        <v>1.48207293231645</v>
      </c>
      <c r="AB69" s="158"/>
      <c r="AC69" s="151">
        <f>SUM(AC28:AC68)</f>
        <v>1694.3545</v>
      </c>
      <c r="AD69" s="151">
        <f t="shared" si="13"/>
        <v>47.4650319775667</v>
      </c>
      <c r="AE69" s="152">
        <f t="shared" si="14"/>
        <v>1.37671583889453</v>
      </c>
      <c r="AF69" s="158"/>
      <c r="AG69" s="151">
        <f>SUM(AG28:AG68)</f>
        <v>1747.98303</v>
      </c>
      <c r="AH69" s="151">
        <f t="shared" si="15"/>
        <v>47.1030032498154</v>
      </c>
      <c r="AI69" s="152">
        <f t="shared" si="16"/>
        <v>1.84154364101241</v>
      </c>
      <c r="AJ69" s="158"/>
      <c r="AK69" s="151">
        <f>SUM(AK28:AK68)</f>
        <v>1337.45084</v>
      </c>
      <c r="AL69" s="151">
        <f t="shared" si="17"/>
        <v>35.3600113710142</v>
      </c>
      <c r="AM69" s="152">
        <f t="shared" si="18"/>
        <v>0.881707843881264</v>
      </c>
      <c r="AN69" s="158"/>
      <c r="AO69" s="151">
        <f>SUM(AO28:AO68)</f>
        <v>992.97761</v>
      </c>
      <c r="AP69" s="151">
        <f t="shared" si="19"/>
        <v>26.5876617266293</v>
      </c>
      <c r="AQ69" s="152">
        <f t="shared" si="20"/>
        <v>0.645535283624184</v>
      </c>
      <c r="AR69" s="158"/>
      <c r="AS69" s="151">
        <f>SUM(AS28:AS68)</f>
        <v>873.88466</v>
      </c>
      <c r="AT69" s="151">
        <f t="shared" si="21"/>
        <v>23.8611789633489</v>
      </c>
      <c r="AU69" s="152">
        <f t="shared" si="22"/>
        <v>0.553495220676151</v>
      </c>
      <c r="AV69" s="158"/>
      <c r="AW69" s="151">
        <f>SUM(AW28:AW68)</f>
        <v>-1083.3285</v>
      </c>
      <c r="AX69" s="151">
        <f t="shared" si="23"/>
        <v>-29.5516306571621</v>
      </c>
      <c r="AY69" s="152">
        <f t="shared" si="24"/>
        <v>-1.12995184709831</v>
      </c>
      <c r="AZ69" s="128"/>
      <c r="BA69" s="151">
        <f t="shared" ref="BA69:BA100" si="35">SUM(AW69,AS69,AO69,AK69,AG69,AC69,Y69,U69,Q69,M69,I69,E69)</f>
        <v>15524.17001</v>
      </c>
      <c r="BB69" s="151">
        <f t="shared" ref="BB69:BB100" si="36">SUM(AX69,AT69,AP69,AL69,AH69,AD69,Z69,V69,R69,N69,J69,F69)</f>
        <v>441.559829511703</v>
      </c>
      <c r="BC69" s="152">
        <f t="shared" si="25"/>
        <v>1.20560435736671</v>
      </c>
    </row>
    <row r="70" ht="20.55" customHeight="1" outlineLevel="1" spans="1:55">
      <c r="A70" s="140">
        <v>6666110203</v>
      </c>
      <c r="B70" s="140">
        <v>6666110203</v>
      </c>
      <c r="C70" s="140" t="s">
        <v>111</v>
      </c>
      <c r="D70" s="140" t="s">
        <v>112</v>
      </c>
      <c r="E70" s="141">
        <f>VLOOKUP(B70,'2024 by account '!$A$2:$M$102,2,0)/1000</f>
        <v>137.44325</v>
      </c>
      <c r="F70" s="141">
        <f t="shared" ref="F70:F117" si="37">E70/$F$2</f>
        <v>4.18823610074201</v>
      </c>
      <c r="G70" s="142">
        <f t="shared" ref="G70:G117" si="38">F70/$F$1*1000</f>
        <v>0.261030607712185</v>
      </c>
      <c r="H70" s="121"/>
      <c r="I70" s="143">
        <f>VLOOKUP(B70,'2024 by account '!$A$2:$M$102,3,0)/1000</f>
        <v>456.35666</v>
      </c>
      <c r="J70" s="141">
        <f t="shared" ref="J70:J73" si="39">I70/$J$2</f>
        <v>13.719070838494</v>
      </c>
      <c r="K70" s="142">
        <f t="shared" ref="K70:K117" si="40">J70/$J$1*1000</f>
        <v>0.694566162337688</v>
      </c>
      <c r="L70" s="144"/>
      <c r="M70" s="141">
        <f>VLOOKUP(B70,'2024 by account '!$A$2:$M$102,4,0)/1000</f>
        <v>613.83731</v>
      </c>
      <c r="N70" s="141">
        <f t="shared" ref="N70:N73" si="41">M70/$N$2</f>
        <v>17.6274035189487</v>
      </c>
      <c r="O70" s="142">
        <f t="shared" ref="O70:O117" si="42">N70/$N$1*1000</f>
        <v>0.879742652041161</v>
      </c>
      <c r="P70" s="144"/>
      <c r="Q70" s="141">
        <f>VLOOKUP(B70,'2024 by account '!$A$2:$M$102,5,0)/1000</f>
        <v>672.41183</v>
      </c>
      <c r="R70" s="141">
        <f t="shared" ref="R70:R117" si="43">Q70/$R$2</f>
        <v>19.3819958723186</v>
      </c>
      <c r="S70" s="142">
        <f t="shared" ref="S70:S117" si="44">R70/$R$1*1000</f>
        <v>0.691152725183418</v>
      </c>
      <c r="T70" s="144"/>
      <c r="U70" s="141">
        <f>VLOOKUP(B70,'2024 by account '!$A$2:$M$102,6,0)/1000</f>
        <v>1108.09391</v>
      </c>
      <c r="V70" s="141">
        <f t="shared" ref="V70:V117" si="45">U70/$V$2</f>
        <v>31.7865179788012</v>
      </c>
      <c r="W70" s="142">
        <f t="shared" ref="W70:W117" si="46">V70/$V$1*1000</f>
        <v>0.779195910643752</v>
      </c>
      <c r="X70" s="144"/>
      <c r="Y70" s="141">
        <f>VLOOKUP(B70,'2024 by account '!$A$2:$M$102,7,0)/1000</f>
        <v>790.01399</v>
      </c>
      <c r="Z70" s="141">
        <f t="shared" ref="Z70:Z117" si="47">Y70/$Z$2</f>
        <v>22.5288946493397</v>
      </c>
      <c r="AA70" s="142">
        <f t="shared" ref="AA70:AA117" si="48">Z70/$Z$1*1000</f>
        <v>0.727301609289117</v>
      </c>
      <c r="AB70" s="144"/>
      <c r="AC70" s="141">
        <f>VLOOKUP(B70,'2024 by account '!$A$2:$M$102,8,0)/1000</f>
        <v>914.78835</v>
      </c>
      <c r="AD70" s="141">
        <f t="shared" ref="AD70:AD117" si="49">AC70/$AD$2</f>
        <v>25.6265488039578</v>
      </c>
      <c r="AE70" s="142">
        <f t="shared" ref="AE70:AE117" si="50">AD70/$AD$1*1000</f>
        <v>0.74329404542036</v>
      </c>
      <c r="AF70" s="144"/>
      <c r="AG70" s="141">
        <f>VLOOKUP(B70,'2024 by account '!$A$2:$M$102,9,0)/1000</f>
        <v>81.86341</v>
      </c>
      <c r="AH70" s="141">
        <f t="shared" ref="AH70:AH117" si="51">AG70/$AH$2</f>
        <v>2.20597820521803</v>
      </c>
      <c r="AI70" s="142">
        <f t="shared" ref="AI70:AI117" si="52">AH70/$AH$1*1000</f>
        <v>0.0862451405589971</v>
      </c>
      <c r="AJ70" s="144"/>
      <c r="AK70" s="141">
        <f>VLOOKUP(B70,'2024 by account '!$A$2:$M$102,10,0)/1000</f>
        <v>901.76546</v>
      </c>
      <c r="AL70" s="141">
        <f t="shared" ref="AL70:AL117" si="53">AK70/$AL$2</f>
        <v>23.8412029556076</v>
      </c>
      <c r="AM70" s="142">
        <f t="shared" ref="AM70:AM117" si="54">AL70/$AL$1*1000</f>
        <v>0.594484414412717</v>
      </c>
      <c r="AN70" s="144"/>
      <c r="AO70" s="141">
        <f>VLOOKUP(B70,'2024 by account '!$A$2:$M$102,11,0)/1000</f>
        <v>817.89825</v>
      </c>
      <c r="AP70" s="141">
        <f t="shared" ref="AP70:AP117" si="55">AO70/$AP$2</f>
        <v>21.8997908702111</v>
      </c>
      <c r="AQ70" s="142">
        <f t="shared" ref="AQ70:AQ117" si="56">AP70/$AP$1*1000</f>
        <v>0.531716096589</v>
      </c>
      <c r="AR70" s="144"/>
      <c r="AS70" s="141">
        <f>VLOOKUP(B70,'2024 by account '!$A$2:$M$102,12,0)/1000</f>
        <v>1186.33166</v>
      </c>
      <c r="AT70" s="141">
        <f t="shared" ref="AT70:AT117" si="57">AS70/$AT$2</f>
        <v>32.3924578892903</v>
      </c>
      <c r="AU70" s="142">
        <f t="shared" ref="AU70:AU117" si="58">AT70/$AT$1*1000</f>
        <v>0.751390811628167</v>
      </c>
      <c r="AV70" s="144"/>
      <c r="AW70" s="143">
        <f>VLOOKUP(B70,'2024 by account '!$A$2:$M$102,13,0)/1000</f>
        <v>957.05058</v>
      </c>
      <c r="AX70" s="141">
        <f t="shared" ref="AX70:AX117" si="59">AW70/$AX$2</f>
        <v>26.1069521021396</v>
      </c>
      <c r="AY70" s="142">
        <f t="shared" ref="AY70:AY117" si="60">AX70/$AX$1*1000</f>
        <v>0.998239288117601</v>
      </c>
      <c r="AZ70" s="121"/>
      <c r="BA70" s="143">
        <f t="shared" si="35"/>
        <v>8637.85466</v>
      </c>
      <c r="BB70" s="141">
        <f t="shared" si="36"/>
        <v>241.305049785069</v>
      </c>
      <c r="BC70" s="142">
        <f t="shared" ref="BC70:BC117" si="61">BB70/$BB$1*1000</f>
        <v>0.658842584927124</v>
      </c>
    </row>
    <row r="71" outlineLevel="1" spans="1:55">
      <c r="A71" s="140">
        <v>5102040000</v>
      </c>
      <c r="B71" s="140">
        <v>5102040000</v>
      </c>
      <c r="C71" s="140" t="s">
        <v>113</v>
      </c>
      <c r="D71" s="140" t="s">
        <v>112</v>
      </c>
      <c r="E71" s="141"/>
      <c r="F71" s="141">
        <f t="shared" si="37"/>
        <v>0</v>
      </c>
      <c r="G71" s="142">
        <f t="shared" si="38"/>
        <v>0</v>
      </c>
      <c r="H71" s="121"/>
      <c r="I71" s="143"/>
      <c r="J71" s="141"/>
      <c r="K71" s="142">
        <f t="shared" si="40"/>
        <v>0</v>
      </c>
      <c r="L71" s="144"/>
      <c r="M71" s="141"/>
      <c r="N71" s="141"/>
      <c r="O71" s="142">
        <f t="shared" si="42"/>
        <v>0</v>
      </c>
      <c r="P71" s="144"/>
      <c r="Q71" s="141"/>
      <c r="R71" s="141">
        <f t="shared" si="43"/>
        <v>0</v>
      </c>
      <c r="S71" s="142">
        <f t="shared" si="44"/>
        <v>0</v>
      </c>
      <c r="T71" s="144"/>
      <c r="U71" s="141"/>
      <c r="V71" s="141">
        <f t="shared" si="45"/>
        <v>0</v>
      </c>
      <c r="W71" s="142">
        <f t="shared" si="46"/>
        <v>0</v>
      </c>
      <c r="X71" s="144"/>
      <c r="Y71" s="141"/>
      <c r="Z71" s="141">
        <f t="shared" si="47"/>
        <v>0</v>
      </c>
      <c r="AA71" s="142">
        <f t="shared" si="48"/>
        <v>0</v>
      </c>
      <c r="AB71" s="144"/>
      <c r="AC71" s="141"/>
      <c r="AD71" s="141">
        <f t="shared" si="49"/>
        <v>0</v>
      </c>
      <c r="AE71" s="142">
        <f t="shared" si="50"/>
        <v>0</v>
      </c>
      <c r="AF71" s="144"/>
      <c r="AG71" s="141"/>
      <c r="AH71" s="141">
        <f t="shared" si="51"/>
        <v>0</v>
      </c>
      <c r="AI71" s="142">
        <f t="shared" si="52"/>
        <v>0</v>
      </c>
      <c r="AJ71" s="144"/>
      <c r="AK71" s="141"/>
      <c r="AL71" s="141">
        <f t="shared" si="53"/>
        <v>0</v>
      </c>
      <c r="AM71" s="142">
        <f t="shared" si="54"/>
        <v>0</v>
      </c>
      <c r="AN71" s="144"/>
      <c r="AO71" s="141"/>
      <c r="AP71" s="141">
        <f t="shared" si="55"/>
        <v>0</v>
      </c>
      <c r="AQ71" s="142">
        <f t="shared" si="56"/>
        <v>0</v>
      </c>
      <c r="AR71" s="144"/>
      <c r="AS71" s="141"/>
      <c r="AT71" s="141">
        <f t="shared" si="57"/>
        <v>0</v>
      </c>
      <c r="AU71" s="142">
        <f t="shared" si="58"/>
        <v>0</v>
      </c>
      <c r="AV71" s="144"/>
      <c r="AW71" s="143"/>
      <c r="AX71" s="141">
        <f t="shared" si="59"/>
        <v>0</v>
      </c>
      <c r="AY71" s="142">
        <f t="shared" si="60"/>
        <v>0</v>
      </c>
      <c r="AZ71" s="121"/>
      <c r="BA71" s="143">
        <f t="shared" si="35"/>
        <v>0</v>
      </c>
      <c r="BB71" s="141">
        <f t="shared" si="36"/>
        <v>0</v>
      </c>
      <c r="BC71" s="142">
        <f t="shared" si="61"/>
        <v>0</v>
      </c>
    </row>
    <row r="72" outlineLevel="1" spans="1:55">
      <c r="A72" s="140">
        <v>6666050307</v>
      </c>
      <c r="B72" s="140">
        <v>6666050307</v>
      </c>
      <c r="C72" s="140" t="s">
        <v>114</v>
      </c>
      <c r="D72" s="140" t="s">
        <v>112</v>
      </c>
      <c r="E72" s="141">
        <f>VLOOKUP(B72,'2024 by account '!$A$2:$M$102,2,0)/1000</f>
        <v>-37.14228</v>
      </c>
      <c r="F72" s="141">
        <f t="shared" si="37"/>
        <v>-1.13181722609053</v>
      </c>
      <c r="G72" s="142">
        <f t="shared" si="38"/>
        <v>-0.0705401823677491</v>
      </c>
      <c r="H72" s="121"/>
      <c r="I72" s="143">
        <f>VLOOKUP(B72,'2024 by account '!$A$2:$M$102,3,0)/1000</f>
        <v>-499.23827</v>
      </c>
      <c r="J72" s="141">
        <f t="shared" si="39"/>
        <v>-15.0081850266351</v>
      </c>
      <c r="K72" s="142">
        <f t="shared" si="40"/>
        <v>-0.759831157687074</v>
      </c>
      <c r="L72" s="144"/>
      <c r="M72" s="141">
        <f>VLOOKUP(B72,'2024 by account '!$A$2:$M$102,4,0)/1000</f>
        <v>-237.62337</v>
      </c>
      <c r="N72" s="141">
        <f t="shared" si="41"/>
        <v>-6.82376740593115</v>
      </c>
      <c r="O72" s="142">
        <f t="shared" si="42"/>
        <v>-0.340558337372419</v>
      </c>
      <c r="P72" s="144"/>
      <c r="Q72" s="141">
        <f>VLOOKUP(B72,'2024 by account '!$A$2:$M$102,5,0)/1000</f>
        <v>-190.12927</v>
      </c>
      <c r="R72" s="141">
        <f t="shared" si="43"/>
        <v>-5.48039841349452</v>
      </c>
      <c r="S72" s="142">
        <f t="shared" si="44"/>
        <v>-0.195428392593322</v>
      </c>
      <c r="T72" s="144"/>
      <c r="U72" s="141">
        <f>VLOOKUP(B72,'2024 by account '!$A$2:$M$102,6,0)/1000</f>
        <v>-115.74113</v>
      </c>
      <c r="V72" s="141">
        <f t="shared" si="45"/>
        <v>-3.32012248820298</v>
      </c>
      <c r="W72" s="142">
        <f t="shared" si="46"/>
        <v>-0.0813875199343771</v>
      </c>
      <c r="X72" s="144"/>
      <c r="Y72" s="141">
        <f>VLOOKUP(B72,'2024 by account '!$A$2:$M$102,7,0)/1000</f>
        <v>-70.04812</v>
      </c>
      <c r="Z72" s="141">
        <f t="shared" si="47"/>
        <v>-1.99756806314823</v>
      </c>
      <c r="AA72" s="142">
        <f t="shared" si="48"/>
        <v>-0.0644876053444031</v>
      </c>
      <c r="AB72" s="144"/>
      <c r="AC72" s="141">
        <f>VLOOKUP(B72,'2024 by account '!$A$2:$M$102,8,0)/1000</f>
        <v>-229.08597</v>
      </c>
      <c r="AD72" s="141">
        <f t="shared" si="49"/>
        <v>-6.41753121419507</v>
      </c>
      <c r="AE72" s="142">
        <f t="shared" si="50"/>
        <v>-0.186139490506572</v>
      </c>
      <c r="AF72" s="144"/>
      <c r="AG72" s="141">
        <f>VLOOKUP(B72,'2024 by account '!$A$2:$M$102,9,0)/1000</f>
        <v>-377.78989</v>
      </c>
      <c r="AH72" s="141">
        <f t="shared" si="51"/>
        <v>-10.1803267600472</v>
      </c>
      <c r="AI72" s="142">
        <f t="shared" si="52"/>
        <v>-0.398011054814575</v>
      </c>
      <c r="AJ72" s="144"/>
      <c r="AK72" s="141">
        <f>VLOOKUP(B72,'2024 by account '!$A$2:$M$102,10,0)/1000</f>
        <v>-2653.55793</v>
      </c>
      <c r="AL72" s="141">
        <f t="shared" si="53"/>
        <v>-70.1557289226757</v>
      </c>
      <c r="AM72" s="142">
        <f t="shared" si="54"/>
        <v>-1.74934492625862</v>
      </c>
      <c r="AN72" s="144"/>
      <c r="AO72" s="141">
        <f>VLOOKUP(B72,'2024 by account '!$A$2:$M$102,11,0)/1000</f>
        <v>633.98308</v>
      </c>
      <c r="AP72" s="141">
        <f t="shared" si="55"/>
        <v>16.9753350948634</v>
      </c>
      <c r="AQ72" s="142">
        <f t="shared" si="56"/>
        <v>0.412152744673401</v>
      </c>
      <c r="AR72" s="144"/>
      <c r="AS72" s="141">
        <f>VLOOKUP(B72,'2024 by account '!$A$2:$M$102,12,0)/1000</f>
        <v>52.76143</v>
      </c>
      <c r="AT72" s="141">
        <f t="shared" si="57"/>
        <v>1.44063625466569</v>
      </c>
      <c r="AU72" s="142">
        <f t="shared" si="58"/>
        <v>0.0334176816206378</v>
      </c>
      <c r="AV72" s="144"/>
      <c r="AW72" s="143">
        <f>VLOOKUP(B72,'2024 by account '!$A$2:$M$102,13,0)/1000</f>
        <v>-9966.01985</v>
      </c>
      <c r="AX72" s="141">
        <f t="shared" si="59"/>
        <v>-271.858570811297</v>
      </c>
      <c r="AY72" s="142">
        <f t="shared" si="60"/>
        <v>-10.3949287198905</v>
      </c>
      <c r="AZ72" s="121"/>
      <c r="BA72" s="143">
        <f t="shared" si="35"/>
        <v>-13689.63157</v>
      </c>
      <c r="BB72" s="141">
        <f t="shared" si="36"/>
        <v>-373.958044982188</v>
      </c>
      <c r="BC72" s="142">
        <f t="shared" si="61"/>
        <v>-1.02102912984958</v>
      </c>
    </row>
    <row r="73" outlineLevel="2" spans="1:55">
      <c r="A73" s="140">
        <v>6666050312</v>
      </c>
      <c r="B73" s="140">
        <v>6666050312</v>
      </c>
      <c r="C73" s="140" t="s">
        <v>115</v>
      </c>
      <c r="D73" s="140" t="s">
        <v>60</v>
      </c>
      <c r="E73" s="141">
        <f>VLOOKUP(B73,'2024 by account '!$A$2:$M$102,2,0)/1000</f>
        <v>-1.179</v>
      </c>
      <c r="F73" s="141">
        <f t="shared" si="37"/>
        <v>-0.0359270488930873</v>
      </c>
      <c r="G73" s="142">
        <f t="shared" si="38"/>
        <v>-0.00223914296622545</v>
      </c>
      <c r="H73" s="121"/>
      <c r="I73" s="143">
        <f>VLOOKUP(B73,'2024 by account '!$A$2:$M$102,3,0)/1000</f>
        <v>42.2584</v>
      </c>
      <c r="J73" s="141">
        <f t="shared" si="39"/>
        <v>1.27037914406994</v>
      </c>
      <c r="K73" s="142">
        <f t="shared" si="40"/>
        <v>0.0643164815750272</v>
      </c>
      <c r="L73" s="144"/>
      <c r="M73" s="141">
        <f>VLOOKUP(B73,'2024 by account '!$A$2:$M$102,4,0)/1000</f>
        <v>30.04809</v>
      </c>
      <c r="N73" s="141">
        <f t="shared" si="41"/>
        <v>0.86288304535234</v>
      </c>
      <c r="O73" s="142">
        <f t="shared" si="42"/>
        <v>0.0430644829741149</v>
      </c>
      <c r="P73" s="144"/>
      <c r="Q73" s="141">
        <f>VLOOKUP(B73,'2024 by account '!$A$2:$M$102,5,0)/1000</f>
        <v>0</v>
      </c>
      <c r="R73" s="141">
        <f t="shared" si="43"/>
        <v>0</v>
      </c>
      <c r="S73" s="142">
        <f t="shared" si="44"/>
        <v>0</v>
      </c>
      <c r="T73" s="144"/>
      <c r="U73" s="141">
        <f>VLOOKUP(B73,'2024 by account '!$A$2:$M$102,6,0)/1000</f>
        <v>-21.00682</v>
      </c>
      <c r="V73" s="141">
        <f t="shared" si="45"/>
        <v>-0.602596635160138</v>
      </c>
      <c r="W73" s="142">
        <f t="shared" si="46"/>
        <v>-0.0147716976800544</v>
      </c>
      <c r="X73" s="144"/>
      <c r="Y73" s="141">
        <f>VLOOKUP(B73,'2024 by account '!$A$2:$M$102,7,0)/1000</f>
        <v>-12.67618</v>
      </c>
      <c r="Z73" s="141">
        <f t="shared" si="47"/>
        <v>-0.361487679194221</v>
      </c>
      <c r="AA73" s="142">
        <f t="shared" si="48"/>
        <v>-0.0116699276599374</v>
      </c>
      <c r="AB73" s="144"/>
      <c r="AC73" s="141">
        <f>VLOOKUP(B73,'2024 by account '!$A$2:$M$102,8,0)/1000</f>
        <v>7.14165</v>
      </c>
      <c r="AD73" s="141">
        <f t="shared" si="49"/>
        <v>0.200063590956077</v>
      </c>
      <c r="AE73" s="142">
        <f t="shared" si="50"/>
        <v>0.0058028132075319</v>
      </c>
      <c r="AF73" s="144"/>
      <c r="AG73" s="141">
        <f>VLOOKUP(B73,'2024 by account '!$A$2:$M$102,9,0)/1000</f>
        <v>-1312.53885</v>
      </c>
      <c r="AH73" s="141">
        <f t="shared" si="51"/>
        <v>-35.3690628890482</v>
      </c>
      <c r="AI73" s="142">
        <f t="shared" si="52"/>
        <v>-1.38279235628463</v>
      </c>
      <c r="AJ73" s="144"/>
      <c r="AK73" s="141">
        <f>VLOOKUP(B73,'2024 by account '!$A$2:$M$102,10,0)/1000</f>
        <v>101.20796</v>
      </c>
      <c r="AL73" s="141">
        <f t="shared" si="53"/>
        <v>2.67577282798458</v>
      </c>
      <c r="AM73" s="142">
        <f t="shared" si="54"/>
        <v>0.0667208464987178</v>
      </c>
      <c r="AN73" s="144"/>
      <c r="AO73" s="141">
        <f>VLOOKUP(B73,'2024 by account '!$A$2:$M$102,11,0)/1000</f>
        <v>-61.90423</v>
      </c>
      <c r="AP73" s="141">
        <f t="shared" si="55"/>
        <v>-1.65752853852108</v>
      </c>
      <c r="AQ73" s="142">
        <f t="shared" si="56"/>
        <v>-0.0402439735479904</v>
      </c>
      <c r="AR73" s="144"/>
      <c r="AS73" s="141">
        <f>VLOOKUP(B73,'2024 by account '!$A$2:$M$102,12,0)/1000</f>
        <v>-8.58845</v>
      </c>
      <c r="AT73" s="141">
        <f t="shared" si="57"/>
        <v>-0.234505252063554</v>
      </c>
      <c r="AU73" s="142">
        <f t="shared" si="58"/>
        <v>-0.0054396950142323</v>
      </c>
      <c r="AV73" s="144"/>
      <c r="AW73" s="143">
        <f>VLOOKUP(B73,'2024 by account '!$A$2:$M$102,13,0)/1000</f>
        <v>9518.3815</v>
      </c>
      <c r="AX73" s="141">
        <f t="shared" si="59"/>
        <v>259.647645697463</v>
      </c>
      <c r="AY73" s="142">
        <f t="shared" si="60"/>
        <v>9.92802530101569</v>
      </c>
      <c r="AZ73" s="121"/>
      <c r="BA73" s="143">
        <f t="shared" si="35"/>
        <v>8281.14407</v>
      </c>
      <c r="BB73" s="141">
        <f t="shared" si="36"/>
        <v>226.395636262946</v>
      </c>
      <c r="BC73" s="142">
        <f t="shared" si="61"/>
        <v>0.618134955503653</v>
      </c>
    </row>
    <row r="74" s="120" customFormat="1" spans="1:55">
      <c r="B74" s="148" t="s">
        <v>52</v>
      </c>
      <c r="C74" s="149" t="s">
        <v>112</v>
      </c>
      <c r="D74" s="150"/>
      <c r="E74" s="151">
        <f>SUM(E70:E73)</f>
        <v>99.12197</v>
      </c>
      <c r="F74" s="151">
        <f t="shared" si="37"/>
        <v>3.02049182575838</v>
      </c>
      <c r="G74" s="152">
        <f t="shared" si="38"/>
        <v>0.18825128237821</v>
      </c>
      <c r="H74" s="121"/>
      <c r="I74" s="151">
        <f>SUM(I70:I73)</f>
        <v>-0.623210000000086</v>
      </c>
      <c r="J74" s="151">
        <f>SUM(J70:J73)</f>
        <v>-0.0187350440711429</v>
      </c>
      <c r="K74" s="152">
        <f t="shared" si="40"/>
        <v>-0.000948513774359199</v>
      </c>
      <c r="L74" s="153"/>
      <c r="M74" s="154">
        <f>SUM(M70:M73)</f>
        <v>406.26203</v>
      </c>
      <c r="N74" s="151">
        <f>SUM(N70:N73)</f>
        <v>11.6665191583699</v>
      </c>
      <c r="O74" s="152">
        <f t="shared" si="42"/>
        <v>0.582248797642857</v>
      </c>
      <c r="P74" s="153"/>
      <c r="Q74" s="151">
        <f>SUM(Q70:Q73)</f>
        <v>482.28256</v>
      </c>
      <c r="R74" s="151">
        <f t="shared" si="43"/>
        <v>13.9015974588241</v>
      </c>
      <c r="S74" s="152">
        <f t="shared" si="44"/>
        <v>0.495724332590096</v>
      </c>
      <c r="T74" s="153"/>
      <c r="U74" s="151">
        <f>SUM(U70:U73)</f>
        <v>971.34596</v>
      </c>
      <c r="V74" s="151">
        <f t="shared" si="45"/>
        <v>27.8637988554381</v>
      </c>
      <c r="W74" s="152">
        <f t="shared" si="46"/>
        <v>0.683036693029321</v>
      </c>
      <c r="X74" s="153"/>
      <c r="Y74" s="151">
        <f>SUM(Y70:Y73)</f>
        <v>707.28969</v>
      </c>
      <c r="Z74" s="151">
        <f t="shared" si="47"/>
        <v>20.1698389069972</v>
      </c>
      <c r="AA74" s="152">
        <f t="shared" si="48"/>
        <v>0.651144076284777</v>
      </c>
      <c r="AB74" s="153"/>
      <c r="AC74" s="151">
        <f>SUM(AC70:AC73)</f>
        <v>692.84403</v>
      </c>
      <c r="AD74" s="151">
        <f t="shared" si="49"/>
        <v>19.4090811807188</v>
      </c>
      <c r="AE74" s="152">
        <f t="shared" si="50"/>
        <v>0.562957368121321</v>
      </c>
      <c r="AF74" s="153"/>
      <c r="AG74" s="151">
        <f>SUM(AG70:AG73)</f>
        <v>-1608.46533</v>
      </c>
      <c r="AH74" s="151">
        <f t="shared" si="51"/>
        <v>-43.3434114438774</v>
      </c>
      <c r="AI74" s="152">
        <f t="shared" si="52"/>
        <v>-1.6945582705402</v>
      </c>
      <c r="AJ74" s="153"/>
      <c r="AK74" s="151">
        <f>SUM(AK70:AK73)</f>
        <v>-1650.58451</v>
      </c>
      <c r="AL74" s="151">
        <f t="shared" si="53"/>
        <v>-43.6387531390835</v>
      </c>
      <c r="AM74" s="152">
        <f t="shared" si="54"/>
        <v>-1.08813966534719</v>
      </c>
      <c r="AN74" s="153"/>
      <c r="AO74" s="151">
        <f>SUM(AO70:AO73)</f>
        <v>1389.9771</v>
      </c>
      <c r="AP74" s="151">
        <f t="shared" si="55"/>
        <v>37.2175974265534</v>
      </c>
      <c r="AQ74" s="152">
        <f t="shared" si="56"/>
        <v>0.90362486771441</v>
      </c>
      <c r="AR74" s="153"/>
      <c r="AS74" s="151">
        <f>SUM(AS70:AS73)</f>
        <v>1230.50464</v>
      </c>
      <c r="AT74" s="151">
        <f t="shared" si="57"/>
        <v>33.5985888918924</v>
      </c>
      <c r="AU74" s="152">
        <f t="shared" si="58"/>
        <v>0.779368798234572</v>
      </c>
      <c r="AV74" s="153"/>
      <c r="AW74" s="151">
        <f>SUM(AW70:AW73)</f>
        <v>509.412229999998</v>
      </c>
      <c r="AX74" s="151">
        <f t="shared" si="59"/>
        <v>13.8960269883062</v>
      </c>
      <c r="AY74" s="152">
        <f t="shared" si="60"/>
        <v>0.531335869242771</v>
      </c>
      <c r="AZ74" s="155"/>
      <c r="BA74" s="151">
        <f t="shared" si="35"/>
        <v>3229.36716</v>
      </c>
      <c r="BB74" s="151">
        <f t="shared" si="36"/>
        <v>93.7426410658264</v>
      </c>
      <c r="BC74" s="152">
        <f t="shared" si="61"/>
        <v>0.255948410581196</v>
      </c>
    </row>
    <row r="75" ht="22.95" customHeight="1" outlineLevel="1" spans="1:55">
      <c r="A75" s="140">
        <v>6666100203</v>
      </c>
      <c r="B75" s="140">
        <v>6666100203</v>
      </c>
      <c r="C75" s="140" t="s">
        <v>116</v>
      </c>
      <c r="D75" s="140" t="s">
        <v>117</v>
      </c>
      <c r="E75" s="141">
        <f>VLOOKUP(B75,'2024 by account '!$A$2:$M$102,2,0)/1000</f>
        <v>79.16667</v>
      </c>
      <c r="F75" s="141">
        <f t="shared" si="37"/>
        <v>2.41240443069797</v>
      </c>
      <c r="G75" s="142">
        <f t="shared" si="38"/>
        <v>0.150352410763351</v>
      </c>
      <c r="H75" s="121"/>
      <c r="I75" s="143">
        <f>VLOOKUP(B75,'2024 by account '!$A$2:$M$102,3,0)/1000</f>
        <v>79.16667</v>
      </c>
      <c r="J75" s="141">
        <f>I75/$J$2</f>
        <v>2.37992177823739</v>
      </c>
      <c r="K75" s="142">
        <f t="shared" si="40"/>
        <v>0.120490166982452</v>
      </c>
      <c r="L75" s="144"/>
      <c r="M75" s="141">
        <f>VLOOKUP(B75,'2024 by account '!$A$2:$M$102,4,0)/1000</f>
        <v>79.16667</v>
      </c>
      <c r="N75" s="141">
        <f>M75/$N$2</f>
        <v>2.27340830315683</v>
      </c>
      <c r="O75" s="142">
        <f t="shared" si="42"/>
        <v>0.113460513208406</v>
      </c>
      <c r="P75" s="144"/>
      <c r="Q75" s="141">
        <f>VLOOKUP(B75,'2024 by account '!$A$2:$M$102,5,0)/1000</f>
        <v>79.16667</v>
      </c>
      <c r="R75" s="141">
        <f t="shared" si="43"/>
        <v>2.28194687051417</v>
      </c>
      <c r="S75" s="142">
        <f t="shared" si="44"/>
        <v>0.0813731366299673</v>
      </c>
      <c r="T75" s="144"/>
      <c r="U75" s="141">
        <f>VLOOKUP(B75,'2024 by account '!$A$2:$M$102,6,0)/1000</f>
        <v>79.16667</v>
      </c>
      <c r="V75" s="141">
        <f t="shared" si="45"/>
        <v>2.27095623987034</v>
      </c>
      <c r="W75" s="142">
        <f t="shared" si="46"/>
        <v>0.0556688787535015</v>
      </c>
      <c r="X75" s="144"/>
      <c r="Y75" s="141">
        <f>VLOOKUP(B75,'2024 by account '!$A$2:$M$102,7,0)/1000</f>
        <v>79.16667</v>
      </c>
      <c r="Z75" s="141">
        <f t="shared" si="47"/>
        <v>2.25760251178468</v>
      </c>
      <c r="AA75" s="142">
        <f t="shared" si="48"/>
        <v>0.072882312493049</v>
      </c>
      <c r="AB75" s="144"/>
      <c r="AC75" s="141">
        <f>VLOOKUP(B75,'2024 by account '!$A$2:$M$102,8,0)/1000</f>
        <v>870.83267</v>
      </c>
      <c r="AD75" s="141">
        <f t="shared" si="49"/>
        <v>24.3951903386569</v>
      </c>
      <c r="AE75" s="142">
        <f t="shared" si="50"/>
        <v>0.707578685461521</v>
      </c>
      <c r="AF75" s="144"/>
      <c r="AG75" s="141">
        <f>VLOOKUP(B75,'2024 by account '!$A$2:$M$102,9,0)/1000</f>
        <v>870.83267</v>
      </c>
      <c r="AH75" s="141">
        <f t="shared" si="51"/>
        <v>23.4663800397739</v>
      </c>
      <c r="AI75" s="142">
        <f t="shared" si="52"/>
        <v>0.917443898654072</v>
      </c>
      <c r="AJ75" s="144"/>
      <c r="AK75" s="141">
        <f>VLOOKUP(B75,'2024 by account '!$A$2:$M$102,10,0)/1000</f>
        <v>1303.38446</v>
      </c>
      <c r="AL75" s="141">
        <f t="shared" si="53"/>
        <v>34.4593520359995</v>
      </c>
      <c r="AM75" s="142">
        <f t="shared" si="54"/>
        <v>0.859249751545967</v>
      </c>
      <c r="AN75" s="144"/>
      <c r="AO75" s="141">
        <f>VLOOKUP(B75,'2024 by account '!$A$2:$M$102,11,0)/1000</f>
        <v>-112.21429</v>
      </c>
      <c r="AP75" s="141">
        <f t="shared" si="55"/>
        <v>-3.00461516288759</v>
      </c>
      <c r="AQ75" s="142">
        <f t="shared" si="56"/>
        <v>-0.0729505708812875</v>
      </c>
      <c r="AR75" s="144"/>
      <c r="AS75" s="141">
        <f>VLOOKUP(B75,'2024 by account '!$A$2:$M$102,12,0)/1000</f>
        <v>115.78571</v>
      </c>
      <c r="AT75" s="141">
        <f t="shared" si="57"/>
        <v>3.16149679032976</v>
      </c>
      <c r="AU75" s="142">
        <f t="shared" si="58"/>
        <v>0.0733355785277142</v>
      </c>
      <c r="AV75" s="144"/>
      <c r="AW75" s="143">
        <f>VLOOKUP(B75,'2024 by account '!$A$2:$M$102,13,0)/1000</f>
        <v>-2582.83657</v>
      </c>
      <c r="AX75" s="141">
        <f t="shared" si="59"/>
        <v>-70.4560365248873</v>
      </c>
      <c r="AY75" s="142">
        <f t="shared" si="60"/>
        <v>-2.69399443753632</v>
      </c>
      <c r="AZ75" s="121"/>
      <c r="BA75" s="143">
        <f t="shared" si="35"/>
        <v>940.78467</v>
      </c>
      <c r="BB75" s="141">
        <f t="shared" si="36"/>
        <v>25.8980076512465</v>
      </c>
      <c r="BC75" s="142">
        <f t="shared" si="61"/>
        <v>0.070710125298279</v>
      </c>
    </row>
    <row r="76" s="120" customFormat="1" spans="1:55">
      <c r="B76" s="148" t="s">
        <v>42</v>
      </c>
      <c r="C76" s="149" t="s">
        <v>117</v>
      </c>
      <c r="D76" s="150"/>
      <c r="E76" s="151">
        <f>E75</f>
        <v>79.16667</v>
      </c>
      <c r="F76" s="151">
        <f t="shared" si="37"/>
        <v>2.41240443069797</v>
      </c>
      <c r="G76" s="152">
        <f t="shared" si="38"/>
        <v>0.150352410763351</v>
      </c>
      <c r="H76" s="121"/>
      <c r="I76" s="151">
        <f>I75</f>
        <v>79.16667</v>
      </c>
      <c r="J76" s="151">
        <f>J75</f>
        <v>2.37992177823739</v>
      </c>
      <c r="K76" s="152">
        <f t="shared" si="40"/>
        <v>0.120490166982452</v>
      </c>
      <c r="L76" s="153"/>
      <c r="M76" s="154">
        <f>M75</f>
        <v>79.16667</v>
      </c>
      <c r="N76" s="151">
        <f>N75</f>
        <v>2.27340830315683</v>
      </c>
      <c r="O76" s="152">
        <f t="shared" si="42"/>
        <v>0.113460513208406</v>
      </c>
      <c r="P76" s="153"/>
      <c r="Q76" s="151">
        <f>Q75</f>
        <v>79.16667</v>
      </c>
      <c r="R76" s="151">
        <f t="shared" si="43"/>
        <v>2.28194687051417</v>
      </c>
      <c r="S76" s="152">
        <f t="shared" si="44"/>
        <v>0.0813731366299673</v>
      </c>
      <c r="T76" s="153"/>
      <c r="U76" s="151">
        <f>U75</f>
        <v>79.16667</v>
      </c>
      <c r="V76" s="151">
        <f t="shared" si="45"/>
        <v>2.27095623987034</v>
      </c>
      <c r="W76" s="152">
        <f t="shared" si="46"/>
        <v>0.0556688787535015</v>
      </c>
      <c r="X76" s="153"/>
      <c r="Y76" s="151">
        <f>Y75</f>
        <v>79.16667</v>
      </c>
      <c r="Z76" s="151">
        <f t="shared" si="47"/>
        <v>2.25760251178468</v>
      </c>
      <c r="AA76" s="152">
        <f t="shared" si="48"/>
        <v>0.072882312493049</v>
      </c>
      <c r="AB76" s="153"/>
      <c r="AC76" s="151">
        <f>AC75</f>
        <v>870.83267</v>
      </c>
      <c r="AD76" s="151">
        <f t="shared" si="49"/>
        <v>24.3951903386569</v>
      </c>
      <c r="AE76" s="152">
        <f t="shared" si="50"/>
        <v>0.707578685461521</v>
      </c>
      <c r="AF76" s="153"/>
      <c r="AG76" s="151">
        <f>AG75</f>
        <v>870.83267</v>
      </c>
      <c r="AH76" s="151">
        <f t="shared" si="51"/>
        <v>23.4663800397739</v>
      </c>
      <c r="AI76" s="152">
        <f t="shared" si="52"/>
        <v>0.917443898654072</v>
      </c>
      <c r="AJ76" s="153"/>
      <c r="AK76" s="151">
        <f>AK75</f>
        <v>1303.38446</v>
      </c>
      <c r="AL76" s="151">
        <f t="shared" si="53"/>
        <v>34.4593520359995</v>
      </c>
      <c r="AM76" s="152">
        <f t="shared" si="54"/>
        <v>0.859249751545967</v>
      </c>
      <c r="AN76" s="153"/>
      <c r="AO76" s="151">
        <f>AO75</f>
        <v>-112.21429</v>
      </c>
      <c r="AP76" s="151">
        <f t="shared" si="55"/>
        <v>-3.00461516288759</v>
      </c>
      <c r="AQ76" s="152">
        <f t="shared" si="56"/>
        <v>-0.0729505708812875</v>
      </c>
      <c r="AR76" s="153"/>
      <c r="AS76" s="151">
        <f>AS75</f>
        <v>115.78571</v>
      </c>
      <c r="AT76" s="151">
        <f t="shared" si="57"/>
        <v>3.16149679032976</v>
      </c>
      <c r="AU76" s="152">
        <f t="shared" si="58"/>
        <v>0.0733355785277142</v>
      </c>
      <c r="AV76" s="153"/>
      <c r="AW76" s="151">
        <f>AW75</f>
        <v>-2582.83657</v>
      </c>
      <c r="AX76" s="151">
        <f t="shared" si="59"/>
        <v>-70.4560365248873</v>
      </c>
      <c r="AY76" s="152">
        <f t="shared" si="60"/>
        <v>-2.69399443753632</v>
      </c>
      <c r="AZ76" s="155"/>
      <c r="BA76" s="151">
        <f t="shared" si="35"/>
        <v>940.78467</v>
      </c>
      <c r="BB76" s="151">
        <f t="shared" si="36"/>
        <v>25.8980076512465</v>
      </c>
      <c r="BC76" s="152">
        <f t="shared" si="61"/>
        <v>0.070710125298279</v>
      </c>
    </row>
    <row r="77" outlineLevel="2" spans="1:55">
      <c r="A77" s="140">
        <v>5301070000</v>
      </c>
      <c r="B77" s="140">
        <v>5301070000</v>
      </c>
      <c r="C77" s="140" t="s">
        <v>118</v>
      </c>
      <c r="D77" s="140" t="s">
        <v>119</v>
      </c>
      <c r="E77" s="141">
        <f>VLOOKUP(B77,'2024 by account '!$A$2:$M$102,2,0)/1000</f>
        <v>-468.763</v>
      </c>
      <c r="F77" s="141">
        <f t="shared" si="37"/>
        <v>-14.2843691435711</v>
      </c>
      <c r="G77" s="142">
        <f t="shared" si="38"/>
        <v>-0.890269189378066</v>
      </c>
      <c r="H77" s="121"/>
      <c r="I77" s="143">
        <f>VLOOKUP(B77,'2024 by account '!$A$2:$M$102,3,0)/1000</f>
        <v>-852.574</v>
      </c>
      <c r="J77" s="141">
        <f>I77/$J$2</f>
        <v>-25.6302233017881</v>
      </c>
      <c r="K77" s="142">
        <f t="shared" si="40"/>
        <v>-1.29760142273127</v>
      </c>
      <c r="L77" s="144"/>
      <c r="M77" s="141">
        <f>VLOOKUP(B77,'2024 by account '!$A$2:$M$102,4,0)/1000</f>
        <v>-1120.183</v>
      </c>
      <c r="N77" s="141">
        <f>M77/$N$2</f>
        <v>-32.1679986445701</v>
      </c>
      <c r="O77" s="142">
        <f t="shared" si="42"/>
        <v>-1.60542988693767</v>
      </c>
      <c r="P77" s="144"/>
      <c r="Q77" s="141">
        <f>VLOOKUP(B77,'2024 by account '!$A$2:$M$102,5,0)/1000</f>
        <v>-1217.154</v>
      </c>
      <c r="R77" s="141">
        <f t="shared" si="43"/>
        <v>-35.0839660331022</v>
      </c>
      <c r="S77" s="142">
        <f t="shared" si="44"/>
        <v>-1.25107748932362</v>
      </c>
      <c r="T77" s="144"/>
      <c r="U77" s="141">
        <f>VLOOKUP(B77,'2024 by account '!$A$2:$M$102,6,0)/1000</f>
        <v>-1656.716</v>
      </c>
      <c r="V77" s="141">
        <f t="shared" si="45"/>
        <v>-47.5241605828947</v>
      </c>
      <c r="W77" s="142">
        <f t="shared" si="46"/>
        <v>-1.16497917789123</v>
      </c>
      <c r="X77" s="144"/>
      <c r="Y77" s="141">
        <f>VLOOKUP(B77,'2024 by account '!$A$2:$M$102,7,0)/1000</f>
        <v>-1315.703</v>
      </c>
      <c r="Z77" s="141">
        <f t="shared" si="47"/>
        <v>-37.5200118631066</v>
      </c>
      <c r="AA77" s="142">
        <f t="shared" si="48"/>
        <v>-1.21126071355587</v>
      </c>
      <c r="AB77" s="144"/>
      <c r="AC77" s="141">
        <f>VLOOKUP(B77,'2024 by account '!$A$2:$M$102,8,0)/1000</f>
        <v>-1589.931</v>
      </c>
      <c r="AD77" s="141">
        <f t="shared" si="49"/>
        <v>-44.5397499502758</v>
      </c>
      <c r="AE77" s="142">
        <f t="shared" si="50"/>
        <v>-1.29186849059593</v>
      </c>
      <c r="AF77" s="144"/>
      <c r="AG77" s="141">
        <f>VLOOKUP(B77,'2024 by account '!$A$2:$M$102,9,0)/1000</f>
        <v>-1132.487</v>
      </c>
      <c r="AH77" s="141">
        <f t="shared" si="51"/>
        <v>-30.5171949188624</v>
      </c>
      <c r="AI77" s="142">
        <f t="shared" si="52"/>
        <v>-1.19310324962321</v>
      </c>
      <c r="AJ77" s="144"/>
      <c r="AK77" s="141">
        <f>VLOOKUP(B77,'2024 by account '!$A$2:$M$102,10,0)/1000</f>
        <v>-1980.895</v>
      </c>
      <c r="AL77" s="141">
        <f t="shared" si="53"/>
        <v>-52.371621916799</v>
      </c>
      <c r="AM77" s="142">
        <f t="shared" si="54"/>
        <v>-1.30589522034707</v>
      </c>
      <c r="AN77" s="144"/>
      <c r="AO77" s="141">
        <f>VLOOKUP(B77,'2024 by account '!$A$2:$M$102,11,0)/1000</f>
        <v>-2082.734</v>
      </c>
      <c r="AP77" s="141">
        <f t="shared" si="55"/>
        <v>-55.7666421688496</v>
      </c>
      <c r="AQ77" s="142">
        <f t="shared" si="56"/>
        <v>-1.35398650469443</v>
      </c>
      <c r="AR77" s="144"/>
      <c r="AS77" s="141">
        <f>VLOOKUP(B77,'2024 by account '!$A$2:$M$102,12,0)/1000</f>
        <v>-1724.25449</v>
      </c>
      <c r="AT77" s="141">
        <f t="shared" si="57"/>
        <v>-47.0802919967125</v>
      </c>
      <c r="AU77" s="142">
        <f t="shared" si="58"/>
        <v>-1.09209677561384</v>
      </c>
      <c r="AV77" s="144"/>
      <c r="AW77" s="143">
        <f>VLOOKUP(B77,'2024 by account '!$A$2:$M$102,13,0)/1000</f>
        <v>-1278.947</v>
      </c>
      <c r="AX77" s="141">
        <f t="shared" si="59"/>
        <v>-34.8878196909668</v>
      </c>
      <c r="AY77" s="142">
        <f t="shared" si="60"/>
        <v>-1.33398920548185</v>
      </c>
      <c r="AZ77" s="121"/>
      <c r="BA77" s="143">
        <f t="shared" si="35"/>
        <v>-16420.34149</v>
      </c>
      <c r="BB77" s="141">
        <f t="shared" si="36"/>
        <v>-457.374050211499</v>
      </c>
      <c r="BC77" s="142">
        <f t="shared" si="61"/>
        <v>-1.24878240960284</v>
      </c>
    </row>
    <row r="78" s="120" customFormat="1" spans="1:55">
      <c r="B78" s="148" t="s">
        <v>52</v>
      </c>
      <c r="C78" s="149" t="s">
        <v>119</v>
      </c>
      <c r="D78" s="150"/>
      <c r="E78" s="151">
        <f>E77</f>
        <v>-468.763</v>
      </c>
      <c r="F78" s="151">
        <f t="shared" si="37"/>
        <v>-14.2843691435711</v>
      </c>
      <c r="G78" s="151">
        <f t="shared" si="38"/>
        <v>-0.890269189378066</v>
      </c>
      <c r="H78" s="121"/>
      <c r="I78" s="151">
        <f>I77</f>
        <v>-852.574</v>
      </c>
      <c r="J78" s="151">
        <f>J77</f>
        <v>-25.6302233017881</v>
      </c>
      <c r="K78" s="151">
        <f t="shared" si="40"/>
        <v>-1.29760142273127</v>
      </c>
      <c r="L78" s="153"/>
      <c r="M78" s="154">
        <f>M77</f>
        <v>-1120.183</v>
      </c>
      <c r="N78" s="151">
        <f>N77</f>
        <v>-32.1679986445701</v>
      </c>
      <c r="O78" s="151">
        <f t="shared" si="42"/>
        <v>-1.60542988693767</v>
      </c>
      <c r="P78" s="153"/>
      <c r="Q78" s="151">
        <f>Q77</f>
        <v>-1217.154</v>
      </c>
      <c r="R78" s="151">
        <f t="shared" si="43"/>
        <v>-35.0839660331022</v>
      </c>
      <c r="S78" s="151">
        <f t="shared" si="44"/>
        <v>-1.25107748932362</v>
      </c>
      <c r="T78" s="153"/>
      <c r="U78" s="151">
        <f>U77</f>
        <v>-1656.716</v>
      </c>
      <c r="V78" s="151">
        <f t="shared" si="45"/>
        <v>-47.5241605828947</v>
      </c>
      <c r="W78" s="151">
        <f t="shared" si="46"/>
        <v>-1.16497917789123</v>
      </c>
      <c r="X78" s="153"/>
      <c r="Y78" s="151">
        <f>Y77</f>
        <v>-1315.703</v>
      </c>
      <c r="Z78" s="151">
        <f t="shared" si="47"/>
        <v>-37.5200118631066</v>
      </c>
      <c r="AA78" s="151">
        <f t="shared" si="48"/>
        <v>-1.21126071355587</v>
      </c>
      <c r="AB78" s="153"/>
      <c r="AC78" s="151">
        <f>AC77</f>
        <v>-1589.931</v>
      </c>
      <c r="AD78" s="151">
        <f t="shared" si="49"/>
        <v>-44.5397499502758</v>
      </c>
      <c r="AE78" s="151">
        <f t="shared" si="50"/>
        <v>-1.29186849059593</v>
      </c>
      <c r="AF78" s="153"/>
      <c r="AG78" s="151">
        <f>AG77</f>
        <v>-1132.487</v>
      </c>
      <c r="AH78" s="151">
        <f t="shared" si="51"/>
        <v>-30.5171949188624</v>
      </c>
      <c r="AI78" s="151">
        <f t="shared" si="52"/>
        <v>-1.19310324962321</v>
      </c>
      <c r="AJ78" s="153"/>
      <c r="AK78" s="151">
        <f>AK77</f>
        <v>-1980.895</v>
      </c>
      <c r="AL78" s="151">
        <f t="shared" si="53"/>
        <v>-52.371621916799</v>
      </c>
      <c r="AM78" s="151">
        <f t="shared" si="54"/>
        <v>-1.30589522034707</v>
      </c>
      <c r="AN78" s="153"/>
      <c r="AO78" s="151">
        <f>AO77</f>
        <v>-2082.734</v>
      </c>
      <c r="AP78" s="151">
        <f t="shared" si="55"/>
        <v>-55.7666421688496</v>
      </c>
      <c r="AQ78" s="151">
        <f t="shared" si="56"/>
        <v>-1.35398650469443</v>
      </c>
      <c r="AR78" s="153"/>
      <c r="AS78" s="151">
        <f>AS77</f>
        <v>-1724.25449</v>
      </c>
      <c r="AT78" s="151">
        <f t="shared" si="57"/>
        <v>-47.0802919967125</v>
      </c>
      <c r="AU78" s="151">
        <f t="shared" si="58"/>
        <v>-1.09209677561384</v>
      </c>
      <c r="AV78" s="153"/>
      <c r="AW78" s="151">
        <f>AW77</f>
        <v>-1278.947</v>
      </c>
      <c r="AX78" s="151">
        <f t="shared" si="59"/>
        <v>-34.8878196909668</v>
      </c>
      <c r="AY78" s="151">
        <f t="shared" si="60"/>
        <v>-1.33398920548185</v>
      </c>
      <c r="AZ78" s="155"/>
      <c r="BA78" s="151">
        <f t="shared" si="35"/>
        <v>-16420.34149</v>
      </c>
      <c r="BB78" s="151">
        <f t="shared" si="36"/>
        <v>-457.374050211499</v>
      </c>
      <c r="BC78" s="151">
        <f t="shared" si="61"/>
        <v>-1.24878240960284</v>
      </c>
    </row>
    <row r="79" outlineLevel="1" spans="1:55">
      <c r="A79" s="140">
        <v>6666021602</v>
      </c>
      <c r="B79" s="140">
        <v>6666021602</v>
      </c>
      <c r="C79" s="140" t="s">
        <v>120</v>
      </c>
      <c r="D79" s="140" t="s">
        <v>121</v>
      </c>
      <c r="E79" s="141">
        <f>VLOOKUP(B79,'2024 by account '!$A$2:$M$102,2,0)/1000</f>
        <v>254.7536</v>
      </c>
      <c r="F79" s="141">
        <f t="shared" si="37"/>
        <v>7.76297289473283</v>
      </c>
      <c r="G79" s="142">
        <f t="shared" si="38"/>
        <v>0.483825047973377</v>
      </c>
      <c r="H79" s="121"/>
      <c r="I79" s="143">
        <f>VLOOKUP(B79,'2024 by account '!$A$2:$M$102,3,0)/1000</f>
        <v>-25.52984</v>
      </c>
      <c r="J79" s="141">
        <f t="shared" ref="J79:J80" si="62">I79/$J$2</f>
        <v>-0.767482353507053</v>
      </c>
      <c r="K79" s="142">
        <f t="shared" si="40"/>
        <v>-0.0388559312225118</v>
      </c>
      <c r="L79" s="144"/>
      <c r="M79" s="141">
        <f>VLOOKUP(B79,'2024 by account '!$A$2:$M$102,4,0)/1000</f>
        <v>248.34497</v>
      </c>
      <c r="N79" s="141">
        <f t="shared" ref="N79:N80" si="63">M79/$N$2</f>
        <v>7.13165675460688</v>
      </c>
      <c r="O79" s="142">
        <f t="shared" si="42"/>
        <v>0.355924377631725</v>
      </c>
      <c r="P79" s="144"/>
      <c r="Q79" s="141">
        <f>VLOOKUP(B79,'2024 by account '!$A$2:$M$102,5,0)/1000</f>
        <v>646.46809</v>
      </c>
      <c r="R79" s="141">
        <f t="shared" si="43"/>
        <v>18.6341781820907</v>
      </c>
      <c r="S79" s="142">
        <f t="shared" si="44"/>
        <v>0.66448590315197</v>
      </c>
      <c r="T79" s="144"/>
      <c r="U79" s="141">
        <f>VLOOKUP(B79,'2024 by account '!$A$2:$M$102,6,0)/1000</f>
        <v>36.87227</v>
      </c>
      <c r="V79" s="141">
        <f t="shared" si="45"/>
        <v>1.05770915506089</v>
      </c>
      <c r="W79" s="142">
        <f t="shared" si="46"/>
        <v>0.0259280569461412</v>
      </c>
      <c r="X79" s="144"/>
      <c r="Y79" s="141">
        <f>VLOOKUP(B79,'2024 by account '!$A$2:$M$102,7,0)/1000</f>
        <v>-43.6499</v>
      </c>
      <c r="Z79" s="141">
        <f t="shared" si="47"/>
        <v>-1.24476782816746</v>
      </c>
      <c r="AA79" s="142">
        <f t="shared" si="48"/>
        <v>-0.0401849118080922</v>
      </c>
      <c r="AB79" s="144"/>
      <c r="AC79" s="141">
        <f>VLOOKUP(B79,'2024 by account '!$A$2:$M$102,8,0)/1000</f>
        <v>-27.21682</v>
      </c>
      <c r="AD79" s="141">
        <f t="shared" si="49"/>
        <v>-0.762442116822469</v>
      </c>
      <c r="AE79" s="142">
        <f t="shared" si="50"/>
        <v>-0.0221145145117751</v>
      </c>
      <c r="AF79" s="144"/>
      <c r="AG79" s="141">
        <f>VLOOKUP(B79,'2024 by account '!$A$2:$M$102,9,0)/1000</f>
        <v>63.16484</v>
      </c>
      <c r="AH79" s="141">
        <f t="shared" si="51"/>
        <v>1.70210672113566</v>
      </c>
      <c r="AI79" s="142">
        <f t="shared" si="52"/>
        <v>0.0665457315323972</v>
      </c>
      <c r="AJ79" s="144"/>
      <c r="AK79" s="141">
        <f>VLOOKUP(B79,'2024 by account '!$A$2:$M$102,10,0)/1000</f>
        <v>-281.04873</v>
      </c>
      <c r="AL79" s="141">
        <f t="shared" si="53"/>
        <v>-7.43046846387947</v>
      </c>
      <c r="AM79" s="142">
        <f t="shared" si="54"/>
        <v>-0.185279983639524</v>
      </c>
      <c r="AN79" s="144"/>
      <c r="AO79" s="141">
        <f>VLOOKUP(B79,'2024 by account '!$A$2:$M$102,11,0)/1000</f>
        <v>275.70461</v>
      </c>
      <c r="AP79" s="141">
        <f t="shared" si="55"/>
        <v>7.38218146444636</v>
      </c>
      <c r="AQ79" s="142">
        <f t="shared" si="56"/>
        <v>0.179235716717565</v>
      </c>
      <c r="AR79" s="144"/>
      <c r="AS79" s="141">
        <f>VLOOKUP(B79,'2024 by account '!$A$2:$M$102,12,0)/1000</f>
        <v>256.61082</v>
      </c>
      <c r="AT79" s="141">
        <f t="shared" si="57"/>
        <v>7.00668747286593</v>
      </c>
      <c r="AU79" s="142">
        <f t="shared" si="58"/>
        <v>0.162530444742889</v>
      </c>
      <c r="AV79" s="144"/>
      <c r="AW79" s="143">
        <f>VLOOKUP(B79,'2024 by account '!$A$2:$M$102,13,0)/1000</f>
        <v>301.68844</v>
      </c>
      <c r="AX79" s="141">
        <f t="shared" si="59"/>
        <v>8.2296231959331</v>
      </c>
      <c r="AY79" s="142">
        <f t="shared" si="60"/>
        <v>0.314672243946511</v>
      </c>
      <c r="AZ79" s="121"/>
      <c r="BA79" s="143">
        <f t="shared" si="35"/>
        <v>1706.16235</v>
      </c>
      <c r="BB79" s="141">
        <f t="shared" si="36"/>
        <v>48.7019550784959</v>
      </c>
      <c r="BC79" s="142">
        <f t="shared" si="61"/>
        <v>0.132972442986588</v>
      </c>
    </row>
    <row r="80" outlineLevel="1" spans="1:55">
      <c r="A80" s="140"/>
      <c r="B80" s="140">
        <v>6666021604</v>
      </c>
      <c r="C80" s="159" t="s">
        <v>122</v>
      </c>
      <c r="D80" s="140" t="s">
        <v>121</v>
      </c>
      <c r="E80" s="141">
        <v>265.5</v>
      </c>
      <c r="F80" s="141">
        <f t="shared" si="37"/>
        <v>8.09044230798531</v>
      </c>
      <c r="G80" s="142">
        <f t="shared" si="38"/>
        <v>0.504234484760693</v>
      </c>
      <c r="H80" s="121"/>
      <c r="I80" s="143">
        <v>118.887</v>
      </c>
      <c r="J80" s="141">
        <f t="shared" si="62"/>
        <v>3.5740010341386</v>
      </c>
      <c r="K80" s="142">
        <f t="shared" si="40"/>
        <v>0.180943754259751</v>
      </c>
      <c r="L80" s="144"/>
      <c r="M80" s="141">
        <v>197.14</v>
      </c>
      <c r="N80" s="141">
        <f t="shared" si="63"/>
        <v>5.66121718754038</v>
      </c>
      <c r="O80" s="142">
        <f t="shared" si="42"/>
        <v>0.282538163774037</v>
      </c>
      <c r="P80" s="144"/>
      <c r="Q80" s="141">
        <v>-135</v>
      </c>
      <c r="R80" s="141">
        <f t="shared" si="43"/>
        <v>-3.89131976271597</v>
      </c>
      <c r="S80" s="142">
        <f t="shared" si="44"/>
        <v>-0.138762606094782</v>
      </c>
      <c r="T80" s="144"/>
      <c r="U80" s="141">
        <v>-24</v>
      </c>
      <c r="V80" s="141">
        <f t="shared" si="45"/>
        <v>-0.68845828373087</v>
      </c>
      <c r="W80" s="142">
        <f t="shared" si="46"/>
        <v>-0.0168764593746843</v>
      </c>
      <c r="X80" s="144"/>
      <c r="Y80" s="141">
        <v>10.841</v>
      </c>
      <c r="Z80" s="141">
        <f t="shared" si="47"/>
        <v>0.3091536985231</v>
      </c>
      <c r="AA80" s="142">
        <f t="shared" si="48"/>
        <v>0.00998042673434595</v>
      </c>
      <c r="AB80" s="144"/>
      <c r="AC80" s="141">
        <v>8.682</v>
      </c>
      <c r="AD80" s="141">
        <f t="shared" si="49"/>
        <v>0.243214396768347</v>
      </c>
      <c r="AE80" s="142">
        <f t="shared" si="50"/>
        <v>0.00705439559034565</v>
      </c>
      <c r="AF80" s="144"/>
      <c r="AG80" s="141">
        <v>11.787</v>
      </c>
      <c r="AH80" s="141">
        <f t="shared" si="51"/>
        <v>0.317624993936912</v>
      </c>
      <c r="AI80" s="142">
        <f t="shared" si="52"/>
        <v>0.0124178979567172</v>
      </c>
      <c r="AJ80" s="144"/>
      <c r="AK80" s="141">
        <v>5.845</v>
      </c>
      <c r="AL80" s="141">
        <f t="shared" si="53"/>
        <v>0.154532234219224</v>
      </c>
      <c r="AM80" s="142">
        <f t="shared" si="54"/>
        <v>0.00385328730847856</v>
      </c>
      <c r="AN80" s="144"/>
      <c r="AO80" s="141">
        <v>134.745</v>
      </c>
      <c r="AP80" s="141">
        <f t="shared" si="55"/>
        <v>3.60789049347715</v>
      </c>
      <c r="AQ80" s="142">
        <f t="shared" si="56"/>
        <v>0.0875977976904642</v>
      </c>
      <c r="AR80" s="144"/>
      <c r="AS80" s="141">
        <v>65.069</v>
      </c>
      <c r="AT80" s="141">
        <f t="shared" si="57"/>
        <v>1.7766910497847</v>
      </c>
      <c r="AU80" s="142">
        <f t="shared" si="58"/>
        <v>0.0412129679838715</v>
      </c>
      <c r="AV80" s="144"/>
      <c r="AW80" s="143">
        <v>144.54</v>
      </c>
      <c r="AX80" s="141">
        <f t="shared" si="59"/>
        <v>3.94284161746526</v>
      </c>
      <c r="AY80" s="142">
        <f t="shared" si="60"/>
        <v>0.150760586451469</v>
      </c>
      <c r="AZ80" s="121"/>
      <c r="BA80" s="143">
        <f t="shared" si="35"/>
        <v>804.036</v>
      </c>
      <c r="BB80" s="141">
        <f t="shared" si="36"/>
        <v>23.0978309673921</v>
      </c>
      <c r="BC80" s="142">
        <f t="shared" si="61"/>
        <v>0.0630647169394963</v>
      </c>
    </row>
    <row r="81" s="120" customFormat="1" spans="1:55">
      <c r="B81" s="148" t="s">
        <v>42</v>
      </c>
      <c r="C81" s="149" t="s">
        <v>121</v>
      </c>
      <c r="D81" s="150"/>
      <c r="E81" s="151">
        <f>E79+E80</f>
        <v>520.2536</v>
      </c>
      <c r="F81" s="151">
        <f t="shared" si="37"/>
        <v>15.8534152027181</v>
      </c>
      <c r="G81" s="151">
        <f t="shared" si="38"/>
        <v>0.98805953273407</v>
      </c>
      <c r="H81" s="121"/>
      <c r="I81" s="151">
        <f>I79+I80</f>
        <v>93.35716</v>
      </c>
      <c r="J81" s="151">
        <f>J79+J80</f>
        <v>2.80651868063155</v>
      </c>
      <c r="K81" s="151">
        <f t="shared" si="40"/>
        <v>0.142087823037239</v>
      </c>
      <c r="L81" s="153"/>
      <c r="M81" s="154">
        <f>M79+M80</f>
        <v>445.48497</v>
      </c>
      <c r="N81" s="151">
        <f>N79+N80</f>
        <v>12.7928739421473</v>
      </c>
      <c r="O81" s="151">
        <f t="shared" si="42"/>
        <v>0.638462541405763</v>
      </c>
      <c r="P81" s="153"/>
      <c r="Q81" s="151">
        <f>Q79+Q80</f>
        <v>511.46809</v>
      </c>
      <c r="R81" s="151">
        <f t="shared" si="43"/>
        <v>14.7428584193747</v>
      </c>
      <c r="S81" s="151">
        <f t="shared" si="44"/>
        <v>0.525723297057189</v>
      </c>
      <c r="T81" s="153"/>
      <c r="U81" s="151">
        <f>U79+U80</f>
        <v>12.87227</v>
      </c>
      <c r="V81" s="151">
        <f t="shared" si="45"/>
        <v>0.369250871330015</v>
      </c>
      <c r="W81" s="151">
        <f t="shared" si="46"/>
        <v>0.00905159757145696</v>
      </c>
      <c r="X81" s="153"/>
      <c r="Y81" s="151">
        <f>Y79+Y80</f>
        <v>-32.8089</v>
      </c>
      <c r="Z81" s="151">
        <f t="shared" si="47"/>
        <v>-0.935614129644364</v>
      </c>
      <c r="AA81" s="151">
        <f t="shared" si="48"/>
        <v>-0.0302044850737462</v>
      </c>
      <c r="AB81" s="153"/>
      <c r="AC81" s="151">
        <f>AC79+AC80</f>
        <v>-18.53482</v>
      </c>
      <c r="AD81" s="151">
        <f t="shared" si="49"/>
        <v>-0.519227720054122</v>
      </c>
      <c r="AE81" s="151">
        <f t="shared" si="50"/>
        <v>-0.0150601189214294</v>
      </c>
      <c r="AF81" s="153"/>
      <c r="AG81" s="151">
        <f>AG79+AG80</f>
        <v>74.95184</v>
      </c>
      <c r="AH81" s="151">
        <f t="shared" si="51"/>
        <v>2.01973171507257</v>
      </c>
      <c r="AI81" s="151">
        <f t="shared" si="52"/>
        <v>0.0789636294891144</v>
      </c>
      <c r="AJ81" s="153"/>
      <c r="AK81" s="151">
        <f>AK79+AK80</f>
        <v>-275.20373</v>
      </c>
      <c r="AL81" s="151">
        <f t="shared" si="53"/>
        <v>-7.27593622966024</v>
      </c>
      <c r="AM81" s="151">
        <f t="shared" si="54"/>
        <v>-0.181426696331045</v>
      </c>
      <c r="AN81" s="153"/>
      <c r="AO81" s="151">
        <f>AO79+AO80</f>
        <v>410.44961</v>
      </c>
      <c r="AP81" s="151">
        <f t="shared" si="55"/>
        <v>10.9900719579235</v>
      </c>
      <c r="AQ81" s="151">
        <f t="shared" si="56"/>
        <v>0.26683351440803</v>
      </c>
      <c r="AR81" s="153"/>
      <c r="AS81" s="151">
        <f>AS79+AS80</f>
        <v>321.67982</v>
      </c>
      <c r="AT81" s="151">
        <f t="shared" si="57"/>
        <v>8.78337852265063</v>
      </c>
      <c r="AU81" s="151">
        <f t="shared" si="58"/>
        <v>0.20374341272676</v>
      </c>
      <c r="AV81" s="153"/>
      <c r="AW81" s="151">
        <f>AW79+AW80</f>
        <v>446.22844</v>
      </c>
      <c r="AX81" s="151">
        <f t="shared" si="59"/>
        <v>12.1724648133984</v>
      </c>
      <c r="AY81" s="151">
        <f t="shared" si="60"/>
        <v>0.465432830397979</v>
      </c>
      <c r="AZ81" s="155"/>
      <c r="BA81" s="151">
        <f t="shared" si="35"/>
        <v>2510.19835</v>
      </c>
      <c r="BB81" s="151">
        <f t="shared" si="36"/>
        <v>71.7997860458881</v>
      </c>
      <c r="BC81" s="151">
        <f t="shared" si="61"/>
        <v>0.196037159926085</v>
      </c>
    </row>
    <row r="82" outlineLevel="2" spans="1:55">
      <c r="A82" s="140">
        <v>6666021600</v>
      </c>
      <c r="B82" s="140">
        <v>6666021600</v>
      </c>
      <c r="C82" s="140" t="s">
        <v>123</v>
      </c>
      <c r="D82" s="140" t="s">
        <v>124</v>
      </c>
      <c r="E82" s="141">
        <f>VLOOKUP(B82,'2024 by account '!$A$2:$M$102,2,0)/1000</f>
        <v>474.38924</v>
      </c>
      <c r="F82" s="141">
        <f t="shared" si="37"/>
        <v>14.4558146054576</v>
      </c>
      <c r="G82" s="142">
        <f t="shared" si="38"/>
        <v>0.900954478370684</v>
      </c>
      <c r="H82" s="121"/>
      <c r="I82" s="143">
        <f>VLOOKUP(B82,'2024 by account '!$A$2:$M$102,3,0)/1000</f>
        <v>567.25506</v>
      </c>
      <c r="J82" s="141">
        <f t="shared" ref="J82:J84" si="64">I82/$J$2</f>
        <v>17.0529172328375</v>
      </c>
      <c r="K82" s="142">
        <f t="shared" si="40"/>
        <v>0.863351419240457</v>
      </c>
      <c r="L82" s="144"/>
      <c r="M82" s="141">
        <f>VLOOKUP(B82,'2024 by account '!$A$2:$M$102,4,0)/1000</f>
        <v>899.01474</v>
      </c>
      <c r="N82" s="141">
        <f t="shared" ref="N82:N84" si="65">M82/$N$2</f>
        <v>25.8167682760482</v>
      </c>
      <c r="O82" s="142">
        <f t="shared" si="42"/>
        <v>1.28845477247334</v>
      </c>
      <c r="P82" s="144"/>
      <c r="Q82" s="141">
        <f>VLOOKUP(B82,'2024 by account '!$A$2:$M$102,5,0)/1000</f>
        <v>1357.5131</v>
      </c>
      <c r="R82" s="141">
        <f t="shared" si="43"/>
        <v>39.1297596605616</v>
      </c>
      <c r="S82" s="142">
        <f t="shared" si="44"/>
        <v>1.3953485597319</v>
      </c>
      <c r="T82" s="144"/>
      <c r="U82" s="141">
        <f>VLOOKUP(B82,'2024 by account '!$A$2:$M$102,6,0)/1000</f>
        <v>802.44221</v>
      </c>
      <c r="V82" s="141">
        <f t="shared" si="45"/>
        <v>23.0186661120753</v>
      </c>
      <c r="W82" s="142">
        <f t="shared" si="46"/>
        <v>0.564265973233203</v>
      </c>
      <c r="X82" s="144"/>
      <c r="Y82" s="141">
        <f>VLOOKUP(B82,'2024 by account '!$A$2:$M$102,7,0)/1000</f>
        <v>707.02032</v>
      </c>
      <c r="Z82" s="141">
        <f t="shared" si="47"/>
        <v>20.1621572603068</v>
      </c>
      <c r="AA82" s="142">
        <f t="shared" si="48"/>
        <v>0.650896089240276</v>
      </c>
      <c r="AB82" s="144"/>
      <c r="AC82" s="141">
        <f>VLOOKUP(B82,'2024 by account '!$A$2:$M$102,8,0)/1000</f>
        <v>1201.74448</v>
      </c>
      <c r="AD82" s="141">
        <f t="shared" si="49"/>
        <v>33.6652336757534</v>
      </c>
      <c r="AE82" s="142">
        <f t="shared" si="50"/>
        <v>0.976454844555888</v>
      </c>
      <c r="AF82" s="144"/>
      <c r="AG82" s="141">
        <f>VLOOKUP(B82,'2024 by account '!$A$2:$M$102,9,0)/1000</f>
        <v>722.92246</v>
      </c>
      <c r="AH82" s="141">
        <f t="shared" si="51"/>
        <v>19.4806347649408</v>
      </c>
      <c r="AI82" s="142">
        <f t="shared" si="52"/>
        <v>0.761616809951552</v>
      </c>
      <c r="AJ82" s="144"/>
      <c r="AK82" s="141">
        <f>VLOOKUP(B82,'2024 by account '!$A$2:$M$102,10,0)/1000</f>
        <v>588.66436</v>
      </c>
      <c r="AL82" s="141">
        <f t="shared" si="53"/>
        <v>15.563322285035</v>
      </c>
      <c r="AM82" s="142">
        <f t="shared" si="54"/>
        <v>0.388074064558025</v>
      </c>
      <c r="AN82" s="144"/>
      <c r="AO82" s="141">
        <f>VLOOKUP(B82,'2024 by account '!$A$2:$M$102,11,0)/1000</f>
        <v>959.44742</v>
      </c>
      <c r="AP82" s="141">
        <f t="shared" si="55"/>
        <v>25.6898677176087</v>
      </c>
      <c r="AQ82" s="142">
        <f t="shared" si="56"/>
        <v>0.623737288892336</v>
      </c>
      <c r="AR82" s="144"/>
      <c r="AS82" s="141">
        <f>VLOOKUP(B82,'2024 by account '!$A$2:$M$102,12,0)/1000</f>
        <v>705.99578</v>
      </c>
      <c r="AT82" s="141">
        <f t="shared" si="57"/>
        <v>19.2770195256077</v>
      </c>
      <c r="AU82" s="142">
        <f t="shared" si="58"/>
        <v>0.447158884843603</v>
      </c>
      <c r="AV82" s="144"/>
      <c r="AW82" s="143">
        <f>VLOOKUP(B82,'2024 by account '!$A$2:$M$102,13,0)/1000</f>
        <v>575.15793</v>
      </c>
      <c r="AX82" s="141">
        <f t="shared" si="59"/>
        <v>15.6894743532529</v>
      </c>
      <c r="AY82" s="142">
        <f t="shared" si="60"/>
        <v>0.599911075335635</v>
      </c>
      <c r="AZ82" s="121"/>
      <c r="BA82" s="143">
        <f t="shared" si="35"/>
        <v>9561.5671</v>
      </c>
      <c r="BB82" s="141">
        <f t="shared" si="36"/>
        <v>269.001635469486</v>
      </c>
      <c r="BC82" s="142">
        <f t="shared" si="61"/>
        <v>0.734463423041494</v>
      </c>
    </row>
    <row r="83" outlineLevel="2" spans="1:55">
      <c r="A83" s="140">
        <v>6666021603</v>
      </c>
      <c r="B83" s="140">
        <v>6666021603</v>
      </c>
      <c r="C83" s="140" t="s">
        <v>125</v>
      </c>
      <c r="D83" s="140" t="s">
        <v>124</v>
      </c>
      <c r="E83" s="141">
        <f>VLOOKUP(B83,'2024 by account '!$A$2:$M$102,2,0)/1000</f>
        <v>0</v>
      </c>
      <c r="F83" s="141">
        <f t="shared" si="37"/>
        <v>0</v>
      </c>
      <c r="G83" s="142">
        <f t="shared" si="38"/>
        <v>0</v>
      </c>
      <c r="H83" s="121"/>
      <c r="I83" s="143">
        <f>VLOOKUP(B83,'2024 by account '!$A$2:$M$102,3,0)/1000</f>
        <v>27.54776</v>
      </c>
      <c r="J83" s="141">
        <f t="shared" si="64"/>
        <v>0.828145404696913</v>
      </c>
      <c r="K83" s="142">
        <f t="shared" si="40"/>
        <v>0.0419271671069721</v>
      </c>
      <c r="L83" s="144"/>
      <c r="M83" s="141">
        <f>VLOOKUP(B83,'2024 by account '!$A$2:$M$102,4,0)/1000</f>
        <v>16.34699</v>
      </c>
      <c r="N83" s="141">
        <f t="shared" si="65"/>
        <v>0.469432183993866</v>
      </c>
      <c r="O83" s="142">
        <f t="shared" si="42"/>
        <v>0.0234282669059174</v>
      </c>
      <c r="P83" s="144"/>
      <c r="Q83" s="141">
        <f>VLOOKUP(B83,'2024 by account '!$A$2:$M$102,5,0)/1000</f>
        <v>25.90959</v>
      </c>
      <c r="R83" s="141">
        <f t="shared" si="43"/>
        <v>0.746833330450874</v>
      </c>
      <c r="S83" s="142">
        <f t="shared" si="44"/>
        <v>0.0266317202314615</v>
      </c>
      <c r="T83" s="144"/>
      <c r="U83" s="141">
        <f>VLOOKUP(B83,'2024 by account '!$A$2:$M$102,6,0)/1000</f>
        <v>23.92817</v>
      </c>
      <c r="V83" s="141">
        <f t="shared" si="45"/>
        <v>0.686397785459187</v>
      </c>
      <c r="W83" s="142">
        <f t="shared" si="46"/>
        <v>0.0168259495381475</v>
      </c>
      <c r="X83" s="144"/>
      <c r="Y83" s="141">
        <f>VLOOKUP(B83,'2024 by account '!$A$2:$M$102,7,0)/1000</f>
        <v>56.29187</v>
      </c>
      <c r="Z83" s="141">
        <f t="shared" si="47"/>
        <v>1.60527993794683</v>
      </c>
      <c r="AA83" s="142">
        <f t="shared" si="48"/>
        <v>0.0518233451041719</v>
      </c>
      <c r="AB83" s="144"/>
      <c r="AC83" s="141">
        <f>VLOOKUP(B83,'2024 by account '!$A$2:$M$102,8,0)/1000</f>
        <v>36.85327</v>
      </c>
      <c r="AD83" s="141">
        <f t="shared" si="49"/>
        <v>1.03239412946222</v>
      </c>
      <c r="AE83" s="142">
        <f t="shared" si="50"/>
        <v>0.0299444304742936</v>
      </c>
      <c r="AF83" s="144"/>
      <c r="AG83" s="141">
        <f>VLOOKUP(B83,'2024 by account '!$A$2:$M$102,9,0)/1000</f>
        <v>25.93232</v>
      </c>
      <c r="AH83" s="141">
        <f t="shared" si="51"/>
        <v>0.698799777956227</v>
      </c>
      <c r="AI83" s="142">
        <f t="shared" si="52"/>
        <v>0.0273203447476827</v>
      </c>
      <c r="AJ83" s="144"/>
      <c r="AK83" s="141">
        <f>VLOOKUP(B83,'2024 by account '!$A$2:$M$102,10,0)/1000</f>
        <v>24.55777</v>
      </c>
      <c r="AL83" s="141">
        <f t="shared" si="53"/>
        <v>0.649267248167979</v>
      </c>
      <c r="AM83" s="142">
        <f t="shared" si="54"/>
        <v>0.0161895882746853</v>
      </c>
      <c r="AN83" s="144"/>
      <c r="AO83" s="141">
        <f>VLOOKUP(B83,'2024 by account '!$A$2:$M$102,11,0)/1000</f>
        <v>32.5756</v>
      </c>
      <c r="AP83" s="141">
        <f t="shared" si="55"/>
        <v>0.872234202080331</v>
      </c>
      <c r="AQ83" s="142">
        <f t="shared" si="56"/>
        <v>0.0211774152543359</v>
      </c>
      <c r="AR83" s="144"/>
      <c r="AS83" s="141">
        <f>VLOOKUP(B83,'2024 by account '!$A$2:$M$102,12,0)/1000</f>
        <v>47.24927</v>
      </c>
      <c r="AT83" s="141">
        <f t="shared" si="57"/>
        <v>1.29012825028602</v>
      </c>
      <c r="AU83" s="142">
        <f t="shared" si="58"/>
        <v>0.0299264265897939</v>
      </c>
      <c r="AV83" s="144"/>
      <c r="AW83" s="143">
        <f>VLOOKUP(B83,'2024 by account '!$A$2:$M$102,13,0)/1000</f>
        <v>37.94062</v>
      </c>
      <c r="AX83" s="141">
        <f t="shared" si="59"/>
        <v>1.03496509982313</v>
      </c>
      <c r="AY83" s="142">
        <f t="shared" si="60"/>
        <v>0.0395734753115561</v>
      </c>
      <c r="AZ83" s="121"/>
      <c r="BA83" s="143">
        <f t="shared" si="35"/>
        <v>355.13323</v>
      </c>
      <c r="BB83" s="141">
        <f t="shared" si="36"/>
        <v>9.91387735032357</v>
      </c>
      <c r="BC83" s="142">
        <f t="shared" si="61"/>
        <v>0.0270681636623661</v>
      </c>
    </row>
    <row r="84" outlineLevel="2" spans="1:55">
      <c r="A84" s="140">
        <v>6666021604</v>
      </c>
      <c r="B84" s="140">
        <v>6666021604</v>
      </c>
      <c r="C84" s="159" t="s">
        <v>126</v>
      </c>
      <c r="D84" s="140" t="s">
        <v>124</v>
      </c>
      <c r="E84" s="141">
        <f>VLOOKUP(B84,'2024 by account '!$A$2:$M$102,2,0)/1000-E80</f>
        <v>26.42136</v>
      </c>
      <c r="F84" s="141">
        <f t="shared" si="37"/>
        <v>0.805124251519815</v>
      </c>
      <c r="G84" s="142">
        <f t="shared" si="38"/>
        <v>0.0501791368974643</v>
      </c>
      <c r="H84" s="121"/>
      <c r="I84" s="143">
        <f>VLOOKUP(B84,'2024 by account '!$A$2:$M$102,3,0)/1000-I80</f>
        <v>-38.32407</v>
      </c>
      <c r="J84" s="141">
        <f t="shared" si="64"/>
        <v>-1.15210465242121</v>
      </c>
      <c r="K84" s="142">
        <f t="shared" si="40"/>
        <v>-0.0583285060966589</v>
      </c>
      <c r="L84" s="144"/>
      <c r="M84" s="141">
        <f>VLOOKUP(B84,'2024 by account '!$A$2:$M$102,4,0)/1000-M80</f>
        <v>91.09959</v>
      </c>
      <c r="N84" s="141">
        <f t="shared" si="65"/>
        <v>2.61608280757777</v>
      </c>
      <c r="O84" s="142">
        <f t="shared" si="42"/>
        <v>0.130562599569685</v>
      </c>
      <c r="P84" s="144"/>
      <c r="Q84" s="141">
        <f>VLOOKUP(B84,'2024 by account '!$A$2:$M$102,5,0)/1000+135</f>
        <v>81.10285</v>
      </c>
      <c r="R84" s="141">
        <f t="shared" si="43"/>
        <v>2.33775646679695</v>
      </c>
      <c r="S84" s="142">
        <f t="shared" si="44"/>
        <v>0.0833632802052902</v>
      </c>
      <c r="T84" s="144"/>
      <c r="U84" s="141">
        <f>VLOOKUP(B84,'2024 by account '!$A$2:$M$102,6,0)/1000+24</f>
        <v>59.31022</v>
      </c>
      <c r="V84" s="141">
        <f t="shared" si="45"/>
        <v>1.70135884453751</v>
      </c>
      <c r="W84" s="142">
        <f t="shared" si="46"/>
        <v>0.0417061049305661</v>
      </c>
      <c r="X84" s="144"/>
      <c r="Y84" s="141">
        <f>VLOOKUP(B84,'2024 by account '!$A$2:$M$102,7,0)/1000-Y80</f>
        <v>55.99665</v>
      </c>
      <c r="Z84" s="141">
        <f t="shared" si="47"/>
        <v>1.59686112465673</v>
      </c>
      <c r="AA84" s="142">
        <f t="shared" si="48"/>
        <v>0.0515515600676887</v>
      </c>
      <c r="AB84" s="144"/>
      <c r="AC84" s="141">
        <f>VLOOKUP(B84,'2024 by account '!$A$2:$M$102,8,0)/1000-AC80</f>
        <v>48.08421</v>
      </c>
      <c r="AD84" s="141">
        <f t="shared" si="49"/>
        <v>1.34701360622351</v>
      </c>
      <c r="AE84" s="142">
        <f t="shared" si="50"/>
        <v>0.0390699192569977</v>
      </c>
      <c r="AF84" s="144"/>
      <c r="AG84" s="141">
        <f>VLOOKUP(B84,'2024 by account '!$A$2:$M$102,9,0)/1000-AG80</f>
        <v>28.41289</v>
      </c>
      <c r="AH84" s="141">
        <f t="shared" si="51"/>
        <v>0.765643846099952</v>
      </c>
      <c r="AI84" s="142">
        <f t="shared" si="52"/>
        <v>0.0299336870005455</v>
      </c>
      <c r="AJ84" s="144"/>
      <c r="AK84" s="141">
        <f>VLOOKUP(B84,'2024 by account '!$A$2:$M$102,10,0)/1000-AK80</f>
        <v>236.50493</v>
      </c>
      <c r="AL84" s="141">
        <f t="shared" si="53"/>
        <v>6.2528032911482</v>
      </c>
      <c r="AM84" s="142">
        <f t="shared" si="54"/>
        <v>0.15591470404818</v>
      </c>
      <c r="AN84" s="144"/>
      <c r="AO84" s="141">
        <f>VLOOKUP(B84,'2024 by account '!$A$2:$M$102,11,0)/1000-AO80</f>
        <v>68.11088</v>
      </c>
      <c r="AP84" s="141">
        <f t="shared" si="55"/>
        <v>1.82371588151221</v>
      </c>
      <c r="AQ84" s="142">
        <f t="shared" si="56"/>
        <v>0.0442789200843036</v>
      </c>
      <c r="AR84" s="144"/>
      <c r="AS84" s="141">
        <f>VLOOKUP(B84,'2024 by account '!$A$2:$M$102,12,0)/1000-AS80</f>
        <v>47.66506</v>
      </c>
      <c r="AT84" s="141">
        <f t="shared" si="57"/>
        <v>1.30148128124684</v>
      </c>
      <c r="AU84" s="142">
        <f t="shared" si="58"/>
        <v>0.0301897768788412</v>
      </c>
      <c r="AV84" s="144"/>
      <c r="AW84" s="143">
        <f>VLOOKUP(B84,'2024 by account '!$A$2:$M$102,13,0)/1000-AW80</f>
        <v>39.76774</v>
      </c>
      <c r="AX84" s="141">
        <f t="shared" si="59"/>
        <v>1.08480628410501</v>
      </c>
      <c r="AY84" s="142">
        <f t="shared" si="60"/>
        <v>0.0414792293084926</v>
      </c>
      <c r="AZ84" s="121"/>
      <c r="BA84" s="143">
        <f t="shared" si="35"/>
        <v>744.15231</v>
      </c>
      <c r="BB84" s="141">
        <f t="shared" si="36"/>
        <v>20.4805430330033</v>
      </c>
      <c r="BC84" s="142">
        <f t="shared" si="61"/>
        <v>0.0559186553476347</v>
      </c>
    </row>
    <row r="85" s="120" customFormat="1" spans="1:55">
      <c r="B85" s="148" t="s">
        <v>52</v>
      </c>
      <c r="C85" s="149" t="s">
        <v>124</v>
      </c>
      <c r="D85" s="150"/>
      <c r="E85" s="151">
        <f>SUM(E82:E84)</f>
        <v>500.8106</v>
      </c>
      <c r="F85" s="151">
        <f t="shared" si="37"/>
        <v>15.2609388569774</v>
      </c>
      <c r="G85" s="152">
        <f t="shared" si="38"/>
        <v>0.951133615268148</v>
      </c>
      <c r="H85" s="121"/>
      <c r="I85" s="151">
        <f>SUM(I82:I84)</f>
        <v>556.47875</v>
      </c>
      <c r="J85" s="151">
        <f>SUM(J82:J84)</f>
        <v>16.7289579851132</v>
      </c>
      <c r="K85" s="152">
        <f t="shared" si="40"/>
        <v>0.84695008025077</v>
      </c>
      <c r="L85" s="153"/>
      <c r="M85" s="154">
        <f>SUM(M82:M84)</f>
        <v>1006.46132</v>
      </c>
      <c r="N85" s="151">
        <f>SUM(N82:N84)</f>
        <v>28.9022832676199</v>
      </c>
      <c r="O85" s="152">
        <f t="shared" si="42"/>
        <v>1.44244563894894</v>
      </c>
      <c r="P85" s="153"/>
      <c r="Q85" s="151">
        <f>SUM(Q82:Q84)</f>
        <v>1464.52554</v>
      </c>
      <c r="R85" s="151">
        <f t="shared" si="43"/>
        <v>42.2143494578094</v>
      </c>
      <c r="S85" s="152">
        <f t="shared" si="44"/>
        <v>1.50534356016865</v>
      </c>
      <c r="T85" s="153"/>
      <c r="U85" s="151">
        <f>SUM(U82:U84)</f>
        <v>885.6806</v>
      </c>
      <c r="V85" s="151">
        <f t="shared" si="45"/>
        <v>25.406422742072</v>
      </c>
      <c r="W85" s="152">
        <f t="shared" si="46"/>
        <v>0.622798027701916</v>
      </c>
      <c r="X85" s="153"/>
      <c r="Y85" s="151">
        <f>SUM(Y82:Y84)</f>
        <v>819.30884</v>
      </c>
      <c r="Z85" s="151">
        <f t="shared" si="47"/>
        <v>23.3642983229103</v>
      </c>
      <c r="AA85" s="152">
        <f t="shared" si="48"/>
        <v>0.754270994412137</v>
      </c>
      <c r="AB85" s="153"/>
      <c r="AC85" s="151">
        <f>SUM(AC82:AC84)</f>
        <v>1286.68196</v>
      </c>
      <c r="AD85" s="151">
        <f t="shared" si="49"/>
        <v>36.0446414114391</v>
      </c>
      <c r="AE85" s="152">
        <f t="shared" si="50"/>
        <v>1.04546919428718</v>
      </c>
      <c r="AF85" s="153"/>
      <c r="AG85" s="151">
        <f>SUM(AG82:AG84)</f>
        <v>777.26767</v>
      </c>
      <c r="AH85" s="151">
        <f t="shared" si="51"/>
        <v>20.945078388997</v>
      </c>
      <c r="AI85" s="152">
        <f t="shared" si="52"/>
        <v>0.81887084169978</v>
      </c>
      <c r="AJ85" s="153"/>
      <c r="AK85" s="151">
        <f>SUM(AK82:AK84)</f>
        <v>849.72706</v>
      </c>
      <c r="AL85" s="151">
        <f t="shared" si="53"/>
        <v>22.4653928243512</v>
      </c>
      <c r="AM85" s="152">
        <f t="shared" si="54"/>
        <v>0.560178356880889</v>
      </c>
      <c r="AN85" s="153"/>
      <c r="AO85" s="151">
        <f>SUM(AO82:AO84)</f>
        <v>1060.1339</v>
      </c>
      <c r="AP85" s="151">
        <f t="shared" si="55"/>
        <v>28.3858178012012</v>
      </c>
      <c r="AQ85" s="152">
        <f t="shared" si="56"/>
        <v>0.689193624230976</v>
      </c>
      <c r="AR85" s="153"/>
      <c r="AS85" s="151">
        <f>SUM(AS82:AS84)</f>
        <v>800.91011</v>
      </c>
      <c r="AT85" s="151">
        <f t="shared" si="57"/>
        <v>21.8686290571406</v>
      </c>
      <c r="AU85" s="152">
        <f t="shared" si="58"/>
        <v>0.507275088312238</v>
      </c>
      <c r="AV85" s="153"/>
      <c r="AW85" s="151">
        <f>SUM(AW82:AW84)</f>
        <v>652.86629</v>
      </c>
      <c r="AX85" s="151">
        <f t="shared" si="59"/>
        <v>17.809245737181</v>
      </c>
      <c r="AY85" s="152">
        <f t="shared" si="60"/>
        <v>0.680963779955684</v>
      </c>
      <c r="AZ85" s="155"/>
      <c r="BA85" s="151">
        <f t="shared" si="35"/>
        <v>10660.85264</v>
      </c>
      <c r="BB85" s="151">
        <f t="shared" si="36"/>
        <v>299.396055852812</v>
      </c>
      <c r="BC85" s="152">
        <f t="shared" si="61"/>
        <v>0.817450242051495</v>
      </c>
    </row>
    <row r="86" outlineLevel="1" spans="1:55">
      <c r="A86" s="140">
        <v>5001010206</v>
      </c>
      <c r="B86" s="140">
        <v>5001010206</v>
      </c>
      <c r="C86" s="140" t="s">
        <v>127</v>
      </c>
      <c r="D86" s="140" t="s">
        <v>128</v>
      </c>
      <c r="E86" s="141">
        <f>VLOOKUP(B86,'2024 by account '!$A$2:$M$102,2,0)/1000</f>
        <v>94.11295</v>
      </c>
      <c r="F86" s="141">
        <f t="shared" si="37"/>
        <v>2.86785458534579</v>
      </c>
      <c r="G86" s="142">
        <f t="shared" si="38"/>
        <v>0.178738210367453</v>
      </c>
      <c r="H86" s="121"/>
      <c r="I86" s="143">
        <f>VLOOKUP(B86,'2024 by account '!$A$2:$M$102,3,0)/1000</f>
        <v>182.98146</v>
      </c>
      <c r="J86" s="141">
        <f t="shared" ref="J86:J92" si="66">I86/$J$2</f>
        <v>5.50081949471507</v>
      </c>
      <c r="K86" s="142">
        <f t="shared" si="40"/>
        <v>0.278494304106676</v>
      </c>
      <c r="L86" s="144"/>
      <c r="M86" s="141">
        <f>VLOOKUP(B86,'2024 by account '!$A$2:$M$102,4,0)/1000</f>
        <v>98.2877</v>
      </c>
      <c r="N86" s="141">
        <f t="shared" ref="N86:N92" si="67">M86/$N$2</f>
        <v>2.82250185940861</v>
      </c>
      <c r="O86" s="142">
        <f t="shared" si="42"/>
        <v>0.140864493657165</v>
      </c>
      <c r="P86" s="144"/>
      <c r="Q86" s="141">
        <f>VLOOKUP(B86,'2024 by account '!$A$2:$M$102,5,0)/1000</f>
        <v>112.04188</v>
      </c>
      <c r="R86" s="141">
        <f t="shared" si="43"/>
        <v>3.22956134737667</v>
      </c>
      <c r="S86" s="142">
        <f t="shared" si="44"/>
        <v>0.11516461674488</v>
      </c>
      <c r="T86" s="144"/>
      <c r="U86" s="141">
        <f>VLOOKUP(B86,'2024 by account '!$A$2:$M$102,6,0)/1000</f>
        <v>108.32629</v>
      </c>
      <c r="V86" s="141">
        <f t="shared" si="45"/>
        <v>3.10742215401386</v>
      </c>
      <c r="W86" s="142">
        <f t="shared" si="46"/>
        <v>0.0761735096831361</v>
      </c>
      <c r="X86" s="144"/>
      <c r="Y86" s="141">
        <f>VLOOKUP(B86,'2024 by account '!$A$2:$M$102,7,0)/1000</f>
        <v>120.49791</v>
      </c>
      <c r="Z86" s="141">
        <f t="shared" si="47"/>
        <v>3.43624891991548</v>
      </c>
      <c r="AA86" s="142">
        <f t="shared" si="48"/>
        <v>0.110932622672891</v>
      </c>
      <c r="AB86" s="144"/>
      <c r="AC86" s="141">
        <f>VLOOKUP(B86,'2024 by account '!$A$2:$M$102,8,0)/1000</f>
        <v>67.92366</v>
      </c>
      <c r="AD86" s="141">
        <f t="shared" si="49"/>
        <v>1.90278875756718</v>
      </c>
      <c r="AE86" s="142">
        <f t="shared" si="50"/>
        <v>0.0551900907145977</v>
      </c>
      <c r="AF86" s="144"/>
      <c r="AG86" s="141">
        <f>VLOOKUP(B86,'2024 by account '!$A$2:$M$102,9,0)/1000</f>
        <v>103.01592</v>
      </c>
      <c r="AH86" s="141">
        <f t="shared" si="51"/>
        <v>2.77597615724148</v>
      </c>
      <c r="AI86" s="142">
        <f t="shared" si="52"/>
        <v>0.108529836470462</v>
      </c>
      <c r="AJ86" s="144"/>
      <c r="AK86" s="141">
        <f>VLOOKUP(B86,'2024 by account '!$A$2:$M$102,10,0)/1000</f>
        <v>120.81531</v>
      </c>
      <c r="AL86" s="141">
        <f t="shared" si="53"/>
        <v>3.19415907308608</v>
      </c>
      <c r="AM86" s="142">
        <f t="shared" si="54"/>
        <v>0.0796468949004111</v>
      </c>
      <c r="AN86" s="144"/>
      <c r="AO86" s="141">
        <f>VLOOKUP(B86,'2024 by account '!$A$2:$M$102,11,0)/1000</f>
        <v>121.89155</v>
      </c>
      <c r="AP86" s="141">
        <f t="shared" si="55"/>
        <v>3.26373048706961</v>
      </c>
      <c r="AQ86" s="142">
        <f t="shared" si="56"/>
        <v>0.0792417628637583</v>
      </c>
      <c r="AR86" s="144"/>
      <c r="AS86" s="141">
        <f>VLOOKUP(B86,'2024 by account '!$A$2:$M$102,12,0)/1000</f>
        <v>110.0453</v>
      </c>
      <c r="AT86" s="141">
        <f t="shared" si="57"/>
        <v>3.00475648282396</v>
      </c>
      <c r="AU86" s="142">
        <f t="shared" si="58"/>
        <v>0.0696997560385981</v>
      </c>
      <c r="AV86" s="144"/>
      <c r="AW86" s="143">
        <f>VLOOKUP(B86,'2024 by account '!$A$2:$M$102,13,0)/1000</f>
        <v>113.42607</v>
      </c>
      <c r="AX86" s="141">
        <f t="shared" si="59"/>
        <v>3.0940987221636</v>
      </c>
      <c r="AY86" s="142">
        <f t="shared" si="60"/>
        <v>0.118307602269858</v>
      </c>
      <c r="AZ86" s="121"/>
      <c r="BA86" s="143">
        <f t="shared" si="35"/>
        <v>1353.366</v>
      </c>
      <c r="BB86" s="141">
        <f t="shared" si="36"/>
        <v>38.1999180407274</v>
      </c>
      <c r="BC86" s="142">
        <f t="shared" si="61"/>
        <v>0.104298408874469</v>
      </c>
    </row>
    <row r="87" outlineLevel="1" spans="1:55">
      <c r="A87" s="140">
        <v>6666010184</v>
      </c>
      <c r="B87" s="140">
        <v>6666010184</v>
      </c>
      <c r="C87" s="140" t="s">
        <v>129</v>
      </c>
      <c r="D87" s="140" t="s">
        <v>128</v>
      </c>
      <c r="E87" s="141">
        <f>VLOOKUP(B87,'2024 by account '!$A$2:$M$102,2,0)/1000</f>
        <v>-2.1069</v>
      </c>
      <c r="F87" s="141">
        <f t="shared" si="37"/>
        <v>-0.0642024591287919</v>
      </c>
      <c r="G87" s="142">
        <f t="shared" si="38"/>
        <v>-0.00400139975872807</v>
      </c>
      <c r="H87" s="121"/>
      <c r="I87" s="143">
        <f>VLOOKUP(B87,'2024 by account '!$A$2:$M$102,3,0)/1000</f>
        <v>-2.72759</v>
      </c>
      <c r="J87" s="141">
        <f t="shared" si="66"/>
        <v>-0.0819972703550943</v>
      </c>
      <c r="K87" s="142">
        <f t="shared" si="40"/>
        <v>-0.0041513401354341</v>
      </c>
      <c r="L87" s="144"/>
      <c r="M87" s="141">
        <f>VLOOKUP(B87,'2024 by account '!$A$2:$M$102,4,0)/1000</f>
        <v>-3.40031</v>
      </c>
      <c r="N87" s="141">
        <f t="shared" si="67"/>
        <v>-0.0976458020440572</v>
      </c>
      <c r="O87" s="142">
        <f t="shared" si="42"/>
        <v>-0.00487327454429591</v>
      </c>
      <c r="P87" s="144"/>
      <c r="Q87" s="141">
        <f>VLOOKUP(B87,'2024 by account '!$A$2:$M$102,5,0)/1000</f>
        <v>-13.97406</v>
      </c>
      <c r="R87" s="141">
        <f t="shared" si="43"/>
        <v>-0.402796561802805</v>
      </c>
      <c r="S87" s="142">
        <f t="shared" si="44"/>
        <v>-0.0143635332098137</v>
      </c>
      <c r="T87" s="144"/>
      <c r="U87" s="141">
        <f>VLOOKUP(B87,'2024 by account '!$A$2:$M$102,6,0)/1000</f>
        <v>-18.0012</v>
      </c>
      <c r="V87" s="141">
        <f t="shared" si="45"/>
        <v>-0.516378135712339</v>
      </c>
      <c r="W87" s="142">
        <f t="shared" si="46"/>
        <v>-0.0126581883539819</v>
      </c>
      <c r="X87" s="144"/>
      <c r="Y87" s="141">
        <f>VLOOKUP(B87,'2024 by account '!$A$2:$M$102,7,0)/1000</f>
        <v>-17.45709</v>
      </c>
      <c r="Z87" s="141">
        <f t="shared" si="47"/>
        <v>-0.49782528723832</v>
      </c>
      <c r="AA87" s="142">
        <f t="shared" si="48"/>
        <v>-0.0160713225477247</v>
      </c>
      <c r="AB87" s="144"/>
      <c r="AC87" s="141">
        <f>VLOOKUP(B87,'2024 by account '!$A$2:$M$102,8,0)/1000</f>
        <v>-15.69387</v>
      </c>
      <c r="AD87" s="141">
        <f t="shared" si="49"/>
        <v>-0.439642377909566</v>
      </c>
      <c r="AE87" s="142">
        <f t="shared" si="50"/>
        <v>-0.0127517585030474</v>
      </c>
      <c r="AF87" s="144"/>
      <c r="AG87" s="141">
        <f>VLOOKUP(B87,'2024 by account '!$A$2:$M$102,9,0)/1000</f>
        <v>-14.94668</v>
      </c>
      <c r="AH87" s="141">
        <f t="shared" si="51"/>
        <v>-0.402769079865696</v>
      </c>
      <c r="AI87" s="142">
        <f t="shared" si="52"/>
        <v>-0.0157466995021384</v>
      </c>
      <c r="AJ87" s="144"/>
      <c r="AK87" s="141">
        <f>VLOOKUP(B87,'2024 by account '!$A$2:$M$102,10,0)/1000</f>
        <v>-8.65651</v>
      </c>
      <c r="AL87" s="141">
        <f t="shared" si="53"/>
        <v>-0.228863957372294</v>
      </c>
      <c r="AM87" s="142">
        <f t="shared" si="54"/>
        <v>-0.0057067613547849</v>
      </c>
      <c r="AN87" s="144"/>
      <c r="AO87" s="141">
        <f>VLOOKUP(B87,'2024 by account '!$A$2:$M$102,11,0)/1000</f>
        <v>-6.72029</v>
      </c>
      <c r="AP87" s="141">
        <f t="shared" si="55"/>
        <v>-0.179940408953279</v>
      </c>
      <c r="AQ87" s="142">
        <f t="shared" si="56"/>
        <v>-0.00436886417931092</v>
      </c>
      <c r="AR87" s="144"/>
      <c r="AS87" s="141">
        <f>VLOOKUP(B87,'2024 by account '!$A$2:$M$102,12,0)/1000</f>
        <v>-6.5853</v>
      </c>
      <c r="AT87" s="141">
        <f t="shared" si="57"/>
        <v>-0.179809795296488</v>
      </c>
      <c r="AU87" s="142">
        <f t="shared" si="58"/>
        <v>-0.0041709532659821</v>
      </c>
      <c r="AV87" s="144"/>
      <c r="AW87" s="143">
        <f>VLOOKUP(B87,'2024 by account '!$A$2:$M$102,13,0)/1000</f>
        <v>-6.68628</v>
      </c>
      <c r="AX87" s="141">
        <f t="shared" si="59"/>
        <v>-0.182392023315522</v>
      </c>
      <c r="AY87" s="142">
        <f t="shared" si="60"/>
        <v>-0.00697403828683219</v>
      </c>
      <c r="AZ87" s="121"/>
      <c r="BA87" s="143">
        <f t="shared" si="35"/>
        <v>-116.95608</v>
      </c>
      <c r="BB87" s="141">
        <f t="shared" si="36"/>
        <v>-3.27426315899425</v>
      </c>
      <c r="BC87" s="142">
        <f t="shared" si="61"/>
        <v>-0.0089398212151999</v>
      </c>
    </row>
    <row r="88" outlineLevel="1" spans="1:55">
      <c r="A88" s="140">
        <v>6666010186</v>
      </c>
      <c r="B88" s="140">
        <v>6666010186</v>
      </c>
      <c r="C88" s="140" t="s">
        <v>130</v>
      </c>
      <c r="D88" s="140" t="s">
        <v>128</v>
      </c>
      <c r="E88" s="141">
        <f>VLOOKUP(B88,'2024 by account '!$A$2:$M$102,2,0)/1000</f>
        <v>37.82579</v>
      </c>
      <c r="F88" s="141">
        <f t="shared" si="37"/>
        <v>1.15264546798105</v>
      </c>
      <c r="G88" s="142">
        <f t="shared" si="38"/>
        <v>0.0718382965397972</v>
      </c>
      <c r="H88" s="121"/>
      <c r="I88" s="143">
        <f>VLOOKUP(B88,'2024 by account '!$A$2:$M$102,3,0)/1000</f>
        <v>409.59822</v>
      </c>
      <c r="J88" s="141">
        <f t="shared" si="66"/>
        <v>12.3134107333967</v>
      </c>
      <c r="K88" s="142">
        <f t="shared" si="40"/>
        <v>0.623400705417004</v>
      </c>
      <c r="L88" s="144"/>
      <c r="M88" s="141">
        <f>VLOOKUP(B88,'2024 by account '!$A$2:$M$102,4,0)/1000</f>
        <v>311.50497</v>
      </c>
      <c r="N88" s="141">
        <f t="shared" si="67"/>
        <v>8.94540575311074</v>
      </c>
      <c r="O88" s="142">
        <f t="shared" si="42"/>
        <v>0.446444365579215</v>
      </c>
      <c r="P88" s="144"/>
      <c r="Q88" s="141">
        <f>VLOOKUP(B88,'2024 by account '!$A$2:$M$102,5,0)/1000</f>
        <v>808.5044</v>
      </c>
      <c r="R88" s="141">
        <f t="shared" si="43"/>
        <v>23.3048085182431</v>
      </c>
      <c r="S88" s="142">
        <f t="shared" si="44"/>
        <v>0.831038352467392</v>
      </c>
      <c r="T88" s="144"/>
      <c r="U88" s="141">
        <f>VLOOKUP(B88,'2024 by account '!$A$2:$M$102,6,0)/1000</f>
        <v>449.29344</v>
      </c>
      <c r="V88" s="141">
        <f t="shared" si="45"/>
        <v>12.8883246080808</v>
      </c>
      <c r="W88" s="142">
        <f t="shared" si="46"/>
        <v>0.315936770311339</v>
      </c>
      <c r="X88" s="144"/>
      <c r="Y88" s="141">
        <f>VLOOKUP(B88,'2024 by account '!$A$2:$M$102,7,0)/1000</f>
        <v>241.68262</v>
      </c>
      <c r="Z88" s="141">
        <f t="shared" si="47"/>
        <v>6.89208337254432</v>
      </c>
      <c r="AA88" s="142">
        <f t="shared" si="48"/>
        <v>0.222497526231415</v>
      </c>
      <c r="AB88" s="144"/>
      <c r="AC88" s="141">
        <f>VLOOKUP(B88,'2024 by account '!$A$2:$M$102,8,0)/1000</f>
        <v>464.88431</v>
      </c>
      <c r="AD88" s="141">
        <f t="shared" si="49"/>
        <v>13.0231003252383</v>
      </c>
      <c r="AE88" s="142">
        <f t="shared" si="50"/>
        <v>0.377732990841382</v>
      </c>
      <c r="AF88" s="144"/>
      <c r="AG88" s="141">
        <f>VLOOKUP(B88,'2024 by account '!$A$2:$M$102,9,0)/1000</f>
        <v>342.55414</v>
      </c>
      <c r="AH88" s="141">
        <f t="shared" si="51"/>
        <v>9.23082689747722</v>
      </c>
      <c r="AI88" s="142">
        <f t="shared" si="52"/>
        <v>0.360889314937728</v>
      </c>
      <c r="AJ88" s="144"/>
      <c r="AK88" s="141">
        <f>VLOOKUP(B88,'2024 by account '!$A$2:$M$102,10,0)/1000</f>
        <v>289.23944</v>
      </c>
      <c r="AL88" s="141">
        <f t="shared" si="53"/>
        <v>7.64701743156839</v>
      </c>
      <c r="AM88" s="142">
        <f t="shared" si="54"/>
        <v>0.190679668650718</v>
      </c>
      <c r="AN88" s="144"/>
      <c r="AO88" s="141">
        <f>VLOOKUP(B88,'2024 by account '!$A$2:$M$102,11,0)/1000</f>
        <v>523.13188</v>
      </c>
      <c r="AP88" s="141">
        <f t="shared" si="55"/>
        <v>14.0072176087189</v>
      </c>
      <c r="AQ88" s="142">
        <f t="shared" si="56"/>
        <v>0.340088319341513</v>
      </c>
      <c r="AR88" s="144"/>
      <c r="AS88" s="141">
        <f>VLOOKUP(B88,'2024 by account '!$A$2:$M$102,12,0)/1000</f>
        <v>462.57099</v>
      </c>
      <c r="AT88" s="141">
        <f t="shared" si="57"/>
        <v>12.6303729552175</v>
      </c>
      <c r="AU88" s="142">
        <f t="shared" si="58"/>
        <v>0.29298011958287</v>
      </c>
      <c r="AV88" s="144"/>
      <c r="AW88" s="143">
        <f>VLOOKUP(B88,'2024 by account '!$A$2:$M$102,13,0)/1000</f>
        <v>398.76197</v>
      </c>
      <c r="AX88" s="141">
        <f t="shared" si="59"/>
        <v>10.8776483380271</v>
      </c>
      <c r="AY88" s="142">
        <f t="shared" si="60"/>
        <v>0.415923539862619</v>
      </c>
      <c r="AZ88" s="121"/>
      <c r="BA88" s="143">
        <f t="shared" si="35"/>
        <v>4739.55217</v>
      </c>
      <c r="BB88" s="141">
        <f t="shared" si="36"/>
        <v>132.912862009604</v>
      </c>
      <c r="BC88" s="142">
        <f t="shared" si="61"/>
        <v>0.362896067257885</v>
      </c>
    </row>
    <row r="89" outlineLevel="1" spans="1:55">
      <c r="A89" s="140">
        <v>6666010189</v>
      </c>
      <c r="B89" s="140">
        <v>6666010189</v>
      </c>
      <c r="C89" s="140" t="s">
        <v>131</v>
      </c>
      <c r="D89" s="140" t="s">
        <v>128</v>
      </c>
      <c r="E89" s="141">
        <f>VLOOKUP(B89,'2024 by account '!$A$2:$M$102,2,0)/1000</f>
        <v>0</v>
      </c>
      <c r="F89" s="141">
        <f t="shared" si="37"/>
        <v>0</v>
      </c>
      <c r="G89" s="142">
        <f t="shared" si="38"/>
        <v>0</v>
      </c>
      <c r="H89" s="121"/>
      <c r="I89" s="143">
        <f>VLOOKUP(B89,'2024 by account '!$A$2:$M$102,3,0)/1000</f>
        <v>1.96206</v>
      </c>
      <c r="J89" s="141">
        <f t="shared" si="66"/>
        <v>0.0589837784538425</v>
      </c>
      <c r="K89" s="142">
        <f t="shared" si="40"/>
        <v>0.00298621802621722</v>
      </c>
      <c r="L89" s="144"/>
      <c r="M89" s="141">
        <f>VLOOKUP(B89,'2024 by account '!$A$2:$M$102,4,0)/1000</f>
        <v>0</v>
      </c>
      <c r="N89" s="141">
        <f t="shared" si="67"/>
        <v>0</v>
      </c>
      <c r="O89" s="142">
        <f t="shared" si="42"/>
        <v>0</v>
      </c>
      <c r="P89" s="144"/>
      <c r="Q89" s="141">
        <f>VLOOKUP(B89,'2024 by account '!$A$2:$M$102,5,0)/1000</f>
        <v>35.1356</v>
      </c>
      <c r="R89" s="141">
        <f t="shared" si="43"/>
        <v>1.01276929373988</v>
      </c>
      <c r="S89" s="142">
        <f t="shared" si="44"/>
        <v>0.0361148697978061</v>
      </c>
      <c r="T89" s="144"/>
      <c r="U89" s="141">
        <f>VLOOKUP(B89,'2024 by account '!$A$2:$M$102,6,0)/1000</f>
        <v>0</v>
      </c>
      <c r="V89" s="141">
        <f t="shared" si="45"/>
        <v>0</v>
      </c>
      <c r="W89" s="142">
        <f t="shared" si="46"/>
        <v>0</v>
      </c>
      <c r="X89" s="144"/>
      <c r="Y89" s="141">
        <f>VLOOKUP(B89,'2024 by account '!$A$2:$M$102,7,0)/1000</f>
        <v>-89.98084</v>
      </c>
      <c r="Z89" s="141">
        <f t="shared" si="47"/>
        <v>-2.56599109696664</v>
      </c>
      <c r="AA89" s="142">
        <f t="shared" si="48"/>
        <v>-0.0828380390291399</v>
      </c>
      <c r="AB89" s="144"/>
      <c r="AC89" s="141">
        <f>VLOOKUP(B89,'2024 by account '!$A$2:$M$102,8,0)/1000</f>
        <v>-0.14456</v>
      </c>
      <c r="AD89" s="141">
        <f t="shared" si="49"/>
        <v>-0.00404965137028706</v>
      </c>
      <c r="AE89" s="142">
        <f t="shared" si="50"/>
        <v>-0.000117459505475739</v>
      </c>
      <c r="AF89" s="144"/>
      <c r="AG89" s="141">
        <f>VLOOKUP(B89,'2024 by account '!$A$2:$M$102,9,0)/1000</f>
        <v>0</v>
      </c>
      <c r="AH89" s="141">
        <f t="shared" si="51"/>
        <v>0</v>
      </c>
      <c r="AI89" s="142">
        <f t="shared" si="52"/>
        <v>0</v>
      </c>
      <c r="AJ89" s="144"/>
      <c r="AK89" s="141">
        <f>VLOOKUP(B89,'2024 by account '!$A$2:$M$102,10,0)/1000</f>
        <v>-69.37282</v>
      </c>
      <c r="AL89" s="141">
        <f t="shared" si="53"/>
        <v>-1.83410382697829</v>
      </c>
      <c r="AM89" s="142">
        <f t="shared" si="54"/>
        <v>-0.045733688085435</v>
      </c>
      <c r="AN89" s="144"/>
      <c r="AO89" s="141">
        <f>VLOOKUP(B89,'2024 by account '!$A$2:$M$102,11,0)/1000</f>
        <v>-30.98095</v>
      </c>
      <c r="AP89" s="141">
        <f t="shared" si="55"/>
        <v>-0.829536346312597</v>
      </c>
      <c r="AQ89" s="142">
        <f t="shared" si="56"/>
        <v>-0.0201407324231577</v>
      </c>
      <c r="AR89" s="144"/>
      <c r="AS89" s="141">
        <f>VLOOKUP(B89,'2024 by account '!$A$2:$M$102,12,0)/1000</f>
        <v>0</v>
      </c>
      <c r="AT89" s="141">
        <f t="shared" si="57"/>
        <v>0</v>
      </c>
      <c r="AU89" s="142">
        <f t="shared" si="58"/>
        <v>0</v>
      </c>
      <c r="AV89" s="144"/>
      <c r="AW89" s="143">
        <f>VLOOKUP(B89,'2024 by account '!$A$2:$M$102,13,0)/1000</f>
        <v>0</v>
      </c>
      <c r="AX89" s="141">
        <f t="shared" si="59"/>
        <v>0</v>
      </c>
      <c r="AY89" s="142">
        <f t="shared" si="60"/>
        <v>0</v>
      </c>
      <c r="AZ89" s="121"/>
      <c r="BA89" s="143">
        <f t="shared" si="35"/>
        <v>-153.38151</v>
      </c>
      <c r="BB89" s="141">
        <f t="shared" si="36"/>
        <v>-4.16192784943409</v>
      </c>
      <c r="BC89" s="142">
        <f t="shared" si="61"/>
        <v>-0.0113634393687314</v>
      </c>
    </row>
    <row r="90" outlineLevel="1" spans="1:55">
      <c r="A90" s="140">
        <v>6666010012</v>
      </c>
      <c r="B90" s="140">
        <v>6666010012</v>
      </c>
      <c r="C90" s="140" t="s">
        <v>132</v>
      </c>
      <c r="D90" s="140" t="s">
        <v>128</v>
      </c>
      <c r="E90" s="141">
        <f>VLOOKUP(B90,'2024 by account '!$A$2:$M$102,2,0)/1000</f>
        <v>560.37098</v>
      </c>
      <c r="F90" s="141">
        <f t="shared" si="37"/>
        <v>17.0758910913717</v>
      </c>
      <c r="G90" s="142">
        <f t="shared" si="38"/>
        <v>1.06424999011354</v>
      </c>
      <c r="H90" s="121"/>
      <c r="I90" s="143">
        <f>VLOOKUP(B90,'2024 by account '!$A$2:$M$102,3,0)/1000</f>
        <v>1557.64179</v>
      </c>
      <c r="J90" s="141">
        <f t="shared" si="66"/>
        <v>46.8260900542322</v>
      </c>
      <c r="K90" s="142">
        <f t="shared" si="40"/>
        <v>2.37070119756137</v>
      </c>
      <c r="L90" s="144"/>
      <c r="M90" s="141">
        <f>VLOOKUP(B90,'2024 by account '!$A$2:$M$102,4,0)/1000</f>
        <v>846.9498</v>
      </c>
      <c r="N90" s="141">
        <f t="shared" si="67"/>
        <v>24.3216331781672</v>
      </c>
      <c r="O90" s="142">
        <f t="shared" si="42"/>
        <v>1.2138360621933</v>
      </c>
      <c r="P90" s="144"/>
      <c r="Q90" s="141">
        <f>VLOOKUP(B90,'2024 by account '!$A$2:$M$102,5,0)/1000</f>
        <v>969.75545</v>
      </c>
      <c r="R90" s="141">
        <f t="shared" si="43"/>
        <v>27.9528040561964</v>
      </c>
      <c r="S90" s="142">
        <f t="shared" si="44"/>
        <v>0.996783655678652</v>
      </c>
      <c r="T90" s="144"/>
      <c r="U90" s="141">
        <f>VLOOKUP(B90,'2024 by account '!$A$2:$M$102,6,0)/1000</f>
        <v>928.2203</v>
      </c>
      <c r="V90" s="141">
        <f t="shared" si="45"/>
        <v>26.6267064442564</v>
      </c>
      <c r="W90" s="142">
        <f t="shared" si="46"/>
        <v>0.652711340987802</v>
      </c>
      <c r="X90" s="144"/>
      <c r="Y90" s="141">
        <f>VLOOKUP(B90,'2024 by account '!$A$2:$M$102,7,0)/1000</f>
        <v>1028.41822</v>
      </c>
      <c r="Z90" s="141">
        <f t="shared" si="47"/>
        <v>29.3274879016275</v>
      </c>
      <c r="AA90" s="142">
        <f t="shared" si="48"/>
        <v>0.946780988559771</v>
      </c>
      <c r="AB90" s="144"/>
      <c r="AC90" s="141">
        <f>VLOOKUP(B90,'2024 by account '!$A$2:$M$102,8,0)/1000</f>
        <v>923.17826</v>
      </c>
      <c r="AD90" s="141">
        <f t="shared" si="49"/>
        <v>25.8615806974835</v>
      </c>
      <c r="AE90" s="142">
        <f t="shared" si="50"/>
        <v>0.750111108782189</v>
      </c>
      <c r="AF90" s="144"/>
      <c r="AG90" s="141">
        <f>VLOOKUP(B90,'2024 by account '!$A$2:$M$102,9,0)/1000</f>
        <v>872.23292</v>
      </c>
      <c r="AH90" s="141">
        <f t="shared" si="51"/>
        <v>23.5041126602676</v>
      </c>
      <c r="AI90" s="142">
        <f t="shared" si="52"/>
        <v>0.918919096890595</v>
      </c>
      <c r="AJ90" s="144"/>
      <c r="AK90" s="141">
        <f>VLOOKUP(B90,'2024 by account '!$A$2:$M$102,10,0)/1000</f>
        <v>1049.48019</v>
      </c>
      <c r="AL90" s="141">
        <f t="shared" si="53"/>
        <v>27.7465386705758</v>
      </c>
      <c r="AM90" s="142">
        <f t="shared" si="54"/>
        <v>0.691864618755632</v>
      </c>
      <c r="AN90" s="144"/>
      <c r="AO90" s="141">
        <f>VLOOKUP(B90,'2024 by account '!$A$2:$M$102,11,0)/1000</f>
        <v>1058.56506</v>
      </c>
      <c r="AP90" s="141">
        <f t="shared" si="55"/>
        <v>28.34381102602</v>
      </c>
      <c r="AQ90" s="142">
        <f t="shared" si="56"/>
        <v>0.688173720494817</v>
      </c>
      <c r="AR90" s="144"/>
      <c r="AS90" s="141">
        <f>VLOOKUP(B90,'2024 by account '!$A$2:$M$102,12,0)/1000</f>
        <v>962.78732</v>
      </c>
      <c r="AT90" s="141">
        <f t="shared" si="57"/>
        <v>26.2886415080945</v>
      </c>
      <c r="AU90" s="142">
        <f t="shared" si="58"/>
        <v>0.609803792811285</v>
      </c>
      <c r="AV90" s="144"/>
      <c r="AW90" s="143">
        <f>VLOOKUP(B90,'2024 by account '!$A$2:$M$102,13,0)/1000</f>
        <v>990.56293</v>
      </c>
      <c r="AX90" s="141">
        <f t="shared" si="59"/>
        <v>27.02112041734</v>
      </c>
      <c r="AY90" s="142">
        <f t="shared" si="60"/>
        <v>1.03319391340726</v>
      </c>
      <c r="AZ90" s="121"/>
      <c r="BA90" s="143">
        <f t="shared" si="35"/>
        <v>11748.16322</v>
      </c>
      <c r="BB90" s="141">
        <f t="shared" si="36"/>
        <v>330.896417705633</v>
      </c>
      <c r="BC90" s="142">
        <f t="shared" si="61"/>
        <v>0.903456647005463</v>
      </c>
    </row>
    <row r="91" outlineLevel="1" spans="1:55">
      <c r="A91" s="140">
        <v>6666010226</v>
      </c>
      <c r="B91" s="140">
        <v>6666010226</v>
      </c>
      <c r="C91" s="140" t="s">
        <v>133</v>
      </c>
      <c r="D91" s="140" t="s">
        <v>128</v>
      </c>
      <c r="E91" s="141">
        <f>VLOOKUP(B91,'2024 by account '!$A$2:$M$102,2,0)/1000</f>
        <v>81.53203</v>
      </c>
      <c r="F91" s="141">
        <f t="shared" si="37"/>
        <v>2.48448280590557</v>
      </c>
      <c r="G91" s="142">
        <f t="shared" si="38"/>
        <v>0.154844674721444</v>
      </c>
      <c r="H91" s="121"/>
      <c r="I91" s="143">
        <f>VLOOKUP(B91,'2024 by account '!$A$2:$M$102,3,0)/1000</f>
        <v>399.52249</v>
      </c>
      <c r="J91" s="141">
        <f t="shared" si="66"/>
        <v>12.0105124397254</v>
      </c>
      <c r="K91" s="142">
        <f t="shared" si="40"/>
        <v>0.608065635871069</v>
      </c>
      <c r="L91" s="144"/>
      <c r="M91" s="141">
        <f>VLOOKUP(B91,'2024 by account '!$A$2:$M$102,4,0)/1000</f>
        <v>359.42432</v>
      </c>
      <c r="N91" s="141">
        <f t="shared" si="67"/>
        <v>10.3214930404992</v>
      </c>
      <c r="O91" s="142">
        <f t="shared" si="42"/>
        <v>0.515121676922654</v>
      </c>
      <c r="P91" s="144"/>
      <c r="Q91" s="141">
        <f>VLOOKUP(B91,'2024 by account '!$A$2:$M$102,5,0)/1000</f>
        <v>1.23808</v>
      </c>
      <c r="R91" s="141">
        <f t="shared" si="43"/>
        <v>0.035687149420914</v>
      </c>
      <c r="S91" s="142">
        <f t="shared" si="44"/>
        <v>0.00127258672113947</v>
      </c>
      <c r="T91" s="144"/>
      <c r="U91" s="141">
        <f>VLOOKUP(B91,'2024 by account '!$A$2:$M$102,6,0)/1000</f>
        <v>192.45363</v>
      </c>
      <c r="V91" s="141">
        <f t="shared" si="45"/>
        <v>5.52067899198233</v>
      </c>
      <c r="W91" s="142">
        <f t="shared" si="46"/>
        <v>0.13533066117523</v>
      </c>
      <c r="X91" s="144"/>
      <c r="Y91" s="141">
        <f>VLOOKUP(B91,'2024 by account '!$A$2:$M$102,7,0)/1000</f>
        <v>159.59926</v>
      </c>
      <c r="Z91" s="141">
        <f t="shared" si="47"/>
        <v>4.55130536948159</v>
      </c>
      <c r="AA91" s="142">
        <f t="shared" si="48"/>
        <v>0.146930054541632</v>
      </c>
      <c r="AB91" s="144"/>
      <c r="AC91" s="141">
        <f>VLOOKUP(B91,'2024 by account '!$A$2:$M$102,8,0)/1000</f>
        <v>215.57108</v>
      </c>
      <c r="AD91" s="141">
        <f t="shared" si="49"/>
        <v>6.03892999111968</v>
      </c>
      <c r="AE91" s="142">
        <f t="shared" si="50"/>
        <v>0.175158221165405</v>
      </c>
      <c r="AF91" s="144"/>
      <c r="AG91" s="141">
        <f>VLOOKUP(B91,'2024 by account '!$A$2:$M$102,9,0)/1000</f>
        <v>169.58915</v>
      </c>
      <c r="AH91" s="141">
        <f t="shared" si="51"/>
        <v>4.56992896755035</v>
      </c>
      <c r="AI91" s="142">
        <f t="shared" si="52"/>
        <v>0.178666391725324</v>
      </c>
      <c r="AJ91" s="144"/>
      <c r="AK91" s="141">
        <f>VLOOKUP(B91,'2024 by account '!$A$2:$M$102,10,0)/1000</f>
        <v>162.2176</v>
      </c>
      <c r="AL91" s="141">
        <f t="shared" si="53"/>
        <v>4.28876786273403</v>
      </c>
      <c r="AM91" s="142">
        <f t="shared" si="54"/>
        <v>0.106941149579444</v>
      </c>
      <c r="AN91" s="144"/>
      <c r="AO91" s="141">
        <f>VLOOKUP(B91,'2024 by account '!$A$2:$M$102,11,0)/1000</f>
        <v>161.81735</v>
      </c>
      <c r="AP91" s="141">
        <f t="shared" si="55"/>
        <v>4.33277137366629</v>
      </c>
      <c r="AQ91" s="142">
        <f t="shared" si="56"/>
        <v>0.105197547130558</v>
      </c>
      <c r="AR91" s="144"/>
      <c r="AS91" s="141">
        <f>VLOOKUP(B91,'2024 by account '!$A$2:$M$102,12,0)/1000</f>
        <v>158.91652</v>
      </c>
      <c r="AT91" s="141">
        <f t="shared" si="57"/>
        <v>4.33917162930015</v>
      </c>
      <c r="AU91" s="142">
        <f t="shared" si="58"/>
        <v>0.100653482470428</v>
      </c>
      <c r="AV91" s="144"/>
      <c r="AW91" s="143">
        <f>VLOOKUP(B91,'2024 by account '!$A$2:$M$102,13,0)/1000</f>
        <v>158.2669</v>
      </c>
      <c r="AX91" s="141">
        <f t="shared" si="59"/>
        <v>4.31729154550444</v>
      </c>
      <c r="AY91" s="142">
        <f t="shared" si="60"/>
        <v>0.165078252800996</v>
      </c>
      <c r="AZ91" s="121"/>
      <c r="BA91" s="143">
        <f t="shared" si="35"/>
        <v>2220.14841</v>
      </c>
      <c r="BB91" s="141">
        <f t="shared" si="36"/>
        <v>62.8110211668899</v>
      </c>
      <c r="BC91" s="142">
        <f t="shared" si="61"/>
        <v>0.171494859242961</v>
      </c>
    </row>
    <row r="92" outlineLevel="1" spans="1:55">
      <c r="A92" s="140">
        <v>6666010102</v>
      </c>
      <c r="B92" s="140">
        <v>6666010102</v>
      </c>
      <c r="C92" s="140" t="s">
        <v>134</v>
      </c>
      <c r="D92" s="140" t="s">
        <v>128</v>
      </c>
      <c r="E92" s="141">
        <f>VLOOKUP(B92,'2024 by account '!$A$2:$M$102,2,0)/1000</f>
        <v>3868.28431</v>
      </c>
      <c r="F92" s="141">
        <f t="shared" si="37"/>
        <v>117.876199777551</v>
      </c>
      <c r="G92" s="142">
        <f t="shared" si="38"/>
        <v>7.34660017311006</v>
      </c>
      <c r="H92" s="121"/>
      <c r="I92" s="143">
        <f>VLOOKUP(B92,'2024 by account '!$A$2:$M$102,3,0)/1000</f>
        <v>2882.09723</v>
      </c>
      <c r="J92" s="141">
        <f t="shared" si="66"/>
        <v>86.6420927478025</v>
      </c>
      <c r="K92" s="142">
        <f t="shared" si="40"/>
        <v>4.38649720270365</v>
      </c>
      <c r="L92" s="144"/>
      <c r="M92" s="141">
        <f>VLOOKUP(B92,'2024 by account '!$A$2:$M$102,4,0)/1000</f>
        <v>6494.46738</v>
      </c>
      <c r="N92" s="141">
        <f t="shared" si="67"/>
        <v>186.499900352929</v>
      </c>
      <c r="O92" s="142">
        <f t="shared" si="42"/>
        <v>9.30777563272589</v>
      </c>
      <c r="P92" s="144"/>
      <c r="Q92" s="141">
        <f>VLOOKUP(B92,'2024 by account '!$A$2:$M$102,5,0)/1000</f>
        <v>5354.04525</v>
      </c>
      <c r="R92" s="141">
        <f t="shared" si="43"/>
        <v>154.328163642967</v>
      </c>
      <c r="S92" s="142">
        <f t="shared" si="44"/>
        <v>5.50326868177325</v>
      </c>
      <c r="T92" s="144"/>
      <c r="U92" s="141">
        <f>VLOOKUP(B92,'2024 by account '!$A$2:$M$102,6,0)/1000</f>
        <v>5562.92106</v>
      </c>
      <c r="V92" s="141">
        <f t="shared" si="45"/>
        <v>159.576628562413</v>
      </c>
      <c r="W92" s="142">
        <f t="shared" si="46"/>
        <v>3.91176713640273</v>
      </c>
      <c r="X92" s="144"/>
      <c r="Y92" s="141">
        <f>VLOOKUP(B92,'2024 by account '!$A$2:$M$102,7,0)/1000</f>
        <v>6217.98029</v>
      </c>
      <c r="Z92" s="141">
        <f t="shared" si="47"/>
        <v>177.318661008877</v>
      </c>
      <c r="AA92" s="142">
        <f t="shared" si="48"/>
        <v>5.72438859145394</v>
      </c>
      <c r="AB92" s="144"/>
      <c r="AC92" s="141">
        <f>VLOOKUP(B92,'2024 by account '!$A$2:$M$102,8,0)/1000</f>
        <v>5890.2597</v>
      </c>
      <c r="AD92" s="141">
        <f t="shared" si="49"/>
        <v>165.007597298365</v>
      </c>
      <c r="AE92" s="142">
        <f t="shared" si="50"/>
        <v>4.7860195869236</v>
      </c>
      <c r="AF92" s="144"/>
      <c r="AG92" s="141">
        <f>VLOOKUP(B92,'2024 by account '!$A$2:$M$102,9,0)/1000</f>
        <v>5364.87861</v>
      </c>
      <c r="AH92" s="141">
        <f t="shared" si="51"/>
        <v>144.567704757234</v>
      </c>
      <c r="AI92" s="142">
        <f t="shared" si="52"/>
        <v>5.65203318309617</v>
      </c>
      <c r="AJ92" s="144"/>
      <c r="AK92" s="141">
        <f>VLOOKUP(B92,'2024 by account '!$A$2:$M$102,10,0)/1000</f>
        <v>6411.62803</v>
      </c>
      <c r="AL92" s="141">
        <f t="shared" si="53"/>
        <v>169.512952003166</v>
      </c>
      <c r="AM92" s="142">
        <f t="shared" si="54"/>
        <v>4.22683403159699</v>
      </c>
      <c r="AN92" s="144"/>
      <c r="AO92" s="141">
        <f>VLOOKUP(B92,'2024 by account '!$A$2:$M$102,11,0)/1000</f>
        <v>6219.77647</v>
      </c>
      <c r="AP92" s="141">
        <f t="shared" si="55"/>
        <v>166.538813296715</v>
      </c>
      <c r="AQ92" s="142">
        <f t="shared" si="56"/>
        <v>4.04348006159019</v>
      </c>
      <c r="AR92" s="144"/>
      <c r="AS92" s="141">
        <f>VLOOKUP(B92,'2024 by account '!$A$2:$M$102,12,0)/1000</f>
        <v>5525.18377</v>
      </c>
      <c r="AT92" s="141">
        <f t="shared" si="57"/>
        <v>150.863614817727</v>
      </c>
      <c r="AU92" s="142">
        <f t="shared" si="58"/>
        <v>3.49950393917252</v>
      </c>
      <c r="AV92" s="144"/>
      <c r="AW92" s="143">
        <f>VLOOKUP(B92,'2024 by account '!$A$2:$M$102,13,0)/1000</f>
        <v>6658.6311</v>
      </c>
      <c r="AX92" s="141">
        <f t="shared" si="59"/>
        <v>181.637801414338</v>
      </c>
      <c r="AY92" s="142">
        <f t="shared" si="60"/>
        <v>6.9451994575895</v>
      </c>
      <c r="AZ92" s="121"/>
      <c r="BA92" s="143">
        <f t="shared" si="35"/>
        <v>66450.1532</v>
      </c>
      <c r="BB92" s="141">
        <f t="shared" si="36"/>
        <v>1860.37012968008</v>
      </c>
      <c r="BC92" s="142">
        <f t="shared" si="61"/>
        <v>5.07942567406427</v>
      </c>
    </row>
    <row r="93" s="120" customFormat="1" spans="1:55">
      <c r="B93" s="148" t="s">
        <v>135</v>
      </c>
      <c r="C93" s="149" t="s">
        <v>128</v>
      </c>
      <c r="D93" s="150"/>
      <c r="E93" s="151">
        <f>SUM(E86:E92)</f>
        <v>4640.01916</v>
      </c>
      <c r="F93" s="151">
        <f t="shared" si="37"/>
        <v>141.392871269026</v>
      </c>
      <c r="G93" s="152">
        <f t="shared" si="38"/>
        <v>8.81226994509356</v>
      </c>
      <c r="H93" s="121"/>
      <c r="I93" s="151">
        <f>SUM(I86:I92)</f>
        <v>5431.07566</v>
      </c>
      <c r="J93" s="151">
        <f>SUM(J86:J92)</f>
        <v>163.26991197797</v>
      </c>
      <c r="K93" s="152">
        <f t="shared" si="40"/>
        <v>8.26599392355055</v>
      </c>
      <c r="L93" s="153"/>
      <c r="M93" s="154">
        <f>SUM(M86:M92)</f>
        <v>8107.23386</v>
      </c>
      <c r="N93" s="151">
        <f>SUM(N86:N92)</f>
        <v>232.81328838207</v>
      </c>
      <c r="O93" s="152">
        <f t="shared" si="42"/>
        <v>11.6191689565339</v>
      </c>
      <c r="P93" s="153"/>
      <c r="Q93" s="151">
        <f>SUM(Q86:Q92)</f>
        <v>7266.7466</v>
      </c>
      <c r="R93" s="151">
        <f t="shared" si="43"/>
        <v>209.460997446141</v>
      </c>
      <c r="S93" s="152">
        <f t="shared" si="44"/>
        <v>7.4692792299733</v>
      </c>
      <c r="T93" s="153"/>
      <c r="U93" s="151">
        <f>SUM(U86:U92)</f>
        <v>7223.21352</v>
      </c>
      <c r="V93" s="151">
        <f t="shared" si="45"/>
        <v>207.203382625034</v>
      </c>
      <c r="W93" s="152">
        <f t="shared" si="46"/>
        <v>5.07926123020626</v>
      </c>
      <c r="X93" s="153"/>
      <c r="Y93" s="151">
        <f>SUM(Y86:Y92)</f>
        <v>7660.74037</v>
      </c>
      <c r="Z93" s="151">
        <f t="shared" si="47"/>
        <v>218.461970188241</v>
      </c>
      <c r="AA93" s="152">
        <f t="shared" si="48"/>
        <v>7.05262042188279</v>
      </c>
      <c r="AB93" s="153"/>
      <c r="AC93" s="151">
        <f>SUM(AC86:AC92)</f>
        <v>7545.97858</v>
      </c>
      <c r="AD93" s="151">
        <f t="shared" si="49"/>
        <v>211.390305040494</v>
      </c>
      <c r="AE93" s="152">
        <f t="shared" si="50"/>
        <v>6.13134278041865</v>
      </c>
      <c r="AF93" s="153"/>
      <c r="AG93" s="151">
        <f>SUM(AG86:AG92)</f>
        <v>6837.32406</v>
      </c>
      <c r="AH93" s="151">
        <f t="shared" si="51"/>
        <v>184.245780359905</v>
      </c>
      <c r="AI93" s="152">
        <f t="shared" si="52"/>
        <v>7.20329112361815</v>
      </c>
      <c r="AJ93" s="153"/>
      <c r="AK93" s="151">
        <f>SUM(AK86:AK92)</f>
        <v>7955.35124</v>
      </c>
      <c r="AL93" s="151">
        <f t="shared" si="53"/>
        <v>210.326467256779</v>
      </c>
      <c r="AM93" s="152">
        <f t="shared" si="54"/>
        <v>5.24452591404297</v>
      </c>
      <c r="AN93" s="153"/>
      <c r="AO93" s="151">
        <f>SUM(AO86:AO92)</f>
        <v>8047.48107</v>
      </c>
      <c r="AP93" s="151">
        <f t="shared" si="55"/>
        <v>215.476867036924</v>
      </c>
      <c r="AQ93" s="152">
        <f t="shared" si="56"/>
        <v>5.23167181481837</v>
      </c>
      <c r="AR93" s="153"/>
      <c r="AS93" s="151">
        <f>SUM(AS86:AS92)</f>
        <v>7212.9186</v>
      </c>
      <c r="AT93" s="151">
        <f t="shared" si="57"/>
        <v>196.946747597867</v>
      </c>
      <c r="AU93" s="152">
        <f t="shared" si="58"/>
        <v>4.56847013680972</v>
      </c>
      <c r="AV93" s="153"/>
      <c r="AW93" s="151">
        <f>SUM(AW86:AW92)</f>
        <v>8312.96269</v>
      </c>
      <c r="AX93" s="151">
        <f t="shared" si="59"/>
        <v>226.765568414058</v>
      </c>
      <c r="AY93" s="152">
        <f t="shared" si="60"/>
        <v>8.6707287276434</v>
      </c>
      <c r="AZ93" s="155"/>
      <c r="BA93" s="151">
        <f t="shared" si="35"/>
        <v>86241.04541</v>
      </c>
      <c r="BB93" s="151">
        <f t="shared" si="36"/>
        <v>2417.75415759451</v>
      </c>
      <c r="BC93" s="152">
        <f t="shared" si="61"/>
        <v>6.60126839586112</v>
      </c>
    </row>
    <row r="94" outlineLevel="1" spans="1:55">
      <c r="A94" s="140">
        <v>6666010196</v>
      </c>
      <c r="B94" s="140">
        <v>6666010196</v>
      </c>
      <c r="C94" s="140" t="s">
        <v>136</v>
      </c>
      <c r="D94" s="140" t="s">
        <v>137</v>
      </c>
      <c r="E94" s="141">
        <f>VLOOKUP(B94,'2024 by account '!$A$2:$M$102,2,0)/1000</f>
        <v>384.82882</v>
      </c>
      <c r="F94" s="141">
        <f t="shared" si="37"/>
        <v>11.7266868800756</v>
      </c>
      <c r="G94" s="142">
        <f t="shared" si="38"/>
        <v>0.730862379562204</v>
      </c>
      <c r="H94" s="121"/>
      <c r="I94" s="143">
        <f>VLOOKUP(B94,'2024 by account '!$A$2:$M$102,3,0)/1000</f>
        <v>358.20553</v>
      </c>
      <c r="J94" s="141">
        <f t="shared" ref="J94:J100" si="68">I94/$J$2</f>
        <v>10.7684350236289</v>
      </c>
      <c r="K94" s="142">
        <f t="shared" si="40"/>
        <v>0.545182008081656</v>
      </c>
      <c r="L94" s="144"/>
      <c r="M94" s="141">
        <f>VLOOKUP(B94,'2024 by account '!$A$2:$M$102,4,0)/1000</f>
        <v>387.46363</v>
      </c>
      <c r="N94" s="141">
        <f t="shared" ref="N94:N100" si="69">M94/$N$2</f>
        <v>11.1266904824124</v>
      </c>
      <c r="O94" s="142">
        <f t="shared" si="42"/>
        <v>0.555307205789911</v>
      </c>
      <c r="P94" s="144"/>
      <c r="Q94" s="141">
        <f>VLOOKUP(B94,'2024 by account '!$A$2:$M$102,5,0)/1000</f>
        <v>365.92858</v>
      </c>
      <c r="R94" s="141">
        <f t="shared" si="43"/>
        <v>10.5477415933081</v>
      </c>
      <c r="S94" s="142">
        <f t="shared" si="44"/>
        <v>0.376127432632318</v>
      </c>
      <c r="T94" s="144"/>
      <c r="U94" s="141">
        <f>VLOOKUP(B94,'2024 by account '!$A$2:$M$102,6,0)/1000</f>
        <v>345.32674</v>
      </c>
      <c r="V94" s="141">
        <f t="shared" si="45"/>
        <v>9.90596061444902</v>
      </c>
      <c r="W94" s="142">
        <f t="shared" si="46"/>
        <v>0.242828862441757</v>
      </c>
      <c r="X94" s="144"/>
      <c r="Y94" s="141">
        <f>VLOOKUP(B94,'2024 by account '!$A$2:$M$102,7,0)/1000</f>
        <v>386.46181</v>
      </c>
      <c r="Z94" s="141">
        <f t="shared" si="47"/>
        <v>11.0207635734187</v>
      </c>
      <c r="AA94" s="142">
        <f t="shared" si="48"/>
        <v>0.355783948005509</v>
      </c>
      <c r="AB94" s="144"/>
      <c r="AC94" s="141">
        <f>VLOOKUP(B94,'2024 by account '!$A$2:$M$102,8,0)/1000</f>
        <v>376.47962</v>
      </c>
      <c r="AD94" s="141">
        <f t="shared" si="49"/>
        <v>10.5465634270763</v>
      </c>
      <c r="AE94" s="142">
        <f t="shared" si="50"/>
        <v>0.305901424923175</v>
      </c>
      <c r="AF94" s="144"/>
      <c r="AG94" s="141">
        <f>VLOOKUP(B94,'2024 by account '!$A$2:$M$102,9,0)/1000</f>
        <v>392.84416</v>
      </c>
      <c r="AH94" s="141">
        <f t="shared" si="51"/>
        <v>10.5859950740775</v>
      </c>
      <c r="AI94" s="142">
        <f t="shared" si="52"/>
        <v>0.413871103060344</v>
      </c>
      <c r="AJ94" s="144"/>
      <c r="AK94" s="141">
        <f>VLOOKUP(B94,'2024 by account '!$A$2:$M$102,10,0)/1000</f>
        <v>428.60996</v>
      </c>
      <c r="AL94" s="141">
        <f t="shared" si="53"/>
        <v>11.331745890062</v>
      </c>
      <c r="AM94" s="142">
        <f t="shared" si="54"/>
        <v>0.282558993867494</v>
      </c>
      <c r="AN94" s="144"/>
      <c r="AO94" s="141">
        <f>VLOOKUP(B94,'2024 by account '!$A$2:$M$102,11,0)/1000</f>
        <v>412.17923</v>
      </c>
      <c r="AP94" s="141">
        <f t="shared" si="55"/>
        <v>11.0363837287152</v>
      </c>
      <c r="AQ94" s="142">
        <f t="shared" si="56"/>
        <v>0.26795794130952</v>
      </c>
      <c r="AR94" s="144"/>
      <c r="AS94" s="141">
        <f>VLOOKUP(B94,'2024 by account '!$A$2:$M$102,12,0)/1000</f>
        <v>408.95216</v>
      </c>
      <c r="AT94" s="141">
        <f t="shared" si="57"/>
        <v>11.1663256306708</v>
      </c>
      <c r="AU94" s="142">
        <f t="shared" si="58"/>
        <v>0.259019383685244</v>
      </c>
      <c r="AV94" s="144"/>
      <c r="AW94" s="143">
        <f>VLOOKUP(B94,'2024 by account '!$A$2:$M$102,13,0)/1000</f>
        <v>378.38163</v>
      </c>
      <c r="AX94" s="141">
        <f t="shared" si="59"/>
        <v>10.3217022142545</v>
      </c>
      <c r="AY94" s="142">
        <f t="shared" si="60"/>
        <v>0.394666088565536</v>
      </c>
      <c r="AZ94" s="121"/>
      <c r="BA94" s="143">
        <f t="shared" si="35"/>
        <v>4625.66187</v>
      </c>
      <c r="BB94" s="141">
        <f t="shared" si="36"/>
        <v>130.084994132149</v>
      </c>
      <c r="BC94" s="142">
        <f t="shared" si="61"/>
        <v>0.35517505278316</v>
      </c>
    </row>
    <row r="95" outlineLevel="1" spans="1:55">
      <c r="A95" s="140">
        <v>6666010101</v>
      </c>
      <c r="B95" s="140">
        <v>6666010101</v>
      </c>
      <c r="C95" s="140" t="s">
        <v>138</v>
      </c>
      <c r="D95" s="140" t="s">
        <v>137</v>
      </c>
      <c r="E95" s="141">
        <f>VLOOKUP(B95,'2024 by account '!$A$2:$M$102,2,0)/1000</f>
        <v>2546.20568</v>
      </c>
      <c r="F95" s="141">
        <f t="shared" si="37"/>
        <v>77.5891908034068</v>
      </c>
      <c r="G95" s="142">
        <f t="shared" si="38"/>
        <v>4.83572395159905</v>
      </c>
      <c r="H95" s="121"/>
      <c r="I95" s="143">
        <f>VLOOKUP(B95,'2024 by account '!$A$2:$M$102,3,0)/1000</f>
        <v>2374.08653</v>
      </c>
      <c r="J95" s="141">
        <f t="shared" si="68"/>
        <v>71.3701894517863</v>
      </c>
      <c r="K95" s="142">
        <f t="shared" si="40"/>
        <v>3.61331457329821</v>
      </c>
      <c r="L95" s="144"/>
      <c r="M95" s="141">
        <f>VLOOKUP(B95,'2024 by account '!$A$2:$M$102,4,0)/1000</f>
        <v>2623.90444</v>
      </c>
      <c r="N95" s="141">
        <f t="shared" si="69"/>
        <v>75.3499691295096</v>
      </c>
      <c r="O95" s="142">
        <f t="shared" si="42"/>
        <v>3.76054145478413</v>
      </c>
      <c r="P95" s="144"/>
      <c r="Q95" s="141">
        <f>VLOOKUP(B95,'2024 by account '!$A$2:$M$102,5,0)/1000</f>
        <v>3368.33776</v>
      </c>
      <c r="R95" s="141">
        <f t="shared" si="43"/>
        <v>97.0909577258551</v>
      </c>
      <c r="S95" s="142">
        <f t="shared" si="44"/>
        <v>3.46221722803748</v>
      </c>
      <c r="T95" s="144"/>
      <c r="U95" s="141">
        <f>VLOOKUP(B95,'2024 by account '!$A$2:$M$102,6,0)/1000</f>
        <v>2286.03226</v>
      </c>
      <c r="V95" s="141">
        <f t="shared" si="45"/>
        <v>65.5765769280418</v>
      </c>
      <c r="W95" s="142">
        <f t="shared" si="46"/>
        <v>1.60750544021282</v>
      </c>
      <c r="X95" s="144"/>
      <c r="Y95" s="141">
        <f>VLOOKUP(B95,'2024 by account '!$A$2:$M$102,7,0)/1000</f>
        <v>2579.67744</v>
      </c>
      <c r="Z95" s="141">
        <f t="shared" si="47"/>
        <v>73.5648760790151</v>
      </c>
      <c r="AA95" s="142">
        <f t="shared" si="48"/>
        <v>2.37489915027812</v>
      </c>
      <c r="AB95" s="144"/>
      <c r="AC95" s="141">
        <f>VLOOKUP(B95,'2024 by account '!$A$2:$M$102,8,0)/1000</f>
        <v>2967.81497</v>
      </c>
      <c r="AD95" s="141">
        <f t="shared" si="49"/>
        <v>83.1392913670375</v>
      </c>
      <c r="AE95" s="142">
        <f t="shared" si="50"/>
        <v>2.41144216048489</v>
      </c>
      <c r="AF95" s="144"/>
      <c r="AG95" s="141">
        <f>VLOOKUP(B95,'2024 by account '!$A$2:$M$102,9,0)/1000</f>
        <v>2851.52979</v>
      </c>
      <c r="AH95" s="141">
        <f t="shared" si="51"/>
        <v>76.840343790589</v>
      </c>
      <c r="AI95" s="142">
        <f t="shared" si="52"/>
        <v>3.00415762728083</v>
      </c>
      <c r="AJ95" s="144"/>
      <c r="AK95" s="141">
        <f>VLOOKUP(B95,'2024 by account '!$A$2:$M$102,10,0)/1000</f>
        <v>2939.15289</v>
      </c>
      <c r="AL95" s="141">
        <f t="shared" si="53"/>
        <v>77.7063922675089</v>
      </c>
      <c r="AM95" s="142">
        <f t="shared" si="54"/>
        <v>1.93762198951498</v>
      </c>
      <c r="AN95" s="144"/>
      <c r="AO95" s="141">
        <f>VLOOKUP(B95,'2024 by account '!$A$2:$M$102,11,0)/1000</f>
        <v>2918.71147</v>
      </c>
      <c r="AP95" s="141">
        <f t="shared" si="55"/>
        <v>78.1505166486008</v>
      </c>
      <c r="AQ95" s="142">
        <f t="shared" si="56"/>
        <v>1.89745591202566</v>
      </c>
      <c r="AR95" s="144"/>
      <c r="AS95" s="141">
        <f>VLOOKUP(B95,'2024 by account '!$A$2:$M$102,12,0)/1000</f>
        <v>2829.46753</v>
      </c>
      <c r="AT95" s="141">
        <f t="shared" si="57"/>
        <v>77.257828400735</v>
      </c>
      <c r="AU95" s="142">
        <f t="shared" si="58"/>
        <v>1.79210921829587</v>
      </c>
      <c r="AV95" s="144"/>
      <c r="AW95" s="143">
        <f>VLOOKUP(B95,'2024 by account '!$A$2:$M$102,13,0)/1000</f>
        <v>2550.78173</v>
      </c>
      <c r="AX95" s="141">
        <f t="shared" si="59"/>
        <v>69.5816269691021</v>
      </c>
      <c r="AY95" s="142">
        <f t="shared" si="60"/>
        <v>2.66056004929079</v>
      </c>
      <c r="AZ95" s="121"/>
      <c r="BA95" s="143">
        <f t="shared" si="35"/>
        <v>32835.70249</v>
      </c>
      <c r="BB95" s="141">
        <f t="shared" si="36"/>
        <v>923.217759561188</v>
      </c>
      <c r="BC95" s="142">
        <f t="shared" si="61"/>
        <v>2.52068978954935</v>
      </c>
    </row>
    <row r="96" outlineLevel="1" spans="1:55">
      <c r="A96" s="140">
        <v>6666010199</v>
      </c>
      <c r="B96" s="140">
        <v>6666010199</v>
      </c>
      <c r="C96" s="140" t="s">
        <v>139</v>
      </c>
      <c r="D96" s="140" t="s">
        <v>137</v>
      </c>
      <c r="E96" s="141">
        <f>VLOOKUP(B96,'2024 by account '!$A$2:$M$102,2,0)/1000</f>
        <v>554.08662</v>
      </c>
      <c r="F96" s="141">
        <f t="shared" si="37"/>
        <v>16.8843910837536</v>
      </c>
      <c r="G96" s="142">
        <f t="shared" si="38"/>
        <v>1.05231480733896</v>
      </c>
      <c r="H96" s="121"/>
      <c r="I96" s="143">
        <f>VLOOKUP(B96,'2024 by account '!$A$2:$M$102,3,0)/1000</f>
        <v>81.91853</v>
      </c>
      <c r="J96" s="141">
        <f t="shared" si="68"/>
        <v>2.46264865742355</v>
      </c>
      <c r="K96" s="142">
        <f t="shared" si="40"/>
        <v>0.124678445596575</v>
      </c>
      <c r="L96" s="144"/>
      <c r="M96" s="141">
        <f>VLOOKUP(B96,'2024 by account '!$A$2:$M$102,4,0)/1000</f>
        <v>224.64796</v>
      </c>
      <c r="N96" s="141">
        <f t="shared" si="69"/>
        <v>6.45115599217756</v>
      </c>
      <c r="O96" s="142">
        <f t="shared" si="42"/>
        <v>0.321962169595127</v>
      </c>
      <c r="P96" s="144"/>
      <c r="Q96" s="141">
        <f>VLOOKUP(B96,'2024 by account '!$A$2:$M$102,5,0)/1000</f>
        <v>-1154.50094</v>
      </c>
      <c r="R96" s="141">
        <f t="shared" si="43"/>
        <v>-33.2780172140456</v>
      </c>
      <c r="S96" s="142">
        <f t="shared" si="44"/>
        <v>-1.18667821609834</v>
      </c>
      <c r="T96" s="144"/>
      <c r="U96" s="141">
        <f>VLOOKUP(B96,'2024 by account '!$A$2:$M$102,6,0)/1000</f>
        <v>-39.65631</v>
      </c>
      <c r="V96" s="141">
        <f t="shared" si="45"/>
        <v>-1.13757146340414</v>
      </c>
      <c r="W96" s="142">
        <f t="shared" si="46"/>
        <v>-0.0278857543610369</v>
      </c>
      <c r="X96" s="144"/>
      <c r="Y96" s="141">
        <f>VLOOKUP(B96,'2024 by account '!$A$2:$M$102,7,0)/1000</f>
        <v>36.17386</v>
      </c>
      <c r="Z96" s="141">
        <f t="shared" si="47"/>
        <v>1.03157297378995</v>
      </c>
      <c r="AA96" s="142">
        <f t="shared" si="48"/>
        <v>0.0333023299906363</v>
      </c>
      <c r="AB96" s="144"/>
      <c r="AC96" s="141">
        <f>VLOOKUP(B96,'2024 by account '!$A$2:$M$102,8,0)/1000</f>
        <v>95.02286</v>
      </c>
      <c r="AD96" s="141">
        <f t="shared" si="49"/>
        <v>2.66193591040118</v>
      </c>
      <c r="AE96" s="142">
        <f t="shared" si="50"/>
        <v>0.0772090353105312</v>
      </c>
      <c r="AF96" s="144"/>
      <c r="AG96" s="141">
        <f>VLOOKUP(B96,'2024 by account '!$A$2:$M$102,9,0)/1000</f>
        <v>608.00174</v>
      </c>
      <c r="AH96" s="141">
        <f t="shared" si="51"/>
        <v>16.3838592501172</v>
      </c>
      <c r="AI96" s="142">
        <f t="shared" si="52"/>
        <v>0.640544970291548</v>
      </c>
      <c r="AJ96" s="144"/>
      <c r="AK96" s="141">
        <f>VLOOKUP(B96,'2024 by account '!$A$2:$M$102,10,0)/1000</f>
        <v>-35.58897</v>
      </c>
      <c r="AL96" s="141">
        <f t="shared" si="53"/>
        <v>-0.940914122782026</v>
      </c>
      <c r="AM96" s="142">
        <f t="shared" si="54"/>
        <v>-0.023461852253691</v>
      </c>
      <c r="AN96" s="144"/>
      <c r="AO96" s="141">
        <f>VLOOKUP(B96,'2024 by account '!$A$2:$M$102,11,0)/1000</f>
        <v>393.08024</v>
      </c>
      <c r="AP96" s="141">
        <f t="shared" si="55"/>
        <v>10.5249950726908</v>
      </c>
      <c r="AQ96" s="142">
        <f t="shared" si="56"/>
        <v>0.255541677536377</v>
      </c>
      <c r="AR96" s="144"/>
      <c r="AS96" s="141">
        <f>VLOOKUP(B96,'2024 by account '!$A$2:$M$102,12,0)/1000</f>
        <v>97.62231</v>
      </c>
      <c r="AT96" s="141">
        <f t="shared" si="57"/>
        <v>2.66555017652504</v>
      </c>
      <c r="AU96" s="142">
        <f t="shared" si="58"/>
        <v>0.0618313657277902</v>
      </c>
      <c r="AV96" s="144"/>
      <c r="AW96" s="143">
        <f>VLOOKUP(B96,'2024 by account '!$A$2:$M$102,13,0)/1000</f>
        <v>-311.61354</v>
      </c>
      <c r="AX96" s="141">
        <f t="shared" si="59"/>
        <v>-8.50036553257004</v>
      </c>
      <c r="AY96" s="142">
        <f t="shared" si="60"/>
        <v>-0.325024491743587</v>
      </c>
      <c r="AZ96" s="121"/>
      <c r="BA96" s="143">
        <f t="shared" si="35"/>
        <v>549.19436</v>
      </c>
      <c r="BB96" s="141">
        <f t="shared" si="36"/>
        <v>15.209240784077</v>
      </c>
      <c r="BC96" s="142">
        <f t="shared" si="61"/>
        <v>0.0415262570007782</v>
      </c>
    </row>
    <row r="97" outlineLevel="1" spans="1:55">
      <c r="A97" s="140">
        <v>6666010185</v>
      </c>
      <c r="B97" s="140">
        <v>6666010185</v>
      </c>
      <c r="C97" s="140" t="s">
        <v>140</v>
      </c>
      <c r="D97" s="140" t="s">
        <v>137</v>
      </c>
      <c r="E97" s="141">
        <f>VLOOKUP(B97,'2024 by account '!$A$2:$M$102,2,0)/1000</f>
        <v>-16.63482</v>
      </c>
      <c r="F97" s="141">
        <f t="shared" si="37"/>
        <v>-0.506904148827572</v>
      </c>
      <c r="G97" s="142">
        <f t="shared" si="38"/>
        <v>-0.0315926549596492</v>
      </c>
      <c r="H97" s="121"/>
      <c r="I97" s="143">
        <f>VLOOKUP(B97,'2024 by account '!$A$2:$M$102,3,0)/1000</f>
        <v>-8.09809</v>
      </c>
      <c r="J97" s="141">
        <f t="shared" si="68"/>
        <v>-0.243446146631233</v>
      </c>
      <c r="K97" s="142">
        <f t="shared" si="40"/>
        <v>-0.0123251390558543</v>
      </c>
      <c r="L97" s="144"/>
      <c r="M97" s="141">
        <f>VLOOKUP(B97,'2024 by account '!$A$2:$M$102,4,0)/1000</f>
        <v>-12.07566</v>
      </c>
      <c r="N97" s="141">
        <f t="shared" si="69"/>
        <v>-0.346773531210784</v>
      </c>
      <c r="O97" s="142">
        <f t="shared" si="42"/>
        <v>-0.0173066592409434</v>
      </c>
      <c r="P97" s="144"/>
      <c r="Q97" s="141">
        <f>VLOOKUP(B97,'2024 by account '!$A$2:$M$102,5,0)/1000</f>
        <v>-11.12349</v>
      </c>
      <c r="R97" s="141">
        <f t="shared" si="43"/>
        <v>-0.32063004790647</v>
      </c>
      <c r="S97" s="142">
        <f t="shared" si="44"/>
        <v>-0.0114335145279203</v>
      </c>
      <c r="T97" s="144"/>
      <c r="U97" s="141">
        <f>VLOOKUP(B97,'2024 by account '!$A$2:$M$102,6,0)/1000</f>
        <v>-11.1659</v>
      </c>
      <c r="V97" s="141">
        <f t="shared" si="45"/>
        <v>-0.320302347929605</v>
      </c>
      <c r="W97" s="142">
        <f t="shared" si="46"/>
        <v>-0.00785170240549113</v>
      </c>
      <c r="X97" s="144"/>
      <c r="Y97" s="141">
        <f>VLOOKUP(B97,'2024 by account '!$A$2:$M$102,7,0)/1000</f>
        <v>-13.95585</v>
      </c>
      <c r="Z97" s="141">
        <f t="shared" si="47"/>
        <v>-0.397980134999872</v>
      </c>
      <c r="AA97" s="142">
        <f t="shared" si="48"/>
        <v>-0.012848015721845</v>
      </c>
      <c r="AB97" s="144"/>
      <c r="AC97" s="141">
        <f>VLOOKUP(B97,'2024 by account '!$A$2:$M$102,8,0)/1000</f>
        <v>-13.07926</v>
      </c>
      <c r="AD97" s="141">
        <f t="shared" si="49"/>
        <v>-0.366397642372307</v>
      </c>
      <c r="AE97" s="142">
        <f t="shared" si="50"/>
        <v>-0.0106273063889639</v>
      </c>
      <c r="AF97" s="144"/>
      <c r="AG97" s="141">
        <f>VLOOKUP(B97,'2024 by account '!$A$2:$M$102,9,0)/1000</f>
        <v>-15.07225</v>
      </c>
      <c r="AH97" s="141">
        <f t="shared" si="51"/>
        <v>-0.406152822165574</v>
      </c>
      <c r="AI97" s="142">
        <f t="shared" si="52"/>
        <v>-0.0158789906234097</v>
      </c>
      <c r="AJ97" s="144"/>
      <c r="AK97" s="141">
        <f>VLOOKUP(B97,'2024 by account '!$A$2:$M$102,10,0)/1000</f>
        <v>-11.50348</v>
      </c>
      <c r="AL97" s="141">
        <f t="shared" si="53"/>
        <v>-0.304133184892414</v>
      </c>
      <c r="AM97" s="142">
        <f t="shared" si="54"/>
        <v>-0.00758361223051102</v>
      </c>
      <c r="AN97" s="144"/>
      <c r="AO97" s="141">
        <f>VLOOKUP(B97,'2024 by account '!$A$2:$M$102,11,0)/1000</f>
        <v>-10.14825</v>
      </c>
      <c r="AP97" s="141">
        <f t="shared" si="55"/>
        <v>-0.271726406919956</v>
      </c>
      <c r="AQ97" s="142">
        <f t="shared" si="56"/>
        <v>-0.00659738283730197</v>
      </c>
      <c r="AR97" s="144"/>
      <c r="AS97" s="141">
        <f>VLOOKUP(B97,'2024 by account '!$A$2:$M$102,12,0)/1000</f>
        <v>-10.15572</v>
      </c>
      <c r="AT97" s="141">
        <f t="shared" si="57"/>
        <v>-0.277299125975803</v>
      </c>
      <c r="AU97" s="142">
        <f t="shared" si="58"/>
        <v>-0.00643236200361407</v>
      </c>
      <c r="AV97" s="144"/>
      <c r="AW97" s="143">
        <f>VLOOKUP(B97,'2024 by account '!$A$2:$M$102,13,0)/1000</f>
        <v>-10.14336</v>
      </c>
      <c r="AX97" s="141">
        <f t="shared" si="59"/>
        <v>-0.27669615296065</v>
      </c>
      <c r="AY97" s="142">
        <f t="shared" si="60"/>
        <v>-0.0105799010805892</v>
      </c>
      <c r="AZ97" s="121"/>
      <c r="BA97" s="143">
        <f t="shared" si="35"/>
        <v>-143.15613</v>
      </c>
      <c r="BB97" s="141">
        <f t="shared" si="36"/>
        <v>-4.03844169279224</v>
      </c>
      <c r="BC97" s="142">
        <f t="shared" si="61"/>
        <v>-0.0110262813245168</v>
      </c>
    </row>
    <row r="98" outlineLevel="1" spans="1:55">
      <c r="A98" s="140">
        <v>6666010207</v>
      </c>
      <c r="B98" s="140">
        <v>6666010207</v>
      </c>
      <c r="C98" s="140" t="s">
        <v>141</v>
      </c>
      <c r="D98" s="140" t="s">
        <v>137</v>
      </c>
      <c r="E98" s="141">
        <f>VLOOKUP(B98,'2024 by account '!$A$2:$M$102,2,0)/1000</f>
        <v>34.94978</v>
      </c>
      <c r="F98" s="141">
        <f t="shared" si="37"/>
        <v>1.06500632303872</v>
      </c>
      <c r="G98" s="142">
        <f t="shared" si="38"/>
        <v>0.066376212093407</v>
      </c>
      <c r="H98" s="121"/>
      <c r="I98" s="143">
        <f>VLOOKUP(B98,'2024 by account '!$A$2:$M$102,3,0)/1000</f>
        <v>32.85788</v>
      </c>
      <c r="J98" s="141">
        <f t="shared" si="68"/>
        <v>0.987779127235122</v>
      </c>
      <c r="K98" s="142">
        <f t="shared" si="40"/>
        <v>0.0500090688150629</v>
      </c>
      <c r="L98" s="144"/>
      <c r="M98" s="141">
        <f>VLOOKUP(B98,'2024 by account '!$A$2:$M$102,4,0)/1000</f>
        <v>44.47735</v>
      </c>
      <c r="N98" s="141">
        <f t="shared" si="69"/>
        <v>1.27724428465177</v>
      </c>
      <c r="O98" s="142">
        <f t="shared" si="42"/>
        <v>0.0637442873010813</v>
      </c>
      <c r="P98" s="144"/>
      <c r="Q98" s="141">
        <f>VLOOKUP(B98,'2024 by account '!$A$2:$M$102,5,0)/1000</f>
        <v>41.16978</v>
      </c>
      <c r="R98" s="141">
        <f t="shared" si="43"/>
        <v>1.18670206326421</v>
      </c>
      <c r="S98" s="142">
        <f t="shared" si="44"/>
        <v>0.0423172293714728</v>
      </c>
      <c r="T98" s="144"/>
      <c r="U98" s="141">
        <f>VLOOKUP(B98,'2024 by account '!$A$2:$M$102,6,0)/1000</f>
        <v>39.54016</v>
      </c>
      <c r="V98" s="141">
        <f t="shared" si="45"/>
        <v>1.1342396121685</v>
      </c>
      <c r="W98" s="142">
        <f t="shared" si="46"/>
        <v>0.0278040793295215</v>
      </c>
      <c r="X98" s="144"/>
      <c r="Y98" s="141">
        <f>VLOOKUP(B98,'2024 by account '!$A$2:$M$102,7,0)/1000</f>
        <v>45.37699</v>
      </c>
      <c r="Z98" s="141">
        <f t="shared" si="47"/>
        <v>1.29401939731996</v>
      </c>
      <c r="AA98" s="142">
        <f t="shared" si="48"/>
        <v>0.0417749030643067</v>
      </c>
      <c r="AB98" s="144"/>
      <c r="AC98" s="141">
        <f>VLOOKUP(B98,'2024 by account '!$A$2:$M$102,8,0)/1000</f>
        <v>47.23476</v>
      </c>
      <c r="AD98" s="141">
        <f t="shared" si="49"/>
        <v>1.32321742224115</v>
      </c>
      <c r="AE98" s="142">
        <f t="shared" si="50"/>
        <v>0.038379714657341</v>
      </c>
      <c r="AF98" s="144"/>
      <c r="AG98" s="141">
        <f>VLOOKUP(B98,'2024 by account '!$A$2:$M$102,9,0)/1000</f>
        <v>49.18515</v>
      </c>
      <c r="AH98" s="141">
        <f t="shared" si="51"/>
        <v>1.32539517863206</v>
      </c>
      <c r="AI98" s="142">
        <f t="shared" si="52"/>
        <v>0.0518177800700625</v>
      </c>
      <c r="AJ98" s="144"/>
      <c r="AK98" s="141">
        <f>VLOOKUP(B98,'2024 by account '!$A$2:$M$102,10,0)/1000</f>
        <v>45.79336</v>
      </c>
      <c r="AL98" s="141">
        <f t="shared" si="53"/>
        <v>1.21070149413263</v>
      </c>
      <c r="AM98" s="142">
        <f t="shared" si="54"/>
        <v>0.0301890458341471</v>
      </c>
      <c r="AN98" s="144"/>
      <c r="AO98" s="141">
        <f>VLOOKUP(B98,'2024 by account '!$A$2:$M$102,11,0)/1000</f>
        <v>42.46049</v>
      </c>
      <c r="AP98" s="141">
        <f t="shared" si="55"/>
        <v>1.1369089629996</v>
      </c>
      <c r="AQ98" s="142">
        <f t="shared" si="56"/>
        <v>0.0276035876125866</v>
      </c>
      <c r="AR98" s="144"/>
      <c r="AS98" s="141">
        <f>VLOOKUP(B98,'2024 by account '!$A$2:$M$102,12,0)/1000</f>
        <v>42.23421</v>
      </c>
      <c r="AT98" s="141">
        <f t="shared" si="57"/>
        <v>1.15319342393041</v>
      </c>
      <c r="AU98" s="142">
        <f t="shared" si="58"/>
        <v>0.0267500214319278</v>
      </c>
      <c r="AV98" s="144"/>
      <c r="AW98" s="143">
        <f>VLOOKUP(B98,'2024 by account '!$A$2:$M$102,13,0)/1000</f>
        <v>38.21589</v>
      </c>
      <c r="AX98" s="141">
        <f t="shared" si="59"/>
        <v>1.04247406628251</v>
      </c>
      <c r="AY98" s="142">
        <f t="shared" si="60"/>
        <v>0.0398605921417242</v>
      </c>
      <c r="AZ98" s="121"/>
      <c r="BA98" s="143">
        <f t="shared" si="35"/>
        <v>503.4958</v>
      </c>
      <c r="BB98" s="141">
        <f t="shared" si="36"/>
        <v>14.1368813558966</v>
      </c>
      <c r="BC98" s="142">
        <f t="shared" si="61"/>
        <v>0.0385983611350985</v>
      </c>
    </row>
    <row r="99" s="121" customFormat="1" outlineLevel="1" spans="1:55">
      <c r="A99" s="140"/>
      <c r="B99" s="140">
        <v>5102040406</v>
      </c>
      <c r="C99" s="140" t="s">
        <v>50</v>
      </c>
      <c r="D99" s="140" t="s">
        <v>44</v>
      </c>
      <c r="E99" s="141"/>
      <c r="F99" s="141">
        <f t="shared" si="37"/>
        <v>0</v>
      </c>
      <c r="G99" s="142">
        <f t="shared" si="38"/>
        <v>0</v>
      </c>
      <c r="I99" s="143"/>
      <c r="J99" s="141"/>
      <c r="K99" s="142">
        <f t="shared" si="40"/>
        <v>0</v>
      </c>
      <c r="L99" s="144"/>
      <c r="M99" s="141"/>
      <c r="N99" s="141"/>
      <c r="O99" s="142">
        <f t="shared" si="42"/>
        <v>0</v>
      </c>
      <c r="P99" s="144"/>
      <c r="Q99" s="141"/>
      <c r="R99" s="141">
        <f t="shared" si="43"/>
        <v>0</v>
      </c>
      <c r="S99" s="142">
        <f t="shared" si="44"/>
        <v>0</v>
      </c>
      <c r="T99" s="144"/>
      <c r="U99" s="141"/>
      <c r="V99" s="141">
        <f t="shared" si="45"/>
        <v>0</v>
      </c>
      <c r="W99" s="142">
        <f t="shared" si="46"/>
        <v>0</v>
      </c>
      <c r="X99" s="144"/>
      <c r="Y99" s="141"/>
      <c r="Z99" s="141">
        <f t="shared" si="47"/>
        <v>0</v>
      </c>
      <c r="AA99" s="142">
        <f t="shared" si="48"/>
        <v>0</v>
      </c>
      <c r="AB99" s="144"/>
      <c r="AC99" s="141"/>
      <c r="AD99" s="141">
        <f t="shared" si="49"/>
        <v>0</v>
      </c>
      <c r="AE99" s="142">
        <f t="shared" si="50"/>
        <v>0</v>
      </c>
      <c r="AF99" s="144"/>
      <c r="AG99" s="141"/>
      <c r="AH99" s="141">
        <f t="shared" si="51"/>
        <v>0</v>
      </c>
      <c r="AI99" s="142">
        <f t="shared" si="52"/>
        <v>0</v>
      </c>
      <c r="AJ99" s="144"/>
      <c r="AK99" s="141"/>
      <c r="AL99" s="141">
        <f t="shared" si="53"/>
        <v>0</v>
      </c>
      <c r="AM99" s="142">
        <f t="shared" si="54"/>
        <v>0</v>
      </c>
      <c r="AN99" s="144"/>
      <c r="AO99" s="141"/>
      <c r="AP99" s="141">
        <f t="shared" si="55"/>
        <v>0</v>
      </c>
      <c r="AQ99" s="142">
        <f t="shared" si="56"/>
        <v>0</v>
      </c>
      <c r="AR99" s="144"/>
      <c r="AS99" s="141"/>
      <c r="AT99" s="141">
        <f t="shared" si="57"/>
        <v>0</v>
      </c>
      <c r="AU99" s="142">
        <f t="shared" si="58"/>
        <v>0</v>
      </c>
      <c r="AV99" s="144"/>
      <c r="AW99" s="143"/>
      <c r="AX99" s="141">
        <f t="shared" si="59"/>
        <v>0</v>
      </c>
      <c r="AY99" s="142">
        <f t="shared" si="60"/>
        <v>0</v>
      </c>
      <c r="BA99" s="143">
        <f t="shared" si="35"/>
        <v>0</v>
      </c>
      <c r="BB99" s="141">
        <f t="shared" si="36"/>
        <v>0</v>
      </c>
      <c r="BC99" s="142">
        <f t="shared" si="61"/>
        <v>0</v>
      </c>
    </row>
    <row r="100" outlineLevel="1" spans="1:55">
      <c r="A100" s="140">
        <v>6666010227</v>
      </c>
      <c r="B100" s="140">
        <v>6666010227</v>
      </c>
      <c r="C100" s="140" t="s">
        <v>142</v>
      </c>
      <c r="D100" s="140" t="s">
        <v>137</v>
      </c>
      <c r="E100" s="141">
        <f>VLOOKUP(B100,'2024 by account '!$A$2:$M$102,2,0)/1000</f>
        <v>16.81104</v>
      </c>
      <c r="F100" s="141">
        <f t="shared" si="37"/>
        <v>0.512274008501821</v>
      </c>
      <c r="G100" s="142">
        <f t="shared" si="38"/>
        <v>0.0319273299159751</v>
      </c>
      <c r="H100" s="121"/>
      <c r="I100" s="143">
        <f>VLOOKUP(B100,'2024 by account '!$A$2:$M$102,3,0)/1000</f>
        <v>-227.41433</v>
      </c>
      <c r="J100" s="141">
        <f t="shared" si="68"/>
        <v>-6.83656792246365</v>
      </c>
      <c r="K100" s="142">
        <f t="shared" si="40"/>
        <v>-0.346120287690545</v>
      </c>
      <c r="L100" s="144"/>
      <c r="M100" s="141">
        <f>VLOOKUP(B100,'2024 by account '!$A$2:$M$102,4,0)/1000</f>
        <v>288.83811</v>
      </c>
      <c r="N100" s="141">
        <f t="shared" si="69"/>
        <v>8.29448753550106</v>
      </c>
      <c r="O100" s="142">
        <f t="shared" si="42"/>
        <v>0.413958553451169</v>
      </c>
      <c r="P100" s="144"/>
      <c r="Q100" s="141">
        <f>VLOOKUP(B100,'2024 by account '!$A$2:$M$102,5,0)/1000</f>
        <v>34.62872</v>
      </c>
      <c r="R100" s="141">
        <f t="shared" si="43"/>
        <v>0.998158685137465</v>
      </c>
      <c r="S100" s="142">
        <f t="shared" si="44"/>
        <v>0.0355938624661222</v>
      </c>
      <c r="T100" s="144"/>
      <c r="U100" s="141">
        <f>VLOOKUP(B100,'2024 by account '!$A$2:$M$102,6,0)/1000</f>
        <v>31.75397</v>
      </c>
      <c r="V100" s="141">
        <f t="shared" si="45"/>
        <v>0.910886820326731</v>
      </c>
      <c r="W100" s="142">
        <f t="shared" si="46"/>
        <v>0.0223289410287476</v>
      </c>
      <c r="X100" s="144"/>
      <c r="Y100" s="141">
        <f>VLOOKUP(B100,'2024 by account '!$A$2:$M$102,7,0)/1000</f>
        <v>33.15743</v>
      </c>
      <c r="Z100" s="141">
        <f t="shared" si="47"/>
        <v>0.945553188637653</v>
      </c>
      <c r="AA100" s="142">
        <f t="shared" si="48"/>
        <v>0.0305253482902135</v>
      </c>
      <c r="AB100" s="144"/>
      <c r="AC100" s="141">
        <f>VLOOKUP(B100,'2024 by account '!$A$2:$M$102,8,0)/1000</f>
        <v>23.25534</v>
      </c>
      <c r="AD100" s="141">
        <f t="shared" si="49"/>
        <v>0.651466653967151</v>
      </c>
      <c r="AE100" s="142">
        <f t="shared" si="50"/>
        <v>0.0188956885450344</v>
      </c>
      <c r="AF100" s="144"/>
      <c r="AG100" s="141">
        <f>VLOOKUP(B100,'2024 by account '!$A$2:$M$102,9,0)/1000</f>
        <v>38.51535</v>
      </c>
      <c r="AH100" s="141">
        <f t="shared" si="51"/>
        <v>1.03787543991075</v>
      </c>
      <c r="AI100" s="142">
        <f t="shared" si="52"/>
        <v>0.0405768801278736</v>
      </c>
      <c r="AJ100" s="144"/>
      <c r="AK100" s="141">
        <f>VLOOKUP(B100,'2024 by account '!$A$2:$M$102,10,0)/1000</f>
        <v>97.61408</v>
      </c>
      <c r="AL100" s="141">
        <f t="shared" si="53"/>
        <v>2.58075652243868</v>
      </c>
      <c r="AM100" s="142">
        <f t="shared" si="54"/>
        <v>0.064351598903817</v>
      </c>
      <c r="AN100" s="144"/>
      <c r="AO100" s="141">
        <f>VLOOKUP(B100,'2024 by account '!$A$2:$M$102,11,0)/1000</f>
        <v>39.33763</v>
      </c>
      <c r="AP100" s="141">
        <f t="shared" si="55"/>
        <v>1.05329222837895</v>
      </c>
      <c r="AQ100" s="142">
        <f t="shared" si="56"/>
        <v>0.025573414630319</v>
      </c>
      <c r="AR100" s="144"/>
      <c r="AS100" s="141">
        <f>VLOOKUP(B100,'2024 by account '!$A$2:$M$102,12,0)/1000</f>
        <v>42.4987</v>
      </c>
      <c r="AT100" s="141">
        <f t="shared" si="57"/>
        <v>1.16041525023414</v>
      </c>
      <c r="AU100" s="142">
        <f t="shared" si="58"/>
        <v>0.0269175423389965</v>
      </c>
      <c r="AV100" s="144"/>
      <c r="AW100" s="143">
        <f>VLOOKUP(B100,'2024 by account '!$A$2:$M$102,13,0)/1000</f>
        <v>40.80623</v>
      </c>
      <c r="AX100" s="141">
        <f t="shared" si="59"/>
        <v>1.11313478549785</v>
      </c>
      <c r="AY100" s="142">
        <f t="shared" si="60"/>
        <v>0.0425624129353363</v>
      </c>
      <c r="AZ100" s="121"/>
      <c r="BA100" s="143">
        <f t="shared" si="35"/>
        <v>459.80227</v>
      </c>
      <c r="BB100" s="141">
        <f t="shared" si="36"/>
        <v>12.4217331960686</v>
      </c>
      <c r="BC100" s="142">
        <f t="shared" si="61"/>
        <v>0.0339154394632951</v>
      </c>
    </row>
    <row r="101" s="120" customFormat="1" spans="1:55">
      <c r="B101" s="148" t="s">
        <v>135</v>
      </c>
      <c r="C101" s="149" t="s">
        <v>137</v>
      </c>
      <c r="D101" s="150"/>
      <c r="E101" s="151">
        <f>SUM(E94:E100)</f>
        <v>3520.24712</v>
      </c>
      <c r="F101" s="151">
        <f t="shared" si="37"/>
        <v>107.270644949949</v>
      </c>
      <c r="G101" s="152">
        <f t="shared" si="38"/>
        <v>6.68561202554995</v>
      </c>
      <c r="H101" s="121"/>
      <c r="I101" s="151">
        <f>SUM(I94:I100)</f>
        <v>2611.55605</v>
      </c>
      <c r="J101" s="151">
        <f>SUM(J94:J100)</f>
        <v>78.5090381909789</v>
      </c>
      <c r="K101" s="152">
        <f t="shared" si="40"/>
        <v>3.97473866904511</v>
      </c>
      <c r="L101" s="153"/>
      <c r="M101" s="154">
        <f>SUM(M94:M100)</f>
        <v>3557.25583</v>
      </c>
      <c r="N101" s="151">
        <f>SUM(N94:N100)</f>
        <v>102.152773893042</v>
      </c>
      <c r="O101" s="152">
        <f t="shared" si="42"/>
        <v>5.09820701168047</v>
      </c>
      <c r="P101" s="153"/>
      <c r="Q101" s="151">
        <f>SUM(Q94:Q100)</f>
        <v>2644.44041</v>
      </c>
      <c r="R101" s="151">
        <f t="shared" si="43"/>
        <v>76.2249128056127</v>
      </c>
      <c r="S101" s="152">
        <f t="shared" si="44"/>
        <v>2.71814402188114</v>
      </c>
      <c r="T101" s="153"/>
      <c r="U101" s="151">
        <f>SUM(U94:U100)</f>
        <v>2651.83092</v>
      </c>
      <c r="V101" s="151">
        <f t="shared" si="45"/>
        <v>76.0697901636523</v>
      </c>
      <c r="W101" s="152">
        <f t="shared" si="46"/>
        <v>1.86472986624632</v>
      </c>
      <c r="X101" s="153"/>
      <c r="Y101" s="151">
        <f>SUM(Y94:Y100)</f>
        <v>3066.89168</v>
      </c>
      <c r="Z101" s="151">
        <f t="shared" si="47"/>
        <v>87.4588050771815</v>
      </c>
      <c r="AA101" s="152">
        <f t="shared" si="48"/>
        <v>2.82343766390694</v>
      </c>
      <c r="AB101" s="153"/>
      <c r="AC101" s="151">
        <f>SUM(AC94:AC100)</f>
        <v>3496.72829</v>
      </c>
      <c r="AD101" s="151">
        <f t="shared" si="49"/>
        <v>97.956077138351</v>
      </c>
      <c r="AE101" s="152">
        <f t="shared" si="50"/>
        <v>2.84120071753201</v>
      </c>
      <c r="AF101" s="153"/>
      <c r="AG101" s="151">
        <f>SUM(AG94:AG100)</f>
        <v>3925.00394</v>
      </c>
      <c r="AH101" s="151">
        <f t="shared" si="51"/>
        <v>105.767315911161</v>
      </c>
      <c r="AI101" s="152">
        <f t="shared" si="52"/>
        <v>4.13508937020725</v>
      </c>
      <c r="AJ101" s="153"/>
      <c r="AK101" s="151">
        <f>SUM(AK94:AK100)</f>
        <v>3464.07784</v>
      </c>
      <c r="AL101" s="151">
        <f t="shared" si="53"/>
        <v>91.5845488664677</v>
      </c>
      <c r="AM101" s="152">
        <f t="shared" si="54"/>
        <v>2.28367616363624</v>
      </c>
      <c r="AN101" s="153"/>
      <c r="AO101" s="151">
        <f>SUM(AO94:AO100)</f>
        <v>3795.62081</v>
      </c>
      <c r="AP101" s="151">
        <f t="shared" si="55"/>
        <v>101.630370234465</v>
      </c>
      <c r="AQ101" s="152">
        <f t="shared" si="56"/>
        <v>2.46753515027716</v>
      </c>
      <c r="AR101" s="153"/>
      <c r="AS101" s="151">
        <f>SUM(AS94:AS100)</f>
        <v>3410.61919</v>
      </c>
      <c r="AT101" s="151">
        <f t="shared" si="57"/>
        <v>93.1260137561197</v>
      </c>
      <c r="AU101" s="152">
        <f t="shared" si="58"/>
        <v>2.16019516947622</v>
      </c>
      <c r="AV101" s="153"/>
      <c r="AW101" s="151">
        <f>SUM(AW94:AW100)</f>
        <v>2686.42858</v>
      </c>
      <c r="AX101" s="151">
        <f t="shared" si="59"/>
        <v>73.2818763496063</v>
      </c>
      <c r="AY101" s="152">
        <f t="shared" si="60"/>
        <v>2.80204475010921</v>
      </c>
      <c r="AZ101" s="155"/>
      <c r="BA101" s="151">
        <f t="shared" ref="BA101:BA117" si="70">SUM(AW101,AS101,AO101,AK101,AG101,AC101,Y101,U101,Q101,M101,I101,E101)</f>
        <v>38830.70066</v>
      </c>
      <c r="BB101" s="151">
        <f t="shared" ref="BB101:BB117" si="71">SUM(AX101,AT101,AP101,AL101,AH101,AD101,Z101,V101,R101,N101,J101,F101)</f>
        <v>1091.03216733659</v>
      </c>
      <c r="BC101" s="152">
        <f t="shared" si="61"/>
        <v>2.97887861860717</v>
      </c>
    </row>
    <row r="102" outlineLevel="1" spans="1:55">
      <c r="A102" s="140">
        <v>6666020903</v>
      </c>
      <c r="B102" s="140">
        <v>6666020903</v>
      </c>
      <c r="C102" s="140" t="s">
        <v>143</v>
      </c>
      <c r="D102" s="140" t="s">
        <v>144</v>
      </c>
      <c r="E102" s="141">
        <f>VLOOKUP(B102,'2024 by account '!$A$2:$M$102,2,0)/1000</f>
        <v>0</v>
      </c>
      <c r="F102" s="141">
        <f t="shared" si="37"/>
        <v>0</v>
      </c>
      <c r="G102" s="142">
        <f t="shared" si="38"/>
        <v>0</v>
      </c>
      <c r="H102" s="121"/>
      <c r="I102" s="143">
        <f>VLOOKUP(B102,'2024 by account '!$A$2:$M$102,3,0)/1000</f>
        <v>0</v>
      </c>
      <c r="J102" s="141">
        <f t="shared" ref="J102:J115" si="72">I102/$J$2</f>
        <v>0</v>
      </c>
      <c r="K102" s="142">
        <f t="shared" si="40"/>
        <v>0</v>
      </c>
      <c r="L102" s="144"/>
      <c r="M102" s="141">
        <f>VLOOKUP(B102,'2024 by account '!$A$2:$M$102,4,0)/1000</f>
        <v>0</v>
      </c>
      <c r="N102" s="141">
        <f t="shared" ref="N102:N115" si="73">M102/$N$2</f>
        <v>0</v>
      </c>
      <c r="O102" s="142">
        <f t="shared" si="42"/>
        <v>0</v>
      </c>
      <c r="P102" s="144"/>
      <c r="Q102" s="141">
        <f>VLOOKUP(B102,'2024 by account '!$A$2:$M$102,5,0)/1000</f>
        <v>0</v>
      </c>
      <c r="R102" s="141">
        <f t="shared" si="43"/>
        <v>0</v>
      </c>
      <c r="S102" s="142">
        <f t="shared" si="44"/>
        <v>0</v>
      </c>
      <c r="T102" s="144"/>
      <c r="U102" s="141">
        <f>VLOOKUP(B102,'2024 by account '!$A$2:$M$102,6,0)/1000</f>
        <v>0</v>
      </c>
      <c r="V102" s="141">
        <f t="shared" si="45"/>
        <v>0</v>
      </c>
      <c r="W102" s="142">
        <f t="shared" si="46"/>
        <v>0</v>
      </c>
      <c r="X102" s="144"/>
      <c r="Y102" s="141">
        <f>VLOOKUP(B102,'2024 by account '!$A$2:$M$102,7,0)/1000</f>
        <v>0</v>
      </c>
      <c r="Z102" s="141">
        <f t="shared" si="47"/>
        <v>0</v>
      </c>
      <c r="AA102" s="142">
        <f t="shared" si="48"/>
        <v>0</v>
      </c>
      <c r="AB102" s="144"/>
      <c r="AC102" s="141">
        <f>VLOOKUP(B102,'2024 by account '!$A$2:$M$102,8,0)/1000</f>
        <v>0</v>
      </c>
      <c r="AD102" s="141">
        <f t="shared" si="49"/>
        <v>0</v>
      </c>
      <c r="AE102" s="142">
        <f t="shared" si="50"/>
        <v>0</v>
      </c>
      <c r="AF102" s="144"/>
      <c r="AG102" s="141">
        <f>VLOOKUP(B102,'2024 by account '!$A$2:$M$102,9,0)/1000</f>
        <v>0</v>
      </c>
      <c r="AH102" s="141">
        <f t="shared" si="51"/>
        <v>0</v>
      </c>
      <c r="AI102" s="142">
        <f t="shared" si="52"/>
        <v>0</v>
      </c>
      <c r="AJ102" s="144"/>
      <c r="AK102" s="141">
        <f>VLOOKUP(B102,'2024 by account '!$A$2:$M$102,10,0)/1000</f>
        <v>0</v>
      </c>
      <c r="AL102" s="141">
        <f t="shared" si="53"/>
        <v>0</v>
      </c>
      <c r="AM102" s="142">
        <f t="shared" si="54"/>
        <v>0</v>
      </c>
      <c r="AN102" s="144"/>
      <c r="AO102" s="141">
        <f>VLOOKUP(B102,'2024 by account '!$A$2:$M$102,11,0)/1000</f>
        <v>0</v>
      </c>
      <c r="AP102" s="141">
        <f t="shared" si="55"/>
        <v>0</v>
      </c>
      <c r="AQ102" s="142">
        <f t="shared" si="56"/>
        <v>0</v>
      </c>
      <c r="AR102" s="144"/>
      <c r="AS102" s="141">
        <f>VLOOKUP(B102,'2024 by account '!$A$2:$M$102,12,0)/1000</f>
        <v>0</v>
      </c>
      <c r="AT102" s="141">
        <f t="shared" si="57"/>
        <v>0</v>
      </c>
      <c r="AU102" s="142">
        <f t="shared" si="58"/>
        <v>0</v>
      </c>
      <c r="AV102" s="144"/>
      <c r="AW102" s="143">
        <f>VLOOKUP(B102,'2024 by account '!$A$2:$M$102,13,0)/1000</f>
        <v>0</v>
      </c>
      <c r="AX102" s="141">
        <f t="shared" si="59"/>
        <v>0</v>
      </c>
      <c r="AY102" s="142">
        <f t="shared" si="60"/>
        <v>0</v>
      </c>
      <c r="AZ102" s="121"/>
      <c r="BA102" s="143">
        <f t="shared" si="70"/>
        <v>0</v>
      </c>
      <c r="BB102" s="141">
        <f t="shared" si="71"/>
        <v>0</v>
      </c>
      <c r="BC102" s="142">
        <f t="shared" si="61"/>
        <v>0</v>
      </c>
    </row>
    <row r="103" outlineLevel="1" spans="1:55">
      <c r="A103" s="140">
        <v>6666010302</v>
      </c>
      <c r="B103" s="140">
        <v>6666010302</v>
      </c>
      <c r="C103" s="140" t="s">
        <v>145</v>
      </c>
      <c r="D103" s="140" t="s">
        <v>144</v>
      </c>
      <c r="E103" s="141">
        <f>VLOOKUP(B103,'2024 by account '!$A$2:$M$102,2,0)/1000</f>
        <v>3.5</v>
      </c>
      <c r="F103" s="141">
        <f t="shared" si="37"/>
        <v>0.106653665077019</v>
      </c>
      <c r="G103" s="142">
        <f t="shared" si="38"/>
        <v>0.00664715893281516</v>
      </c>
      <c r="H103" s="121"/>
      <c r="I103" s="143">
        <f>VLOOKUP(B103,'2024 by account '!$A$2:$M$102,3,0)/1000</f>
        <v>103.5</v>
      </c>
      <c r="J103" s="141">
        <f t="shared" si="72"/>
        <v>3.11143444643523</v>
      </c>
      <c r="K103" s="142">
        <f t="shared" si="40"/>
        <v>0.157525032727583</v>
      </c>
      <c r="L103" s="144"/>
      <c r="M103" s="141">
        <f>VLOOKUP(B103,'2024 by account '!$A$2:$M$102,4,0)/1000</f>
        <v>-50</v>
      </c>
      <c r="N103" s="141">
        <f t="shared" si="73"/>
        <v>-1.43583676259013</v>
      </c>
      <c r="O103" s="142">
        <f t="shared" si="42"/>
        <v>-0.0716592684828135</v>
      </c>
      <c r="P103" s="144"/>
      <c r="Q103" s="141">
        <f>VLOOKUP(B103,'2024 by account '!$A$2:$M$102,5,0)/1000</f>
        <v>-9.51235</v>
      </c>
      <c r="R103" s="141">
        <f t="shared" si="43"/>
        <v>-0.274189596628676</v>
      </c>
      <c r="S103" s="142">
        <f t="shared" si="44"/>
        <v>-0.0097774701932274</v>
      </c>
      <c r="T103" s="144"/>
      <c r="U103" s="141">
        <f>VLOOKUP(B103,'2024 by account '!$A$2:$M$102,6,0)/1000</f>
        <v>2.75705</v>
      </c>
      <c r="V103" s="141">
        <f t="shared" si="45"/>
        <v>0.0790880796316748</v>
      </c>
      <c r="W103" s="142">
        <f t="shared" si="46"/>
        <v>0.00193871842995722</v>
      </c>
      <c r="X103" s="144"/>
      <c r="Y103" s="141">
        <f>VLOOKUP(B103,'2024 by account '!$A$2:$M$102,7,0)/1000</f>
        <v>1484</v>
      </c>
      <c r="Z103" s="141">
        <f t="shared" si="47"/>
        <v>42.3193514074606</v>
      </c>
      <c r="AA103" s="142">
        <f t="shared" si="48"/>
        <v>1.36619806971399</v>
      </c>
      <c r="AB103" s="144"/>
      <c r="AC103" s="141">
        <f>VLOOKUP(B103,'2024 by account '!$A$2:$M$102,8,0)/1000</f>
        <v>210.07767</v>
      </c>
      <c r="AD103" s="141">
        <f t="shared" si="49"/>
        <v>5.88503959727595</v>
      </c>
      <c r="AE103" s="142">
        <f t="shared" si="50"/>
        <v>0.170694654328275</v>
      </c>
      <c r="AF103" s="144"/>
      <c r="AG103" s="141">
        <f>VLOOKUP(B103,'2024 by account '!$A$2:$M$102,9,0)/1000</f>
        <v>10.8886</v>
      </c>
      <c r="AH103" s="141">
        <f t="shared" si="51"/>
        <v>0.293415755406927</v>
      </c>
      <c r="AI103" s="142">
        <f t="shared" si="52"/>
        <v>0.0114714111895741</v>
      </c>
      <c r="AJ103" s="144"/>
      <c r="AK103" s="141">
        <f>VLOOKUP(B103,'2024 by account '!$A$2:$M$102,10,0)/1000</f>
        <v>3.5093</v>
      </c>
      <c r="AL103" s="141">
        <f t="shared" si="53"/>
        <v>0.092780148767412</v>
      </c>
      <c r="AM103" s="142">
        <f t="shared" si="54"/>
        <v>0.00231348864869868</v>
      </c>
      <c r="AN103" s="144"/>
      <c r="AO103" s="141">
        <f>VLOOKUP(B103,'2024 by account '!$A$2:$M$102,11,0)/1000</f>
        <v>0</v>
      </c>
      <c r="AP103" s="141">
        <f t="shared" si="55"/>
        <v>0</v>
      </c>
      <c r="AQ103" s="142">
        <f t="shared" si="56"/>
        <v>0</v>
      </c>
      <c r="AR103" s="144"/>
      <c r="AS103" s="141">
        <f>VLOOKUP(B103,'2024 by account '!$A$2:$M$102,12,0)/1000</f>
        <v>0</v>
      </c>
      <c r="AT103" s="141">
        <f t="shared" si="57"/>
        <v>0</v>
      </c>
      <c r="AU103" s="142">
        <f t="shared" si="58"/>
        <v>0</v>
      </c>
      <c r="AV103" s="144"/>
      <c r="AW103" s="143">
        <f>VLOOKUP(B103,'2024 by account '!$A$2:$M$102,13,0)/1000</f>
        <v>-4.4</v>
      </c>
      <c r="AX103" s="141">
        <f t="shared" si="59"/>
        <v>-0.120025620014163</v>
      </c>
      <c r="AY103" s="142">
        <f t="shared" si="60"/>
        <v>-0.00458936336229737</v>
      </c>
      <c r="AZ103" s="121"/>
      <c r="BA103" s="143">
        <f t="shared" si="70"/>
        <v>1754.32027</v>
      </c>
      <c r="BB103" s="141">
        <f t="shared" si="71"/>
        <v>50.0577111208219</v>
      </c>
      <c r="BC103" s="142">
        <f t="shared" si="61"/>
        <v>0.136674105327481</v>
      </c>
    </row>
    <row r="104" outlineLevel="1" spans="1:55">
      <c r="A104" s="140">
        <v>6666010314</v>
      </c>
      <c r="B104" s="140">
        <v>6666010314</v>
      </c>
      <c r="C104" s="140" t="s">
        <v>146</v>
      </c>
      <c r="D104" s="140" t="s">
        <v>144</v>
      </c>
      <c r="E104" s="141">
        <f>VLOOKUP(B104,'2024 by account '!$A$2:$M$102,2,0)/1000</f>
        <v>383.08071</v>
      </c>
      <c r="F104" s="141">
        <f t="shared" si="37"/>
        <v>11.6734176405162</v>
      </c>
      <c r="G104" s="142">
        <f t="shared" si="38"/>
        <v>0.727542389561621</v>
      </c>
      <c r="H104" s="121"/>
      <c r="I104" s="143">
        <f>VLOOKUP(B104,'2024 by account '!$A$2:$M$102,3,0)/1000</f>
        <v>383.23687</v>
      </c>
      <c r="J104" s="141">
        <f t="shared" si="72"/>
        <v>11.5209313861065</v>
      </c>
      <c r="K104" s="142">
        <f t="shared" si="40"/>
        <v>0.583279231779388</v>
      </c>
      <c r="L104" s="144"/>
      <c r="M104" s="141">
        <f>VLOOKUP(B104,'2024 by account '!$A$2:$M$102,4,0)/1000</f>
        <v>574.24682</v>
      </c>
      <c r="N104" s="141">
        <f t="shared" si="73"/>
        <v>16.4904938991296</v>
      </c>
      <c r="O104" s="142">
        <f t="shared" si="42"/>
        <v>0.823002140995638</v>
      </c>
      <c r="P104" s="144"/>
      <c r="Q104" s="141">
        <f>VLOOKUP(B104,'2024 by account '!$A$2:$M$102,5,0)/1000</f>
        <v>861.21161</v>
      </c>
      <c r="R104" s="141">
        <f t="shared" si="43"/>
        <v>24.824072280544</v>
      </c>
      <c r="S104" s="142">
        <f t="shared" si="44"/>
        <v>0.885214573353207</v>
      </c>
      <c r="T104" s="144"/>
      <c r="U104" s="141">
        <f>VLOOKUP(B104,'2024 by account '!$A$2:$M$102,6,0)/1000</f>
        <v>387.73323</v>
      </c>
      <c r="V104" s="141">
        <f t="shared" si="45"/>
        <v>11.1224230863011</v>
      </c>
      <c r="W104" s="142">
        <f t="shared" si="46"/>
        <v>0.272648504346255</v>
      </c>
      <c r="X104" s="144"/>
      <c r="Y104" s="141">
        <f>VLOOKUP(B104,'2024 by account '!$A$2:$M$102,7,0)/1000</f>
        <v>383.15879</v>
      </c>
      <c r="Z104" s="141">
        <f t="shared" si="47"/>
        <v>10.9265710774039</v>
      </c>
      <c r="AA104" s="142">
        <f t="shared" si="48"/>
        <v>0.352743126207513</v>
      </c>
      <c r="AB104" s="144"/>
      <c r="AC104" s="141">
        <f>VLOOKUP(B104,'2024 by account '!$A$2:$M$102,8,0)/1000</f>
        <v>400.40894</v>
      </c>
      <c r="AD104" s="141">
        <f t="shared" si="49"/>
        <v>11.2169107121347</v>
      </c>
      <c r="AE104" s="142">
        <f t="shared" si="50"/>
        <v>0.325344743224024</v>
      </c>
      <c r="AF104" s="144"/>
      <c r="AG104" s="141">
        <f>VLOOKUP(B104,'2024 by account '!$A$2:$M$102,9,0)/1000</f>
        <v>383.15879</v>
      </c>
      <c r="AH104" s="141">
        <f t="shared" si="51"/>
        <v>10.3250028294413</v>
      </c>
      <c r="AI104" s="142">
        <f t="shared" si="52"/>
        <v>0.403667324632156</v>
      </c>
      <c r="AJ104" s="144"/>
      <c r="AK104" s="141">
        <f>VLOOKUP(B104,'2024 by account '!$A$2:$M$102,10,0)/1000</f>
        <v>388.66596</v>
      </c>
      <c r="AL104" s="141">
        <f t="shared" si="53"/>
        <v>10.2756919014131</v>
      </c>
      <c r="AM104" s="142">
        <f t="shared" si="54"/>
        <v>0.256226109650237</v>
      </c>
      <c r="AN104" s="144"/>
      <c r="AO104" s="141">
        <f>VLOOKUP(B104,'2024 by account '!$A$2:$M$102,11,0)/1000</f>
        <v>1733.75123</v>
      </c>
      <c r="AP104" s="141">
        <f t="shared" si="55"/>
        <v>46.4223873299292</v>
      </c>
      <c r="AQ104" s="142">
        <f t="shared" si="56"/>
        <v>1.12711261635781</v>
      </c>
      <c r="AR104" s="144"/>
      <c r="AS104" s="141">
        <f>VLOOKUP(B104,'2024 by account '!$A$2:$M$102,12,0)/1000</f>
        <v>50</v>
      </c>
      <c r="AT104" s="141">
        <f t="shared" si="57"/>
        <v>1.36523617220543</v>
      </c>
      <c r="AU104" s="142">
        <f t="shared" si="58"/>
        <v>0.0316686655580012</v>
      </c>
      <c r="AV104" s="144"/>
      <c r="AW104" s="143">
        <f>VLOOKUP(B104,'2024 by account '!$A$2:$M$102,13,0)/1000</f>
        <v>23.62986</v>
      </c>
      <c r="AX104" s="141">
        <f t="shared" si="59"/>
        <v>0.644588317579061</v>
      </c>
      <c r="AY104" s="142">
        <f t="shared" si="60"/>
        <v>0.0246468213045946</v>
      </c>
      <c r="AZ104" s="121"/>
      <c r="BA104" s="143">
        <f t="shared" si="70"/>
        <v>5952.28281</v>
      </c>
      <c r="BB104" s="141">
        <f t="shared" si="71"/>
        <v>166.807726632704</v>
      </c>
      <c r="BC104" s="142">
        <f t="shared" si="61"/>
        <v>0.455440256631165</v>
      </c>
    </row>
    <row r="105" outlineLevel="1" spans="1:55">
      <c r="A105" s="140">
        <v>6666020401</v>
      </c>
      <c r="B105" s="140">
        <v>6666020401</v>
      </c>
      <c r="C105" s="140" t="s">
        <v>148</v>
      </c>
      <c r="D105" s="140" t="s">
        <v>144</v>
      </c>
      <c r="E105" s="141">
        <f>VLOOKUP(B105,'2024 by account '!$A$2:$M$102,2,0)/1000</f>
        <v>551.22954</v>
      </c>
      <c r="F105" s="141">
        <f t="shared" si="37"/>
        <v>16.797328782777</v>
      </c>
      <c r="G105" s="142">
        <f t="shared" si="38"/>
        <v>1.04688867452645</v>
      </c>
      <c r="H105" s="121"/>
      <c r="I105" s="143">
        <f>VLOOKUP(B105,'2024 by account '!$A$2:$M$102,3,0)/1000</f>
        <v>866.73815</v>
      </c>
      <c r="J105" s="141">
        <f t="shared" si="72"/>
        <v>26.0560283666623</v>
      </c>
      <c r="K105" s="142">
        <f t="shared" si="40"/>
        <v>1.31915898980672</v>
      </c>
      <c r="L105" s="144"/>
      <c r="M105" s="141">
        <f>VLOOKUP(B105,'2024 by account '!$A$2:$M$102,4,0)/1000</f>
        <v>805.78304</v>
      </c>
      <c r="N105" s="141">
        <f t="shared" si="73"/>
        <v>23.1394582300727</v>
      </c>
      <c r="O105" s="142">
        <f t="shared" si="42"/>
        <v>1.15483646404515</v>
      </c>
      <c r="P105" s="144"/>
      <c r="Q105" s="141">
        <f>VLOOKUP(B105,'2024 by account '!$A$2:$M$102,5,0)/1000</f>
        <v>1016.40373</v>
      </c>
      <c r="R105" s="141">
        <f t="shared" si="43"/>
        <v>29.2974216403498</v>
      </c>
      <c r="S105" s="142">
        <f t="shared" si="44"/>
        <v>1.04473207717968</v>
      </c>
      <c r="T105" s="144"/>
      <c r="U105" s="141">
        <f>VLOOKUP(B105,'2024 by account '!$A$2:$M$102,6,0)/1000</f>
        <v>1205.39269</v>
      </c>
      <c r="V105" s="141">
        <f t="shared" si="45"/>
        <v>34.577607607464</v>
      </c>
      <c r="W105" s="142">
        <f t="shared" si="46"/>
        <v>0.847615031805266</v>
      </c>
      <c r="X105" s="144"/>
      <c r="Y105" s="141">
        <f>VLOOKUP(B105,'2024 by account '!$A$2:$M$102,7,0)/1000</f>
        <v>1068.24475</v>
      </c>
      <c r="Z105" s="141">
        <f t="shared" si="47"/>
        <v>30.4632243695586</v>
      </c>
      <c r="AA105" s="142">
        <f t="shared" si="48"/>
        <v>0.983446034657754</v>
      </c>
      <c r="AB105" s="144"/>
      <c r="AC105" s="141">
        <f>VLOOKUP(B105,'2024 by account '!$A$2:$M$102,8,0)/1000</f>
        <v>1199.22669</v>
      </c>
      <c r="AD105" s="141">
        <f t="shared" si="49"/>
        <v>33.5947012205542</v>
      </c>
      <c r="AE105" s="142">
        <f t="shared" si="50"/>
        <v>0.974409061709376</v>
      </c>
      <c r="AF105" s="144"/>
      <c r="AG105" s="141">
        <f>VLOOKUP(B105,'2024 by account '!$A$2:$M$102,9,0)/1000</f>
        <v>1156.32124</v>
      </c>
      <c r="AH105" s="141">
        <f t="shared" si="51"/>
        <v>31.1594576095802</v>
      </c>
      <c r="AI105" s="142">
        <f t="shared" si="52"/>
        <v>1.21821321485574</v>
      </c>
      <c r="AJ105" s="144"/>
      <c r="AK105" s="141">
        <f>VLOOKUP(B105,'2024 by account '!$A$2:$M$102,10,0)/1000</f>
        <v>1236.70813</v>
      </c>
      <c r="AL105" s="141">
        <f t="shared" si="53"/>
        <v>32.6965389916131</v>
      </c>
      <c r="AM105" s="142">
        <f t="shared" si="54"/>
        <v>0.815293711141361</v>
      </c>
      <c r="AN105" s="144"/>
      <c r="AO105" s="141">
        <f>VLOOKUP(B105,'2024 by account '!$A$2:$M$102,11,0)/1000</f>
        <v>1240.2933</v>
      </c>
      <c r="AP105" s="141">
        <f t="shared" si="55"/>
        <v>33.209710239292</v>
      </c>
      <c r="AQ105" s="142">
        <f t="shared" si="56"/>
        <v>0.806315348029524</v>
      </c>
      <c r="AR105" s="144"/>
      <c r="AS105" s="141">
        <f>VLOOKUP(B105,'2024 by account '!$A$2:$M$102,12,0)/1000</f>
        <v>1173.48173</v>
      </c>
      <c r="AT105" s="141">
        <f t="shared" si="57"/>
        <v>32.0415941043641</v>
      </c>
      <c r="AU105" s="142">
        <f t="shared" si="58"/>
        <v>0.743252008915892</v>
      </c>
      <c r="AV105" s="144"/>
      <c r="AW105" s="143">
        <f>VLOOKUP(B105,'2024 by account '!$A$2:$M$102,13,0)/1000</f>
        <v>1229.50899</v>
      </c>
      <c r="AX105" s="141">
        <f t="shared" si="59"/>
        <v>33.5392224631221</v>
      </c>
      <c r="AY105" s="142">
        <f t="shared" si="60"/>
        <v>1.28242352552755</v>
      </c>
      <c r="AZ105" s="121"/>
      <c r="BA105" s="143">
        <f t="shared" si="70"/>
        <v>12749.33198</v>
      </c>
      <c r="BB105" s="141">
        <f t="shared" si="71"/>
        <v>356.57229362541</v>
      </c>
      <c r="BC105" s="142">
        <f t="shared" si="61"/>
        <v>0.973560279218389</v>
      </c>
    </row>
    <row r="106" outlineLevel="1" spans="1:55">
      <c r="A106" s="140">
        <v>6666020402</v>
      </c>
      <c r="B106" s="140">
        <v>6666020402</v>
      </c>
      <c r="C106" s="140" t="s">
        <v>149</v>
      </c>
      <c r="D106" s="140" t="s">
        <v>144</v>
      </c>
      <c r="E106" s="141"/>
      <c r="F106" s="141">
        <f t="shared" si="37"/>
        <v>0</v>
      </c>
      <c r="G106" s="142">
        <f t="shared" si="38"/>
        <v>0</v>
      </c>
      <c r="H106" s="121"/>
      <c r="I106" s="143"/>
      <c r="J106" s="141"/>
      <c r="K106" s="142">
        <f t="shared" si="40"/>
        <v>0</v>
      </c>
      <c r="L106" s="144"/>
      <c r="M106" s="141"/>
      <c r="N106" s="141"/>
      <c r="O106" s="142">
        <f t="shared" si="42"/>
        <v>0</v>
      </c>
      <c r="P106" s="144"/>
      <c r="Q106" s="141"/>
      <c r="R106" s="141">
        <f t="shared" si="43"/>
        <v>0</v>
      </c>
      <c r="S106" s="142">
        <f t="shared" si="44"/>
        <v>0</v>
      </c>
      <c r="T106" s="144"/>
      <c r="U106" s="141"/>
      <c r="V106" s="141">
        <f t="shared" si="45"/>
        <v>0</v>
      </c>
      <c r="W106" s="142">
        <f t="shared" si="46"/>
        <v>0</v>
      </c>
      <c r="X106" s="144"/>
      <c r="Y106" s="141"/>
      <c r="Z106" s="141">
        <f t="shared" si="47"/>
        <v>0</v>
      </c>
      <c r="AA106" s="142">
        <f t="shared" si="48"/>
        <v>0</v>
      </c>
      <c r="AB106" s="144"/>
      <c r="AC106" s="141"/>
      <c r="AD106" s="141">
        <f t="shared" si="49"/>
        <v>0</v>
      </c>
      <c r="AE106" s="142">
        <f t="shared" si="50"/>
        <v>0</v>
      </c>
      <c r="AF106" s="144"/>
      <c r="AG106" s="141"/>
      <c r="AH106" s="141">
        <f t="shared" si="51"/>
        <v>0</v>
      </c>
      <c r="AI106" s="142">
        <f t="shared" si="52"/>
        <v>0</v>
      </c>
      <c r="AJ106" s="144"/>
      <c r="AK106" s="141"/>
      <c r="AL106" s="141">
        <f t="shared" si="53"/>
        <v>0</v>
      </c>
      <c r="AM106" s="142">
        <f t="shared" si="54"/>
        <v>0</v>
      </c>
      <c r="AN106" s="144"/>
      <c r="AO106" s="141"/>
      <c r="AP106" s="141">
        <f t="shared" si="55"/>
        <v>0</v>
      </c>
      <c r="AQ106" s="142">
        <f t="shared" si="56"/>
        <v>0</v>
      </c>
      <c r="AR106" s="144"/>
      <c r="AS106" s="141"/>
      <c r="AT106" s="141">
        <f t="shared" si="57"/>
        <v>0</v>
      </c>
      <c r="AU106" s="142">
        <f t="shared" si="58"/>
        <v>0</v>
      </c>
      <c r="AV106" s="144"/>
      <c r="AW106" s="143"/>
      <c r="AX106" s="141">
        <f t="shared" si="59"/>
        <v>0</v>
      </c>
      <c r="AY106" s="142">
        <f t="shared" si="60"/>
        <v>0</v>
      </c>
      <c r="AZ106" s="121"/>
      <c r="BA106" s="143">
        <f t="shared" si="70"/>
        <v>0</v>
      </c>
      <c r="BB106" s="141">
        <f t="shared" si="71"/>
        <v>0</v>
      </c>
      <c r="BC106" s="142">
        <f t="shared" si="61"/>
        <v>0</v>
      </c>
    </row>
    <row r="107" outlineLevel="1" spans="1:55">
      <c r="A107" s="140">
        <v>6666020502</v>
      </c>
      <c r="B107" s="140">
        <v>6666020502</v>
      </c>
      <c r="C107" s="140" t="s">
        <v>150</v>
      </c>
      <c r="D107" s="140" t="s">
        <v>144</v>
      </c>
      <c r="E107" s="141">
        <f>VLOOKUP(B107,'2024 by account '!$A$2:$M$102,2,0)/1000</f>
        <v>530.95469</v>
      </c>
      <c r="F107" s="141">
        <f t="shared" si="37"/>
        <v>16.179503908095</v>
      </c>
      <c r="G107" s="142">
        <f t="shared" si="38"/>
        <v>1.00838291730103</v>
      </c>
      <c r="H107" s="121"/>
      <c r="I107" s="143">
        <f>VLOOKUP(B107,'2024 by account '!$A$2:$M$102,3,0)/1000</f>
        <v>750.12084</v>
      </c>
      <c r="J107" s="141">
        <f t="shared" si="72"/>
        <v>22.550259135893</v>
      </c>
      <c r="K107" s="142">
        <f t="shared" si="40"/>
        <v>1.14166966058592</v>
      </c>
      <c r="L107" s="144"/>
      <c r="M107" s="141">
        <f>VLOOKUP(B107,'2024 by account '!$A$2:$M$102,4,0)/1000</f>
        <v>764.18697</v>
      </c>
      <c r="N107" s="141">
        <f t="shared" si="73"/>
        <v>21.9449549003673</v>
      </c>
      <c r="O107" s="142">
        <f t="shared" si="42"/>
        <v>1.09522158508596</v>
      </c>
      <c r="P107" s="144"/>
      <c r="Q107" s="141">
        <f>VLOOKUP(B107,'2024 by account '!$A$2:$M$102,5,0)/1000</f>
        <v>878.84055</v>
      </c>
      <c r="R107" s="141">
        <f t="shared" si="43"/>
        <v>25.3322192628976</v>
      </c>
      <c r="S107" s="142">
        <f t="shared" si="44"/>
        <v>0.903334852294604</v>
      </c>
      <c r="T107" s="144"/>
      <c r="U107" s="141">
        <f>VLOOKUP(B107,'2024 by account '!$A$2:$M$102,6,0)/1000</f>
        <v>1301.05457</v>
      </c>
      <c r="V107" s="141">
        <f t="shared" si="45"/>
        <v>37.3217415126002</v>
      </c>
      <c r="W107" s="142">
        <f t="shared" si="46"/>
        <v>0.914883108118846</v>
      </c>
      <c r="X107" s="144"/>
      <c r="Y107" s="141">
        <f>VLOOKUP(B107,'2024 by account '!$A$2:$M$102,7,0)/1000</f>
        <v>1031.10045</v>
      </c>
      <c r="Z107" s="141">
        <f t="shared" si="47"/>
        <v>29.4039772775881</v>
      </c>
      <c r="AA107" s="142">
        <f t="shared" si="48"/>
        <v>0.949250299508915</v>
      </c>
      <c r="AB107" s="144"/>
      <c r="AC107" s="141">
        <f>VLOOKUP(B107,'2024 by account '!$A$2:$M$102,8,0)/1000</f>
        <v>1262.07139</v>
      </c>
      <c r="AD107" s="141">
        <f t="shared" si="49"/>
        <v>35.3552098361482</v>
      </c>
      <c r="AE107" s="142">
        <f t="shared" si="50"/>
        <v>1.02547233912893</v>
      </c>
      <c r="AF107" s="144"/>
      <c r="AG107" s="141">
        <f>VLOOKUP(B107,'2024 by account '!$A$2:$M$102,9,0)/1000</f>
        <v>1085.83073</v>
      </c>
      <c r="AH107" s="141">
        <f t="shared" si="51"/>
        <v>29.2599456208333</v>
      </c>
      <c r="AI107" s="142">
        <f t="shared" si="52"/>
        <v>1.14394970759376</v>
      </c>
      <c r="AJ107" s="144"/>
      <c r="AK107" s="141">
        <f>VLOOKUP(B107,'2024 by account '!$A$2:$M$102,10,0)/1000</f>
        <v>1566.05693</v>
      </c>
      <c r="AL107" s="141">
        <f t="shared" si="53"/>
        <v>41.4039822596063</v>
      </c>
      <c r="AM107" s="142">
        <f t="shared" si="54"/>
        <v>1.03241527677056</v>
      </c>
      <c r="AN107" s="144"/>
      <c r="AO107" s="141">
        <f>VLOOKUP(B107,'2024 by account '!$A$2:$M$102,11,0)/1000</f>
        <v>1523.03038</v>
      </c>
      <c r="AP107" s="141">
        <f t="shared" si="55"/>
        <v>40.7801909479305</v>
      </c>
      <c r="AQ107" s="142">
        <f t="shared" si="56"/>
        <v>0.99012287731397</v>
      </c>
      <c r="AR107" s="144"/>
      <c r="AS107" s="141">
        <f>VLOOKUP(B107,'2024 by account '!$A$2:$M$102,12,0)/1000</f>
        <v>1401.31904</v>
      </c>
      <c r="AT107" s="141">
        <f t="shared" si="57"/>
        <v>38.2626288441638</v>
      </c>
      <c r="AU107" s="142">
        <f t="shared" si="58"/>
        <v>0.887558080356385</v>
      </c>
      <c r="AV107" s="144"/>
      <c r="AW107" s="143">
        <f>VLOOKUP(B107,'2024 by account '!$A$2:$M$102,13,0)/1000</f>
        <v>1328.30582</v>
      </c>
      <c r="AX107" s="141">
        <f t="shared" si="59"/>
        <v>36.2342567304366</v>
      </c>
      <c r="AY107" s="142">
        <f t="shared" si="60"/>
        <v>1.38547228732599</v>
      </c>
      <c r="AZ107" s="121"/>
      <c r="BA107" s="143">
        <f t="shared" si="70"/>
        <v>13422.87236</v>
      </c>
      <c r="BB107" s="141">
        <f t="shared" si="71"/>
        <v>374.02887023656</v>
      </c>
      <c r="BC107" s="142">
        <f t="shared" si="61"/>
        <v>1.02122250621576</v>
      </c>
    </row>
    <row r="108" outlineLevel="1" spans="1:55">
      <c r="A108" s="140">
        <v>6666020503</v>
      </c>
      <c r="B108" s="140">
        <v>6666020503</v>
      </c>
      <c r="C108" s="140" t="s">
        <v>151</v>
      </c>
      <c r="D108" s="140" t="s">
        <v>144</v>
      </c>
      <c r="E108" s="141">
        <f>VLOOKUP(B108,'2024 by account '!$A$2:$M$102,2,0)/1000</f>
        <v>32</v>
      </c>
      <c r="F108" s="141">
        <f t="shared" si="37"/>
        <v>0.975119223561318</v>
      </c>
      <c r="G108" s="142">
        <f t="shared" si="38"/>
        <v>0.0607740245285957</v>
      </c>
      <c r="H108" s="121"/>
      <c r="I108" s="143">
        <f>VLOOKUP(B108,'2024 by account '!$A$2:$M$102,3,0)/1000</f>
        <v>34.26978</v>
      </c>
      <c r="J108" s="141">
        <f t="shared" si="72"/>
        <v>1.03022390303147</v>
      </c>
      <c r="K108" s="142">
        <f t="shared" si="40"/>
        <v>0.0521579537784259</v>
      </c>
      <c r="L108" s="144"/>
      <c r="M108" s="141">
        <f>VLOOKUP(B108,'2024 by account '!$A$2:$M$102,4,0)/1000</f>
        <v>31.15113</v>
      </c>
      <c r="N108" s="141">
        <f t="shared" si="73"/>
        <v>0.894558753004489</v>
      </c>
      <c r="O108" s="142">
        <f t="shared" si="42"/>
        <v>0.0446453437642605</v>
      </c>
      <c r="P108" s="144"/>
      <c r="Q108" s="141">
        <f>VLOOKUP(B108,'2024 by account '!$A$2:$M$102,5,0)/1000</f>
        <v>34.12007</v>
      </c>
      <c r="R108" s="141">
        <f t="shared" si="43"/>
        <v>0.983497057009276</v>
      </c>
      <c r="S108" s="142">
        <f t="shared" si="44"/>
        <v>0.0350710358024917</v>
      </c>
      <c r="T108" s="144"/>
      <c r="U108" s="141">
        <f>VLOOKUP(B108,'2024 by account '!$A$2:$M$102,6,0)/1000</f>
        <v>30.8272</v>
      </c>
      <c r="V108" s="141">
        <f t="shared" si="45"/>
        <v>0.884301716842845</v>
      </c>
      <c r="W108" s="142">
        <f t="shared" si="46"/>
        <v>0.0216772495181361</v>
      </c>
      <c r="X108" s="144"/>
      <c r="Y108" s="141">
        <f>VLOOKUP(B108,'2024 by account '!$A$2:$M$102,7,0)/1000</f>
        <v>32.47364</v>
      </c>
      <c r="Z108" s="141">
        <f t="shared" si="47"/>
        <v>0.926053492344589</v>
      </c>
      <c r="AA108" s="142">
        <f t="shared" si="48"/>
        <v>0.0298958384667029</v>
      </c>
      <c r="AB108" s="144"/>
      <c r="AC108" s="141">
        <f>VLOOKUP(B108,'2024 by account '!$A$2:$M$102,8,0)/1000</f>
        <v>34.86835</v>
      </c>
      <c r="AD108" s="141">
        <f t="shared" si="49"/>
        <v>0.976789301031742</v>
      </c>
      <c r="AE108" s="142">
        <f t="shared" si="50"/>
        <v>0.028331621110646</v>
      </c>
      <c r="AF108" s="144"/>
      <c r="AG108" s="141">
        <f>VLOOKUP(B108,'2024 by account '!$A$2:$M$102,9,0)/1000</f>
        <v>32.47364</v>
      </c>
      <c r="AH108" s="141">
        <f t="shared" si="51"/>
        <v>0.875069119208403</v>
      </c>
      <c r="AI108" s="142">
        <f t="shared" si="52"/>
        <v>0.0342117882245837</v>
      </c>
      <c r="AJ108" s="144"/>
      <c r="AK108" s="141">
        <f>VLOOKUP(B108,'2024 by account '!$A$2:$M$102,10,0)/1000</f>
        <v>32.90182</v>
      </c>
      <c r="AL108" s="141">
        <f t="shared" si="53"/>
        <v>0.869870274504491</v>
      </c>
      <c r="AM108" s="142">
        <f t="shared" si="54"/>
        <v>0.0216903619216161</v>
      </c>
      <c r="AN108" s="144"/>
      <c r="AO108" s="141">
        <f>VLOOKUP(B108,'2024 by account '!$A$2:$M$102,11,0)/1000</f>
        <v>-22.48642</v>
      </c>
      <c r="AP108" s="141">
        <f t="shared" si="55"/>
        <v>-0.60208943523199</v>
      </c>
      <c r="AQ108" s="142">
        <f t="shared" si="56"/>
        <v>-0.0146184338561194</v>
      </c>
      <c r="AR108" s="144"/>
      <c r="AS108" s="141">
        <f>VLOOKUP(B108,'2024 by account '!$A$2:$M$102,12,0)/1000</f>
        <v>35.50166</v>
      </c>
      <c r="AT108" s="141">
        <f t="shared" si="57"/>
        <v>0.969363008106772</v>
      </c>
      <c r="AU108" s="142">
        <f t="shared" si="58"/>
        <v>0.0224858039458773</v>
      </c>
      <c r="AV108" s="144"/>
      <c r="AW108" s="143">
        <f>VLOOKUP(B108,'2024 by account '!$A$2:$M$102,13,0)/1000</f>
        <v>-104.20712</v>
      </c>
      <c r="AX108" s="141">
        <f t="shared" si="59"/>
        <v>-2.84261913361143</v>
      </c>
      <c r="AY108" s="142">
        <f t="shared" si="60"/>
        <v>-0.108691895140574</v>
      </c>
      <c r="AZ108" s="121"/>
      <c r="BA108" s="143">
        <f t="shared" si="70"/>
        <v>203.89375</v>
      </c>
      <c r="BB108" s="141">
        <f t="shared" si="71"/>
        <v>5.94013727980198</v>
      </c>
      <c r="BC108" s="142">
        <f t="shared" si="61"/>
        <v>0.0162185391633229</v>
      </c>
    </row>
    <row r="109" outlineLevel="1" spans="1:55">
      <c r="A109" s="140">
        <v>6666021500</v>
      </c>
      <c r="B109" s="140">
        <v>6666021500</v>
      </c>
      <c r="C109" s="140" t="s">
        <v>152</v>
      </c>
      <c r="D109" s="140" t="s">
        <v>144</v>
      </c>
      <c r="E109" s="141">
        <f>VLOOKUP(B109,'2024 by account '!$A$2:$M$102,2,0)/1000</f>
        <v>21.26675</v>
      </c>
      <c r="F109" s="141">
        <f t="shared" si="37"/>
        <v>0.648050523364771</v>
      </c>
      <c r="G109" s="142">
        <f t="shared" si="38"/>
        <v>0.0403895620669848</v>
      </c>
      <c r="H109" s="121"/>
      <c r="I109" s="143">
        <f>VLOOKUP(B109,'2024 by account '!$A$2:$M$102,3,0)/1000</f>
        <v>0</v>
      </c>
      <c r="J109" s="141">
        <f t="shared" si="72"/>
        <v>0</v>
      </c>
      <c r="K109" s="142">
        <f t="shared" si="40"/>
        <v>0</v>
      </c>
      <c r="L109" s="144"/>
      <c r="M109" s="141">
        <f>VLOOKUP(B109,'2024 by account '!$A$2:$M$102,4,0)/1000</f>
        <v>83.45698</v>
      </c>
      <c r="N109" s="141">
        <f t="shared" si="73"/>
        <v>2.39661199957499</v>
      </c>
      <c r="O109" s="142">
        <f t="shared" si="42"/>
        <v>0.119609322731696</v>
      </c>
      <c r="P109" s="144"/>
      <c r="Q109" s="141">
        <f>VLOOKUP(B109,'2024 by account '!$A$2:$M$102,5,0)/1000</f>
        <v>98.6267</v>
      </c>
      <c r="R109" s="141">
        <f t="shared" si="43"/>
        <v>2.8428742728997</v>
      </c>
      <c r="S109" s="142">
        <f t="shared" si="44"/>
        <v>0.101375540166876</v>
      </c>
      <c r="T109" s="144"/>
      <c r="U109" s="141">
        <f>VLOOKUP(B109,'2024 by account '!$A$2:$M$102,6,0)/1000</f>
        <v>658.412</v>
      </c>
      <c r="V109" s="141">
        <f t="shared" si="45"/>
        <v>18.8870498128254</v>
      </c>
      <c r="W109" s="142">
        <f t="shared" si="46"/>
        <v>0.462985973741859</v>
      </c>
      <c r="X109" s="144"/>
      <c r="Y109" s="141">
        <f>VLOOKUP(B109,'2024 by account '!$A$2:$M$102,7,0)/1000</f>
        <v>179.36728</v>
      </c>
      <c r="Z109" s="141">
        <f t="shared" si="47"/>
        <v>5.11503163970376</v>
      </c>
      <c r="AA109" s="142">
        <f t="shared" si="48"/>
        <v>0.165128862335478</v>
      </c>
      <c r="AB109" s="144"/>
      <c r="AC109" s="141">
        <f>VLOOKUP(B109,'2024 by account '!$A$2:$M$102,8,0)/1000</f>
        <v>54.15506</v>
      </c>
      <c r="AD109" s="141">
        <f t="shared" si="49"/>
        <v>1.51708019463875</v>
      </c>
      <c r="AE109" s="142">
        <f t="shared" si="50"/>
        <v>0.044002674091097</v>
      </c>
      <c r="AF109" s="144"/>
      <c r="AG109" s="141">
        <f>VLOOKUP(B109,'2024 by account '!$A$2:$M$102,9,0)/1000</f>
        <v>27</v>
      </c>
      <c r="AH109" s="141">
        <f t="shared" si="51"/>
        <v>0.727570614770222</v>
      </c>
      <c r="AI109" s="142">
        <f t="shared" si="52"/>
        <v>0.0284451722093292</v>
      </c>
      <c r="AJ109" s="144"/>
      <c r="AK109" s="141">
        <f>VLOOKUP(B109,'2024 by account '!$A$2:$M$102,10,0)/1000</f>
        <v>186.70608</v>
      </c>
      <c r="AL109" s="141">
        <f t="shared" si="53"/>
        <v>4.93620319670029</v>
      </c>
      <c r="AM109" s="142">
        <f t="shared" si="54"/>
        <v>0.123085058764719</v>
      </c>
      <c r="AN109" s="144"/>
      <c r="AO109" s="141">
        <f>VLOOKUP(B109,'2024 by account '!$A$2:$M$102,11,0)/1000</f>
        <v>288.42237</v>
      </c>
      <c r="AP109" s="141">
        <f t="shared" si="55"/>
        <v>7.72270827733236</v>
      </c>
      <c r="AQ109" s="142">
        <f t="shared" si="56"/>
        <v>0.187503539401568</v>
      </c>
      <c r="AR109" s="144"/>
      <c r="AS109" s="141">
        <f>VLOOKUP(B109,'2024 by account '!$A$2:$M$102,12,0)/1000</f>
        <v>169.69709</v>
      </c>
      <c r="AT109" s="141">
        <f t="shared" si="57"/>
        <v>4.63353211172001</v>
      </c>
      <c r="AU109" s="142">
        <f t="shared" si="58"/>
        <v>0.10748160778752</v>
      </c>
      <c r="AV109" s="144"/>
      <c r="AW109" s="143">
        <f>VLOOKUP(B109,'2024 by account '!$A$2:$M$102,13,0)/1000</f>
        <v>2243.36918</v>
      </c>
      <c r="AX109" s="141">
        <f t="shared" si="59"/>
        <v>61.1958583523101</v>
      </c>
      <c r="AY109" s="142">
        <f t="shared" si="60"/>
        <v>2.3399173460907</v>
      </c>
      <c r="AZ109" s="121"/>
      <c r="BA109" s="143">
        <f t="shared" si="70"/>
        <v>4010.47949</v>
      </c>
      <c r="BB109" s="141">
        <f t="shared" si="71"/>
        <v>110.62257099584</v>
      </c>
      <c r="BC109" s="142">
        <f t="shared" si="61"/>
        <v>0.302036201443363</v>
      </c>
    </row>
    <row r="110" outlineLevel="1" spans="1:55">
      <c r="A110" s="140">
        <v>6666021502</v>
      </c>
      <c r="B110" s="140">
        <v>6666021502</v>
      </c>
      <c r="C110" s="140" t="s">
        <v>153</v>
      </c>
      <c r="D110" s="140" t="s">
        <v>144</v>
      </c>
      <c r="E110" s="141">
        <f>VLOOKUP(B110,'2024 by account '!$A$2:$M$102,2,0)/1000</f>
        <v>666.525</v>
      </c>
      <c r="F110" s="141">
        <f t="shared" si="37"/>
        <v>20.3106668901315</v>
      </c>
      <c r="G110" s="142">
        <f t="shared" si="38"/>
        <v>1.26585645934132</v>
      </c>
      <c r="H110" s="121"/>
      <c r="I110" s="143">
        <f>VLOOKUP(B110,'2024 by account '!$A$2:$M$102,3,0)/1000</f>
        <v>687.55492</v>
      </c>
      <c r="J110" s="141">
        <f t="shared" si="72"/>
        <v>20.6693919024543</v>
      </c>
      <c r="K110" s="142">
        <f t="shared" si="40"/>
        <v>1.04644551956532</v>
      </c>
      <c r="L110" s="144"/>
      <c r="M110" s="141">
        <f>VLOOKUP(B110,'2024 by account '!$A$2:$M$102,4,0)/1000</f>
        <v>549.69849</v>
      </c>
      <c r="N110" s="141">
        <f t="shared" si="73"/>
        <v>15.7855460056457</v>
      </c>
      <c r="O110" s="142">
        <f t="shared" si="42"/>
        <v>0.787819833590144</v>
      </c>
      <c r="P110" s="144"/>
      <c r="Q110" s="141">
        <f>VLOOKUP(B110,'2024 by account '!$A$2:$M$102,5,0)/1000</f>
        <v>663.91215</v>
      </c>
      <c r="R110" s="141">
        <f t="shared" si="43"/>
        <v>19.1369960740907</v>
      </c>
      <c r="S110" s="142">
        <f t="shared" si="44"/>
        <v>0.682416149273998</v>
      </c>
      <c r="T110" s="144"/>
      <c r="U110" s="141">
        <f>VLOOKUP(B110,'2024 by account '!$A$2:$M$102,6,0)/1000</f>
        <v>29.24753</v>
      </c>
      <c r="V110" s="141">
        <f t="shared" si="45"/>
        <v>0.838987679465297</v>
      </c>
      <c r="W110" s="142">
        <f t="shared" si="46"/>
        <v>0.0205664479939525</v>
      </c>
      <c r="X110" s="144"/>
      <c r="Y110" s="141">
        <f>VLOOKUP(B110,'2024 by account '!$A$2:$M$102,7,0)/1000</f>
        <v>504.03235</v>
      </c>
      <c r="Z110" s="141">
        <f t="shared" si="47"/>
        <v>14.3735324396079</v>
      </c>
      <c r="AA110" s="142">
        <f t="shared" si="48"/>
        <v>0.464021579274533</v>
      </c>
      <c r="AB110" s="144"/>
      <c r="AC110" s="141">
        <f>VLOOKUP(B110,'2024 by account '!$A$2:$M$102,8,0)/1000</f>
        <v>645.38341</v>
      </c>
      <c r="AD110" s="141">
        <f t="shared" si="49"/>
        <v>18.0795365984161</v>
      </c>
      <c r="AE110" s="142">
        <f t="shared" si="50"/>
        <v>0.524394135174641</v>
      </c>
      <c r="AF110" s="144"/>
      <c r="AG110" s="141">
        <f>VLOOKUP(B110,'2024 by account '!$A$2:$M$102,9,0)/1000</f>
        <v>-497.26842</v>
      </c>
      <c r="AH110" s="141">
        <f t="shared" si="51"/>
        <v>-13.3999218535266</v>
      </c>
      <c r="AI110" s="142">
        <f t="shared" si="52"/>
        <v>-0.523884660783742</v>
      </c>
      <c r="AJ110" s="144"/>
      <c r="AK110" s="141">
        <f>VLOOKUP(B110,'2024 by account '!$A$2:$M$102,10,0)/1000</f>
        <v>-259.0329</v>
      </c>
      <c r="AL110" s="141">
        <f t="shared" si="53"/>
        <v>-6.84840594923607</v>
      </c>
      <c r="AM110" s="142">
        <f t="shared" si="54"/>
        <v>-0.170766156723421</v>
      </c>
      <c r="AN110" s="144"/>
      <c r="AO110" s="141">
        <f>VLOOKUP(B110,'2024 by account '!$A$2:$M$102,11,0)/1000</f>
        <v>436.10283</v>
      </c>
      <c r="AP110" s="141">
        <f t="shared" si="55"/>
        <v>11.6769546516419</v>
      </c>
      <c r="AQ110" s="142">
        <f t="shared" si="56"/>
        <v>0.283510686664284</v>
      </c>
      <c r="AR110" s="144"/>
      <c r="AS110" s="141">
        <f>VLOOKUP(B110,'2024 by account '!$A$2:$M$102,12,0)/1000</f>
        <v>517.82345</v>
      </c>
      <c r="AT110" s="141">
        <f t="shared" si="57"/>
        <v>14.1390260951242</v>
      </c>
      <c r="AU110" s="142">
        <f t="shared" si="58"/>
        <v>0.327975553122807</v>
      </c>
      <c r="AV110" s="144"/>
      <c r="AW110" s="143">
        <f>VLOOKUP(B110,'2024 by account '!$A$2:$M$102,13,0)/1000</f>
        <v>-2223.85349</v>
      </c>
      <c r="AX110" s="141">
        <f t="shared" si="59"/>
        <v>-60.6634986267978</v>
      </c>
      <c r="AY110" s="142">
        <f t="shared" si="60"/>
        <v>-2.31956175684617</v>
      </c>
      <c r="AZ110" s="121"/>
      <c r="BA110" s="143">
        <f t="shared" si="70"/>
        <v>1720.12532</v>
      </c>
      <c r="BB110" s="141">
        <f t="shared" si="71"/>
        <v>54.0988119070172</v>
      </c>
      <c r="BC110" s="142">
        <f t="shared" si="61"/>
        <v>0.147707646856344</v>
      </c>
    </row>
    <row r="111" outlineLevel="1" spans="1:55">
      <c r="A111" s="140">
        <v>6666021503</v>
      </c>
      <c r="B111" s="140">
        <v>6666021503</v>
      </c>
      <c r="C111" s="140" t="s">
        <v>154</v>
      </c>
      <c r="D111" s="140" t="s">
        <v>144</v>
      </c>
      <c r="E111" s="141">
        <f>VLOOKUP(B111,'2024 by account '!$A$2:$M$102,2,0)/1000</f>
        <v>89.07293</v>
      </c>
      <c r="F111" s="141">
        <f t="shared" si="37"/>
        <v>2.71427269818536</v>
      </c>
      <c r="G111" s="142">
        <f t="shared" si="38"/>
        <v>0.169166263520434</v>
      </c>
      <c r="H111" s="121"/>
      <c r="I111" s="143">
        <f>VLOOKUP(B111,'2024 by account '!$A$2:$M$102,3,0)/1000</f>
        <v>179.64951</v>
      </c>
      <c r="J111" s="141">
        <f t="shared" si="72"/>
        <v>5.40065385216628</v>
      </c>
      <c r="K111" s="142">
        <f t="shared" si="40"/>
        <v>0.273423139538593</v>
      </c>
      <c r="L111" s="144"/>
      <c r="M111" s="141">
        <f>VLOOKUP(B111,'2024 by account '!$A$2:$M$102,4,0)/1000</f>
        <v>84.76654</v>
      </c>
      <c r="N111" s="141">
        <f t="shared" si="73"/>
        <v>2.43421828739134</v>
      </c>
      <c r="O111" s="142">
        <f t="shared" si="42"/>
        <v>0.121486164964383</v>
      </c>
      <c r="P111" s="144"/>
      <c r="Q111" s="141">
        <f>VLOOKUP(B111,'2024 by account '!$A$2:$M$102,5,0)/1000</f>
        <v>84.55</v>
      </c>
      <c r="R111" s="141">
        <f t="shared" si="43"/>
        <v>2.43711915509359</v>
      </c>
      <c r="S111" s="142">
        <f t="shared" si="44"/>
        <v>0.0869065062615838</v>
      </c>
      <c r="T111" s="144"/>
      <c r="U111" s="141">
        <f>VLOOKUP(B111,'2024 by account '!$A$2:$M$102,6,0)/1000</f>
        <v>84.55</v>
      </c>
      <c r="V111" s="141">
        <f t="shared" si="45"/>
        <v>2.42538116206021</v>
      </c>
      <c r="W111" s="142">
        <f t="shared" si="46"/>
        <v>0.0594543600053981</v>
      </c>
      <c r="X111" s="144"/>
      <c r="Y111" s="141">
        <f>VLOOKUP(B111,'2024 by account '!$A$2:$M$102,7,0)/1000</f>
        <v>84.55</v>
      </c>
      <c r="Z111" s="141">
        <f t="shared" si="47"/>
        <v>2.41111938106523</v>
      </c>
      <c r="AA111" s="142">
        <f t="shared" si="48"/>
        <v>0.0778383064651739</v>
      </c>
      <c r="AB111" s="144"/>
      <c r="AC111" s="141">
        <f>VLOOKUP(B111,'2024 by account '!$A$2:$M$102,8,0)/1000</f>
        <v>107.78837</v>
      </c>
      <c r="AD111" s="141">
        <f t="shared" si="49"/>
        <v>3.01954427415266</v>
      </c>
      <c r="AE111" s="142">
        <f t="shared" si="50"/>
        <v>0.0875814100459047</v>
      </c>
      <c r="AF111" s="144"/>
      <c r="AG111" s="141">
        <f>VLOOKUP(B111,'2024 by account '!$A$2:$M$102,9,0)/1000</f>
        <v>130.15314</v>
      </c>
      <c r="AH111" s="141">
        <f t="shared" si="51"/>
        <v>3.50724444755833</v>
      </c>
      <c r="AI111" s="142">
        <f t="shared" si="52"/>
        <v>0.137119573366109</v>
      </c>
      <c r="AJ111" s="144"/>
      <c r="AK111" s="141">
        <f>VLOOKUP(B111,'2024 by account '!$A$2:$M$102,10,0)/1000</f>
        <v>312.04386</v>
      </c>
      <c r="AL111" s="141">
        <f t="shared" si="53"/>
        <v>8.24992897522511</v>
      </c>
      <c r="AM111" s="142">
        <f t="shared" si="54"/>
        <v>0.205713369619617</v>
      </c>
      <c r="AN111" s="144"/>
      <c r="AO111" s="141">
        <f>VLOOKUP(B111,'2024 by account '!$A$2:$M$102,11,0)/1000</f>
        <v>91.4245</v>
      </c>
      <c r="AP111" s="141">
        <f t="shared" si="55"/>
        <v>2.44795416839884</v>
      </c>
      <c r="AQ111" s="142">
        <f t="shared" si="56"/>
        <v>0.0594351171097395</v>
      </c>
      <c r="AR111" s="144"/>
      <c r="AS111" s="141">
        <f>VLOOKUP(B111,'2024 by account '!$A$2:$M$102,12,0)/1000</f>
        <v>120.43472</v>
      </c>
      <c r="AT111" s="141">
        <f t="shared" si="57"/>
        <v>3.28843672266865</v>
      </c>
      <c r="AU111" s="142">
        <f t="shared" si="58"/>
        <v>0.0762801373850303</v>
      </c>
      <c r="AV111" s="144"/>
      <c r="AW111" s="143">
        <f>VLOOKUP(B111,'2024 by account '!$A$2:$M$102,13,0)/1000</f>
        <v>142.97408</v>
      </c>
      <c r="AX111" s="141">
        <f t="shared" si="59"/>
        <v>3.90012559044421</v>
      </c>
      <c r="AY111" s="142">
        <f t="shared" si="60"/>
        <v>0.149127273752312</v>
      </c>
      <c r="AZ111" s="121"/>
      <c r="BA111" s="143">
        <f t="shared" si="70"/>
        <v>1511.95765</v>
      </c>
      <c r="BB111" s="141">
        <f t="shared" si="71"/>
        <v>42.2359987144098</v>
      </c>
      <c r="BC111" s="142">
        <f t="shared" si="61"/>
        <v>0.115318243836032</v>
      </c>
    </row>
    <row r="112" outlineLevel="1" spans="1:55">
      <c r="A112" s="140">
        <v>6666021505</v>
      </c>
      <c r="B112" s="140">
        <v>6666021505</v>
      </c>
      <c r="C112" s="140" t="s">
        <v>155</v>
      </c>
      <c r="D112" s="140" t="s">
        <v>144</v>
      </c>
      <c r="E112" s="141">
        <f>VLOOKUP(B112,'2024 by account '!$A$2:$M$102,2,0)/1000</f>
        <v>0</v>
      </c>
      <c r="F112" s="141">
        <f t="shared" si="37"/>
        <v>0</v>
      </c>
      <c r="G112" s="142">
        <f t="shared" si="38"/>
        <v>0</v>
      </c>
      <c r="H112" s="121"/>
      <c r="I112" s="143">
        <f>VLOOKUP(B112,'2024 by account '!$A$2:$M$102,3,0)/1000</f>
        <v>1.52682</v>
      </c>
      <c r="J112" s="141">
        <f t="shared" si="72"/>
        <v>0.0458995202077897</v>
      </c>
      <c r="K112" s="142">
        <f t="shared" si="40"/>
        <v>0.0023237910190254</v>
      </c>
      <c r="L112" s="144"/>
      <c r="M112" s="141">
        <f>VLOOKUP(B112,'2024 by account '!$A$2:$M$102,4,0)/1000</f>
        <v>0</v>
      </c>
      <c r="N112" s="141">
        <f t="shared" si="73"/>
        <v>0</v>
      </c>
      <c r="O112" s="142">
        <f t="shared" si="42"/>
        <v>0</v>
      </c>
      <c r="P112" s="144"/>
      <c r="Q112" s="141">
        <f>VLOOKUP(B112,'2024 by account '!$A$2:$M$102,5,0)/1000</f>
        <v>0</v>
      </c>
      <c r="R112" s="141">
        <f t="shared" si="43"/>
        <v>0</v>
      </c>
      <c r="S112" s="142">
        <f t="shared" si="44"/>
        <v>0</v>
      </c>
      <c r="T112" s="144"/>
      <c r="U112" s="141">
        <f>VLOOKUP(B112,'2024 by account '!$A$2:$M$102,6,0)/1000</f>
        <v>0.0386</v>
      </c>
      <c r="V112" s="141">
        <f t="shared" si="45"/>
        <v>0.00110727040633382</v>
      </c>
      <c r="W112" s="142">
        <f t="shared" si="46"/>
        <v>2.71429721609505e-5</v>
      </c>
      <c r="X112" s="144"/>
      <c r="Y112" s="141">
        <f>VLOOKUP(B112,'2024 by account '!$A$2:$M$102,7,0)/1000</f>
        <v>4.2768</v>
      </c>
      <c r="Z112" s="141">
        <f t="shared" si="47"/>
        <v>0.121961861252984</v>
      </c>
      <c r="AA112" s="142">
        <f t="shared" si="48"/>
        <v>0.00393730182247494</v>
      </c>
      <c r="AB112" s="144"/>
      <c r="AC112" s="141">
        <f>VLOOKUP(B112,'2024 by account '!$A$2:$M$102,8,0)/1000</f>
        <v>0</v>
      </c>
      <c r="AD112" s="141">
        <f t="shared" si="49"/>
        <v>0</v>
      </c>
      <c r="AE112" s="142">
        <f t="shared" si="50"/>
        <v>0</v>
      </c>
      <c r="AF112" s="144"/>
      <c r="AG112" s="141">
        <f>VLOOKUP(B112,'2024 by account '!$A$2:$M$102,9,0)/1000</f>
        <v>0</v>
      </c>
      <c r="AH112" s="141">
        <f t="shared" si="51"/>
        <v>0</v>
      </c>
      <c r="AI112" s="142">
        <f t="shared" si="52"/>
        <v>0</v>
      </c>
      <c r="AJ112" s="144"/>
      <c r="AK112" s="141">
        <f>VLOOKUP(B112,'2024 by account '!$A$2:$M$102,10,0)/1000</f>
        <v>0</v>
      </c>
      <c r="AL112" s="141">
        <f t="shared" si="53"/>
        <v>0</v>
      </c>
      <c r="AM112" s="142">
        <f t="shared" si="54"/>
        <v>0</v>
      </c>
      <c r="AN112" s="144"/>
      <c r="AO112" s="141">
        <f>VLOOKUP(B112,'2024 by account '!$A$2:$M$102,11,0)/1000</f>
        <v>0.13125</v>
      </c>
      <c r="AP112" s="141">
        <f t="shared" si="55"/>
        <v>0.00351430945318102</v>
      </c>
      <c r="AQ112" s="142">
        <f t="shared" si="56"/>
        <v>8.53256962920585e-5</v>
      </c>
      <c r="AR112" s="144"/>
      <c r="AS112" s="141">
        <f>VLOOKUP(B112,'2024 by account '!$A$2:$M$102,12,0)/1000</f>
        <v>0</v>
      </c>
      <c r="AT112" s="141">
        <f t="shared" si="57"/>
        <v>0</v>
      </c>
      <c r="AU112" s="142">
        <f t="shared" si="58"/>
        <v>0</v>
      </c>
      <c r="AV112" s="144"/>
      <c r="AW112" s="143">
        <f>VLOOKUP(B112,'2024 by account '!$A$2:$M$102,13,0)/1000</f>
        <v>0</v>
      </c>
      <c r="AX112" s="141">
        <f t="shared" si="59"/>
        <v>0</v>
      </c>
      <c r="AY112" s="142">
        <f t="shared" si="60"/>
        <v>0</v>
      </c>
      <c r="AZ112" s="121"/>
      <c r="BA112" s="143">
        <f t="shared" si="70"/>
        <v>5.97347</v>
      </c>
      <c r="BB112" s="141">
        <f t="shared" si="71"/>
        <v>0.172482961320288</v>
      </c>
      <c r="BC112" s="142">
        <f t="shared" si="61"/>
        <v>0.000470935524115067</v>
      </c>
    </row>
    <row r="113" outlineLevel="1" spans="1:55">
      <c r="A113" s="140">
        <v>6666021506</v>
      </c>
      <c r="B113" s="140">
        <v>6666021506</v>
      </c>
      <c r="C113" s="140" t="s">
        <v>156</v>
      </c>
      <c r="D113" s="140" t="s">
        <v>144</v>
      </c>
      <c r="E113" s="141">
        <f>VLOOKUP(B113,'2024 by account '!$A$2:$M$102,2,0)/1000</f>
        <v>1076.58395</v>
      </c>
      <c r="F113" s="141">
        <f t="shared" si="37"/>
        <v>32.8061782944555</v>
      </c>
      <c r="G113" s="142">
        <f t="shared" si="38"/>
        <v>2.04463560576226</v>
      </c>
      <c r="H113" s="121"/>
      <c r="I113" s="143">
        <f>VLOOKUP(B113,'2024 by account '!$A$2:$M$102,3,0)/1000</f>
        <v>977.62272</v>
      </c>
      <c r="J113" s="141">
        <f t="shared" si="72"/>
        <v>29.3894590012145</v>
      </c>
      <c r="K113" s="142">
        <f t="shared" si="40"/>
        <v>1.48792319771236</v>
      </c>
      <c r="L113" s="144"/>
      <c r="M113" s="141">
        <f>VLOOKUP(B113,'2024 by account '!$A$2:$M$102,4,0)/1000</f>
        <v>1175.69233</v>
      </c>
      <c r="N113" s="141">
        <f t="shared" si="73"/>
        <v>33.7620453781851</v>
      </c>
      <c r="O113" s="142">
        <f t="shared" si="42"/>
        <v>1.68498504657309</v>
      </c>
      <c r="P113" s="144"/>
      <c r="Q113" s="141">
        <f>VLOOKUP(B113,'2024 by account '!$A$2:$M$102,5,0)/1000</f>
        <v>1076.51433</v>
      </c>
      <c r="R113" s="141">
        <f t="shared" si="43"/>
        <v>31.0300850901921</v>
      </c>
      <c r="S113" s="142">
        <f t="shared" si="44"/>
        <v>1.10651802910502</v>
      </c>
      <c r="T113" s="144"/>
      <c r="U113" s="141">
        <f>VLOOKUP(B113,'2024 by account '!$A$2:$M$102,6,0)/1000</f>
        <v>1076.60334</v>
      </c>
      <c r="V113" s="141">
        <f t="shared" si="45"/>
        <v>30.8831869881384</v>
      </c>
      <c r="W113" s="142">
        <f t="shared" si="46"/>
        <v>0.757052188756642</v>
      </c>
      <c r="X113" s="144"/>
      <c r="Y113" s="141">
        <f>VLOOKUP(B113,'2024 by account '!$A$2:$M$102,7,0)/1000</f>
        <v>1076.60963</v>
      </c>
      <c r="Z113" s="141">
        <f t="shared" si="47"/>
        <v>30.7017663481308</v>
      </c>
      <c r="AA113" s="142">
        <f t="shared" si="48"/>
        <v>0.991146899151952</v>
      </c>
      <c r="AB113" s="144"/>
      <c r="AC113" s="141">
        <f>VLOOKUP(B113,'2024 by account '!$A$2:$M$102,8,0)/1000</f>
        <v>1076.96747</v>
      </c>
      <c r="AD113" s="141">
        <f t="shared" si="49"/>
        <v>30.1697758068628</v>
      </c>
      <c r="AE113" s="142">
        <f t="shared" si="50"/>
        <v>0.875069635028071</v>
      </c>
      <c r="AF113" s="144"/>
      <c r="AG113" s="141">
        <f>VLOOKUP(B113,'2024 by account '!$A$2:$M$102,9,0)/1000</f>
        <v>-242.43113</v>
      </c>
      <c r="AH113" s="141">
        <f t="shared" si="51"/>
        <v>-6.53280615901999</v>
      </c>
      <c r="AI113" s="142">
        <f t="shared" si="52"/>
        <v>-0.25540723117601</v>
      </c>
      <c r="AJ113" s="144"/>
      <c r="AK113" s="141">
        <f>VLOOKUP(B113,'2024 by account '!$A$2:$M$102,10,0)/1000</f>
        <v>127.00893</v>
      </c>
      <c r="AL113" s="141">
        <f t="shared" si="53"/>
        <v>3.35790824956254</v>
      </c>
      <c r="AM113" s="142">
        <f t="shared" si="54"/>
        <v>0.0837300082176975</v>
      </c>
      <c r="AN113" s="144"/>
      <c r="AO113" s="141">
        <f>VLOOKUP(B113,'2024 by account '!$A$2:$M$102,11,0)/1000</f>
        <v>1076.60333</v>
      </c>
      <c r="AP113" s="141">
        <f t="shared" si="55"/>
        <v>28.8267981710108</v>
      </c>
      <c r="AQ113" s="142">
        <f t="shared" si="56"/>
        <v>0.699900409619801</v>
      </c>
      <c r="AR113" s="144"/>
      <c r="AS113" s="141">
        <f>VLOOKUP(B113,'2024 by account '!$A$2:$M$102,12,0)/1000</f>
        <v>1076.60333</v>
      </c>
      <c r="AT113" s="141">
        <f t="shared" si="57"/>
        <v>29.3963561846564</v>
      </c>
      <c r="AU113" s="142">
        <f t="shared" si="58"/>
        <v>0.681891815928007</v>
      </c>
      <c r="AV113" s="144"/>
      <c r="AW113" s="143">
        <f>VLOOKUP(B113,'2024 by account '!$A$2:$M$102,13,0)/1000</f>
        <v>1342.89585</v>
      </c>
      <c r="AX113" s="141">
        <f t="shared" si="59"/>
        <v>36.6322515933401</v>
      </c>
      <c r="AY113" s="142">
        <f t="shared" si="60"/>
        <v>1.40069023031163</v>
      </c>
      <c r="AZ113" s="121"/>
      <c r="BA113" s="143">
        <f t="shared" si="70"/>
        <v>10917.27408</v>
      </c>
      <c r="BB113" s="141">
        <f t="shared" si="71"/>
        <v>310.423004946729</v>
      </c>
      <c r="BC113" s="142">
        <f t="shared" si="61"/>
        <v>0.847557459664085</v>
      </c>
    </row>
    <row r="114" outlineLevel="2" spans="1:55">
      <c r="A114" s="140">
        <v>6666030300</v>
      </c>
      <c r="B114" s="140">
        <v>6666030300</v>
      </c>
      <c r="C114" s="140" t="s">
        <v>157</v>
      </c>
      <c r="D114" s="140" t="s">
        <v>60</v>
      </c>
      <c r="E114" s="141">
        <f>VLOOKUP(B114,'2024 by account '!$A$2:$M$102,2,0)/1000</f>
        <v>329</v>
      </c>
      <c r="F114" s="141">
        <f t="shared" si="37"/>
        <v>10.0254445172398</v>
      </c>
      <c r="G114" s="142">
        <f t="shared" si="38"/>
        <v>0.624832939684625</v>
      </c>
      <c r="H114" s="121"/>
      <c r="I114" s="143">
        <f>VLOOKUP(B114,'2024 by account '!$A$2:$M$102,3,0)/1000</f>
        <v>276.88127</v>
      </c>
      <c r="J114" s="141">
        <f t="shared" si="72"/>
        <v>8.32365141111819</v>
      </c>
      <c r="K114" s="142">
        <f t="shared" si="40"/>
        <v>0.421408030129516</v>
      </c>
      <c r="L114" s="144"/>
      <c r="M114" s="141">
        <f>VLOOKUP(B114,'2024 by account '!$A$2:$M$102,4,0)/1000</f>
        <v>342.04477</v>
      </c>
      <c r="N114" s="141">
        <f t="shared" si="73"/>
        <v>9.82240910435375</v>
      </c>
      <c r="O114" s="142">
        <f t="shared" si="42"/>
        <v>0.490213560131444</v>
      </c>
      <c r="P114" s="144"/>
      <c r="Q114" s="141">
        <f>VLOOKUP(B114,'2024 by account '!$A$2:$M$102,5,0)/1000</f>
        <v>329.10363</v>
      </c>
      <c r="R114" s="141">
        <f t="shared" si="43"/>
        <v>9.48627747704121</v>
      </c>
      <c r="S114" s="142">
        <f t="shared" si="44"/>
        <v>0.338276128696688</v>
      </c>
      <c r="T114" s="144"/>
      <c r="U114" s="141">
        <f>VLOOKUP(B114,'2024 by account '!$A$2:$M$102,6,0)/1000</f>
        <v>329.33226</v>
      </c>
      <c r="V114" s="141">
        <f t="shared" si="45"/>
        <v>9.44714677070036</v>
      </c>
      <c r="W114" s="142">
        <f t="shared" si="46"/>
        <v>0.231581771110957</v>
      </c>
      <c r="X114" s="144"/>
      <c r="Y114" s="141">
        <f>VLOOKUP(B114,'2024 by account '!$A$2:$M$102,7,0)/1000</f>
        <v>293.51953</v>
      </c>
      <c r="Z114" s="141">
        <f t="shared" si="47"/>
        <v>8.37032084570262</v>
      </c>
      <c r="AA114" s="142">
        <f t="shared" si="48"/>
        <v>0.270219552095255</v>
      </c>
      <c r="AB114" s="144"/>
      <c r="AC114" s="141">
        <f>VLOOKUP(B114,'2024 by account '!$A$2:$M$102,8,0)/1000</f>
        <v>408.33698</v>
      </c>
      <c r="AD114" s="141">
        <f t="shared" si="49"/>
        <v>11.4390039471215</v>
      </c>
      <c r="AE114" s="142">
        <f t="shared" si="50"/>
        <v>0.331786522815833</v>
      </c>
      <c r="AF114" s="144"/>
      <c r="AG114" s="141">
        <f>VLOOKUP(B114,'2024 by account '!$A$2:$M$102,9,0)/1000</f>
        <v>254.56354</v>
      </c>
      <c r="AH114" s="141">
        <f t="shared" si="51"/>
        <v>6.8597389368846</v>
      </c>
      <c r="AI114" s="142">
        <f t="shared" si="52"/>
        <v>0.268189027167276</v>
      </c>
      <c r="AJ114" s="144"/>
      <c r="AK114" s="141">
        <f>VLOOKUP(B114,'2024 by account '!$A$2:$M$102,10,0)/1000</f>
        <v>-240.66773</v>
      </c>
      <c r="AL114" s="141">
        <f t="shared" si="53"/>
        <v>-6.36286091041386</v>
      </c>
      <c r="AM114" s="142">
        <f t="shared" si="54"/>
        <v>-0.158659009336073</v>
      </c>
      <c r="AN114" s="144"/>
      <c r="AO114" s="141">
        <f>VLOOKUP(B114,'2024 by account '!$A$2:$M$102,11,0)/1000</f>
        <v>-56.10646</v>
      </c>
      <c r="AP114" s="141">
        <f t="shared" si="55"/>
        <v>-1.50228924009541</v>
      </c>
      <c r="AQ114" s="142">
        <f t="shared" si="56"/>
        <v>-0.0364748401217717</v>
      </c>
      <c r="AR114" s="144"/>
      <c r="AS114" s="141">
        <f>VLOOKUP(B114,'2024 by account '!$A$2:$M$102,12,0)/1000</f>
        <v>329.33227</v>
      </c>
      <c r="AT114" s="141">
        <f t="shared" si="57"/>
        <v>8.9923265535705</v>
      </c>
      <c r="AU114" s="142">
        <f t="shared" si="58"/>
        <v>0.208590270321747</v>
      </c>
      <c r="AV114" s="144"/>
      <c r="AW114" s="143">
        <f>VLOOKUP(B114,'2024 by account '!$A$2:$M$102,13,0)/1000</f>
        <v>-1056.05197</v>
      </c>
      <c r="AX114" s="141">
        <f t="shared" si="59"/>
        <v>-28.8075664696428</v>
      </c>
      <c r="AY114" s="142">
        <f t="shared" si="60"/>
        <v>-1.1015014135909</v>
      </c>
      <c r="AZ114" s="121"/>
      <c r="BA114" s="143">
        <f t="shared" si="70"/>
        <v>1539.28809</v>
      </c>
      <c r="BB114" s="141">
        <f t="shared" si="71"/>
        <v>46.0936029435804</v>
      </c>
      <c r="BC114" s="142">
        <f t="shared" si="61"/>
        <v>0.125850779082337</v>
      </c>
    </row>
    <row r="115" outlineLevel="1" spans="1:55">
      <c r="A115" s="140">
        <v>6666091600</v>
      </c>
      <c r="B115" s="140">
        <v>6666091600</v>
      </c>
      <c r="C115" s="140" t="s">
        <v>158</v>
      </c>
      <c r="D115" s="140" t="s">
        <v>144</v>
      </c>
      <c r="E115" s="141">
        <f>VLOOKUP(B115,'2024 by account '!$A$2:$M$102,2,0)/1000</f>
        <v>5.3</v>
      </c>
      <c r="F115" s="141">
        <f t="shared" si="37"/>
        <v>0.161504121402343</v>
      </c>
      <c r="G115" s="142">
        <f t="shared" si="38"/>
        <v>0.0100656978125487</v>
      </c>
      <c r="H115" s="121"/>
      <c r="I115" s="143">
        <f>VLOOKUP(B115,'2024 by account '!$A$2:$M$102,3,0)/1000</f>
        <v>10.7</v>
      </c>
      <c r="J115" s="141">
        <f t="shared" si="72"/>
        <v>0.32166520364113</v>
      </c>
      <c r="K115" s="142">
        <f t="shared" si="40"/>
        <v>0.0162851966201463</v>
      </c>
      <c r="L115" s="144"/>
      <c r="M115" s="141">
        <f>VLOOKUP(B115,'2024 by account '!$A$2:$M$102,4,0)/1000</f>
        <v>11.00498</v>
      </c>
      <c r="N115" s="141">
        <f t="shared" si="73"/>
        <v>0.316027097111384</v>
      </c>
      <c r="O115" s="142">
        <f t="shared" si="42"/>
        <v>0.0157721763293599</v>
      </c>
      <c r="P115" s="144"/>
      <c r="Q115" s="141">
        <f>VLOOKUP(B115,'2024 by account '!$A$2:$M$102,5,0)/1000</f>
        <v>16.455</v>
      </c>
      <c r="R115" s="141">
        <f t="shared" si="43"/>
        <v>0.474308642188824</v>
      </c>
      <c r="S115" s="142">
        <f t="shared" si="44"/>
        <v>0.0169136198762195</v>
      </c>
      <c r="T115" s="144"/>
      <c r="U115" s="141">
        <f>VLOOKUP(B115,'2024 by account '!$A$2:$M$102,6,0)/1000</f>
        <v>25</v>
      </c>
      <c r="V115" s="141">
        <f t="shared" si="45"/>
        <v>0.71714404555299</v>
      </c>
      <c r="W115" s="142">
        <f t="shared" si="46"/>
        <v>0.0175796451819628</v>
      </c>
      <c r="X115" s="144"/>
      <c r="Y115" s="141">
        <f>VLOOKUP(B115,'2024 by account '!$A$2:$M$102,7,0)/1000</f>
        <v>13.9145</v>
      </c>
      <c r="Z115" s="141">
        <f t="shared" si="47"/>
        <v>0.396800953611261</v>
      </c>
      <c r="AA115" s="142">
        <f t="shared" si="48"/>
        <v>0.0128099481408594</v>
      </c>
      <c r="AB115" s="144"/>
      <c r="AC115" s="141">
        <f>VLOOKUP(B115,'2024 by account '!$A$2:$M$102,8,0)/1000</f>
        <v>11.64235</v>
      </c>
      <c r="AD115" s="141">
        <f t="shared" si="49"/>
        <v>0.326144567175301</v>
      </c>
      <c r="AE115" s="142">
        <f t="shared" si="50"/>
        <v>0.00945977223004615</v>
      </c>
      <c r="AF115" s="144"/>
      <c r="AG115" s="141">
        <f>VLOOKUP(B115,'2024 by account '!$A$2:$M$102,9,0)/1000</f>
        <v>5.07516</v>
      </c>
      <c r="AH115" s="141">
        <f t="shared" si="51"/>
        <v>0.136760640046565</v>
      </c>
      <c r="AI115" s="142">
        <f t="shared" si="52"/>
        <v>0.00534680741444071</v>
      </c>
      <c r="AJ115" s="144"/>
      <c r="AK115" s="141">
        <f>VLOOKUP(B115,'2024 by account '!$A$2:$M$102,10,0)/1000</f>
        <v>12.64982</v>
      </c>
      <c r="AL115" s="141">
        <f t="shared" si="53"/>
        <v>0.334440538421048</v>
      </c>
      <c r="AM115" s="142">
        <f t="shared" si="54"/>
        <v>0.00833933119940774</v>
      </c>
      <c r="AN115" s="144"/>
      <c r="AO115" s="141">
        <f>VLOOKUP(B115,'2024 by account '!$A$2:$M$102,11,0)/1000</f>
        <v>13.42578</v>
      </c>
      <c r="AP115" s="141">
        <f t="shared" si="55"/>
        <v>0.359484537678694</v>
      </c>
      <c r="AQ115" s="142">
        <f t="shared" si="56"/>
        <v>0.00872810687058281</v>
      </c>
      <c r="AR115" s="144"/>
      <c r="AS115" s="141">
        <f>VLOOKUP(B115,'2024 by account '!$A$2:$M$102,12,0)/1000</f>
        <v>9.66197</v>
      </c>
      <c r="AT115" s="141">
        <f t="shared" si="57"/>
        <v>0.263817418775274</v>
      </c>
      <c r="AU115" s="142">
        <f t="shared" si="58"/>
        <v>0.00611963393122881</v>
      </c>
      <c r="AV115" s="144"/>
      <c r="AW115" s="143">
        <f>VLOOKUP(B115,'2024 by account '!$A$2:$M$102,13,0)/1000</f>
        <v>57.60732</v>
      </c>
      <c r="AX115" s="141">
        <f t="shared" si="59"/>
        <v>1.57144415917143</v>
      </c>
      <c r="AY115" s="142">
        <f t="shared" si="60"/>
        <v>0.0600865735927592</v>
      </c>
      <c r="AZ115" s="121"/>
      <c r="BA115" s="143">
        <f t="shared" si="70"/>
        <v>192.43688</v>
      </c>
      <c r="BB115" s="141">
        <f t="shared" si="71"/>
        <v>5.37954192477624</v>
      </c>
      <c r="BC115" s="142">
        <f t="shared" si="61"/>
        <v>0.0146879284565338</v>
      </c>
    </row>
    <row r="116" s="120" customFormat="1" spans="1:55">
      <c r="B116" s="148" t="s">
        <v>135</v>
      </c>
      <c r="C116" s="149" t="s">
        <v>144</v>
      </c>
      <c r="D116" s="150"/>
      <c r="E116" s="151">
        <f>SUM(E102:E115)</f>
        <v>3688.51357</v>
      </c>
      <c r="F116" s="151">
        <f t="shared" si="37"/>
        <v>112.398140264806</v>
      </c>
      <c r="G116" s="152">
        <f t="shared" si="38"/>
        <v>7.00518169303869</v>
      </c>
      <c r="H116" s="121"/>
      <c r="I116" s="151">
        <f>SUM(I102:I115)</f>
        <v>4271.80088</v>
      </c>
      <c r="J116" s="151">
        <f>SUM(J102:J115)</f>
        <v>128.419598128931</v>
      </c>
      <c r="K116" s="152">
        <f t="shared" si="40"/>
        <v>6.50159974326299</v>
      </c>
      <c r="L116" s="153"/>
      <c r="M116" s="154">
        <f>SUM(M102:M115)</f>
        <v>4372.03205</v>
      </c>
      <c r="N116" s="151">
        <f>SUM(N102:N115)</f>
        <v>125.550486892246</v>
      </c>
      <c r="O116" s="152">
        <f t="shared" si="42"/>
        <v>6.26593236972831</v>
      </c>
      <c r="P116" s="153"/>
      <c r="Q116" s="151">
        <f>SUM(Q102:Q115)</f>
        <v>5050.22542</v>
      </c>
      <c r="R116" s="151">
        <f t="shared" si="43"/>
        <v>145.570681355678</v>
      </c>
      <c r="S116" s="152">
        <f t="shared" si="44"/>
        <v>5.19098104181714</v>
      </c>
      <c r="T116" s="153"/>
      <c r="U116" s="151">
        <f>SUM(U102:U115)</f>
        <v>5130.94847</v>
      </c>
      <c r="V116" s="151">
        <f t="shared" si="45"/>
        <v>147.185165731989</v>
      </c>
      <c r="W116" s="152">
        <f t="shared" si="46"/>
        <v>3.60801014198139</v>
      </c>
      <c r="X116" s="153"/>
      <c r="Y116" s="151">
        <f>SUM(Y102:Y115)</f>
        <v>6155.24772</v>
      </c>
      <c r="Z116" s="151">
        <f t="shared" si="47"/>
        <v>175.529711093431</v>
      </c>
      <c r="AA116" s="152">
        <f t="shared" si="48"/>
        <v>5.6666358178406</v>
      </c>
      <c r="AB116" s="153"/>
      <c r="AC116" s="151">
        <f>SUM(AC102:AC115)</f>
        <v>5410.92668</v>
      </c>
      <c r="AD116" s="151">
        <f t="shared" si="49"/>
        <v>151.579736055512</v>
      </c>
      <c r="AE116" s="152">
        <f t="shared" si="50"/>
        <v>4.39654656888685</v>
      </c>
      <c r="AF116" s="153"/>
      <c r="AG116" s="151">
        <f>SUM(AG102:AG115)</f>
        <v>2345.76529</v>
      </c>
      <c r="AH116" s="151">
        <f t="shared" si="51"/>
        <v>63.2114775611833</v>
      </c>
      <c r="AI116" s="152">
        <f t="shared" si="52"/>
        <v>2.47132213469322</v>
      </c>
      <c r="AJ116" s="153"/>
      <c r="AK116" s="151">
        <f>SUM(AK102:AK115)</f>
        <v>3366.5502</v>
      </c>
      <c r="AL116" s="151">
        <f t="shared" si="53"/>
        <v>89.0060776761635</v>
      </c>
      <c r="AM116" s="152">
        <f t="shared" si="54"/>
        <v>2.21938154987441</v>
      </c>
      <c r="AN116" s="153"/>
      <c r="AO116" s="151">
        <f>SUM(AO102:AO115)</f>
        <v>6324.59209</v>
      </c>
      <c r="AP116" s="151">
        <f t="shared" si="55"/>
        <v>169.34532395734</v>
      </c>
      <c r="AQ116" s="152">
        <f t="shared" si="56"/>
        <v>4.11162075308568</v>
      </c>
      <c r="AR116" s="153"/>
      <c r="AS116" s="151">
        <f>SUM(AS102:AS115)</f>
        <v>4883.85526</v>
      </c>
      <c r="AT116" s="151">
        <f t="shared" si="57"/>
        <v>133.352317215355</v>
      </c>
      <c r="AU116" s="152">
        <f t="shared" si="58"/>
        <v>3.0933035772525</v>
      </c>
      <c r="AV116" s="153"/>
      <c r="AW116" s="151">
        <f>SUM(AW102:AW115)</f>
        <v>2979.77852</v>
      </c>
      <c r="AX116" s="151">
        <f t="shared" si="59"/>
        <v>81.2840373563375</v>
      </c>
      <c r="AY116" s="152">
        <f t="shared" si="60"/>
        <v>3.10801962896561</v>
      </c>
      <c r="AZ116" s="155"/>
      <c r="BA116" s="151">
        <f t="shared" si="70"/>
        <v>53980.23615</v>
      </c>
      <c r="BB116" s="151">
        <f t="shared" si="71"/>
        <v>1522.43275328897</v>
      </c>
      <c r="BC116" s="152">
        <f t="shared" si="61"/>
        <v>4.15674488141893</v>
      </c>
    </row>
    <row r="117" s="123" customFormat="1" spans="1:55">
      <c r="A117" s="160" t="s">
        <v>243</v>
      </c>
      <c r="B117" s="160"/>
      <c r="C117" s="160"/>
      <c r="D117" s="160" t="s">
        <v>159</v>
      </c>
      <c r="E117" s="161">
        <f>SUM(E116,E101,E93,E85,E81,E78,E76,E74,E69,E27,E22,E13)</f>
        <v>24130.42095</v>
      </c>
      <c r="F117" s="161">
        <f t="shared" si="37"/>
        <v>735.313666905368</v>
      </c>
      <c r="G117" s="162">
        <f t="shared" si="38"/>
        <v>45.828212334395</v>
      </c>
      <c r="H117" s="127"/>
      <c r="I117" s="161">
        <f>SUM(I116,I101,I93,I85,I81,I78,I76,I74,I69,I27,I22,I13)</f>
        <v>25605.062</v>
      </c>
      <c r="J117" s="161">
        <f>SUM(J116,J101,J93,J85,J81,J78,J76,J74,J69,J27,J22,J13)</f>
        <v>769.743689950818</v>
      </c>
      <c r="K117" s="163">
        <f t="shared" si="40"/>
        <v>38.9704176767324</v>
      </c>
      <c r="L117" s="164"/>
      <c r="M117" s="165">
        <f>SUM(M116,M101,M93,M85,M81,M78,M76,M74,M69,M27,M22,M13)</f>
        <v>29986.39675</v>
      </c>
      <c r="N117" s="161">
        <f>SUM(N116,N101,N93,N85,N81,N78,N76,N74,N69,N27,N22,N13)</f>
        <v>861.111416625267</v>
      </c>
      <c r="O117" s="162">
        <f t="shared" si="42"/>
        <v>42.9760651108083</v>
      </c>
      <c r="P117" s="164"/>
      <c r="Q117" s="161">
        <f>SUM(Q116,Q101,Q93,Q85,Q81,Q78,Q76,Q74,Q69,Q27,Q22,Q13)</f>
        <v>37922.00115</v>
      </c>
      <c r="R117" s="161">
        <f t="shared" si="43"/>
        <v>1093.08616679061</v>
      </c>
      <c r="S117" s="162">
        <f t="shared" si="44"/>
        <v>38.9789311696542</v>
      </c>
      <c r="T117" s="164"/>
      <c r="U117" s="161">
        <f>SUM(U116,U101,U93,U85,U81,U78,U76,U74,U69,U27,U22,U13)</f>
        <v>36981.00922</v>
      </c>
      <c r="V117" s="161">
        <f t="shared" si="45"/>
        <v>1060.82842242653</v>
      </c>
      <c r="W117" s="162">
        <f t="shared" si="46"/>
        <v>26.0045208223398</v>
      </c>
      <c r="X117" s="164"/>
      <c r="Y117" s="161">
        <f>SUM(Y116,Y101,Y93,Y85,Y81,Y78,Y76,Y74,Y69,Y27,Y22,Y13)</f>
        <v>39602.9987</v>
      </c>
      <c r="Z117" s="161">
        <f t="shared" si="47"/>
        <v>1129.36200726045</v>
      </c>
      <c r="AA117" s="162">
        <f t="shared" si="48"/>
        <v>36.4592590153812</v>
      </c>
      <c r="AB117" s="164"/>
      <c r="AC117" s="161">
        <f>SUM(AC116,AC101,AC93,AC85,AC81,AC78,AC76,AC74,AC69,AC27,AC22,AC13)</f>
        <v>38825.0473</v>
      </c>
      <c r="AD117" s="161">
        <f t="shared" si="49"/>
        <v>1087.6307830652</v>
      </c>
      <c r="AE117" s="162">
        <f t="shared" si="50"/>
        <v>31.5465609845751</v>
      </c>
      <c r="AF117" s="164"/>
      <c r="AG117" s="161">
        <f>SUM(AG116,AG101,AG93,AG85,AG81,AG78,AG76,AG74,AG69,AG27,AG22,AG13)</f>
        <v>34332.22155</v>
      </c>
      <c r="AH117" s="161">
        <f t="shared" si="51"/>
        <v>925.152427391147</v>
      </c>
      <c r="AI117" s="162">
        <f t="shared" si="52"/>
        <v>36.1698501599479</v>
      </c>
      <c r="AJ117" s="164"/>
      <c r="AK117" s="161">
        <f>SUM(AK116,AK101,AK93,AK85,AK81,AK78,AK76,AK74,AK69,AK27,AK22,AK13)</f>
        <v>36660.48875</v>
      </c>
      <c r="AL117" s="161">
        <f t="shared" si="53"/>
        <v>969.243324911245</v>
      </c>
      <c r="AM117" s="162">
        <f t="shared" si="54"/>
        <v>24.1682456840027</v>
      </c>
      <c r="AN117" s="164"/>
      <c r="AO117" s="161">
        <f>SUM(AO116,AO101,AO93,AO85,AO81,AO78,AO76,AO74,AO69,AO27,AO22,AO13)</f>
        <v>44124.38432</v>
      </c>
      <c r="AP117" s="161">
        <f t="shared" si="55"/>
        <v>1181.46088328814</v>
      </c>
      <c r="AQ117" s="162">
        <f t="shared" si="56"/>
        <v>28.6852862138087</v>
      </c>
      <c r="AR117" s="164"/>
      <c r="AS117" s="161">
        <f>SUM(AS116,AS101,AS93,AS85,AS81,AS78,AS76,AS74,AS69,AS27,AS22,AS13)</f>
        <v>40675.2349</v>
      </c>
      <c r="AT117" s="161">
        <f t="shared" si="57"/>
        <v>1110.62603996865</v>
      </c>
      <c r="AU117" s="162">
        <f t="shared" si="58"/>
        <v>25.7626082108247</v>
      </c>
      <c r="AV117" s="164"/>
      <c r="AW117" s="161">
        <f>SUM(AW116,AW101,AW93,AW85,AW81,AW78,AW76,AW74,AW69,AW27,AW22,AW13)</f>
        <v>32543.63916</v>
      </c>
      <c r="AX117" s="161">
        <f t="shared" si="59"/>
        <v>887.743288112772</v>
      </c>
      <c r="AY117" s="163">
        <f t="shared" si="60"/>
        <v>33.9442239174386</v>
      </c>
      <c r="BA117" s="161">
        <f t="shared" si="70"/>
        <v>421388.90475</v>
      </c>
      <c r="BB117" s="161">
        <f t="shared" si="71"/>
        <v>11811.3021166962</v>
      </c>
      <c r="BC117" s="163">
        <f t="shared" si="61"/>
        <v>32.2487607484825</v>
      </c>
    </row>
    <row r="118" spans="1:55">
      <c r="E118" s="141"/>
      <c r="F118" s="141"/>
      <c r="G118" s="166"/>
      <c r="H118" s="167"/>
      <c r="I118" s="141"/>
      <c r="J118" s="141"/>
      <c r="K118" s="166"/>
      <c r="M118" s="141"/>
      <c r="N118" s="141"/>
      <c r="O118" s="166"/>
      <c r="Q118" s="141"/>
      <c r="R118" s="141"/>
      <c r="S118" s="166"/>
      <c r="U118" s="141"/>
      <c r="V118" s="141"/>
      <c r="W118" s="166"/>
      <c r="Y118" s="141"/>
      <c r="Z118" s="141"/>
      <c r="AA118" s="166"/>
      <c r="AC118" s="141"/>
      <c r="AD118" s="141"/>
      <c r="AE118" s="166"/>
      <c r="AG118" s="141"/>
      <c r="AH118" s="141"/>
      <c r="AI118" s="166"/>
      <c r="AK118" s="141"/>
      <c r="AL118" s="141"/>
      <c r="AM118" s="166"/>
      <c r="AO118" s="141"/>
      <c r="AP118" s="141"/>
      <c r="AQ118" s="166"/>
      <c r="AS118" s="141"/>
      <c r="AT118" s="141"/>
      <c r="AU118" s="166"/>
      <c r="AW118" s="141"/>
      <c r="AX118" s="141"/>
      <c r="AY118" s="166"/>
      <c r="BA118" s="141"/>
      <c r="BB118" s="141"/>
      <c r="BC118" s="166"/>
    </row>
    <row r="119" spans="1:55">
      <c r="E119" s="141"/>
      <c r="F119" s="141"/>
      <c r="G119" s="166"/>
      <c r="H119" s="167"/>
      <c r="I119" s="141"/>
      <c r="J119" s="141"/>
      <c r="K119" s="166"/>
      <c r="M119" s="141"/>
      <c r="N119" s="141"/>
      <c r="O119" s="166"/>
      <c r="Q119" s="141"/>
      <c r="R119" s="141"/>
      <c r="S119" s="166"/>
      <c r="U119" s="141"/>
      <c r="V119" s="141"/>
      <c r="W119" s="166"/>
      <c r="Y119" s="141"/>
      <c r="Z119" s="141"/>
      <c r="AA119" s="166"/>
      <c r="AC119" s="141"/>
      <c r="AD119" s="141"/>
      <c r="AE119" s="166"/>
      <c r="AG119" s="141"/>
      <c r="AH119" s="141"/>
      <c r="AI119" s="166"/>
      <c r="AK119" s="141"/>
      <c r="AL119" s="141"/>
      <c r="AM119" s="166"/>
      <c r="AO119" s="141"/>
      <c r="AP119" s="141"/>
      <c r="AQ119" s="166"/>
      <c r="AS119" s="141"/>
      <c r="AT119" s="141"/>
      <c r="AU119" s="166"/>
      <c r="AW119" s="141"/>
      <c r="AX119" s="141"/>
      <c r="AY119" s="166"/>
      <c r="BA119" s="141"/>
      <c r="BB119" s="141"/>
      <c r="BC119" s="166"/>
    </row>
    <row r="120" spans="1:55">
      <c r="C120" s="140" t="s">
        <v>244</v>
      </c>
      <c r="D120" s="168">
        <v>5102020000</v>
      </c>
      <c r="E120" s="169">
        <v>-17.56944</v>
      </c>
      <c r="F120" s="170">
        <f t="shared" ref="F120" si="74">E120/$F$2</f>
        <v>-0.535384334100224</v>
      </c>
      <c r="G120" s="171">
        <f t="shared" ref="G120" si="75">F120/$F$1*1000</f>
        <v>-0.0333676742973028</v>
      </c>
      <c r="H120" s="172"/>
      <c r="I120" s="173">
        <v>0</v>
      </c>
      <c r="J120" s="170">
        <f t="shared" ref="J120" si="76">I120/$J$2</f>
        <v>0</v>
      </c>
      <c r="K120" s="171">
        <f t="shared" ref="K120" si="77">J120/$J$1*1000</f>
        <v>0</v>
      </c>
      <c r="M120" s="174">
        <v>17.56944</v>
      </c>
      <c r="N120" s="170">
        <f t="shared" ref="N120" si="78">M120/$N$2</f>
        <v>0.504536957002432</v>
      </c>
      <c r="O120" s="171">
        <f t="shared" ref="O120" si="79">N120/$N$1*1000</f>
        <v>0.0251802643610537</v>
      </c>
      <c r="P120" s="175"/>
      <c r="Q120" s="174">
        <v>0</v>
      </c>
      <c r="R120" s="170">
        <f t="shared" ref="R120" si="80">Q120/$R$2</f>
        <v>0</v>
      </c>
      <c r="S120" s="171">
        <f t="shared" ref="S120" si="81">R120/$R$1*1000</f>
        <v>0</v>
      </c>
      <c r="T120" s="175"/>
      <c r="U120" s="174">
        <v>0</v>
      </c>
      <c r="V120" s="170">
        <f t="shared" ref="V120:V165" si="82">U120/$V$2</f>
        <v>0</v>
      </c>
      <c r="W120" s="171">
        <f t="shared" ref="W120:W166" si="83">V120/$V$1*1000</f>
        <v>0</v>
      </c>
      <c r="X120" s="175"/>
      <c r="Y120" s="174">
        <v>-17.56944</v>
      </c>
      <c r="Z120" s="170">
        <f t="shared" ref="Z120:Z165" si="84">Y120/$Z$2</f>
        <v>-0.501029181531196</v>
      </c>
      <c r="AA120" s="171">
        <f t="shared" ref="AA120:AA166" si="85">Z120/$Z$1*1000</f>
        <v>-0.0161747540525309</v>
      </c>
      <c r="AB120" s="175"/>
      <c r="AC120" s="174">
        <v>17.56944</v>
      </c>
      <c r="AD120" s="170">
        <f t="shared" ref="AD120" si="86">AC120/$AD$2</f>
        <v>0.492183915129885</v>
      </c>
      <c r="AE120" s="171">
        <f t="shared" ref="AE120" si="87">AD120/$AD$1*1000</f>
        <v>0.0142757175836031</v>
      </c>
      <c r="AF120" s="175"/>
      <c r="AG120" s="174">
        <v>0</v>
      </c>
      <c r="AH120" s="170">
        <f t="shared" ref="AH120:AH165" si="88">AG120/$AH$2</f>
        <v>0</v>
      </c>
      <c r="AI120" s="171">
        <f t="shared" ref="AI120:AI166" si="89">AH120/$AH$1*1000</f>
        <v>0</v>
      </c>
      <c r="AJ120" s="175"/>
      <c r="AK120" s="174">
        <v>-27.42449</v>
      </c>
      <c r="AL120" s="170">
        <f t="shared" ref="AL120:AL165" si="90">AK120/$AL$2</f>
        <v>-0.725058633365743</v>
      </c>
      <c r="AM120" s="171">
        <f t="shared" ref="AM120:AM166" si="91">AL120/$AL$1*1000</f>
        <v>-0.0180794592401193</v>
      </c>
      <c r="AN120" s="175"/>
      <c r="AO120" s="174">
        <v>27.42449</v>
      </c>
      <c r="AP120" s="170">
        <f t="shared" ref="AP120:AP165" si="92">AO120/$AP$2</f>
        <v>0.734309672043187</v>
      </c>
      <c r="AQ120" s="171">
        <f t="shared" ref="AQ120:AQ166" si="93">AP120/$AP$1*1000</f>
        <v>0.0178286758453684</v>
      </c>
      <c r="AR120" s="175"/>
      <c r="AS120" s="174">
        <v>0</v>
      </c>
      <c r="AT120" s="146">
        <f t="shared" ref="AT120" si="94">AS120/$AT$2</f>
        <v>0</v>
      </c>
      <c r="AU120" s="147">
        <f t="shared" ref="AU120" si="95">AT120/$AT$1*1000</f>
        <v>0</v>
      </c>
      <c r="AV120" s="175"/>
      <c r="AW120" s="174">
        <v>0</v>
      </c>
      <c r="AX120" s="146">
        <f t="shared" ref="AX120" si="96">AW120/$AX$2</f>
        <v>0</v>
      </c>
      <c r="AY120" s="147">
        <f t="shared" ref="AY120" si="97">AX120/$AX$1*1000</f>
        <v>0</v>
      </c>
      <c r="BA120" s="143">
        <f t="shared" ref="BA120:BA166" si="98">SUM(AW120,AS120,AO120,AK120,AG120,AC120,Y120,U120,Q120,M120,I120,E120)</f>
        <v>0</v>
      </c>
      <c r="BB120" s="141">
        <f t="shared" ref="BB120:BB166" si="99">SUM(AX120,AT120,AP120,AL120,AH120,AD120,Z120,V120,R120,N120,J120,F120)</f>
        <v>-0.0304416048216596</v>
      </c>
      <c r="BC120" s="142">
        <f t="shared" ref="BC120" si="100">BB120/$BB$1*1000</f>
        <v>-8.31156481304322e-5</v>
      </c>
    </row>
    <row r="121" spans="1:55">
      <c r="C121" s="140" t="s">
        <v>245</v>
      </c>
      <c r="D121" s="168">
        <v>5102040406</v>
      </c>
      <c r="E121" s="176">
        <v>-138.91883</v>
      </c>
      <c r="F121" s="177">
        <f t="shared" ref="F121:F166" si="101">E121/$F$2</f>
        <v>-4.23320067648896</v>
      </c>
      <c r="G121" s="178">
        <f t="shared" ref="G121:G166" si="102">F121/$F$1*1000</f>
        <v>-0.263833011934494</v>
      </c>
      <c r="H121" s="172"/>
      <c r="I121" s="179">
        <v>-142.47452</v>
      </c>
      <c r="J121" s="177">
        <f t="shared" ref="J121:J165" si="103">I121/$J$2</f>
        <v>-4.28309303639927</v>
      </c>
      <c r="K121" s="178">
        <f t="shared" ref="K121:K165" si="104">J121/$J$1*1000</f>
        <v>-0.216843511360838</v>
      </c>
      <c r="M121" s="180">
        <v>-236.82365</v>
      </c>
      <c r="N121" s="177">
        <f t="shared" ref="N121:N165" si="105">M121/$N$2</f>
        <v>-6.80080205841558</v>
      </c>
      <c r="O121" s="178">
        <f t="shared" ref="O121:O166" si="106">N121/$N$1*1000</f>
        <v>-0.339412190368597</v>
      </c>
      <c r="P121" s="175"/>
      <c r="Q121" s="180">
        <v>-146.68425</v>
      </c>
      <c r="R121" s="177">
        <f t="shared" ref="R121:R165" si="107">Q121/$R$2</f>
        <v>-4.22811348817904</v>
      </c>
      <c r="S121" s="178">
        <f t="shared" ref="S121:S166" si="108">R121/$R$1*1000</f>
        <v>-0.150772509652285</v>
      </c>
      <c r="T121" s="175"/>
      <c r="U121" s="180">
        <v>-147.60167</v>
      </c>
      <c r="V121" s="177">
        <f t="shared" si="82"/>
        <v>-4.23406635016709</v>
      </c>
      <c r="W121" s="178">
        <f t="shared" si="83"/>
        <v>-0.103791399474606</v>
      </c>
      <c r="X121" s="175"/>
      <c r="Y121" s="180">
        <v>-150.6508</v>
      </c>
      <c r="Z121" s="177">
        <f t="shared" si="84"/>
        <v>-4.29612139151959</v>
      </c>
      <c r="AA121" s="178">
        <f t="shared" si="85"/>
        <v>-0.138691935418375</v>
      </c>
      <c r="AB121" s="175"/>
      <c r="AC121" s="180">
        <v>-151.394</v>
      </c>
      <c r="AD121" s="177">
        <f t="shared" ref="AD121:AD165" si="109">AC121/$AD$2</f>
        <v>-4.24109656580824</v>
      </c>
      <c r="AE121" s="178">
        <f t="shared" ref="AE121:AE166" si="110">AD121/$AD$1*1000</f>
        <v>-0.123012343469798</v>
      </c>
      <c r="AF121" s="175"/>
      <c r="AG121" s="180">
        <v>-152.07593</v>
      </c>
      <c r="AH121" s="177">
        <f t="shared" si="88"/>
        <v>-4.09799918080938</v>
      </c>
      <c r="AI121" s="178">
        <f t="shared" si="89"/>
        <v>-0.160215778434959</v>
      </c>
      <c r="AJ121" s="175"/>
      <c r="AK121" s="180">
        <v>-326.38832</v>
      </c>
      <c r="AL121" s="177">
        <f t="shared" si="90"/>
        <v>-8.62917302184073</v>
      </c>
      <c r="AM121" s="178">
        <f t="shared" si="91"/>
        <v>-0.215169883848013</v>
      </c>
      <c r="AN121" s="175"/>
      <c r="AO121" s="180">
        <v>-278.24848</v>
      </c>
      <c r="AP121" s="177">
        <f t="shared" si="92"/>
        <v>-7.45029534169332</v>
      </c>
      <c r="AQ121" s="178">
        <f t="shared" si="93"/>
        <v>-0.180889487986338</v>
      </c>
      <c r="AR121" s="175"/>
      <c r="AS121" s="180">
        <v>-152.12327</v>
      </c>
      <c r="AT121" s="177">
        <f t="shared" ref="AT121:AT165" si="111">AS121/$AT$2</f>
        <v>-4.15368381676346</v>
      </c>
      <c r="AU121" s="178">
        <f t="shared" ref="AU121:AU166" si="112">AT121/$AT$1*1000</f>
        <v>-0.0963508192243902</v>
      </c>
      <c r="AV121" s="175"/>
      <c r="AW121" s="180">
        <v>-235.85966</v>
      </c>
      <c r="AX121" s="177">
        <f t="shared" ref="AX121:AX164" si="113">AW121/$AX$2</f>
        <v>-6.4339095290522</v>
      </c>
      <c r="AY121" s="178">
        <f t="shared" ref="AY121:AY164" si="114">AX121/$AX$1*1000</f>
        <v>-0.246010382329071</v>
      </c>
      <c r="BA121" s="143">
        <f t="shared" si="98"/>
        <v>-2259.24338</v>
      </c>
      <c r="BB121" s="141">
        <f t="shared" si="99"/>
        <v>-63.0815544571369</v>
      </c>
      <c r="BC121" s="142">
        <f t="shared" ref="BC121:BC165" si="115">BB121/$BB$1*1000</f>
        <v>-0.17223350459006</v>
      </c>
    </row>
    <row r="122" spans="1:55">
      <c r="C122" s="140" t="s">
        <v>246</v>
      </c>
      <c r="D122" s="168">
        <v>5102040800</v>
      </c>
      <c r="E122" s="176">
        <v>0</v>
      </c>
      <c r="F122" s="177">
        <f t="shared" si="101"/>
        <v>0</v>
      </c>
      <c r="G122" s="178">
        <f t="shared" si="102"/>
        <v>0</v>
      </c>
      <c r="H122" s="172"/>
      <c r="I122" s="179">
        <v>0</v>
      </c>
      <c r="J122" s="177">
        <f t="shared" si="103"/>
        <v>0</v>
      </c>
      <c r="K122" s="178">
        <f t="shared" si="104"/>
        <v>0</v>
      </c>
      <c r="M122" s="180">
        <v>0</v>
      </c>
      <c r="N122" s="177">
        <f t="shared" si="105"/>
        <v>0</v>
      </c>
      <c r="O122" s="178">
        <f t="shared" si="106"/>
        <v>0</v>
      </c>
      <c r="P122" s="175"/>
      <c r="Q122" s="180">
        <v>110.79307</v>
      </c>
      <c r="R122" s="177">
        <f t="shared" si="107"/>
        <v>3.1935649100961</v>
      </c>
      <c r="S122" s="178">
        <f t="shared" si="108"/>
        <v>0.113881000966234</v>
      </c>
      <c r="T122" s="175"/>
      <c r="U122" s="180">
        <v>0</v>
      </c>
      <c r="V122" s="177">
        <f t="shared" si="82"/>
        <v>0</v>
      </c>
      <c r="W122" s="178">
        <f t="shared" si="83"/>
        <v>0</v>
      </c>
      <c r="X122" s="175"/>
      <c r="Y122" s="180">
        <v>0</v>
      </c>
      <c r="Z122" s="177">
        <f t="shared" si="84"/>
        <v>0</v>
      </c>
      <c r="AA122" s="178">
        <f t="shared" si="85"/>
        <v>0</v>
      </c>
      <c r="AB122" s="175"/>
      <c r="AC122" s="180">
        <v>0</v>
      </c>
      <c r="AD122" s="177">
        <f t="shared" si="109"/>
        <v>0</v>
      </c>
      <c r="AE122" s="178">
        <f t="shared" si="110"/>
        <v>0</v>
      </c>
      <c r="AF122" s="175"/>
      <c r="AG122" s="180">
        <v>0</v>
      </c>
      <c r="AH122" s="177">
        <f t="shared" si="88"/>
        <v>0</v>
      </c>
      <c r="AI122" s="178">
        <f t="shared" si="89"/>
        <v>0</v>
      </c>
      <c r="AJ122" s="175"/>
      <c r="AK122" s="180">
        <v>0</v>
      </c>
      <c r="AL122" s="177">
        <f t="shared" si="90"/>
        <v>0</v>
      </c>
      <c r="AM122" s="178">
        <f t="shared" si="91"/>
        <v>0</v>
      </c>
      <c r="AN122" s="175"/>
      <c r="AO122" s="180">
        <v>0</v>
      </c>
      <c r="AP122" s="177">
        <f t="shared" si="92"/>
        <v>0</v>
      </c>
      <c r="AQ122" s="178">
        <f t="shared" si="93"/>
        <v>0</v>
      </c>
      <c r="AR122" s="175"/>
      <c r="AS122" s="180">
        <v>0</v>
      </c>
      <c r="AT122" s="177">
        <f t="shared" si="111"/>
        <v>0</v>
      </c>
      <c r="AU122" s="178">
        <f t="shared" si="112"/>
        <v>0</v>
      </c>
      <c r="AV122" s="175"/>
      <c r="AW122" s="180">
        <v>0</v>
      </c>
      <c r="AX122" s="177">
        <f t="shared" si="113"/>
        <v>0</v>
      </c>
      <c r="AY122" s="178">
        <f t="shared" si="114"/>
        <v>0</v>
      </c>
      <c r="BA122" s="143">
        <f t="shared" si="98"/>
        <v>110.79307</v>
      </c>
      <c r="BB122" s="141">
        <f t="shared" si="99"/>
        <v>3.1935649100961</v>
      </c>
      <c r="BC122" s="142">
        <f t="shared" si="115"/>
        <v>0.00871948830898634</v>
      </c>
    </row>
    <row r="123" spans="1:55">
      <c r="C123" s="140" t="s">
        <v>247</v>
      </c>
      <c r="D123" s="168">
        <v>5102040898</v>
      </c>
      <c r="E123" s="176">
        <v>0</v>
      </c>
      <c r="F123" s="177">
        <f t="shared" si="101"/>
        <v>0</v>
      </c>
      <c r="G123" s="178">
        <f t="shared" si="102"/>
        <v>0</v>
      </c>
      <c r="H123" s="172"/>
      <c r="I123" s="179">
        <v>0</v>
      </c>
      <c r="J123" s="177">
        <f t="shared" si="103"/>
        <v>0</v>
      </c>
      <c r="K123" s="178">
        <f t="shared" si="104"/>
        <v>0</v>
      </c>
      <c r="M123" s="180">
        <v>0</v>
      </c>
      <c r="N123" s="177">
        <f t="shared" si="105"/>
        <v>0</v>
      </c>
      <c r="O123" s="178">
        <f t="shared" si="106"/>
        <v>0</v>
      </c>
      <c r="P123" s="175"/>
      <c r="Q123" s="180">
        <v>0</v>
      </c>
      <c r="R123" s="177">
        <f t="shared" si="107"/>
        <v>0</v>
      </c>
      <c r="S123" s="178">
        <f t="shared" si="108"/>
        <v>0</v>
      </c>
      <c r="T123" s="175"/>
      <c r="U123" s="180">
        <v>0</v>
      </c>
      <c r="V123" s="177">
        <f t="shared" si="82"/>
        <v>0</v>
      </c>
      <c r="W123" s="178">
        <f t="shared" si="83"/>
        <v>0</v>
      </c>
      <c r="X123" s="175"/>
      <c r="Y123" s="180">
        <v>0</v>
      </c>
      <c r="Z123" s="177">
        <f t="shared" si="84"/>
        <v>0</v>
      </c>
      <c r="AA123" s="178">
        <f t="shared" si="85"/>
        <v>0</v>
      </c>
      <c r="AB123" s="175"/>
      <c r="AC123" s="180">
        <v>-200.84675</v>
      </c>
      <c r="AD123" s="177">
        <f t="shared" si="109"/>
        <v>-5.62644795486443</v>
      </c>
      <c r="AE123" s="178">
        <f t="shared" si="110"/>
        <v>-0.163194244129838</v>
      </c>
      <c r="AF123" s="175"/>
      <c r="AG123" s="180">
        <v>9.2365</v>
      </c>
      <c r="AH123" s="177">
        <f t="shared" si="88"/>
        <v>0.248896517900932</v>
      </c>
      <c r="AI123" s="178">
        <f t="shared" si="89"/>
        <v>0.00973088270783219</v>
      </c>
      <c r="AJ123" s="175"/>
      <c r="AK123" s="180">
        <v>-59.30842</v>
      </c>
      <c r="AL123" s="177">
        <f t="shared" si="90"/>
        <v>-1.56801756212354</v>
      </c>
      <c r="AM123" s="178">
        <f t="shared" si="91"/>
        <v>-0.0390987822193184</v>
      </c>
      <c r="AN123" s="175"/>
      <c r="AO123" s="180">
        <v>250.91867</v>
      </c>
      <c r="AP123" s="177">
        <f t="shared" si="92"/>
        <v>6.71852079208082</v>
      </c>
      <c r="AQ123" s="178">
        <f t="shared" si="93"/>
        <v>0.163122363660398</v>
      </c>
      <c r="AR123" s="175"/>
      <c r="AS123" s="180">
        <v>0</v>
      </c>
      <c r="AT123" s="177">
        <f t="shared" si="111"/>
        <v>0</v>
      </c>
      <c r="AU123" s="178">
        <f t="shared" si="112"/>
        <v>0</v>
      </c>
      <c r="AV123" s="175"/>
      <c r="AW123" s="180">
        <v>0</v>
      </c>
      <c r="AX123" s="177">
        <f t="shared" si="113"/>
        <v>0</v>
      </c>
      <c r="AY123" s="178">
        <f t="shared" si="114"/>
        <v>0</v>
      </c>
      <c r="BA123" s="143">
        <f t="shared" si="98"/>
        <v>2.8421709430404e-14</v>
      </c>
      <c r="BB123" s="141">
        <f t="shared" si="99"/>
        <v>-0.227048207006218</v>
      </c>
      <c r="BC123" s="142">
        <f t="shared" si="115"/>
        <v>-0.000619916689436401</v>
      </c>
    </row>
    <row r="124" spans="1:55">
      <c r="C124" s="140" t="s">
        <v>248</v>
      </c>
      <c r="D124" s="168">
        <v>5301060000</v>
      </c>
      <c r="E124" s="176">
        <v>0</v>
      </c>
      <c r="F124" s="177">
        <f t="shared" si="101"/>
        <v>0</v>
      </c>
      <c r="G124" s="178">
        <f t="shared" si="102"/>
        <v>0</v>
      </c>
      <c r="H124" s="172"/>
      <c r="I124" s="179">
        <v>0</v>
      </c>
      <c r="J124" s="177">
        <f t="shared" si="103"/>
        <v>0</v>
      </c>
      <c r="K124" s="178">
        <f t="shared" si="104"/>
        <v>0</v>
      </c>
      <c r="M124" s="180">
        <v>0</v>
      </c>
      <c r="N124" s="177">
        <f t="shared" si="105"/>
        <v>0</v>
      </c>
      <c r="O124" s="178">
        <f t="shared" si="106"/>
        <v>0</v>
      </c>
      <c r="P124" s="175"/>
      <c r="Q124" s="180">
        <v>0</v>
      </c>
      <c r="R124" s="177">
        <f t="shared" si="107"/>
        <v>0</v>
      </c>
      <c r="S124" s="178">
        <f t="shared" si="108"/>
        <v>0</v>
      </c>
      <c r="T124" s="175"/>
      <c r="U124" s="180">
        <v>0</v>
      </c>
      <c r="V124" s="177">
        <f t="shared" si="82"/>
        <v>0</v>
      </c>
      <c r="W124" s="178">
        <f t="shared" si="83"/>
        <v>0</v>
      </c>
      <c r="X124" s="175"/>
      <c r="Y124" s="180">
        <v>0</v>
      </c>
      <c r="Z124" s="177">
        <f t="shared" si="84"/>
        <v>0</v>
      </c>
      <c r="AA124" s="178">
        <f t="shared" si="85"/>
        <v>0</v>
      </c>
      <c r="AB124" s="175"/>
      <c r="AC124" s="180">
        <v>0</v>
      </c>
      <c r="AD124" s="177">
        <f t="shared" si="109"/>
        <v>0</v>
      </c>
      <c r="AE124" s="178">
        <f t="shared" si="110"/>
        <v>0</v>
      </c>
      <c r="AF124" s="175"/>
      <c r="AG124" s="180">
        <v>0</v>
      </c>
      <c r="AH124" s="177">
        <f t="shared" si="88"/>
        <v>0</v>
      </c>
      <c r="AI124" s="178">
        <f t="shared" si="89"/>
        <v>0</v>
      </c>
      <c r="AJ124" s="175"/>
      <c r="AK124" s="180">
        <v>0</v>
      </c>
      <c r="AL124" s="177">
        <f t="shared" si="90"/>
        <v>0</v>
      </c>
      <c r="AM124" s="178">
        <f t="shared" si="91"/>
        <v>0</v>
      </c>
      <c r="AN124" s="175"/>
      <c r="AO124" s="180">
        <v>0</v>
      </c>
      <c r="AP124" s="177">
        <f t="shared" si="92"/>
        <v>0</v>
      </c>
      <c r="AQ124" s="178">
        <f t="shared" si="93"/>
        <v>0</v>
      </c>
      <c r="AR124" s="175"/>
      <c r="AS124" s="180">
        <v>0</v>
      </c>
      <c r="AT124" s="177">
        <f t="shared" si="111"/>
        <v>0</v>
      </c>
      <c r="AU124" s="178">
        <f t="shared" si="112"/>
        <v>0</v>
      </c>
      <c r="AV124" s="175"/>
      <c r="AW124" s="180">
        <v>-596.20413</v>
      </c>
      <c r="AX124" s="177">
        <f t="shared" si="113"/>
        <v>-16.2635841723306</v>
      </c>
      <c r="AY124" s="178">
        <f t="shared" si="114"/>
        <v>-0.621863043334631</v>
      </c>
      <c r="BA124" s="143">
        <f t="shared" si="98"/>
        <v>-596.20413</v>
      </c>
      <c r="BB124" s="141">
        <f t="shared" si="99"/>
        <v>-16.2635841723306</v>
      </c>
      <c r="BC124" s="142">
        <f t="shared" si="115"/>
        <v>-0.0444049631195956</v>
      </c>
    </row>
    <row r="125" spans="1:55">
      <c r="C125" s="140" t="s">
        <v>249</v>
      </c>
      <c r="D125" s="168">
        <v>5801000041</v>
      </c>
      <c r="E125" s="176">
        <v>0.34378</v>
      </c>
      <c r="F125" s="177">
        <f t="shared" si="101"/>
        <v>0.0104758277086222</v>
      </c>
      <c r="G125" s="178">
        <f t="shared" si="102"/>
        <v>0.00065290294226377</v>
      </c>
      <c r="H125" s="172"/>
      <c r="I125" s="179">
        <v>0</v>
      </c>
      <c r="J125" s="177">
        <f t="shared" si="103"/>
        <v>0</v>
      </c>
      <c r="K125" s="178">
        <f t="shared" si="104"/>
        <v>0</v>
      </c>
      <c r="M125" s="180">
        <v>0</v>
      </c>
      <c r="N125" s="177">
        <f t="shared" si="105"/>
        <v>0</v>
      </c>
      <c r="O125" s="178">
        <f t="shared" si="106"/>
        <v>0</v>
      </c>
      <c r="P125" s="175"/>
      <c r="Q125" s="180">
        <v>0</v>
      </c>
      <c r="R125" s="177">
        <f t="shared" si="107"/>
        <v>0</v>
      </c>
      <c r="S125" s="178">
        <f t="shared" si="108"/>
        <v>0</v>
      </c>
      <c r="T125" s="175"/>
      <c r="U125" s="180">
        <v>0</v>
      </c>
      <c r="V125" s="177">
        <f t="shared" si="82"/>
        <v>0</v>
      </c>
      <c r="W125" s="178">
        <f t="shared" si="83"/>
        <v>0</v>
      </c>
      <c r="X125" s="175"/>
      <c r="Y125" s="180">
        <v>0</v>
      </c>
      <c r="Z125" s="177">
        <f t="shared" si="84"/>
        <v>0</v>
      </c>
      <c r="AA125" s="178">
        <f t="shared" si="85"/>
        <v>0</v>
      </c>
      <c r="AB125" s="175"/>
      <c r="AC125" s="180">
        <v>0</v>
      </c>
      <c r="AD125" s="177">
        <f t="shared" si="109"/>
        <v>0</v>
      </c>
      <c r="AE125" s="178">
        <f t="shared" si="110"/>
        <v>0</v>
      </c>
      <c r="AF125" s="175"/>
      <c r="AG125" s="180">
        <v>0</v>
      </c>
      <c r="AH125" s="177">
        <f t="shared" si="88"/>
        <v>0</v>
      </c>
      <c r="AI125" s="178">
        <f t="shared" si="89"/>
        <v>0</v>
      </c>
      <c r="AJ125" s="175"/>
      <c r="AK125" s="180">
        <v>0</v>
      </c>
      <c r="AL125" s="177">
        <f t="shared" si="90"/>
        <v>0</v>
      </c>
      <c r="AM125" s="178">
        <f t="shared" si="91"/>
        <v>0</v>
      </c>
      <c r="AN125" s="175"/>
      <c r="AO125" s="180">
        <v>0</v>
      </c>
      <c r="AP125" s="177">
        <f t="shared" si="92"/>
        <v>0</v>
      </c>
      <c r="AQ125" s="178">
        <f t="shared" si="93"/>
        <v>0</v>
      </c>
      <c r="AR125" s="175"/>
      <c r="AS125" s="180">
        <v>0</v>
      </c>
      <c r="AT125" s="177">
        <f t="shared" si="111"/>
        <v>0</v>
      </c>
      <c r="AU125" s="178">
        <f t="shared" si="112"/>
        <v>0</v>
      </c>
      <c r="AV125" s="175"/>
      <c r="AW125" s="180">
        <v>0</v>
      </c>
      <c r="AX125" s="177">
        <f t="shared" si="113"/>
        <v>0</v>
      </c>
      <c r="AY125" s="178">
        <f t="shared" si="114"/>
        <v>0</v>
      </c>
      <c r="BA125" s="143">
        <f t="shared" si="98"/>
        <v>0.34378</v>
      </c>
      <c r="BB125" s="141">
        <f t="shared" si="99"/>
        <v>0.0104758277086222</v>
      </c>
      <c r="BC125" s="142">
        <f t="shared" si="115"/>
        <v>2.86024739761866e-5</v>
      </c>
    </row>
    <row r="126" spans="1:55">
      <c r="C126" s="140" t="s">
        <v>250</v>
      </c>
      <c r="D126" s="168">
        <v>6666010012</v>
      </c>
      <c r="E126" s="176">
        <v>1.43122</v>
      </c>
      <c r="F126" s="177">
        <f t="shared" si="101"/>
        <v>0.0436128167232947</v>
      </c>
      <c r="G126" s="178">
        <f t="shared" si="102"/>
        <v>0.00271815623080677</v>
      </c>
      <c r="H126" s="172"/>
      <c r="I126" s="179">
        <v>0</v>
      </c>
      <c r="J126" s="177">
        <f t="shared" si="103"/>
        <v>0</v>
      </c>
      <c r="K126" s="178">
        <f t="shared" si="104"/>
        <v>0</v>
      </c>
      <c r="M126" s="180">
        <v>0</v>
      </c>
      <c r="N126" s="177">
        <f t="shared" si="105"/>
        <v>0</v>
      </c>
      <c r="O126" s="178">
        <f t="shared" si="106"/>
        <v>0</v>
      </c>
      <c r="P126" s="175"/>
      <c r="Q126" s="180">
        <v>0</v>
      </c>
      <c r="R126" s="177">
        <f t="shared" si="107"/>
        <v>0</v>
      </c>
      <c r="S126" s="178">
        <f t="shared" si="108"/>
        <v>0</v>
      </c>
      <c r="T126" s="175"/>
      <c r="U126" s="180">
        <v>0</v>
      </c>
      <c r="V126" s="177">
        <f t="shared" si="82"/>
        <v>0</v>
      </c>
      <c r="W126" s="178">
        <f t="shared" si="83"/>
        <v>0</v>
      </c>
      <c r="X126" s="175"/>
      <c r="Y126" s="180">
        <v>0</v>
      </c>
      <c r="Z126" s="177">
        <f t="shared" si="84"/>
        <v>0</v>
      </c>
      <c r="AA126" s="178">
        <f t="shared" si="85"/>
        <v>0</v>
      </c>
      <c r="AB126" s="175"/>
      <c r="AC126" s="180">
        <v>0</v>
      </c>
      <c r="AD126" s="177">
        <f t="shared" si="109"/>
        <v>0</v>
      </c>
      <c r="AE126" s="178">
        <f t="shared" si="110"/>
        <v>0</v>
      </c>
      <c r="AF126" s="175"/>
      <c r="AG126" s="180">
        <v>0</v>
      </c>
      <c r="AH126" s="177">
        <f t="shared" si="88"/>
        <v>0</v>
      </c>
      <c r="AI126" s="178">
        <f t="shared" si="89"/>
        <v>0</v>
      </c>
      <c r="AJ126" s="175"/>
      <c r="AK126" s="180">
        <v>0</v>
      </c>
      <c r="AL126" s="177">
        <f t="shared" si="90"/>
        <v>0</v>
      </c>
      <c r="AM126" s="178">
        <f t="shared" si="91"/>
        <v>0</v>
      </c>
      <c r="AN126" s="175"/>
      <c r="AO126" s="180">
        <v>0</v>
      </c>
      <c r="AP126" s="177">
        <f t="shared" si="92"/>
        <v>0</v>
      </c>
      <c r="AQ126" s="178">
        <f t="shared" si="93"/>
        <v>0</v>
      </c>
      <c r="AR126" s="175"/>
      <c r="AS126" s="180">
        <v>0</v>
      </c>
      <c r="AT126" s="177">
        <f t="shared" si="111"/>
        <v>0</v>
      </c>
      <c r="AU126" s="178">
        <f t="shared" si="112"/>
        <v>0</v>
      </c>
      <c r="AV126" s="175"/>
      <c r="AW126" s="180">
        <v>0</v>
      </c>
      <c r="AX126" s="177">
        <f t="shared" si="113"/>
        <v>0</v>
      </c>
      <c r="AY126" s="178">
        <f t="shared" si="114"/>
        <v>0</v>
      </c>
      <c r="BA126" s="143">
        <f t="shared" si="98"/>
        <v>1.43122</v>
      </c>
      <c r="BB126" s="141">
        <f t="shared" si="99"/>
        <v>0.0436128167232947</v>
      </c>
      <c r="BC126" s="142">
        <f t="shared" si="115"/>
        <v>0.000119077412310774</v>
      </c>
    </row>
    <row r="127" spans="1:55">
      <c r="C127" s="140" t="s">
        <v>251</v>
      </c>
      <c r="D127" s="168">
        <v>6666010101</v>
      </c>
      <c r="E127" s="176">
        <v>904.9148125</v>
      </c>
      <c r="F127" s="177">
        <f t="shared" si="101"/>
        <v>27.5749946673167</v>
      </c>
      <c r="G127" s="178">
        <f t="shared" si="102"/>
        <v>1.71860359409889</v>
      </c>
      <c r="H127" s="172"/>
      <c r="I127" s="179">
        <v>868.3904775</v>
      </c>
      <c r="J127" s="177">
        <f t="shared" si="103"/>
        <v>26.1057009144912</v>
      </c>
      <c r="K127" s="178">
        <f t="shared" si="104"/>
        <v>1.32167380085516</v>
      </c>
      <c r="M127" s="180">
        <v>1068.5715425</v>
      </c>
      <c r="N127" s="177">
        <f t="shared" si="105"/>
        <v>30.6858860835829</v>
      </c>
      <c r="O127" s="178">
        <f t="shared" si="106"/>
        <v>1.53146110114203</v>
      </c>
      <c r="P127" s="175"/>
      <c r="Q127" s="180">
        <v>1389.69681</v>
      </c>
      <c r="R127" s="177">
        <f t="shared" si="107"/>
        <v>40.0574419328618</v>
      </c>
      <c r="S127" s="178">
        <f t="shared" si="108"/>
        <v>1.42842926694226</v>
      </c>
      <c r="T127" s="175"/>
      <c r="U127" s="180">
        <v>811.69518</v>
      </c>
      <c r="V127" s="177">
        <f t="shared" si="82"/>
        <v>23.2840946056425</v>
      </c>
      <c r="W127" s="178">
        <f t="shared" si="83"/>
        <v>0.570772530412377</v>
      </c>
      <c r="X127" s="175"/>
      <c r="Y127" s="180">
        <v>899.89085</v>
      </c>
      <c r="Z127" s="177">
        <f t="shared" si="84"/>
        <v>25.6622622031728</v>
      </c>
      <c r="AA127" s="178">
        <f t="shared" si="85"/>
        <v>0.828456295298709</v>
      </c>
      <c r="AB127" s="175"/>
      <c r="AC127" s="180">
        <v>952.3844825</v>
      </c>
      <c r="AD127" s="177">
        <f t="shared" si="109"/>
        <v>26.6797532138645</v>
      </c>
      <c r="AE127" s="178">
        <f t="shared" si="110"/>
        <v>0.773842074828567</v>
      </c>
      <c r="AF127" s="175"/>
      <c r="AG127" s="180">
        <v>948.20718</v>
      </c>
      <c r="AH127" s="177">
        <f t="shared" si="88"/>
        <v>25.5513955882274</v>
      </c>
      <c r="AI127" s="178">
        <f t="shared" si="89"/>
        <v>0.998959871304534</v>
      </c>
      <c r="AJ127" s="175"/>
      <c r="AK127" s="180">
        <v>894.3060525</v>
      </c>
      <c r="AL127" s="177">
        <f t="shared" si="90"/>
        <v>23.6439884291873</v>
      </c>
      <c r="AM127" s="178">
        <f t="shared" si="91"/>
        <v>0.589566836953603</v>
      </c>
      <c r="AN127" s="175"/>
      <c r="AO127" s="180">
        <v>906.236835</v>
      </c>
      <c r="AP127" s="177">
        <f t="shared" si="92"/>
        <v>24.265117531896</v>
      </c>
      <c r="AQ127" s="178">
        <f t="shared" si="93"/>
        <v>0.589145058681039</v>
      </c>
      <c r="AR127" s="175"/>
      <c r="AS127" s="180">
        <v>2056.3726625</v>
      </c>
      <c r="AT127" s="177">
        <f t="shared" si="111"/>
        <v>56.1486868475878</v>
      </c>
      <c r="AU127" s="178">
        <f t="shared" si="112"/>
        <v>1.30245156222658</v>
      </c>
      <c r="AV127" s="175"/>
      <c r="AW127" s="180">
        <v>-295.03015</v>
      </c>
      <c r="AX127" s="177">
        <f t="shared" si="113"/>
        <v>-8.04799469923216</v>
      </c>
      <c r="AY127" s="178">
        <f t="shared" si="114"/>
        <v>-0.307727400268886</v>
      </c>
      <c r="BA127" s="143">
        <f t="shared" si="98"/>
        <v>11405.636735</v>
      </c>
      <c r="BB127" s="141">
        <f t="shared" si="99"/>
        <v>321.611327318599</v>
      </c>
      <c r="BC127" s="142">
        <f t="shared" si="115"/>
        <v>0.87810527969125</v>
      </c>
    </row>
    <row r="128" spans="1:55">
      <c r="C128" s="140" t="s">
        <v>252</v>
      </c>
      <c r="D128" s="168">
        <v>6666010102</v>
      </c>
      <c r="E128" s="176">
        <v>12.24721</v>
      </c>
      <c r="F128" s="177">
        <f t="shared" si="101"/>
        <v>0.373202809562263</v>
      </c>
      <c r="G128" s="178">
        <f t="shared" si="102"/>
        <v>0.0232597575295895</v>
      </c>
      <c r="H128" s="172"/>
      <c r="I128" s="179">
        <v>0</v>
      </c>
      <c r="J128" s="177">
        <f t="shared" si="103"/>
        <v>0</v>
      </c>
      <c r="K128" s="178">
        <f t="shared" si="104"/>
        <v>0</v>
      </c>
      <c r="M128" s="180">
        <v>0</v>
      </c>
      <c r="N128" s="177">
        <f t="shared" si="105"/>
        <v>0</v>
      </c>
      <c r="O128" s="178">
        <f t="shared" si="106"/>
        <v>0</v>
      </c>
      <c r="P128" s="175"/>
      <c r="Q128" s="180">
        <v>0</v>
      </c>
      <c r="R128" s="177">
        <f t="shared" si="107"/>
        <v>0</v>
      </c>
      <c r="S128" s="178">
        <f t="shared" si="108"/>
        <v>0</v>
      </c>
      <c r="T128" s="175"/>
      <c r="U128" s="180">
        <v>0</v>
      </c>
      <c r="V128" s="177">
        <f t="shared" si="82"/>
        <v>0</v>
      </c>
      <c r="W128" s="178">
        <f t="shared" si="83"/>
        <v>0</v>
      </c>
      <c r="X128" s="175"/>
      <c r="Y128" s="180">
        <v>0</v>
      </c>
      <c r="Z128" s="177">
        <f t="shared" si="84"/>
        <v>0</v>
      </c>
      <c r="AA128" s="178">
        <f t="shared" si="85"/>
        <v>0</v>
      </c>
      <c r="AB128" s="175"/>
      <c r="AC128" s="180">
        <v>0</v>
      </c>
      <c r="AD128" s="177">
        <f t="shared" si="109"/>
        <v>0</v>
      </c>
      <c r="AE128" s="178">
        <f t="shared" si="110"/>
        <v>0</v>
      </c>
      <c r="AF128" s="175"/>
      <c r="AG128" s="180">
        <v>0</v>
      </c>
      <c r="AH128" s="177">
        <f t="shared" si="88"/>
        <v>0</v>
      </c>
      <c r="AI128" s="178">
        <f t="shared" si="89"/>
        <v>0</v>
      </c>
      <c r="AJ128" s="175"/>
      <c r="AK128" s="180">
        <v>0</v>
      </c>
      <c r="AL128" s="177">
        <f t="shared" si="90"/>
        <v>0</v>
      </c>
      <c r="AM128" s="178">
        <f t="shared" si="91"/>
        <v>0</v>
      </c>
      <c r="AN128" s="175"/>
      <c r="AO128" s="180">
        <v>0</v>
      </c>
      <c r="AP128" s="177">
        <f t="shared" si="92"/>
        <v>0</v>
      </c>
      <c r="AQ128" s="178">
        <f t="shared" si="93"/>
        <v>0</v>
      </c>
      <c r="AR128" s="175"/>
      <c r="AS128" s="180">
        <v>0</v>
      </c>
      <c r="AT128" s="177">
        <f t="shared" si="111"/>
        <v>0</v>
      </c>
      <c r="AU128" s="178">
        <f t="shared" si="112"/>
        <v>0</v>
      </c>
      <c r="AV128" s="175"/>
      <c r="AW128" s="180">
        <v>0</v>
      </c>
      <c r="AX128" s="177">
        <f t="shared" si="113"/>
        <v>0</v>
      </c>
      <c r="AY128" s="178">
        <f t="shared" si="114"/>
        <v>0</v>
      </c>
      <c r="BA128" s="143">
        <f t="shared" si="98"/>
        <v>12.24721</v>
      </c>
      <c r="BB128" s="141">
        <f t="shared" si="99"/>
        <v>0.373202809562263</v>
      </c>
      <c r="BC128" s="142">
        <f t="shared" si="115"/>
        <v>0.0010189670873986</v>
      </c>
    </row>
    <row r="129" spans="3:55">
      <c r="C129" s="140" t="s">
        <v>253</v>
      </c>
      <c r="D129" s="168">
        <v>6666010196</v>
      </c>
      <c r="E129" s="176">
        <v>123.8633825</v>
      </c>
      <c r="F129" s="177">
        <f t="shared" si="101"/>
        <v>3.77442391784621</v>
      </c>
      <c r="G129" s="178">
        <f t="shared" si="102"/>
        <v>0.235239882695307</v>
      </c>
      <c r="H129" s="172"/>
      <c r="I129" s="179">
        <v>122.4183625</v>
      </c>
      <c r="J129" s="177">
        <f t="shared" si="103"/>
        <v>3.68016144887628</v>
      </c>
      <c r="K129" s="178">
        <f t="shared" si="104"/>
        <v>0.186318420862509</v>
      </c>
      <c r="M129" s="180">
        <v>124.4849</v>
      </c>
      <c r="N129" s="177">
        <f t="shared" si="105"/>
        <v>3.57479991614713</v>
      </c>
      <c r="O129" s="178">
        <f t="shared" si="106"/>
        <v>0.178409937423124</v>
      </c>
      <c r="P129" s="175"/>
      <c r="Q129" s="180">
        <v>127.6058175</v>
      </c>
      <c r="R129" s="177">
        <f t="shared" si="107"/>
        <v>3.67818547759465</v>
      </c>
      <c r="S129" s="178">
        <f t="shared" si="108"/>
        <v>0.131162339178927</v>
      </c>
      <c r="T129" s="175"/>
      <c r="U129" s="180">
        <v>121.06784</v>
      </c>
      <c r="V129" s="177">
        <f t="shared" si="82"/>
        <v>3.47292322255848</v>
      </c>
      <c r="W129" s="178">
        <f t="shared" si="83"/>
        <v>0.0851331868058657</v>
      </c>
      <c r="X129" s="175"/>
      <c r="Y129" s="180">
        <v>129.0469675</v>
      </c>
      <c r="Z129" s="177">
        <f t="shared" si="84"/>
        <v>3.68004310357119</v>
      </c>
      <c r="AA129" s="178">
        <f t="shared" si="85"/>
        <v>0.118803044407644</v>
      </c>
      <c r="AB129" s="175"/>
      <c r="AC129" s="180">
        <v>131.4024075</v>
      </c>
      <c r="AD129" s="177">
        <f t="shared" si="109"/>
        <v>3.68105934969143</v>
      </c>
      <c r="AE129" s="178">
        <f t="shared" si="110"/>
        <v>0.10676855148915</v>
      </c>
      <c r="AF129" s="175"/>
      <c r="AG129" s="180">
        <v>127.430565</v>
      </c>
      <c r="AH129" s="177">
        <f t="shared" si="88"/>
        <v>3.43387905620618</v>
      </c>
      <c r="AI129" s="178">
        <f t="shared" si="89"/>
        <v>0.134251272820634</v>
      </c>
      <c r="AJ129" s="175"/>
      <c r="AK129" s="180">
        <v>135.0619675</v>
      </c>
      <c r="AL129" s="177">
        <f t="shared" si="90"/>
        <v>3.57081738166283</v>
      </c>
      <c r="AM129" s="178">
        <f t="shared" si="91"/>
        <v>0.0890389333149519</v>
      </c>
      <c r="AN129" s="175"/>
      <c r="AO129" s="180">
        <v>137.02559</v>
      </c>
      <c r="AP129" s="177">
        <f t="shared" si="92"/>
        <v>3.66895486677871</v>
      </c>
      <c r="AQ129" s="178">
        <f t="shared" si="93"/>
        <v>0.0890804104882296</v>
      </c>
      <c r="AR129" s="175"/>
      <c r="AS129" s="180">
        <v>132.0375175</v>
      </c>
      <c r="AT129" s="177">
        <f t="shared" si="111"/>
        <v>3.60524789958415</v>
      </c>
      <c r="AU129" s="178">
        <f t="shared" si="112"/>
        <v>0.0836290396563245</v>
      </c>
      <c r="AV129" s="175"/>
      <c r="AW129" s="180">
        <v>127.3937975</v>
      </c>
      <c r="AX129" s="177">
        <f t="shared" si="113"/>
        <v>3.47511807520369</v>
      </c>
      <c r="AY129" s="178">
        <f t="shared" si="114"/>
        <v>0.13287646064328</v>
      </c>
      <c r="BA129" s="143">
        <f t="shared" si="98"/>
        <v>1538.839115</v>
      </c>
      <c r="BB129" s="141">
        <f t="shared" si="99"/>
        <v>43.2956137157209</v>
      </c>
      <c r="BC129" s="142">
        <f t="shared" si="115"/>
        <v>0.118211343201807</v>
      </c>
    </row>
    <row r="130" spans="3:55">
      <c r="C130" s="140" t="s">
        <v>254</v>
      </c>
      <c r="D130" s="168">
        <v>6666010199</v>
      </c>
      <c r="E130" s="176">
        <v>240.29393</v>
      </c>
      <c r="F130" s="177">
        <f t="shared" si="101"/>
        <v>7.32235095150306</v>
      </c>
      <c r="G130" s="178">
        <f t="shared" si="102"/>
        <v>0.456363412371646</v>
      </c>
      <c r="H130" s="172"/>
      <c r="I130" s="179">
        <v>79.39742</v>
      </c>
      <c r="J130" s="177">
        <f t="shared" si="103"/>
        <v>2.38685862363367</v>
      </c>
      <c r="K130" s="178">
        <f t="shared" si="104"/>
        <v>0.12084136409648</v>
      </c>
      <c r="M130" s="180">
        <v>658.9741</v>
      </c>
      <c r="N130" s="177">
        <f t="shared" si="105"/>
        <v>18.923584767495</v>
      </c>
      <c r="O130" s="178">
        <f t="shared" si="106"/>
        <v>0.944432039102408</v>
      </c>
      <c r="P130" s="175"/>
      <c r="Q130" s="180">
        <v>-498.8419025</v>
      </c>
      <c r="R130" s="177">
        <f t="shared" si="107"/>
        <v>-14.3789137308821</v>
      </c>
      <c r="S130" s="178">
        <f t="shared" si="108"/>
        <v>-0.512745203112438</v>
      </c>
      <c r="T130" s="175"/>
      <c r="U130" s="180">
        <v>-544.09185</v>
      </c>
      <c r="V130" s="177">
        <f t="shared" si="82"/>
        <v>-15.6076892184564</v>
      </c>
      <c r="W130" s="178">
        <f t="shared" si="83"/>
        <v>-0.382597666775909</v>
      </c>
      <c r="X130" s="175"/>
      <c r="Y130" s="180">
        <v>11.92761</v>
      </c>
      <c r="Z130" s="177">
        <f t="shared" si="84"/>
        <v>0.340140646254139</v>
      </c>
      <c r="AA130" s="178">
        <f t="shared" si="85"/>
        <v>0.0109807801605804</v>
      </c>
      <c r="AB130" s="175"/>
      <c r="AC130" s="180">
        <v>197.54927</v>
      </c>
      <c r="AD130" s="177">
        <f t="shared" si="109"/>
        <v>5.53407354700268</v>
      </c>
      <c r="AE130" s="178">
        <f t="shared" si="110"/>
        <v>0.160514938857867</v>
      </c>
      <c r="AF130" s="175"/>
      <c r="AG130" s="180">
        <v>19.10216</v>
      </c>
      <c r="AH130" s="177">
        <f t="shared" si="88"/>
        <v>0.514747047949598</v>
      </c>
      <c r="AI130" s="178">
        <f t="shared" si="89"/>
        <v>0.0201246011396356</v>
      </c>
      <c r="AJ130" s="175"/>
      <c r="AK130" s="180">
        <v>47.3466275</v>
      </c>
      <c r="AL130" s="177">
        <f t="shared" si="90"/>
        <v>1.2517673447939</v>
      </c>
      <c r="AM130" s="178">
        <f t="shared" si="91"/>
        <v>0.031213029742517</v>
      </c>
      <c r="AN130" s="175"/>
      <c r="AO130" s="180">
        <v>68.83955</v>
      </c>
      <c r="AP130" s="177">
        <f t="shared" si="92"/>
        <v>1.84322652432554</v>
      </c>
      <c r="AQ130" s="178">
        <f t="shared" si="93"/>
        <v>0.0447526288471008</v>
      </c>
      <c r="AR130" s="175"/>
      <c r="AS130" s="180">
        <v>81.36399</v>
      </c>
      <c r="AT130" s="177">
        <f t="shared" si="111"/>
        <v>2.22162124525922</v>
      </c>
      <c r="AU130" s="178">
        <f t="shared" si="112"/>
        <v>0.051533779755491</v>
      </c>
      <c r="AV130" s="175"/>
      <c r="AW130" s="180">
        <v>63.664915</v>
      </c>
      <c r="AX130" s="177">
        <f t="shared" si="113"/>
        <v>1.73668656727818</v>
      </c>
      <c r="AY130" s="178">
        <f t="shared" si="114"/>
        <v>0.0664048700829036</v>
      </c>
      <c r="BA130" s="143">
        <f t="shared" si="98"/>
        <v>425.52582</v>
      </c>
      <c r="BB130" s="141">
        <f t="shared" si="99"/>
        <v>12.0884543161564</v>
      </c>
      <c r="BC130" s="142">
        <f t="shared" si="115"/>
        <v>0.0330054779065911</v>
      </c>
    </row>
    <row r="131" spans="3:55">
      <c r="C131" s="140" t="s">
        <v>255</v>
      </c>
      <c r="D131" s="168">
        <v>6666010207</v>
      </c>
      <c r="E131" s="176">
        <v>11.6588275</v>
      </c>
      <c r="F131" s="177">
        <f t="shared" si="101"/>
        <v>0.355273338107355</v>
      </c>
      <c r="G131" s="178">
        <f t="shared" si="102"/>
        <v>0.0221423083893646</v>
      </c>
      <c r="H131" s="172"/>
      <c r="I131" s="179">
        <v>11.47681</v>
      </c>
      <c r="J131" s="177">
        <f t="shared" si="103"/>
        <v>0.34501779680379</v>
      </c>
      <c r="K131" s="178">
        <f t="shared" si="104"/>
        <v>0.017467486674959</v>
      </c>
      <c r="M131" s="180">
        <v>11.645795</v>
      </c>
      <c r="N131" s="177">
        <f t="shared" si="105"/>
        <v>0.334429211811768</v>
      </c>
      <c r="O131" s="178">
        <f t="shared" si="106"/>
        <v>0.0166905830120161</v>
      </c>
      <c r="P131" s="175"/>
      <c r="Q131" s="180">
        <v>11.69635</v>
      </c>
      <c r="R131" s="177">
        <f t="shared" si="107"/>
        <v>0.33714250301217</v>
      </c>
      <c r="S131" s="178">
        <f t="shared" si="108"/>
        <v>0.0120223407984941</v>
      </c>
      <c r="T131" s="175"/>
      <c r="U131" s="180">
        <v>11.064335</v>
      </c>
      <c r="V131" s="177">
        <f t="shared" si="82"/>
        <v>0.317388878530142</v>
      </c>
      <c r="W131" s="178">
        <f t="shared" si="83"/>
        <v>0.00778028333897489</v>
      </c>
      <c r="X131" s="175"/>
      <c r="Y131" s="180">
        <v>12.00816</v>
      </c>
      <c r="Z131" s="177">
        <f t="shared" si="84"/>
        <v>0.342437697302569</v>
      </c>
      <c r="AA131" s="178">
        <f t="shared" si="85"/>
        <v>0.0110549359924641</v>
      </c>
      <c r="AB131" s="175"/>
      <c r="AC131" s="180">
        <v>12.2405325</v>
      </c>
      <c r="AD131" s="177">
        <f t="shared" si="109"/>
        <v>0.34290183461309</v>
      </c>
      <c r="AE131" s="178">
        <f t="shared" si="110"/>
        <v>0.00994581415474344</v>
      </c>
      <c r="AF131" s="175"/>
      <c r="AG131" s="180">
        <v>11.9025675</v>
      </c>
      <c r="AH131" s="177">
        <f t="shared" si="88"/>
        <v>0.320739198271077</v>
      </c>
      <c r="AI131" s="178">
        <f t="shared" si="89"/>
        <v>0.0125396511952098</v>
      </c>
      <c r="AJ131" s="175"/>
      <c r="AK131" s="180">
        <v>12.34975</v>
      </c>
      <c r="AL131" s="177">
        <f t="shared" si="90"/>
        <v>0.326507178708103</v>
      </c>
      <c r="AM131" s="178">
        <f t="shared" si="91"/>
        <v>0.00814151153770455</v>
      </c>
      <c r="AN131" s="175"/>
      <c r="AO131" s="180">
        <v>12.62486</v>
      </c>
      <c r="AP131" s="177">
        <f t="shared" si="92"/>
        <v>0.338039351185424</v>
      </c>
      <c r="AQ131" s="178">
        <f t="shared" si="93"/>
        <v>0.00820742834354102</v>
      </c>
      <c r="AR131" s="175"/>
      <c r="AS131" s="180">
        <v>11.9953175</v>
      </c>
      <c r="AT131" s="177">
        <f t="shared" si="111"/>
        <v>0.327528826961776</v>
      </c>
      <c r="AU131" s="178">
        <f t="shared" si="112"/>
        <v>0.00759751396339077</v>
      </c>
      <c r="AV131" s="175"/>
      <c r="AW131" s="180">
        <v>11.4031575</v>
      </c>
      <c r="AX131" s="177">
        <f t="shared" si="113"/>
        <v>0.31106160205833</v>
      </c>
      <c r="AY131" s="178">
        <f t="shared" si="114"/>
        <v>0.0118939166465924</v>
      </c>
      <c r="BA131" s="143">
        <f t="shared" si="98"/>
        <v>142.0664625</v>
      </c>
      <c r="BB131" s="141">
        <f t="shared" si="99"/>
        <v>3.99846741736559</v>
      </c>
      <c r="BC131" s="142">
        <f t="shared" si="115"/>
        <v>0.010917138333203</v>
      </c>
    </row>
    <row r="132" spans="3:55">
      <c r="C132" s="140" t="s">
        <v>256</v>
      </c>
      <c r="D132" s="168">
        <v>6666010226</v>
      </c>
      <c r="E132" s="176">
        <v>8.8168</v>
      </c>
      <c r="F132" s="177">
        <f t="shared" si="101"/>
        <v>0.268669724071732</v>
      </c>
      <c r="G132" s="178">
        <f t="shared" si="102"/>
        <v>0.0167447631082413</v>
      </c>
      <c r="H132" s="172"/>
      <c r="I132" s="179">
        <v>0</v>
      </c>
      <c r="J132" s="177">
        <f t="shared" si="103"/>
        <v>0</v>
      </c>
      <c r="K132" s="178">
        <f t="shared" si="104"/>
        <v>0</v>
      </c>
      <c r="M132" s="180">
        <v>0</v>
      </c>
      <c r="N132" s="177">
        <f t="shared" si="105"/>
        <v>0</v>
      </c>
      <c r="O132" s="178">
        <f t="shared" si="106"/>
        <v>0</v>
      </c>
      <c r="P132" s="175"/>
      <c r="Q132" s="180">
        <v>0</v>
      </c>
      <c r="R132" s="177">
        <f t="shared" si="107"/>
        <v>0</v>
      </c>
      <c r="S132" s="178">
        <f t="shared" si="108"/>
        <v>0</v>
      </c>
      <c r="T132" s="175"/>
      <c r="U132" s="180">
        <v>0</v>
      </c>
      <c r="V132" s="177">
        <f t="shared" si="82"/>
        <v>0</v>
      </c>
      <c r="W132" s="178">
        <f t="shared" si="83"/>
        <v>0</v>
      </c>
      <c r="X132" s="175"/>
      <c r="Y132" s="180">
        <v>0</v>
      </c>
      <c r="Z132" s="177">
        <f t="shared" si="84"/>
        <v>0</v>
      </c>
      <c r="AA132" s="178">
        <f t="shared" si="85"/>
        <v>0</v>
      </c>
      <c r="AB132" s="175"/>
      <c r="AC132" s="180">
        <v>0</v>
      </c>
      <c r="AD132" s="177">
        <f t="shared" si="109"/>
        <v>0</v>
      </c>
      <c r="AE132" s="178">
        <f t="shared" si="110"/>
        <v>0</v>
      </c>
      <c r="AF132" s="175"/>
      <c r="AG132" s="180">
        <v>0</v>
      </c>
      <c r="AH132" s="177">
        <f t="shared" si="88"/>
        <v>0</v>
      </c>
      <c r="AI132" s="178">
        <f t="shared" si="89"/>
        <v>0</v>
      </c>
      <c r="AJ132" s="175"/>
      <c r="AK132" s="180">
        <v>0</v>
      </c>
      <c r="AL132" s="177">
        <f t="shared" si="90"/>
        <v>0</v>
      </c>
      <c r="AM132" s="178">
        <f t="shared" si="91"/>
        <v>0</v>
      </c>
      <c r="AN132" s="175"/>
      <c r="AO132" s="180">
        <v>0</v>
      </c>
      <c r="AP132" s="177">
        <f t="shared" si="92"/>
        <v>0</v>
      </c>
      <c r="AQ132" s="178">
        <f t="shared" si="93"/>
        <v>0</v>
      </c>
      <c r="AR132" s="175"/>
      <c r="AS132" s="180">
        <v>0</v>
      </c>
      <c r="AT132" s="177">
        <f t="shared" si="111"/>
        <v>0</v>
      </c>
      <c r="AU132" s="178">
        <f t="shared" si="112"/>
        <v>0</v>
      </c>
      <c r="AV132" s="175"/>
      <c r="AW132" s="180">
        <v>0</v>
      </c>
      <c r="AX132" s="177">
        <f t="shared" si="113"/>
        <v>0</v>
      </c>
      <c r="AY132" s="178">
        <f t="shared" si="114"/>
        <v>0</v>
      </c>
      <c r="BA132" s="143">
        <f t="shared" si="98"/>
        <v>8.8168</v>
      </c>
      <c r="BB132" s="141">
        <f t="shared" si="99"/>
        <v>0.268669724071732</v>
      </c>
      <c r="BC132" s="142">
        <f t="shared" si="115"/>
        <v>0.000733557195163307</v>
      </c>
    </row>
    <row r="133" spans="3:55">
      <c r="C133" s="140" t="s">
        <v>257</v>
      </c>
      <c r="D133" s="168">
        <v>6666010227</v>
      </c>
      <c r="E133" s="176">
        <v>4.149935</v>
      </c>
      <c r="F133" s="177">
        <f t="shared" si="101"/>
        <v>0.126458793594686</v>
      </c>
      <c r="G133" s="178">
        <f t="shared" si="102"/>
        <v>0.00788150785881493</v>
      </c>
      <c r="H133" s="172"/>
      <c r="I133" s="179">
        <v>-3.534835</v>
      </c>
      <c r="J133" s="177">
        <f t="shared" si="103"/>
        <v>-0.106264805618018</v>
      </c>
      <c r="K133" s="178">
        <f t="shared" si="104"/>
        <v>-0.00537995168175466</v>
      </c>
      <c r="M133" s="180">
        <v>11.164235</v>
      </c>
      <c r="N133" s="177">
        <f t="shared" si="105"/>
        <v>0.32060038078391</v>
      </c>
      <c r="O133" s="178">
        <f t="shared" si="106"/>
        <v>0.0160004182654045</v>
      </c>
      <c r="P133" s="175"/>
      <c r="Q133" s="180">
        <v>25.0228925</v>
      </c>
      <c r="R133" s="177">
        <f t="shared" si="107"/>
        <v>0.721274637819016</v>
      </c>
      <c r="S133" s="178">
        <f t="shared" si="108"/>
        <v>0.0257203094468857</v>
      </c>
      <c r="T133" s="175"/>
      <c r="U133" s="180">
        <v>7.6563325</v>
      </c>
      <c r="V133" s="177">
        <f t="shared" si="82"/>
        <v>0.219627730525953</v>
      </c>
      <c r="W133" s="178">
        <f t="shared" si="83"/>
        <v>0.0053838243498052</v>
      </c>
      <c r="X133" s="175"/>
      <c r="Y133" s="180">
        <v>8.26655</v>
      </c>
      <c r="Z133" s="177">
        <f t="shared" si="84"/>
        <v>0.235737893785272</v>
      </c>
      <c r="AA133" s="178">
        <f t="shared" si="85"/>
        <v>0.00761034006279933</v>
      </c>
      <c r="AB133" s="175"/>
      <c r="AC133" s="180">
        <v>7.50207</v>
      </c>
      <c r="AD133" s="177">
        <f t="shared" si="109"/>
        <v>0.210160266017497</v>
      </c>
      <c r="AE133" s="178">
        <f t="shared" si="110"/>
        <v>0.00609566569067777</v>
      </c>
      <c r="AF133" s="175"/>
      <c r="AG133" s="180">
        <v>9.171265</v>
      </c>
      <c r="AH133" s="177">
        <f t="shared" si="88"/>
        <v>0.247138626454468</v>
      </c>
      <c r="AI133" s="178">
        <f t="shared" si="89"/>
        <v>0.00966215601119976</v>
      </c>
      <c r="AJ133" s="175"/>
      <c r="AK133" s="180">
        <v>9.35256</v>
      </c>
      <c r="AL133" s="177">
        <f t="shared" si="90"/>
        <v>0.247266380234277</v>
      </c>
      <c r="AM133" s="178">
        <f t="shared" si="91"/>
        <v>0.00616562887079285</v>
      </c>
      <c r="AN133" s="175"/>
      <c r="AO133" s="180">
        <v>9.9160825</v>
      </c>
      <c r="AP133" s="177">
        <f t="shared" si="92"/>
        <v>0.265509961663031</v>
      </c>
      <c r="AQ133" s="178">
        <f t="shared" si="93"/>
        <v>0.00644645061944378</v>
      </c>
      <c r="AR133" s="175"/>
      <c r="AS133" s="180">
        <v>10.483625</v>
      </c>
      <c r="AT133" s="177">
        <f t="shared" si="111"/>
        <v>0.286252481316743</v>
      </c>
      <c r="AU133" s="178">
        <f t="shared" si="112"/>
        <v>0.00664004827921</v>
      </c>
      <c r="AV133" s="175"/>
      <c r="AW133" s="180">
        <v>10.16346</v>
      </c>
      <c r="AX133" s="177">
        <f t="shared" si="113"/>
        <v>0.277244451815715</v>
      </c>
      <c r="AY133" s="178">
        <f t="shared" si="114"/>
        <v>0.0106008661268579</v>
      </c>
      <c r="BA133" s="143">
        <f t="shared" si="98"/>
        <v>109.3141725</v>
      </c>
      <c r="BB133" s="141">
        <f t="shared" si="99"/>
        <v>3.05100679839255</v>
      </c>
      <c r="BC133" s="142">
        <f t="shared" si="115"/>
        <v>0.00833025752040253</v>
      </c>
    </row>
    <row r="134" spans="3:55">
      <c r="C134" s="140" t="s">
        <v>258</v>
      </c>
      <c r="D134" s="168">
        <v>6666010302</v>
      </c>
      <c r="E134" s="176">
        <v>0</v>
      </c>
      <c r="F134" s="177">
        <f t="shared" si="101"/>
        <v>0</v>
      </c>
      <c r="G134" s="178">
        <f t="shared" si="102"/>
        <v>0</v>
      </c>
      <c r="H134" s="172"/>
      <c r="I134" s="179">
        <v>0</v>
      </c>
      <c r="J134" s="177">
        <f t="shared" si="103"/>
        <v>0</v>
      </c>
      <c r="K134" s="178">
        <f t="shared" si="104"/>
        <v>0</v>
      </c>
      <c r="M134" s="180">
        <v>0</v>
      </c>
      <c r="N134" s="177">
        <f t="shared" si="105"/>
        <v>0</v>
      </c>
      <c r="O134" s="178">
        <f t="shared" si="106"/>
        <v>0</v>
      </c>
      <c r="P134" s="175"/>
      <c r="Q134" s="180">
        <v>0</v>
      </c>
      <c r="R134" s="177">
        <f t="shared" si="107"/>
        <v>0</v>
      </c>
      <c r="S134" s="178">
        <f t="shared" si="108"/>
        <v>0</v>
      </c>
      <c r="T134" s="175"/>
      <c r="U134" s="180">
        <v>0</v>
      </c>
      <c r="V134" s="177">
        <f t="shared" si="82"/>
        <v>0</v>
      </c>
      <c r="W134" s="178">
        <f t="shared" si="83"/>
        <v>0</v>
      </c>
      <c r="X134" s="175"/>
      <c r="Y134" s="180">
        <v>0</v>
      </c>
      <c r="Z134" s="177">
        <f t="shared" si="84"/>
        <v>0</v>
      </c>
      <c r="AA134" s="178">
        <f t="shared" si="85"/>
        <v>0</v>
      </c>
      <c r="AB134" s="175"/>
      <c r="AC134" s="180">
        <v>14.10273</v>
      </c>
      <c r="AD134" s="177">
        <f t="shared" si="109"/>
        <v>0.395068759472111</v>
      </c>
      <c r="AE134" s="178">
        <f t="shared" si="110"/>
        <v>0.0114589076622708</v>
      </c>
      <c r="AF134" s="175"/>
      <c r="AG134" s="180">
        <v>0</v>
      </c>
      <c r="AH134" s="177">
        <f t="shared" si="88"/>
        <v>0</v>
      </c>
      <c r="AI134" s="178">
        <f t="shared" si="89"/>
        <v>0</v>
      </c>
      <c r="AJ134" s="175"/>
      <c r="AK134" s="180">
        <v>3.38261</v>
      </c>
      <c r="AL134" s="177">
        <f t="shared" si="90"/>
        <v>0.0894306725050966</v>
      </c>
      <c r="AM134" s="178">
        <f t="shared" si="91"/>
        <v>0.0022299688935043</v>
      </c>
      <c r="AN134" s="175"/>
      <c r="AO134" s="180">
        <v>0.00098</v>
      </c>
      <c r="AP134" s="177">
        <f t="shared" si="92"/>
        <v>2.62401772504182e-5</v>
      </c>
      <c r="AQ134" s="178">
        <f t="shared" si="93"/>
        <v>6.37098532314037e-7</v>
      </c>
      <c r="AR134" s="175"/>
      <c r="AS134" s="180">
        <v>0.22376</v>
      </c>
      <c r="AT134" s="177">
        <f t="shared" si="111"/>
        <v>0.00610970491785374</v>
      </c>
      <c r="AU134" s="178">
        <f t="shared" si="112"/>
        <v>0.000141723612105167</v>
      </c>
      <c r="AV134" s="175"/>
      <c r="AW134" s="180">
        <v>0.00181</v>
      </c>
      <c r="AX134" s="177">
        <f t="shared" si="113"/>
        <v>4.93741755058262e-5</v>
      </c>
      <c r="AY134" s="178">
        <f t="shared" si="114"/>
        <v>1.88789720130869e-6</v>
      </c>
      <c r="BA134" s="143">
        <f t="shared" si="98"/>
        <v>17.71189</v>
      </c>
      <c r="BB134" s="141">
        <f t="shared" si="99"/>
        <v>0.490684751247818</v>
      </c>
      <c r="BC134" s="142">
        <f t="shared" si="115"/>
        <v>0.00133973163920268</v>
      </c>
    </row>
    <row r="135" spans="3:55">
      <c r="C135" s="140" t="s">
        <v>259</v>
      </c>
      <c r="D135" s="168">
        <v>6666010314</v>
      </c>
      <c r="E135" s="176">
        <v>3.93888</v>
      </c>
      <c r="F135" s="177">
        <f t="shared" si="101"/>
        <v>0.120027425228163</v>
      </c>
      <c r="G135" s="178">
        <f t="shared" si="102"/>
        <v>0.00748067467922485</v>
      </c>
      <c r="H135" s="172"/>
      <c r="I135" s="179">
        <v>0</v>
      </c>
      <c r="J135" s="177">
        <f t="shared" si="103"/>
        <v>0</v>
      </c>
      <c r="K135" s="178">
        <f t="shared" si="104"/>
        <v>0</v>
      </c>
      <c r="M135" s="180">
        <v>64.93747</v>
      </c>
      <c r="N135" s="177">
        <f t="shared" si="105"/>
        <v>1.86479213391188</v>
      </c>
      <c r="O135" s="178">
        <f t="shared" si="106"/>
        <v>0.093067431946493</v>
      </c>
      <c r="P135" s="175"/>
      <c r="Q135" s="180">
        <v>19.33011</v>
      </c>
      <c r="R135" s="177">
        <f t="shared" si="107"/>
        <v>0.557182511544249</v>
      </c>
      <c r="S135" s="178">
        <f t="shared" si="108"/>
        <v>0.0198688625162874</v>
      </c>
      <c r="T135" s="175"/>
      <c r="U135" s="180">
        <v>0</v>
      </c>
      <c r="V135" s="177">
        <f t="shared" si="82"/>
        <v>0</v>
      </c>
      <c r="W135" s="178">
        <f t="shared" si="83"/>
        <v>0</v>
      </c>
      <c r="X135" s="175"/>
      <c r="Y135" s="180">
        <v>0</v>
      </c>
      <c r="Z135" s="177">
        <f t="shared" si="84"/>
        <v>0</v>
      </c>
      <c r="AA135" s="178">
        <f t="shared" si="85"/>
        <v>0</v>
      </c>
      <c r="AB135" s="175"/>
      <c r="AC135" s="180">
        <v>0</v>
      </c>
      <c r="AD135" s="177">
        <f t="shared" si="109"/>
        <v>0</v>
      </c>
      <c r="AE135" s="178">
        <f t="shared" si="110"/>
        <v>0</v>
      </c>
      <c r="AF135" s="175"/>
      <c r="AG135" s="180">
        <v>0</v>
      </c>
      <c r="AH135" s="177">
        <f t="shared" si="88"/>
        <v>0</v>
      </c>
      <c r="AI135" s="178">
        <f t="shared" si="89"/>
        <v>0</v>
      </c>
      <c r="AJ135" s="175"/>
      <c r="AK135" s="180">
        <v>8.1641</v>
      </c>
      <c r="AL135" s="177">
        <f t="shared" si="90"/>
        <v>0.215845442838181</v>
      </c>
      <c r="AM135" s="178">
        <f t="shared" si="91"/>
        <v>0.00538214250045335</v>
      </c>
      <c r="AN135" s="175"/>
      <c r="AO135" s="180">
        <v>76.00817</v>
      </c>
      <c r="AP135" s="177">
        <f t="shared" si="92"/>
        <v>2.03517127885706</v>
      </c>
      <c r="AQ135" s="178">
        <f t="shared" si="93"/>
        <v>0.0494129526029345</v>
      </c>
      <c r="AR135" s="175"/>
      <c r="AS135" s="180">
        <v>0</v>
      </c>
      <c r="AT135" s="177">
        <f t="shared" si="111"/>
        <v>0</v>
      </c>
      <c r="AU135" s="178">
        <f t="shared" si="112"/>
        <v>0</v>
      </c>
      <c r="AV135" s="175"/>
      <c r="AW135" s="180">
        <v>-0.45477</v>
      </c>
      <c r="AX135" s="177">
        <f t="shared" si="113"/>
        <v>-0.0124054661849638</v>
      </c>
      <c r="AY135" s="178">
        <f t="shared" si="114"/>
        <v>-0.000474341994607267</v>
      </c>
      <c r="BA135" s="143">
        <f t="shared" si="98"/>
        <v>171.92396</v>
      </c>
      <c r="BB135" s="141">
        <f t="shared" si="99"/>
        <v>4.78061332619457</v>
      </c>
      <c r="BC135" s="142">
        <f t="shared" si="115"/>
        <v>0.0130526553181233</v>
      </c>
    </row>
    <row r="136" spans="3:55">
      <c r="C136" s="140" t="s">
        <v>260</v>
      </c>
      <c r="D136" s="168">
        <v>6666010321</v>
      </c>
      <c r="E136" s="176">
        <v>11.13261</v>
      </c>
      <c r="F136" s="177">
        <f t="shared" si="101"/>
        <v>0.339238188106593</v>
      </c>
      <c r="G136" s="178">
        <f t="shared" si="102"/>
        <v>0.0211429222877278</v>
      </c>
      <c r="H136" s="172"/>
      <c r="I136" s="179">
        <v>11.1215</v>
      </c>
      <c r="J136" s="177">
        <f t="shared" si="103"/>
        <v>0.334336407691105</v>
      </c>
      <c r="K136" s="178">
        <f t="shared" si="104"/>
        <v>0.0169267116085007</v>
      </c>
      <c r="M136" s="180">
        <v>0</v>
      </c>
      <c r="N136" s="177">
        <f t="shared" si="105"/>
        <v>0</v>
      </c>
      <c r="O136" s="178">
        <f t="shared" si="106"/>
        <v>0</v>
      </c>
      <c r="P136" s="175"/>
      <c r="Q136" s="180">
        <v>22.24111</v>
      </c>
      <c r="R136" s="177">
        <f t="shared" si="107"/>
        <v>0.641090895464739</v>
      </c>
      <c r="S136" s="178">
        <f t="shared" si="108"/>
        <v>0.0228609954521534</v>
      </c>
      <c r="T136" s="175"/>
      <c r="U136" s="180">
        <v>0</v>
      </c>
      <c r="V136" s="177">
        <f t="shared" si="82"/>
        <v>0</v>
      </c>
      <c r="W136" s="178">
        <f t="shared" si="83"/>
        <v>0</v>
      </c>
      <c r="X136" s="175"/>
      <c r="Y136" s="180">
        <v>0</v>
      </c>
      <c r="Z136" s="177">
        <f t="shared" si="84"/>
        <v>0</v>
      </c>
      <c r="AA136" s="178">
        <f t="shared" si="85"/>
        <v>0</v>
      </c>
      <c r="AB136" s="175"/>
      <c r="AC136" s="180">
        <v>13.3458</v>
      </c>
      <c r="AD136" s="177">
        <f t="shared" si="109"/>
        <v>0.373864397188551</v>
      </c>
      <c r="AE136" s="178">
        <f t="shared" si="110"/>
        <v>0.0108438784461685</v>
      </c>
      <c r="AF136" s="175"/>
      <c r="AG136" s="180">
        <v>-13.3458</v>
      </c>
      <c r="AH136" s="177">
        <f t="shared" si="88"/>
        <v>-0.359630070762979</v>
      </c>
      <c r="AI136" s="178">
        <f t="shared" si="89"/>
        <v>-0.0140601325656024</v>
      </c>
      <c r="AJ136" s="175"/>
      <c r="AK136" s="180">
        <v>0</v>
      </c>
      <c r="AL136" s="177">
        <f t="shared" si="90"/>
        <v>0</v>
      </c>
      <c r="AM136" s="178">
        <f t="shared" si="91"/>
        <v>0</v>
      </c>
      <c r="AN136" s="175"/>
      <c r="AO136" s="180">
        <v>68.27488</v>
      </c>
      <c r="AP136" s="177">
        <f t="shared" si="92"/>
        <v>1.828107094848</v>
      </c>
      <c r="AQ136" s="178">
        <f t="shared" si="93"/>
        <v>0.0443855365733847</v>
      </c>
      <c r="AR136" s="175"/>
      <c r="AS136" s="180">
        <v>11.1215</v>
      </c>
      <c r="AT136" s="177">
        <f t="shared" si="111"/>
        <v>0.303669481783654</v>
      </c>
      <c r="AU136" s="178">
        <f t="shared" si="112"/>
        <v>0.0070440612800662</v>
      </c>
      <c r="AV136" s="175"/>
      <c r="AW136" s="180">
        <v>11.1215</v>
      </c>
      <c r="AX136" s="177">
        <f t="shared" si="113"/>
        <v>0.303378393860799</v>
      </c>
      <c r="AY136" s="178">
        <f t="shared" si="114"/>
        <v>0.0116001374167705</v>
      </c>
      <c r="BA136" s="143">
        <f t="shared" si="98"/>
        <v>135.0131</v>
      </c>
      <c r="BB136" s="141">
        <f t="shared" si="99"/>
        <v>3.76405478818046</v>
      </c>
      <c r="BC136" s="142">
        <f t="shared" si="115"/>
        <v>0.010277114335821</v>
      </c>
    </row>
    <row r="137" spans="3:55">
      <c r="C137" s="140" t="s">
        <v>261</v>
      </c>
      <c r="D137" s="168">
        <v>6666010322</v>
      </c>
      <c r="E137" s="176">
        <v>0.44819</v>
      </c>
      <c r="F137" s="177">
        <f t="shared" si="101"/>
        <v>0.0136574589002484</v>
      </c>
      <c r="G137" s="178">
        <f t="shared" si="102"/>
        <v>0.000851197189170979</v>
      </c>
      <c r="H137" s="172"/>
      <c r="I137" s="179">
        <v>1.15215</v>
      </c>
      <c r="J137" s="177">
        <f t="shared" si="103"/>
        <v>0.0346361275116942</v>
      </c>
      <c r="K137" s="178">
        <f t="shared" si="104"/>
        <v>0.00175355040055155</v>
      </c>
      <c r="M137" s="180">
        <v>0.38094</v>
      </c>
      <c r="N137" s="177">
        <f t="shared" si="105"/>
        <v>0.0109393531268217</v>
      </c>
      <c r="O137" s="178">
        <f t="shared" si="106"/>
        <v>0.00054595763471686</v>
      </c>
      <c r="P137" s="175"/>
      <c r="Q137" s="180">
        <v>0.62698</v>
      </c>
      <c r="R137" s="177">
        <f t="shared" si="107"/>
        <v>0.0180724419616864</v>
      </c>
      <c r="S137" s="178">
        <f t="shared" si="108"/>
        <v>0.000644454657550417</v>
      </c>
      <c r="T137" s="175"/>
      <c r="U137" s="180">
        <v>0.563465</v>
      </c>
      <c r="V137" s="177">
        <f t="shared" si="82"/>
        <v>0.0161634227851006</v>
      </c>
      <c r="W137" s="178">
        <f t="shared" si="83"/>
        <v>0.000396220590898186</v>
      </c>
      <c r="X137" s="175"/>
      <c r="Y137" s="180">
        <v>0.35368</v>
      </c>
      <c r="Z137" s="177">
        <f t="shared" si="84"/>
        <v>0.0100859219715571</v>
      </c>
      <c r="AA137" s="178">
        <f t="shared" si="85"/>
        <v>0.000325604402490866</v>
      </c>
      <c r="AB137" s="175"/>
      <c r="AC137" s="180">
        <v>0.30798</v>
      </c>
      <c r="AD137" s="177">
        <f t="shared" si="109"/>
        <v>0.00862763993512042</v>
      </c>
      <c r="AE137" s="178">
        <f t="shared" si="110"/>
        <v>0.000250243348757735</v>
      </c>
      <c r="AF137" s="175"/>
      <c r="AG137" s="180">
        <v>-0.45767</v>
      </c>
      <c r="AH137" s="177">
        <f t="shared" si="88"/>
        <v>-0.0123328608615514</v>
      </c>
      <c r="AI137" s="178">
        <f t="shared" si="89"/>
        <v>-0.000482166739446063</v>
      </c>
      <c r="AJ137" s="175"/>
      <c r="AK137" s="180">
        <v>1.1069</v>
      </c>
      <c r="AL137" s="177">
        <f t="shared" si="90"/>
        <v>0.0292646244751513</v>
      </c>
      <c r="AM137" s="178">
        <f t="shared" si="91"/>
        <v>0.000729718344183904</v>
      </c>
      <c r="AN137" s="175"/>
      <c r="AO137" s="180">
        <v>1.07333</v>
      </c>
      <c r="AP137" s="177">
        <f t="shared" si="92"/>
        <v>0.0287391524981545</v>
      </c>
      <c r="AQ137" s="178">
        <f t="shared" si="93"/>
        <v>0.000697772416008802</v>
      </c>
      <c r="AR137" s="175"/>
      <c r="AS137" s="180">
        <v>1.08061</v>
      </c>
      <c r="AT137" s="177">
        <f t="shared" si="111"/>
        <v>0.0295057572009382</v>
      </c>
      <c r="AU137" s="178">
        <f t="shared" si="112"/>
        <v>0.000684429533772632</v>
      </c>
      <c r="AV137" s="175"/>
      <c r="AW137" s="180">
        <v>3.65733</v>
      </c>
      <c r="AX137" s="177">
        <f t="shared" si="113"/>
        <v>0.0997666592832725</v>
      </c>
      <c r="AY137" s="178">
        <f t="shared" si="114"/>
        <v>0.00381473097859796</v>
      </c>
      <c r="BA137" s="143">
        <f t="shared" si="98"/>
        <v>10.293885</v>
      </c>
      <c r="BB137" s="141">
        <f t="shared" si="99"/>
        <v>0.287125698788194</v>
      </c>
      <c r="BC137" s="142">
        <f t="shared" si="115"/>
        <v>0.00078394810948679</v>
      </c>
    </row>
    <row r="138" spans="3:55">
      <c r="C138" s="140" t="s">
        <v>262</v>
      </c>
      <c r="D138" s="168">
        <v>6666020101</v>
      </c>
      <c r="E138" s="176">
        <v>0</v>
      </c>
      <c r="F138" s="177">
        <f t="shared" si="101"/>
        <v>0</v>
      </c>
      <c r="G138" s="178">
        <f t="shared" si="102"/>
        <v>0</v>
      </c>
      <c r="H138" s="172"/>
      <c r="I138" s="179">
        <v>2.59749</v>
      </c>
      <c r="J138" s="177">
        <f t="shared" si="103"/>
        <v>0.078086182224841</v>
      </c>
      <c r="K138" s="178">
        <f t="shared" si="104"/>
        <v>0.00395333040830503</v>
      </c>
      <c r="M138" s="180">
        <v>-107.25809</v>
      </c>
      <c r="N138" s="177">
        <f t="shared" si="105"/>
        <v>-3.08010217414403</v>
      </c>
      <c r="O138" s="178">
        <f t="shared" si="106"/>
        <v>-0.153720725365276</v>
      </c>
      <c r="P138" s="175"/>
      <c r="Q138" s="180">
        <v>-113.39055</v>
      </c>
      <c r="R138" s="177">
        <f t="shared" si="107"/>
        <v>-3.26843620829802</v>
      </c>
      <c r="S138" s="178">
        <f t="shared" si="108"/>
        <v>-0.11655087573719</v>
      </c>
      <c r="T138" s="175"/>
      <c r="U138" s="180">
        <v>17.0641</v>
      </c>
      <c r="V138" s="177">
        <f t="shared" si="82"/>
        <v>0.489496708308831</v>
      </c>
      <c r="W138" s="178">
        <f t="shared" si="83"/>
        <v>0.0119992329339812</v>
      </c>
      <c r="X138" s="175"/>
      <c r="Y138" s="180">
        <v>17.46741</v>
      </c>
      <c r="Z138" s="177">
        <f t="shared" si="84"/>
        <v>0.498119583536518</v>
      </c>
      <c r="AA138" s="178">
        <f t="shared" si="85"/>
        <v>0.0160808233321448</v>
      </c>
      <c r="AB138" s="175"/>
      <c r="AC138" s="180">
        <v>-14.2449</v>
      </c>
      <c r="AD138" s="177">
        <f t="shared" si="109"/>
        <v>-0.399051458249876</v>
      </c>
      <c r="AE138" s="178">
        <f t="shared" si="110"/>
        <v>-0.0115744252182579</v>
      </c>
      <c r="AF138" s="175"/>
      <c r="AG138" s="180">
        <v>0.58181</v>
      </c>
      <c r="AH138" s="177">
        <f t="shared" si="88"/>
        <v>0.015678068865906</v>
      </c>
      <c r="AI138" s="178">
        <f t="shared" si="89"/>
        <v>0.000612951320115179</v>
      </c>
      <c r="AJ138" s="175"/>
      <c r="AK138" s="180">
        <v>0</v>
      </c>
      <c r="AL138" s="177">
        <f t="shared" si="90"/>
        <v>0</v>
      </c>
      <c r="AM138" s="178">
        <f t="shared" si="91"/>
        <v>0</v>
      </c>
      <c r="AN138" s="175"/>
      <c r="AO138" s="180">
        <v>0</v>
      </c>
      <c r="AP138" s="177">
        <f t="shared" si="92"/>
        <v>0</v>
      </c>
      <c r="AQ138" s="178">
        <f t="shared" si="93"/>
        <v>0</v>
      </c>
      <c r="AR138" s="175"/>
      <c r="AS138" s="180">
        <v>0.0595</v>
      </c>
      <c r="AT138" s="177">
        <f t="shared" si="111"/>
        <v>0.00162463104492446</v>
      </c>
      <c r="AU138" s="178">
        <f t="shared" si="112"/>
        <v>3.76857120140214e-5</v>
      </c>
      <c r="AV138" s="175"/>
      <c r="AW138" s="180">
        <v>-3.62798</v>
      </c>
      <c r="AX138" s="177">
        <f t="shared" si="113"/>
        <v>-0.0989660338406779</v>
      </c>
      <c r="AY138" s="178">
        <f t="shared" si="114"/>
        <v>-0.00378411783889718</v>
      </c>
      <c r="BA138" s="143">
        <f t="shared" si="98"/>
        <v>-200.75121</v>
      </c>
      <c r="BB138" s="141">
        <f t="shared" si="99"/>
        <v>-5.76355070055158</v>
      </c>
      <c r="BC138" s="142">
        <f t="shared" si="115"/>
        <v>-0.0157363994052018</v>
      </c>
    </row>
    <row r="139" spans="3:55">
      <c r="C139" s="140" t="s">
        <v>263</v>
      </c>
      <c r="D139" s="168">
        <v>6666020201</v>
      </c>
      <c r="E139" s="176">
        <v>2.41341</v>
      </c>
      <c r="F139" s="177">
        <f t="shared" si="101"/>
        <v>0.0735425776667225</v>
      </c>
      <c r="G139" s="178">
        <f t="shared" si="102"/>
        <v>0.00458351995429869</v>
      </c>
      <c r="H139" s="172"/>
      <c r="I139" s="179">
        <v>4.44885</v>
      </c>
      <c r="J139" s="177">
        <f t="shared" si="103"/>
        <v>0.133742078618583</v>
      </c>
      <c r="K139" s="178">
        <f t="shared" si="104"/>
        <v>0.0067710651386484</v>
      </c>
      <c r="M139" s="180">
        <v>9.7664</v>
      </c>
      <c r="N139" s="177">
        <f t="shared" si="105"/>
        <v>0.280459123163206</v>
      </c>
      <c r="O139" s="178">
        <f t="shared" si="106"/>
        <v>0.013997061594211</v>
      </c>
      <c r="P139" s="175"/>
      <c r="Q139" s="180">
        <v>16.35216</v>
      </c>
      <c r="R139" s="177">
        <f t="shared" si="107"/>
        <v>0.47134432126736</v>
      </c>
      <c r="S139" s="178">
        <f t="shared" si="108"/>
        <v>0.01680791360651</v>
      </c>
      <c r="T139" s="175"/>
      <c r="U139" s="180">
        <v>2.58241</v>
      </c>
      <c r="V139" s="177">
        <f t="shared" si="82"/>
        <v>0.0740783981870598</v>
      </c>
      <c r="W139" s="178">
        <f t="shared" si="83"/>
        <v>0.0018159140605741</v>
      </c>
      <c r="X139" s="175"/>
      <c r="Y139" s="180">
        <v>5.27802</v>
      </c>
      <c r="Z139" s="177">
        <f t="shared" si="84"/>
        <v>0.150513735253103</v>
      </c>
      <c r="AA139" s="178">
        <f t="shared" si="85"/>
        <v>0.00485904362258211</v>
      </c>
      <c r="AB139" s="175"/>
      <c r="AC139" s="180">
        <v>11.89711</v>
      </c>
      <c r="AD139" s="177">
        <f t="shared" si="109"/>
        <v>0.333281321347232</v>
      </c>
      <c r="AE139" s="178">
        <f t="shared" si="110"/>
        <v>0.00966677267010563</v>
      </c>
      <c r="AF139" s="175"/>
      <c r="AG139" s="180">
        <v>5.00781</v>
      </c>
      <c r="AH139" s="177">
        <f t="shared" si="88"/>
        <v>0.13494575556861</v>
      </c>
      <c r="AI139" s="178">
        <f t="shared" si="89"/>
        <v>0.00527585251265188</v>
      </c>
      <c r="AJ139" s="175"/>
      <c r="AK139" s="180">
        <v>1.90727</v>
      </c>
      <c r="AL139" s="177">
        <f t="shared" si="90"/>
        <v>0.0504250974096321</v>
      </c>
      <c r="AM139" s="178">
        <f t="shared" si="91"/>
        <v>0.00125735830365131</v>
      </c>
      <c r="AN139" s="175"/>
      <c r="AO139" s="180">
        <v>4.83562</v>
      </c>
      <c r="AP139" s="177">
        <f t="shared" si="92"/>
        <v>0.129477067260885</v>
      </c>
      <c r="AQ139" s="178">
        <f t="shared" si="93"/>
        <v>0.00314363918860041</v>
      </c>
      <c r="AR139" s="175"/>
      <c r="AS139" s="180">
        <v>3.25132</v>
      </c>
      <c r="AT139" s="177">
        <f t="shared" si="111"/>
        <v>0.0887763934282992</v>
      </c>
      <c r="AU139" s="178">
        <f t="shared" si="112"/>
        <v>0.00205929931404081</v>
      </c>
      <c r="AV139" s="175"/>
      <c r="AW139" s="180">
        <v>9.26038</v>
      </c>
      <c r="AX139" s="177">
        <f t="shared" si="113"/>
        <v>0.252609738878808</v>
      </c>
      <c r="AY139" s="178">
        <f t="shared" si="114"/>
        <v>0.00965892015748893</v>
      </c>
      <c r="BA139" s="143">
        <f t="shared" si="98"/>
        <v>77.00076</v>
      </c>
      <c r="BB139" s="141">
        <f t="shared" si="99"/>
        <v>2.1731956080495</v>
      </c>
      <c r="BC139" s="142">
        <f t="shared" si="115"/>
        <v>0.00593354268066462</v>
      </c>
    </row>
    <row r="140" spans="3:55">
      <c r="C140" s="140" t="s">
        <v>264</v>
      </c>
      <c r="D140" s="168">
        <v>6666020202</v>
      </c>
      <c r="E140" s="176">
        <v>0</v>
      </c>
      <c r="F140" s="177">
        <f t="shared" si="101"/>
        <v>0</v>
      </c>
      <c r="G140" s="178">
        <f t="shared" si="102"/>
        <v>0</v>
      </c>
      <c r="H140" s="172"/>
      <c r="I140" s="179">
        <v>2.50375</v>
      </c>
      <c r="J140" s="177">
        <f t="shared" si="103"/>
        <v>0.0752681545435962</v>
      </c>
      <c r="K140" s="178">
        <f t="shared" si="104"/>
        <v>0.00381065991006461</v>
      </c>
      <c r="M140" s="180">
        <v>0</v>
      </c>
      <c r="N140" s="177">
        <f t="shared" si="105"/>
        <v>0</v>
      </c>
      <c r="O140" s="178">
        <f t="shared" si="106"/>
        <v>0</v>
      </c>
      <c r="P140" s="175"/>
      <c r="Q140" s="180">
        <v>0</v>
      </c>
      <c r="R140" s="177">
        <f t="shared" si="107"/>
        <v>0</v>
      </c>
      <c r="S140" s="178">
        <f t="shared" si="108"/>
        <v>0</v>
      </c>
      <c r="T140" s="175"/>
      <c r="U140" s="180">
        <v>0</v>
      </c>
      <c r="V140" s="177">
        <f t="shared" si="82"/>
        <v>0</v>
      </c>
      <c r="W140" s="178">
        <f t="shared" si="83"/>
        <v>0</v>
      </c>
      <c r="X140" s="175"/>
      <c r="Y140" s="180">
        <v>1.03005</v>
      </c>
      <c r="Z140" s="177">
        <f t="shared" si="84"/>
        <v>0.0293740215075841</v>
      </c>
      <c r="AA140" s="178">
        <f t="shared" si="85"/>
        <v>0.000948283235652896</v>
      </c>
      <c r="AB140" s="175"/>
      <c r="AC140" s="180">
        <v>0</v>
      </c>
      <c r="AD140" s="177">
        <f t="shared" si="109"/>
        <v>0</v>
      </c>
      <c r="AE140" s="178">
        <f t="shared" si="110"/>
        <v>0</v>
      </c>
      <c r="AF140" s="175"/>
      <c r="AG140" s="180">
        <v>0.95322</v>
      </c>
      <c r="AH140" s="177">
        <f t="shared" si="88"/>
        <v>0.0256864763485656</v>
      </c>
      <c r="AI140" s="178">
        <f t="shared" si="89"/>
        <v>0.00100424100197692</v>
      </c>
      <c r="AJ140" s="175"/>
      <c r="AK140" s="180">
        <v>0</v>
      </c>
      <c r="AL140" s="177">
        <f t="shared" si="90"/>
        <v>0</v>
      </c>
      <c r="AM140" s="178">
        <f t="shared" si="91"/>
        <v>0</v>
      </c>
      <c r="AN140" s="175"/>
      <c r="AO140" s="180">
        <v>0</v>
      </c>
      <c r="AP140" s="177">
        <f t="shared" si="92"/>
        <v>0</v>
      </c>
      <c r="AQ140" s="178">
        <f t="shared" si="93"/>
        <v>0</v>
      </c>
      <c r="AR140" s="175"/>
      <c r="AS140" s="180">
        <v>0</v>
      </c>
      <c r="AT140" s="177">
        <f t="shared" si="111"/>
        <v>0</v>
      </c>
      <c r="AU140" s="178">
        <f t="shared" si="112"/>
        <v>0</v>
      </c>
      <c r="AV140" s="175"/>
      <c r="AW140" s="180">
        <v>0</v>
      </c>
      <c r="AX140" s="177">
        <f t="shared" si="113"/>
        <v>0</v>
      </c>
      <c r="AY140" s="178">
        <f t="shared" si="114"/>
        <v>0</v>
      </c>
      <c r="BA140" s="143">
        <f t="shared" si="98"/>
        <v>4.48702</v>
      </c>
      <c r="BB140" s="141">
        <f t="shared" si="99"/>
        <v>0.130328652399746</v>
      </c>
      <c r="BC140" s="142">
        <f t="shared" si="115"/>
        <v>0.000355840320430917</v>
      </c>
    </row>
    <row r="141" spans="3:55">
      <c r="C141" s="140" t="s">
        <v>265</v>
      </c>
      <c r="D141" s="168">
        <v>6666020204</v>
      </c>
      <c r="E141" s="176">
        <v>60.82648</v>
      </c>
      <c r="F141" s="177">
        <f t="shared" si="101"/>
        <v>1.853533435924</v>
      </c>
      <c r="G141" s="178">
        <f t="shared" si="102"/>
        <v>0.115520937109629</v>
      </c>
      <c r="H141" s="172"/>
      <c r="I141" s="179">
        <v>93.57181</v>
      </c>
      <c r="J141" s="177">
        <f t="shared" si="103"/>
        <v>2.81297152511394</v>
      </c>
      <c r="K141" s="178">
        <f t="shared" si="104"/>
        <v>0.142414516257287</v>
      </c>
      <c r="M141" s="180">
        <v>138.14737</v>
      </c>
      <c r="N141" s="177">
        <f t="shared" si="105"/>
        <v>3.96714145002283</v>
      </c>
      <c r="O141" s="178">
        <f t="shared" si="106"/>
        <v>0.197990789540492</v>
      </c>
      <c r="P141" s="175"/>
      <c r="Q141" s="180">
        <v>-26.58218</v>
      </c>
      <c r="R141" s="177">
        <f t="shared" si="107"/>
        <v>-0.766220462000542</v>
      </c>
      <c r="S141" s="178">
        <f t="shared" si="108"/>
        <v>-0.0273230560924488</v>
      </c>
      <c r="T141" s="175"/>
      <c r="U141" s="180">
        <v>221.59808</v>
      </c>
      <c r="V141" s="177">
        <f t="shared" si="82"/>
        <v>6.356709743119</v>
      </c>
      <c r="W141" s="178">
        <f t="shared" si="83"/>
        <v>0.155824624776168</v>
      </c>
      <c r="X141" s="175"/>
      <c r="Y141" s="180">
        <v>6.65726</v>
      </c>
      <c r="Z141" s="177">
        <f t="shared" si="84"/>
        <v>0.189845637028862</v>
      </c>
      <c r="AA141" s="178">
        <f t="shared" si="85"/>
        <v>0.0061287976830082</v>
      </c>
      <c r="AB141" s="175"/>
      <c r="AC141" s="180">
        <v>210.06408</v>
      </c>
      <c r="AD141" s="177">
        <f t="shared" si="109"/>
        <v>5.8846588919486</v>
      </c>
      <c r="AE141" s="178">
        <f t="shared" si="110"/>
        <v>0.170683612029718</v>
      </c>
      <c r="AF141" s="175"/>
      <c r="AG141" s="180">
        <v>97.09826</v>
      </c>
      <c r="AH141" s="177">
        <f t="shared" si="88"/>
        <v>2.61651261930811</v>
      </c>
      <c r="AI141" s="178">
        <f t="shared" si="89"/>
        <v>0.102295434330601</v>
      </c>
      <c r="AJ141" s="175"/>
      <c r="AK141" s="180">
        <v>99.74857</v>
      </c>
      <c r="AL141" s="177">
        <f t="shared" si="90"/>
        <v>2.63718894478574</v>
      </c>
      <c r="AM141" s="178">
        <f t="shared" si="91"/>
        <v>0.0657587508673884</v>
      </c>
      <c r="AN141" s="175"/>
      <c r="AO141" s="180">
        <v>89.54323</v>
      </c>
      <c r="AP141" s="177">
        <f t="shared" si="92"/>
        <v>2.39758186405609</v>
      </c>
      <c r="AQ141" s="178">
        <f t="shared" si="93"/>
        <v>0.0582121024608758</v>
      </c>
      <c r="AR141" s="175"/>
      <c r="AS141" s="180">
        <v>113.61986</v>
      </c>
      <c r="AT141" s="177">
        <f t="shared" si="111"/>
        <v>3.10235885505834</v>
      </c>
      <c r="AU141" s="178">
        <f t="shared" si="112"/>
        <v>0.0719637869417383</v>
      </c>
      <c r="AV141" s="175"/>
      <c r="AW141" s="180">
        <v>5.62378</v>
      </c>
      <c r="AX141" s="177">
        <f t="shared" si="113"/>
        <v>0.153408563937102</v>
      </c>
      <c r="AY141" s="178">
        <f t="shared" si="114"/>
        <v>0.00586581133855016</v>
      </c>
      <c r="BA141" s="143">
        <f t="shared" si="98"/>
        <v>1109.9166</v>
      </c>
      <c r="BB141" s="141">
        <f t="shared" si="99"/>
        <v>31.2056910683021</v>
      </c>
      <c r="BC141" s="142">
        <f t="shared" si="115"/>
        <v>0.0852018562652955</v>
      </c>
    </row>
    <row r="142" spans="3:55">
      <c r="C142" s="140" t="s">
        <v>266</v>
      </c>
      <c r="D142" s="168">
        <v>6666020301</v>
      </c>
      <c r="E142" s="176">
        <v>0</v>
      </c>
      <c r="F142" s="177">
        <f t="shared" si="101"/>
        <v>0</v>
      </c>
      <c r="G142" s="178">
        <f t="shared" si="102"/>
        <v>0</v>
      </c>
      <c r="H142" s="172"/>
      <c r="I142" s="179">
        <v>0.01779</v>
      </c>
      <c r="J142" s="177">
        <f t="shared" si="103"/>
        <v>0.000534805978764084</v>
      </c>
      <c r="K142" s="178">
        <f t="shared" si="104"/>
        <v>2.70760418572339e-5</v>
      </c>
      <c r="M142" s="180">
        <v>0.01779</v>
      </c>
      <c r="N142" s="177">
        <f t="shared" si="105"/>
        <v>0.00051087072012957</v>
      </c>
      <c r="O142" s="178">
        <f t="shared" si="106"/>
        <v>2.54963677261851e-5</v>
      </c>
      <c r="P142" s="175"/>
      <c r="Q142" s="180">
        <v>0.01779</v>
      </c>
      <c r="R142" s="177">
        <f t="shared" si="107"/>
        <v>0.00051278947095346</v>
      </c>
      <c r="S142" s="178">
        <f t="shared" si="108"/>
        <v>1.82858278698235e-5</v>
      </c>
      <c r="T142" s="175"/>
      <c r="U142" s="180">
        <v>0</v>
      </c>
      <c r="V142" s="177">
        <f t="shared" si="82"/>
        <v>0</v>
      </c>
      <c r="W142" s="178">
        <f t="shared" si="83"/>
        <v>0</v>
      </c>
      <c r="X142" s="175"/>
      <c r="Y142" s="180">
        <v>0.03557</v>
      </c>
      <c r="Z142" s="177">
        <f t="shared" si="84"/>
        <v>0.00101435264795376</v>
      </c>
      <c r="AA142" s="178">
        <f t="shared" si="85"/>
        <v>3.27464052154493e-5</v>
      </c>
      <c r="AB142" s="175"/>
      <c r="AC142" s="180">
        <v>0.01779</v>
      </c>
      <c r="AD142" s="177">
        <f t="shared" si="109"/>
        <v>0.000498362602915099</v>
      </c>
      <c r="AE142" s="178">
        <f t="shared" si="110"/>
        <v>1.44549294577573e-5</v>
      </c>
      <c r="AF142" s="175"/>
      <c r="AG142" s="180">
        <v>57.16708</v>
      </c>
      <c r="AH142" s="177">
        <f t="shared" si="88"/>
        <v>1.5404847237118</v>
      </c>
      <c r="AI142" s="178">
        <f t="shared" si="89"/>
        <v>0.0602269420483148</v>
      </c>
      <c r="AJ142" s="175"/>
      <c r="AK142" s="180">
        <v>0.02227</v>
      </c>
      <c r="AL142" s="177">
        <f t="shared" si="90"/>
        <v>0.000588782353475128</v>
      </c>
      <c r="AM142" s="178">
        <f t="shared" si="91"/>
        <v>1.468138723008e-5</v>
      </c>
      <c r="AN142" s="175"/>
      <c r="AO142" s="180">
        <v>29.51293</v>
      </c>
      <c r="AP142" s="177">
        <f t="shared" si="92"/>
        <v>0.790229096305292</v>
      </c>
      <c r="AQ142" s="178">
        <f t="shared" si="93"/>
        <v>0.0191863718237622</v>
      </c>
      <c r="AR142" s="175"/>
      <c r="AS142" s="180">
        <v>11.5439</v>
      </c>
      <c r="AT142" s="177">
        <f t="shared" si="111"/>
        <v>0.315202996966445</v>
      </c>
      <c r="AU142" s="178">
        <f t="shared" si="112"/>
        <v>0.00731159816670019</v>
      </c>
      <c r="AV142" s="175"/>
      <c r="AW142" s="180">
        <v>11.96115</v>
      </c>
      <c r="AX142" s="177">
        <f t="shared" si="113"/>
        <v>0.326282828371001</v>
      </c>
      <c r="AY142" s="178">
        <f t="shared" si="114"/>
        <v>0.0124759235411234</v>
      </c>
      <c r="BA142" s="143">
        <f t="shared" si="98"/>
        <v>110.31406</v>
      </c>
      <c r="BB142" s="141">
        <f t="shared" si="99"/>
        <v>2.97585960912873</v>
      </c>
      <c r="BC142" s="142">
        <f t="shared" si="115"/>
        <v>0.00812508084271309</v>
      </c>
    </row>
    <row r="143" spans="3:55">
      <c r="C143" s="140" t="s">
        <v>267</v>
      </c>
      <c r="D143" s="168">
        <v>6666020401</v>
      </c>
      <c r="E143" s="176">
        <v>0</v>
      </c>
      <c r="F143" s="177">
        <f t="shared" si="101"/>
        <v>0</v>
      </c>
      <c r="G143" s="178">
        <f t="shared" si="102"/>
        <v>0</v>
      </c>
      <c r="H143" s="172"/>
      <c r="I143" s="179">
        <v>75.97071</v>
      </c>
      <c r="J143" s="177">
        <f t="shared" si="103"/>
        <v>2.2838442899917</v>
      </c>
      <c r="K143" s="178">
        <f t="shared" si="104"/>
        <v>0.115625976609543</v>
      </c>
      <c r="M143" s="180">
        <v>42.88524</v>
      </c>
      <c r="N143" s="177">
        <f t="shared" si="105"/>
        <v>1.23152408329002</v>
      </c>
      <c r="O143" s="178">
        <f t="shared" si="106"/>
        <v>0.0614624985421979</v>
      </c>
      <c r="P143" s="175"/>
      <c r="Q143" s="180">
        <v>27.93125</v>
      </c>
      <c r="R143" s="177">
        <f t="shared" si="107"/>
        <v>0.805106852758225</v>
      </c>
      <c r="S143" s="178">
        <f t="shared" si="108"/>
        <v>0.0287097262332213</v>
      </c>
      <c r="T143" s="175"/>
      <c r="U143" s="180">
        <v>44.95528</v>
      </c>
      <c r="V143" s="177">
        <f t="shared" si="82"/>
        <v>1.2895764547267</v>
      </c>
      <c r="W143" s="178">
        <f t="shared" si="83"/>
        <v>0.0316119148582315</v>
      </c>
      <c r="X143" s="175"/>
      <c r="Y143" s="180">
        <v>42.1385</v>
      </c>
      <c r="Z143" s="177">
        <f t="shared" si="84"/>
        <v>1.20166710868146</v>
      </c>
      <c r="AA143" s="178">
        <f t="shared" si="85"/>
        <v>0.0387934887874953</v>
      </c>
      <c r="AB143" s="175"/>
      <c r="AC143" s="180">
        <v>57.11771</v>
      </c>
      <c r="AD143" s="177">
        <f t="shared" si="109"/>
        <v>1.60007479641089</v>
      </c>
      <c r="AE143" s="178">
        <f t="shared" si="110"/>
        <v>0.0464099195524812</v>
      </c>
      <c r="AF143" s="175"/>
      <c r="AG143" s="180">
        <v>42.98495</v>
      </c>
      <c r="AH143" s="177">
        <f t="shared" si="88"/>
        <v>1.15831801842101</v>
      </c>
      <c r="AI143" s="178">
        <f t="shared" si="89"/>
        <v>0.0452857150059039</v>
      </c>
      <c r="AJ143" s="175"/>
      <c r="AK143" s="180">
        <v>31.07645</v>
      </c>
      <c r="AL143" s="177">
        <f t="shared" si="90"/>
        <v>0.821610479059368</v>
      </c>
      <c r="AM143" s="178">
        <f t="shared" si="91"/>
        <v>0.0204869957874369</v>
      </c>
      <c r="AN143" s="175"/>
      <c r="AO143" s="180">
        <v>66.23755</v>
      </c>
      <c r="AP143" s="177">
        <f t="shared" si="92"/>
        <v>1.77355617615657</v>
      </c>
      <c r="AQ143" s="178">
        <f t="shared" si="93"/>
        <v>0.0430610672337527</v>
      </c>
      <c r="AR143" s="175"/>
      <c r="AS143" s="180">
        <v>50.40313</v>
      </c>
      <c r="AT143" s="177">
        <f t="shared" si="111"/>
        <v>1.37624352536745</v>
      </c>
      <c r="AU143" s="178">
        <f t="shared" si="112"/>
        <v>0.0319239973409291</v>
      </c>
      <c r="AV143" s="175"/>
      <c r="AW143" s="180">
        <v>53.70432</v>
      </c>
      <c r="AX143" s="177">
        <f t="shared" si="113"/>
        <v>1.46497597850887</v>
      </c>
      <c r="AY143" s="178">
        <f t="shared" si="114"/>
        <v>0.0560155996829758</v>
      </c>
      <c r="BA143" s="143">
        <f t="shared" si="98"/>
        <v>535.40509</v>
      </c>
      <c r="BB143" s="141">
        <f t="shared" si="99"/>
        <v>15.0064977633723</v>
      </c>
      <c r="BC143" s="142">
        <f t="shared" si="115"/>
        <v>0.0409727015076129</v>
      </c>
    </row>
    <row r="144" spans="3:55">
      <c r="C144" s="140" t="s">
        <v>268</v>
      </c>
      <c r="D144" s="168">
        <v>6666020403</v>
      </c>
      <c r="E144" s="176">
        <v>9.41369</v>
      </c>
      <c r="F144" s="177">
        <f t="shared" si="101"/>
        <v>0.286858440113967</v>
      </c>
      <c r="G144" s="178">
        <f t="shared" si="102"/>
        <v>0.0178783695926436</v>
      </c>
      <c r="H144" s="172"/>
      <c r="I144" s="179">
        <v>15.53097</v>
      </c>
      <c r="J144" s="177">
        <f t="shared" si="103"/>
        <v>0.466894638111615</v>
      </c>
      <c r="K144" s="178">
        <f t="shared" si="104"/>
        <v>0.023637841135663</v>
      </c>
      <c r="M144" s="180">
        <v>15.6138</v>
      </c>
      <c r="N144" s="177">
        <f t="shared" si="105"/>
        <v>0.448377360874597</v>
      </c>
      <c r="O144" s="178">
        <f t="shared" si="106"/>
        <v>0.0223774697247391</v>
      </c>
      <c r="P144" s="175"/>
      <c r="Q144" s="180">
        <v>18.82615</v>
      </c>
      <c r="R144" s="177">
        <f t="shared" si="107"/>
        <v>0.542656070747076</v>
      </c>
      <c r="S144" s="178">
        <f t="shared" si="108"/>
        <v>0.0193508565683798</v>
      </c>
      <c r="T144" s="175"/>
      <c r="U144" s="180">
        <v>14.8182</v>
      </c>
      <c r="V144" s="177">
        <f t="shared" si="82"/>
        <v>0.425071355832532</v>
      </c>
      <c r="W144" s="178">
        <f t="shared" si="83"/>
        <v>0.0104199479294144</v>
      </c>
      <c r="X144" s="175"/>
      <c r="Y144" s="180">
        <v>17.23715</v>
      </c>
      <c r="Z144" s="177">
        <f t="shared" si="84"/>
        <v>0.491553239968403</v>
      </c>
      <c r="AA144" s="178">
        <f t="shared" si="85"/>
        <v>0.0158688416828643</v>
      </c>
      <c r="AB144" s="175"/>
      <c r="AC144" s="180">
        <v>16.65385</v>
      </c>
      <c r="AD144" s="177">
        <f t="shared" si="109"/>
        <v>0.466534909193795</v>
      </c>
      <c r="AE144" s="178">
        <f t="shared" si="110"/>
        <v>0.0135317721725729</v>
      </c>
      <c r="AF144" s="175"/>
      <c r="AG144" s="180">
        <v>16.5197</v>
      </c>
      <c r="AH144" s="177">
        <f t="shared" si="88"/>
        <v>0.445157343882209</v>
      </c>
      <c r="AI144" s="178">
        <f t="shared" si="89"/>
        <v>0.0174039152350539</v>
      </c>
      <c r="AJ144" s="175"/>
      <c r="AK144" s="180">
        <v>14.79957</v>
      </c>
      <c r="AL144" s="177">
        <f t="shared" si="90"/>
        <v>0.391276410193978</v>
      </c>
      <c r="AM144" s="178">
        <f t="shared" si="91"/>
        <v>0.00975654324241916</v>
      </c>
      <c r="AN144" s="175"/>
      <c r="AO144" s="180">
        <v>11.79493</v>
      </c>
      <c r="AP144" s="177">
        <f t="shared" si="92"/>
        <v>0.315817401894159</v>
      </c>
      <c r="AQ144" s="178">
        <f t="shared" si="93"/>
        <v>0.00766789039974164</v>
      </c>
      <c r="AR144" s="175"/>
      <c r="AS144" s="180">
        <v>8.41078</v>
      </c>
      <c r="AT144" s="177">
        <f t="shared" si="111"/>
        <v>0.22965402184924</v>
      </c>
      <c r="AU144" s="178">
        <f t="shared" si="112"/>
        <v>0.0053271635780385</v>
      </c>
      <c r="AV144" s="175"/>
      <c r="AW144" s="180">
        <v>23.72432</v>
      </c>
      <c r="AX144" s="177">
        <f t="shared" si="113"/>
        <v>0.647165049412366</v>
      </c>
      <c r="AY144" s="178">
        <f t="shared" si="114"/>
        <v>0.0247453465916861</v>
      </c>
      <c r="BA144" s="143">
        <f t="shared" si="98"/>
        <v>183.34311</v>
      </c>
      <c r="BB144" s="141">
        <f t="shared" si="99"/>
        <v>5.15701624207394</v>
      </c>
      <c r="BC144" s="142">
        <f t="shared" si="115"/>
        <v>0.0140803597540353</v>
      </c>
    </row>
    <row r="145" spans="3:55">
      <c r="C145" s="140" t="s">
        <v>269</v>
      </c>
      <c r="D145" s="168">
        <v>6666020405</v>
      </c>
      <c r="E145" s="176">
        <v>0</v>
      </c>
      <c r="F145" s="177">
        <f t="shared" si="101"/>
        <v>0</v>
      </c>
      <c r="G145" s="178">
        <f t="shared" si="102"/>
        <v>0</v>
      </c>
      <c r="H145" s="172"/>
      <c r="I145" s="179">
        <v>0.50895</v>
      </c>
      <c r="J145" s="177">
        <f t="shared" si="103"/>
        <v>0.0153001406909489</v>
      </c>
      <c r="K145" s="178">
        <f t="shared" si="104"/>
        <v>0.000774612226151725</v>
      </c>
      <c r="M145" s="180">
        <v>0</v>
      </c>
      <c r="N145" s="177">
        <f t="shared" si="105"/>
        <v>0</v>
      </c>
      <c r="O145" s="178">
        <f t="shared" si="106"/>
        <v>0</v>
      </c>
      <c r="P145" s="175"/>
      <c r="Q145" s="180">
        <v>0</v>
      </c>
      <c r="R145" s="177">
        <f t="shared" si="107"/>
        <v>0</v>
      </c>
      <c r="S145" s="178">
        <f t="shared" si="108"/>
        <v>0</v>
      </c>
      <c r="T145" s="175"/>
      <c r="U145" s="180">
        <v>0</v>
      </c>
      <c r="V145" s="177">
        <f t="shared" si="82"/>
        <v>0</v>
      </c>
      <c r="W145" s="178">
        <f t="shared" si="83"/>
        <v>0</v>
      </c>
      <c r="X145" s="175"/>
      <c r="Y145" s="180">
        <v>0.16071</v>
      </c>
      <c r="Z145" s="177">
        <f t="shared" si="84"/>
        <v>0.00458298043442925</v>
      </c>
      <c r="AA145" s="178">
        <f t="shared" si="85"/>
        <v>0.000147952622495779</v>
      </c>
      <c r="AB145" s="175"/>
      <c r="AC145" s="180">
        <v>0</v>
      </c>
      <c r="AD145" s="177">
        <f t="shared" si="109"/>
        <v>0</v>
      </c>
      <c r="AE145" s="178">
        <f t="shared" si="110"/>
        <v>0</v>
      </c>
      <c r="AF145" s="175"/>
      <c r="AG145" s="180">
        <v>0</v>
      </c>
      <c r="AH145" s="177">
        <f t="shared" si="88"/>
        <v>0</v>
      </c>
      <c r="AI145" s="178">
        <f t="shared" si="89"/>
        <v>0</v>
      </c>
      <c r="AJ145" s="175"/>
      <c r="AK145" s="180">
        <v>0</v>
      </c>
      <c r="AL145" s="177">
        <f t="shared" si="90"/>
        <v>0</v>
      </c>
      <c r="AM145" s="178">
        <f t="shared" si="91"/>
        <v>0</v>
      </c>
      <c r="AN145" s="175"/>
      <c r="AO145" s="180">
        <v>0</v>
      </c>
      <c r="AP145" s="177">
        <f t="shared" si="92"/>
        <v>0</v>
      </c>
      <c r="AQ145" s="178">
        <f t="shared" si="93"/>
        <v>0</v>
      </c>
      <c r="AR145" s="175"/>
      <c r="AS145" s="180">
        <v>0</v>
      </c>
      <c r="AT145" s="177">
        <f t="shared" si="111"/>
        <v>0</v>
      </c>
      <c r="AU145" s="178">
        <f t="shared" si="112"/>
        <v>0</v>
      </c>
      <c r="AV145" s="175"/>
      <c r="AW145" s="180">
        <v>0</v>
      </c>
      <c r="AX145" s="177">
        <f t="shared" si="113"/>
        <v>0</v>
      </c>
      <c r="AY145" s="178">
        <f t="shared" si="114"/>
        <v>0</v>
      </c>
      <c r="BA145" s="143">
        <f t="shared" si="98"/>
        <v>0.66966</v>
      </c>
      <c r="BB145" s="141">
        <f t="shared" si="99"/>
        <v>0.0198831211253781</v>
      </c>
      <c r="BC145" s="142">
        <f t="shared" si="115"/>
        <v>5.42874959737946e-5</v>
      </c>
    </row>
    <row r="146" spans="3:55">
      <c r="C146" s="140" t="s">
        <v>270</v>
      </c>
      <c r="D146" s="168">
        <v>6666020495</v>
      </c>
      <c r="E146" s="176">
        <v>0.66297</v>
      </c>
      <c r="F146" s="177">
        <f t="shared" si="101"/>
        <v>0.020202337238889</v>
      </c>
      <c r="G146" s="178">
        <f t="shared" si="102"/>
        <v>0.00125910484505385</v>
      </c>
      <c r="H146" s="172"/>
      <c r="I146" s="179">
        <v>8.18788</v>
      </c>
      <c r="J146" s="177">
        <f t="shared" si="103"/>
        <v>0.246145428746648</v>
      </c>
      <c r="K146" s="178">
        <f t="shared" si="104"/>
        <v>0.0124617977291742</v>
      </c>
      <c r="M146" s="180">
        <v>1.12651</v>
      </c>
      <c r="N146" s="177">
        <f t="shared" si="105"/>
        <v>0.0323496894285083</v>
      </c>
      <c r="O146" s="178">
        <f t="shared" si="106"/>
        <v>0.00161449765077149</v>
      </c>
      <c r="P146" s="175"/>
      <c r="Q146" s="180">
        <v>3.93098</v>
      </c>
      <c r="R146" s="177">
        <f t="shared" si="107"/>
        <v>0.113308890080305</v>
      </c>
      <c r="S146" s="178">
        <f t="shared" si="108"/>
        <v>0.00404054095782567</v>
      </c>
      <c r="T146" s="175"/>
      <c r="U146" s="180">
        <v>6.91152</v>
      </c>
      <c r="V146" s="177">
        <f t="shared" si="82"/>
        <v>0.198262216548816</v>
      </c>
      <c r="W146" s="178">
        <f t="shared" si="83"/>
        <v>0.00486008277072158</v>
      </c>
      <c r="X146" s="175"/>
      <c r="Y146" s="180">
        <v>2.89995</v>
      </c>
      <c r="Z146" s="177">
        <f t="shared" si="84"/>
        <v>0.0826981153059741</v>
      </c>
      <c r="AA146" s="178">
        <f t="shared" si="85"/>
        <v>0.00266974804061125</v>
      </c>
      <c r="AB146" s="175"/>
      <c r="AC146" s="180">
        <v>1.17292</v>
      </c>
      <c r="AD146" s="177">
        <f t="shared" si="109"/>
        <v>0.0328577551552096</v>
      </c>
      <c r="AE146" s="178">
        <f t="shared" si="110"/>
        <v>0.000953034056188461</v>
      </c>
      <c r="AF146" s="175"/>
      <c r="AG146" s="180">
        <v>4.65551</v>
      </c>
      <c r="AH146" s="177">
        <f t="shared" si="88"/>
        <v>0.125452306398849</v>
      </c>
      <c r="AI146" s="178">
        <f t="shared" si="89"/>
        <v>0.00490469569156497</v>
      </c>
      <c r="AJ146" s="175"/>
      <c r="AK146" s="180">
        <v>1.11757</v>
      </c>
      <c r="AL146" s="177">
        <f t="shared" si="90"/>
        <v>0.0295467218128962</v>
      </c>
      <c r="AM146" s="178">
        <f t="shared" si="91"/>
        <v>0.000736752488851392</v>
      </c>
      <c r="AN146" s="175"/>
      <c r="AO146" s="180">
        <v>3.7786</v>
      </c>
      <c r="AP146" s="177">
        <f t="shared" si="92"/>
        <v>0.101174626284113</v>
      </c>
      <c r="AQ146" s="178">
        <f t="shared" si="93"/>
        <v>0.00245646991245084</v>
      </c>
      <c r="AR146" s="175"/>
      <c r="AS146" s="180">
        <v>3.4900725</v>
      </c>
      <c r="AT146" s="177">
        <f t="shared" si="111"/>
        <v>0.0952954644123887</v>
      </c>
      <c r="AU146" s="178">
        <f t="shared" si="112"/>
        <v>0.00221051877551354</v>
      </c>
      <c r="AV146" s="175"/>
      <c r="AW146" s="180">
        <v>2.95841</v>
      </c>
      <c r="AX146" s="177">
        <f t="shared" si="113"/>
        <v>0.0807011351150227</v>
      </c>
      <c r="AY146" s="178">
        <f t="shared" si="114"/>
        <v>0.00308573146923958</v>
      </c>
      <c r="BA146" s="143">
        <f t="shared" si="98"/>
        <v>40.8928925</v>
      </c>
      <c r="BB146" s="141">
        <f t="shared" si="99"/>
        <v>1.15799468652762</v>
      </c>
      <c r="BC146" s="142">
        <f t="shared" si="115"/>
        <v>0.00316170844034669</v>
      </c>
    </row>
    <row r="147" spans="3:55">
      <c r="C147" s="140" t="s">
        <v>271</v>
      </c>
      <c r="D147" s="168">
        <v>6666020502</v>
      </c>
      <c r="E147" s="176">
        <v>22.01374</v>
      </c>
      <c r="F147" s="177">
        <f t="shared" si="101"/>
        <v>0.670813158015023</v>
      </c>
      <c r="G147" s="178">
        <f t="shared" si="102"/>
        <v>0.0418082367101915</v>
      </c>
      <c r="H147" s="172"/>
      <c r="I147" s="179">
        <v>32.17708</v>
      </c>
      <c r="J147" s="177">
        <f t="shared" si="103"/>
        <v>0.967312802876348</v>
      </c>
      <c r="K147" s="178">
        <f t="shared" si="104"/>
        <v>0.0489729041553437</v>
      </c>
      <c r="M147" s="180">
        <v>74.28209</v>
      </c>
      <c r="N147" s="177">
        <f t="shared" si="105"/>
        <v>2.13313911248058</v>
      </c>
      <c r="O147" s="178">
        <f t="shared" si="106"/>
        <v>0.10646000461549</v>
      </c>
      <c r="P147" s="175"/>
      <c r="Q147" s="180">
        <v>9.52516</v>
      </c>
      <c r="R147" s="177">
        <f t="shared" si="107"/>
        <v>0.274558839637271</v>
      </c>
      <c r="S147" s="178">
        <f t="shared" si="108"/>
        <v>0.00979063722273906</v>
      </c>
      <c r="T147" s="175"/>
      <c r="U147" s="180">
        <v>82.772985</v>
      </c>
      <c r="V147" s="177">
        <f t="shared" si="82"/>
        <v>2.37440613301588</v>
      </c>
      <c r="W147" s="178">
        <f t="shared" si="83"/>
        <v>0.0582047882780771</v>
      </c>
      <c r="X147" s="175"/>
      <c r="Y147" s="180">
        <v>9.46772</v>
      </c>
      <c r="Z147" s="177">
        <f t="shared" si="84"/>
        <v>0.269991758562967</v>
      </c>
      <c r="AA147" s="178">
        <f t="shared" si="85"/>
        <v>0.0087161595610462</v>
      </c>
      <c r="AB147" s="175"/>
      <c r="AC147" s="180">
        <v>53.38925</v>
      </c>
      <c r="AD147" s="177">
        <f t="shared" si="109"/>
        <v>1.49562707125829</v>
      </c>
      <c r="AE147" s="178">
        <f t="shared" si="110"/>
        <v>0.0433804295982333</v>
      </c>
      <c r="AF147" s="175"/>
      <c r="AG147" s="180">
        <v>97.271565</v>
      </c>
      <c r="AH147" s="177">
        <f t="shared" si="88"/>
        <v>2.62118267950784</v>
      </c>
      <c r="AI147" s="178">
        <f t="shared" si="89"/>
        <v>0.102478015462813</v>
      </c>
      <c r="AJ147" s="175"/>
      <c r="AK147" s="180">
        <v>64.26933</v>
      </c>
      <c r="AL147" s="177">
        <f t="shared" si="90"/>
        <v>1.69917590362235</v>
      </c>
      <c r="AM147" s="178">
        <f t="shared" si="91"/>
        <v>0.0423692375728692</v>
      </c>
      <c r="AN147" s="175"/>
      <c r="AO147" s="180">
        <v>59.34277</v>
      </c>
      <c r="AP147" s="177">
        <f t="shared" si="92"/>
        <v>1.58894367686817</v>
      </c>
      <c r="AQ147" s="178">
        <f t="shared" si="93"/>
        <v>0.0385787670106627</v>
      </c>
      <c r="AR147" s="175"/>
      <c r="AS147" s="180">
        <v>53.55495</v>
      </c>
      <c r="AT147" s="177">
        <f t="shared" si="111"/>
        <v>1.46230309881306</v>
      </c>
      <c r="AU147" s="178">
        <f t="shared" si="112"/>
        <v>0.0339202760105095</v>
      </c>
      <c r="AV147" s="175"/>
      <c r="AW147" s="180">
        <v>46.84625</v>
      </c>
      <c r="AX147" s="177">
        <f t="shared" si="113"/>
        <v>1.27789777308829</v>
      </c>
      <c r="AY147" s="178">
        <f t="shared" si="114"/>
        <v>0.0488623780479598</v>
      </c>
      <c r="BA147" s="143">
        <f t="shared" si="98"/>
        <v>604.91289</v>
      </c>
      <c r="BB147" s="141">
        <f t="shared" si="99"/>
        <v>16.8353520077461</v>
      </c>
      <c r="BC147" s="142">
        <f t="shared" si="115"/>
        <v>0.0459660783925617</v>
      </c>
    </row>
    <row r="148" spans="3:55">
      <c r="C148" s="140" t="s">
        <v>272</v>
      </c>
      <c r="D148" s="168">
        <v>6666020503</v>
      </c>
      <c r="E148" s="176">
        <v>8.5255</v>
      </c>
      <c r="F148" s="177">
        <f t="shared" si="101"/>
        <v>0.259793091889751</v>
      </c>
      <c r="G148" s="178">
        <f t="shared" si="102"/>
        <v>0.0161915295662045</v>
      </c>
      <c r="H148" s="172"/>
      <c r="I148" s="179">
        <v>11.14944</v>
      </c>
      <c r="J148" s="177">
        <f t="shared" si="103"/>
        <v>0.3351763446808</v>
      </c>
      <c r="K148" s="178">
        <f t="shared" si="104"/>
        <v>0.0169692357574322</v>
      </c>
      <c r="M148" s="180">
        <v>-0.38067</v>
      </c>
      <c r="N148" s="177">
        <f t="shared" si="105"/>
        <v>-0.0109315996083037</v>
      </c>
      <c r="O148" s="178">
        <f t="shared" si="106"/>
        <v>-0.000545570674667053</v>
      </c>
      <c r="P148" s="175"/>
      <c r="Q148" s="180">
        <v>7.11354</v>
      </c>
      <c r="R148" s="177">
        <f t="shared" si="107"/>
        <v>0.20504487988793</v>
      </c>
      <c r="S148" s="178">
        <f t="shared" si="108"/>
        <v>0.007311802584885</v>
      </c>
      <c r="T148" s="175"/>
      <c r="U148" s="180">
        <v>6.57433</v>
      </c>
      <c r="V148" s="177">
        <f t="shared" si="82"/>
        <v>0.188589664520015</v>
      </c>
      <c r="W148" s="178">
        <f t="shared" si="83"/>
        <v>0.00462297554836533</v>
      </c>
      <c r="X148" s="175"/>
      <c r="Y148" s="180">
        <v>5.43697</v>
      </c>
      <c r="Z148" s="177">
        <f t="shared" si="84"/>
        <v>0.155046525621173</v>
      </c>
      <c r="AA148" s="178">
        <f t="shared" si="85"/>
        <v>0.00500537595626205</v>
      </c>
      <c r="AB148" s="175"/>
      <c r="AC148" s="180">
        <v>5.21209</v>
      </c>
      <c r="AD148" s="177">
        <f t="shared" si="109"/>
        <v>0.146009597472049</v>
      </c>
      <c r="AE148" s="178">
        <f t="shared" si="110"/>
        <v>0.0042349855692795</v>
      </c>
      <c r="AF148" s="175"/>
      <c r="AG148" s="180">
        <v>11.58908</v>
      </c>
      <c r="AH148" s="177">
        <f t="shared" si="88"/>
        <v>0.312291631860048</v>
      </c>
      <c r="AI148" s="178">
        <f t="shared" si="89"/>
        <v>0.0122093843091738</v>
      </c>
      <c r="AJ148" s="175"/>
      <c r="AK148" s="180">
        <v>3.9464</v>
      </c>
      <c r="AL148" s="177">
        <f t="shared" si="90"/>
        <v>0.104336357420487</v>
      </c>
      <c r="AM148" s="178">
        <f t="shared" si="91"/>
        <v>0.00260164465939774</v>
      </c>
      <c r="AN148" s="175"/>
      <c r="AO148" s="180">
        <v>3.04428</v>
      </c>
      <c r="AP148" s="177">
        <f t="shared" si="92"/>
        <v>0.0815127008162278</v>
      </c>
      <c r="AQ148" s="178">
        <f t="shared" si="93"/>
        <v>0.00197908808158467</v>
      </c>
      <c r="AR148" s="175"/>
      <c r="AS148" s="180">
        <v>4.86521</v>
      </c>
      <c r="AT148" s="177">
        <f t="shared" si="111"/>
        <v>0.132843213547512</v>
      </c>
      <c r="AU148" s="178">
        <f t="shared" si="112"/>
        <v>0.00308149416718886</v>
      </c>
      <c r="AV148" s="175"/>
      <c r="AW148" s="180">
        <v>49.07114</v>
      </c>
      <c r="AX148" s="177">
        <f t="shared" si="113"/>
        <v>1.33858954620495</v>
      </c>
      <c r="AY148" s="178">
        <f t="shared" si="114"/>
        <v>0.0511830209232193</v>
      </c>
      <c r="BA148" s="143">
        <f t="shared" si="98"/>
        <v>116.14731</v>
      </c>
      <c r="BB148" s="141">
        <f t="shared" si="99"/>
        <v>3.24830195431264</v>
      </c>
      <c r="BC148" s="142">
        <f t="shared" si="115"/>
        <v>0.00886893854110961</v>
      </c>
    </row>
    <row r="149" spans="3:55">
      <c r="C149" s="140" t="s">
        <v>273</v>
      </c>
      <c r="D149" s="168">
        <v>6666020504</v>
      </c>
      <c r="E149" s="176">
        <v>0</v>
      </c>
      <c r="F149" s="177">
        <f t="shared" si="101"/>
        <v>0</v>
      </c>
      <c r="G149" s="178">
        <f t="shared" si="102"/>
        <v>0</v>
      </c>
      <c r="H149" s="172"/>
      <c r="I149" s="179">
        <v>0</v>
      </c>
      <c r="J149" s="177">
        <f t="shared" si="103"/>
        <v>0</v>
      </c>
      <c r="K149" s="178">
        <f t="shared" si="104"/>
        <v>0</v>
      </c>
      <c r="M149" s="180">
        <v>0</v>
      </c>
      <c r="N149" s="177">
        <f t="shared" si="105"/>
        <v>0</v>
      </c>
      <c r="O149" s="178">
        <f t="shared" si="106"/>
        <v>0</v>
      </c>
      <c r="P149" s="175"/>
      <c r="Q149" s="180">
        <v>0</v>
      </c>
      <c r="R149" s="177">
        <f t="shared" si="107"/>
        <v>0</v>
      </c>
      <c r="S149" s="178">
        <f t="shared" si="108"/>
        <v>0</v>
      </c>
      <c r="T149" s="175"/>
      <c r="U149" s="180">
        <v>2.11887</v>
      </c>
      <c r="V149" s="177">
        <f t="shared" si="82"/>
        <v>0.0607814001520345</v>
      </c>
      <c r="W149" s="178">
        <f t="shared" si="83"/>
        <v>0.00148995931146822</v>
      </c>
      <c r="X149" s="175"/>
      <c r="Y149" s="180">
        <v>1.8162</v>
      </c>
      <c r="Z149" s="177">
        <f t="shared" si="84"/>
        <v>0.0517927264327696</v>
      </c>
      <c r="AA149" s="178">
        <f t="shared" si="85"/>
        <v>0.00167202758370253</v>
      </c>
      <c r="AB149" s="175"/>
      <c r="AC149" s="180">
        <v>0</v>
      </c>
      <c r="AD149" s="177">
        <f t="shared" si="109"/>
        <v>0</v>
      </c>
      <c r="AE149" s="178">
        <f t="shared" si="110"/>
        <v>0</v>
      </c>
      <c r="AF149" s="175"/>
      <c r="AG149" s="180">
        <v>0</v>
      </c>
      <c r="AH149" s="177">
        <f t="shared" si="88"/>
        <v>0</v>
      </c>
      <c r="AI149" s="178">
        <f t="shared" si="89"/>
        <v>0</v>
      </c>
      <c r="AJ149" s="175"/>
      <c r="AK149" s="180">
        <v>0</v>
      </c>
      <c r="AL149" s="177">
        <f t="shared" si="90"/>
        <v>0</v>
      </c>
      <c r="AM149" s="178">
        <f t="shared" si="91"/>
        <v>0</v>
      </c>
      <c r="AN149" s="175"/>
      <c r="AO149" s="180">
        <v>0</v>
      </c>
      <c r="AP149" s="177">
        <f t="shared" si="92"/>
        <v>0</v>
      </c>
      <c r="AQ149" s="178">
        <f t="shared" si="93"/>
        <v>0</v>
      </c>
      <c r="AR149" s="175"/>
      <c r="AS149" s="180">
        <v>0</v>
      </c>
      <c r="AT149" s="177">
        <f t="shared" si="111"/>
        <v>0</v>
      </c>
      <c r="AU149" s="178">
        <f t="shared" si="112"/>
        <v>0</v>
      </c>
      <c r="AV149" s="175"/>
      <c r="AW149" s="180">
        <v>0</v>
      </c>
      <c r="AX149" s="177">
        <f t="shared" si="113"/>
        <v>0</v>
      </c>
      <c r="AY149" s="178">
        <f t="shared" si="114"/>
        <v>0</v>
      </c>
      <c r="BA149" s="143">
        <f t="shared" si="98"/>
        <v>3.93507</v>
      </c>
      <c r="BB149" s="141">
        <f t="shared" si="99"/>
        <v>0.112574126584804</v>
      </c>
      <c r="BC149" s="142">
        <f t="shared" si="115"/>
        <v>0.000307364593576089</v>
      </c>
    </row>
    <row r="150" spans="3:55">
      <c r="C150" s="140" t="s">
        <v>274</v>
      </c>
      <c r="D150" s="168">
        <v>6666020602</v>
      </c>
      <c r="E150" s="176">
        <v>0</v>
      </c>
      <c r="F150" s="177">
        <f t="shared" si="101"/>
        <v>0</v>
      </c>
      <c r="G150" s="178">
        <f t="shared" si="102"/>
        <v>0</v>
      </c>
      <c r="H150" s="172"/>
      <c r="I150" s="179">
        <v>-38.25372</v>
      </c>
      <c r="J150" s="177">
        <f t="shared" si="103"/>
        <v>-1.14998977886269</v>
      </c>
      <c r="K150" s="178">
        <f t="shared" si="104"/>
        <v>-0.0582214347338339</v>
      </c>
      <c r="M150" s="180">
        <v>9.0972</v>
      </c>
      <c r="N150" s="177">
        <f t="shared" si="105"/>
        <v>0.261241883932699</v>
      </c>
      <c r="O150" s="178">
        <f t="shared" si="106"/>
        <v>0.013037973944837</v>
      </c>
      <c r="P150" s="175"/>
      <c r="Q150" s="180">
        <v>-0.58161</v>
      </c>
      <c r="R150" s="177">
        <f t="shared" si="107"/>
        <v>-0.0167646702755054</v>
      </c>
      <c r="S150" s="178">
        <f t="shared" si="108"/>
        <v>-0.000597820143191008</v>
      </c>
      <c r="T150" s="175"/>
      <c r="U150" s="180">
        <v>1.4079</v>
      </c>
      <c r="V150" s="177">
        <f t="shared" si="82"/>
        <v>0.0403866840693622</v>
      </c>
      <c r="W150" s="178">
        <f t="shared" si="83"/>
        <v>0.000990015298067416</v>
      </c>
      <c r="X150" s="175"/>
      <c r="Y150" s="180">
        <v>0</v>
      </c>
      <c r="Z150" s="177">
        <f t="shared" si="84"/>
        <v>0</v>
      </c>
      <c r="AA150" s="178">
        <f t="shared" si="85"/>
        <v>0</v>
      </c>
      <c r="AB150" s="175"/>
      <c r="AC150" s="180">
        <v>1.57033</v>
      </c>
      <c r="AD150" s="177">
        <f t="shared" si="109"/>
        <v>0.043990654650684</v>
      </c>
      <c r="AE150" s="178">
        <f t="shared" si="110"/>
        <v>0.00127594206719506</v>
      </c>
      <c r="AF150" s="175"/>
      <c r="AG150" s="180">
        <v>0</v>
      </c>
      <c r="AH150" s="177">
        <f t="shared" si="88"/>
        <v>0</v>
      </c>
      <c r="AI150" s="178">
        <f t="shared" si="89"/>
        <v>0</v>
      </c>
      <c r="AJ150" s="175"/>
      <c r="AK150" s="180">
        <v>0</v>
      </c>
      <c r="AL150" s="177">
        <f t="shared" si="90"/>
        <v>0</v>
      </c>
      <c r="AM150" s="178">
        <f t="shared" si="91"/>
        <v>0</v>
      </c>
      <c r="AN150" s="175"/>
      <c r="AO150" s="180">
        <v>0</v>
      </c>
      <c r="AP150" s="177">
        <f t="shared" si="92"/>
        <v>0</v>
      </c>
      <c r="AQ150" s="178">
        <f t="shared" si="93"/>
        <v>0</v>
      </c>
      <c r="AR150" s="175"/>
      <c r="AS150" s="180">
        <v>0</v>
      </c>
      <c r="AT150" s="177">
        <f t="shared" si="111"/>
        <v>0</v>
      </c>
      <c r="AU150" s="178">
        <f t="shared" si="112"/>
        <v>0</v>
      </c>
      <c r="AV150" s="175"/>
      <c r="AW150" s="180">
        <v>0</v>
      </c>
      <c r="AX150" s="177">
        <f t="shared" si="113"/>
        <v>0</v>
      </c>
      <c r="AY150" s="178">
        <f t="shared" si="114"/>
        <v>0</v>
      </c>
      <c r="BA150" s="143">
        <f t="shared" si="98"/>
        <v>-26.7599</v>
      </c>
      <c r="BB150" s="141">
        <f t="shared" si="99"/>
        <v>-0.821135226485448</v>
      </c>
      <c r="BC150" s="142">
        <f t="shared" si="115"/>
        <v>-0.00224197071579837</v>
      </c>
    </row>
    <row r="151" spans="3:55">
      <c r="C151" s="140" t="s">
        <v>275</v>
      </c>
      <c r="D151" s="168">
        <v>6666020801</v>
      </c>
      <c r="E151" s="176">
        <v>51.53055</v>
      </c>
      <c r="F151" s="177">
        <f t="shared" si="101"/>
        <v>1.57026343455274</v>
      </c>
      <c r="G151" s="178">
        <f t="shared" si="102"/>
        <v>0.0978662159272509</v>
      </c>
      <c r="H151" s="172"/>
      <c r="I151" s="179">
        <v>47.75406</v>
      </c>
      <c r="J151" s="177">
        <f t="shared" si="103"/>
        <v>1.43559060136362</v>
      </c>
      <c r="K151" s="178">
        <f t="shared" si="104"/>
        <v>0.0726807716364733</v>
      </c>
      <c r="M151" s="180">
        <v>55.53207</v>
      </c>
      <c r="N151" s="177">
        <f t="shared" si="105"/>
        <v>1.59469975217457</v>
      </c>
      <c r="O151" s="178">
        <f t="shared" si="106"/>
        <v>0.0795877502707279</v>
      </c>
      <c r="P151" s="175"/>
      <c r="Q151" s="180">
        <v>41.38703</v>
      </c>
      <c r="R151" s="177">
        <f t="shared" si="107"/>
        <v>1.1929642056231</v>
      </c>
      <c r="S151" s="178">
        <f t="shared" si="108"/>
        <v>0.0425405343801698</v>
      </c>
      <c r="T151" s="175"/>
      <c r="U151" s="180">
        <v>50.88315</v>
      </c>
      <c r="V151" s="177">
        <f t="shared" si="82"/>
        <v>1.45962192165918</v>
      </c>
      <c r="W151" s="178">
        <f t="shared" si="83"/>
        <v>0.0357803089096236</v>
      </c>
      <c r="X151" s="175"/>
      <c r="Y151" s="180">
        <v>44.8781</v>
      </c>
      <c r="Z151" s="177">
        <f t="shared" si="84"/>
        <v>1.27979250970294</v>
      </c>
      <c r="AA151" s="178">
        <f t="shared" si="85"/>
        <v>0.0413156156283231</v>
      </c>
      <c r="AB151" s="175"/>
      <c r="AC151" s="180">
        <v>54.3567</v>
      </c>
      <c r="AD151" s="177">
        <f t="shared" si="109"/>
        <v>1.5227288644112</v>
      </c>
      <c r="AE151" s="178">
        <f t="shared" si="110"/>
        <v>0.0441665128755749</v>
      </c>
      <c r="AF151" s="175"/>
      <c r="AG151" s="180">
        <v>90.46668</v>
      </c>
      <c r="AH151" s="177">
        <f t="shared" si="88"/>
        <v>2.43781103643781</v>
      </c>
      <c r="AI151" s="178">
        <f t="shared" si="89"/>
        <v>0.0953088996965288</v>
      </c>
      <c r="AJ151" s="175"/>
      <c r="AK151" s="180">
        <v>47.76152</v>
      </c>
      <c r="AL151" s="177">
        <f t="shared" si="90"/>
        <v>1.26273642349122</v>
      </c>
      <c r="AM151" s="178">
        <f t="shared" si="91"/>
        <v>0.0314865455688015</v>
      </c>
      <c r="AN151" s="175"/>
      <c r="AO151" s="180">
        <v>51.12136</v>
      </c>
      <c r="AP151" s="177">
        <f t="shared" si="92"/>
        <v>1.3688097425331</v>
      </c>
      <c r="AQ151" s="178">
        <f t="shared" si="93"/>
        <v>0.0332340239039771</v>
      </c>
      <c r="AR151" s="175"/>
      <c r="AS151" s="180">
        <v>58.33905</v>
      </c>
      <c r="AT151" s="177">
        <f t="shared" si="111"/>
        <v>1.59293162624202</v>
      </c>
      <c r="AU151" s="178">
        <f t="shared" si="112"/>
        <v>0.0369503972684301</v>
      </c>
      <c r="AV151" s="175"/>
      <c r="AW151" s="180">
        <v>-0.36519</v>
      </c>
      <c r="AX151" s="177">
        <f t="shared" si="113"/>
        <v>-0.00996185367567549</v>
      </c>
      <c r="AY151" s="178">
        <f t="shared" si="114"/>
        <v>-0.000380906728699403</v>
      </c>
      <c r="BA151" s="143">
        <f t="shared" si="98"/>
        <v>593.64508</v>
      </c>
      <c r="BB151" s="141">
        <f t="shared" si="99"/>
        <v>16.7079882645158</v>
      </c>
      <c r="BC151" s="142">
        <f t="shared" si="115"/>
        <v>0.045618333254652</v>
      </c>
    </row>
    <row r="152" spans="3:55">
      <c r="C152" s="140" t="s">
        <v>276</v>
      </c>
      <c r="D152" s="168">
        <v>6666020803</v>
      </c>
      <c r="E152" s="176">
        <v>191.25774</v>
      </c>
      <c r="F152" s="177">
        <f t="shared" si="101"/>
        <v>5.82809684152789</v>
      </c>
      <c r="G152" s="178">
        <f t="shared" si="102"/>
        <v>0.363234455688868</v>
      </c>
      <c r="H152" s="172"/>
      <c r="I152" s="179">
        <v>173.24744</v>
      </c>
      <c r="J152" s="177">
        <f t="shared" si="103"/>
        <v>5.20819374466396</v>
      </c>
      <c r="K152" s="178">
        <f t="shared" si="104"/>
        <v>0.263679310685701</v>
      </c>
      <c r="M152" s="180">
        <v>-111.19183</v>
      </c>
      <c r="N152" s="177">
        <f t="shared" si="105"/>
        <v>-3.19306634427345</v>
      </c>
      <c r="O152" s="178">
        <f t="shared" si="106"/>
        <v>-0.159358503981307</v>
      </c>
      <c r="P152" s="175"/>
      <c r="Q152" s="180">
        <v>259.10637</v>
      </c>
      <c r="R152" s="177">
        <f t="shared" si="107"/>
        <v>7.46863509797478</v>
      </c>
      <c r="S152" s="178">
        <f t="shared" si="108"/>
        <v>0.266327964125621</v>
      </c>
      <c r="T152" s="175"/>
      <c r="U152" s="180">
        <v>-220.30424</v>
      </c>
      <c r="V152" s="177">
        <f t="shared" si="82"/>
        <v>-6.31959495704307</v>
      </c>
      <c r="W152" s="178">
        <f t="shared" si="83"/>
        <v>-0.154914814851279</v>
      </c>
      <c r="X152" s="175"/>
      <c r="Y152" s="180">
        <v>66.84955</v>
      </c>
      <c r="Z152" s="177">
        <f t="shared" si="84"/>
        <v>1.90635417646941</v>
      </c>
      <c r="AA152" s="178">
        <f t="shared" si="85"/>
        <v>0.0615429421639145</v>
      </c>
      <c r="AB152" s="175"/>
      <c r="AC152" s="180">
        <v>-40.70046</v>
      </c>
      <c r="AD152" s="177">
        <f t="shared" si="109"/>
        <v>-1.14016791374041</v>
      </c>
      <c r="AE152" s="178">
        <f t="shared" si="110"/>
        <v>-0.0330703922539783</v>
      </c>
      <c r="AF152" s="175"/>
      <c r="AG152" s="180">
        <v>259.5141</v>
      </c>
      <c r="AH152" s="177">
        <f t="shared" si="88"/>
        <v>6.99314197327929</v>
      </c>
      <c r="AI152" s="178">
        <f t="shared" si="89"/>
        <v>0.273404565379596</v>
      </c>
      <c r="AJ152" s="175"/>
      <c r="AK152" s="180">
        <v>528.4823</v>
      </c>
      <c r="AL152" s="177">
        <f t="shared" si="90"/>
        <v>13.9722071110888</v>
      </c>
      <c r="AM152" s="178">
        <f t="shared" si="91"/>
        <v>0.348399339494535</v>
      </c>
      <c r="AN152" s="175"/>
      <c r="AO152" s="180">
        <v>-639.52553</v>
      </c>
      <c r="AP152" s="177">
        <f t="shared" si="92"/>
        <v>-17.1237380238446</v>
      </c>
      <c r="AQ152" s="178">
        <f t="shared" si="93"/>
        <v>-0.415755894428935</v>
      </c>
      <c r="AR152" s="175"/>
      <c r="AS152" s="180">
        <v>14.34169</v>
      </c>
      <c r="AT152" s="177">
        <f t="shared" si="111"/>
        <v>0.391595879171138</v>
      </c>
      <c r="AU152" s="178">
        <f t="shared" si="112"/>
        <v>0.00908364368293059</v>
      </c>
      <c r="AV152" s="175"/>
      <c r="AW152" s="180">
        <v>-118.85731</v>
      </c>
      <c r="AX152" s="177">
        <f t="shared" si="113"/>
        <v>-3.24225507408309</v>
      </c>
      <c r="AY152" s="178">
        <f t="shared" si="114"/>
        <v>-0.123972587239823</v>
      </c>
      <c r="BA152" s="143">
        <f t="shared" si="98"/>
        <v>362.21982</v>
      </c>
      <c r="BB152" s="141">
        <f t="shared" si="99"/>
        <v>10.7494025111907</v>
      </c>
      <c r="BC152" s="142">
        <f t="shared" si="115"/>
        <v>0.0293494236577442</v>
      </c>
    </row>
    <row r="153" spans="3:55">
      <c r="C153" s="140" t="s">
        <v>277</v>
      </c>
      <c r="D153" s="168">
        <v>6666021100</v>
      </c>
      <c r="E153" s="176">
        <v>26.80251</v>
      </c>
      <c r="F153" s="177">
        <f t="shared" si="101"/>
        <v>0.816738835646702</v>
      </c>
      <c r="G153" s="178">
        <f t="shared" si="102"/>
        <v>0.0509030125052479</v>
      </c>
      <c r="H153" s="172"/>
      <c r="I153" s="179">
        <v>136.45077</v>
      </c>
      <c r="J153" s="177">
        <f t="shared" si="103"/>
        <v>4.10200604850831</v>
      </c>
      <c r="K153" s="178">
        <f t="shared" si="104"/>
        <v>0.207675478357043</v>
      </c>
      <c r="M153" s="180">
        <v>270.11593</v>
      </c>
      <c r="N153" s="177">
        <f t="shared" si="105"/>
        <v>7.75684764910447</v>
      </c>
      <c r="O153" s="178">
        <f t="shared" si="106"/>
        <v>0.387126198987097</v>
      </c>
      <c r="P153" s="175"/>
      <c r="Q153" s="180">
        <v>10.88621</v>
      </c>
      <c r="R153" s="177">
        <f t="shared" si="107"/>
        <v>0.313790548993157</v>
      </c>
      <c r="S153" s="178">
        <f t="shared" si="108"/>
        <v>0.0111896212599635</v>
      </c>
      <c r="T153" s="175"/>
      <c r="U153" s="180">
        <v>74.15637</v>
      </c>
      <c r="V153" s="177">
        <f t="shared" si="82"/>
        <v>2.12723196741297</v>
      </c>
      <c r="W153" s="178">
        <f t="shared" si="83"/>
        <v>0.052145706903294</v>
      </c>
      <c r="X153" s="175"/>
      <c r="Y153" s="180">
        <v>57.70259</v>
      </c>
      <c r="Z153" s="177">
        <f t="shared" si="84"/>
        <v>1.64550955750042</v>
      </c>
      <c r="AA153" s="178">
        <f t="shared" si="85"/>
        <v>0.0531220802395539</v>
      </c>
      <c r="AB153" s="175"/>
      <c r="AC153" s="180">
        <v>56.46698</v>
      </c>
      <c r="AD153" s="177">
        <f t="shared" si="109"/>
        <v>1.58184548238082</v>
      </c>
      <c r="AE153" s="178">
        <f t="shared" si="110"/>
        <v>0.0458811811462953</v>
      </c>
      <c r="AF153" s="175"/>
      <c r="AG153" s="180">
        <v>102.94211</v>
      </c>
      <c r="AH153" s="177">
        <f t="shared" si="88"/>
        <v>2.77398719475718</v>
      </c>
      <c r="AI153" s="178">
        <f t="shared" si="89"/>
        <v>0.108452075797841</v>
      </c>
      <c r="AJ153" s="175"/>
      <c r="AK153" s="180">
        <v>127.47777</v>
      </c>
      <c r="AL153" s="177">
        <f t="shared" si="90"/>
        <v>3.37030361187072</v>
      </c>
      <c r="AM153" s="178">
        <f t="shared" si="91"/>
        <v>0.0840390886662359</v>
      </c>
      <c r="AN153" s="175"/>
      <c r="AO153" s="180">
        <v>575.27074</v>
      </c>
      <c r="AP153" s="177">
        <f t="shared" si="92"/>
        <v>15.4032716169176</v>
      </c>
      <c r="AQ153" s="178">
        <f t="shared" si="93"/>
        <v>0.373983820548174</v>
      </c>
      <c r="AR153" s="175"/>
      <c r="AS153" s="180">
        <v>107.78865</v>
      </c>
      <c r="AT153" s="177">
        <f t="shared" si="111"/>
        <v>2.94313927866382</v>
      </c>
      <c r="AU153" s="178">
        <f t="shared" si="112"/>
        <v>0.0682704541559688</v>
      </c>
      <c r="AV153" s="175"/>
      <c r="AW153" s="180">
        <v>59.25585</v>
      </c>
      <c r="AX153" s="177">
        <f t="shared" si="113"/>
        <v>1.61641366720824</v>
      </c>
      <c r="AY153" s="178">
        <f t="shared" si="114"/>
        <v>0.0618060515890428</v>
      </c>
      <c r="BA153" s="143">
        <f t="shared" si="98"/>
        <v>1605.31648</v>
      </c>
      <c r="BB153" s="141">
        <f t="shared" si="99"/>
        <v>44.4510854589644</v>
      </c>
      <c r="BC153" s="142">
        <f t="shared" si="115"/>
        <v>0.121366163172656</v>
      </c>
    </row>
    <row r="154" spans="3:55">
      <c r="C154" s="140" t="s">
        <v>278</v>
      </c>
      <c r="D154" s="168">
        <v>6666021103</v>
      </c>
      <c r="E154" s="176">
        <v>24.04417</v>
      </c>
      <c r="F154" s="177">
        <f t="shared" si="101"/>
        <v>0.732685386924261</v>
      </c>
      <c r="G154" s="178">
        <f t="shared" si="102"/>
        <v>0.0456644055421789</v>
      </c>
      <c r="H154" s="172"/>
      <c r="I154" s="179">
        <v>20.9833</v>
      </c>
      <c r="J154" s="177">
        <f t="shared" si="103"/>
        <v>0.630803501641394</v>
      </c>
      <c r="K154" s="178">
        <f t="shared" si="104"/>
        <v>0.0319361837607024</v>
      </c>
      <c r="M154" s="180">
        <v>-24.04417</v>
      </c>
      <c r="N154" s="177">
        <f t="shared" si="105"/>
        <v>-0.690470064239337</v>
      </c>
      <c r="O154" s="178">
        <f t="shared" si="106"/>
        <v>-0.0344597526695282</v>
      </c>
      <c r="P154" s="175"/>
      <c r="Q154" s="180">
        <v>-45.02746</v>
      </c>
      <c r="R154" s="177">
        <f t="shared" si="107"/>
        <v>-1.29789811083632</v>
      </c>
      <c r="S154" s="178">
        <f t="shared" si="108"/>
        <v>-0.0462824273735448</v>
      </c>
      <c r="T154" s="175"/>
      <c r="U154" s="180">
        <v>0</v>
      </c>
      <c r="V154" s="177">
        <f t="shared" si="82"/>
        <v>0</v>
      </c>
      <c r="W154" s="178">
        <f t="shared" si="83"/>
        <v>0</v>
      </c>
      <c r="X154" s="175"/>
      <c r="Y154" s="180">
        <v>30.92545</v>
      </c>
      <c r="Z154" s="177">
        <f t="shared" si="84"/>
        <v>0.881903629369174</v>
      </c>
      <c r="AA154" s="178">
        <f t="shared" si="85"/>
        <v>0.0284705458861433</v>
      </c>
      <c r="AB154" s="175"/>
      <c r="AC154" s="180">
        <v>38.74255</v>
      </c>
      <c r="AD154" s="177">
        <f t="shared" si="109"/>
        <v>1.08531973364634</v>
      </c>
      <c r="AE154" s="178">
        <f t="shared" si="110"/>
        <v>0.0314795293571465</v>
      </c>
      <c r="AF154" s="175"/>
      <c r="AG154" s="180">
        <v>0</v>
      </c>
      <c r="AH154" s="177">
        <f t="shared" si="88"/>
        <v>0</v>
      </c>
      <c r="AI154" s="178">
        <f t="shared" si="89"/>
        <v>0</v>
      </c>
      <c r="AJ154" s="175"/>
      <c r="AK154" s="180">
        <v>0</v>
      </c>
      <c r="AL154" s="177">
        <f t="shared" si="90"/>
        <v>0</v>
      </c>
      <c r="AM154" s="178">
        <f t="shared" si="91"/>
        <v>0</v>
      </c>
      <c r="AN154" s="175"/>
      <c r="AO154" s="180">
        <v>0</v>
      </c>
      <c r="AP154" s="177">
        <f t="shared" si="92"/>
        <v>0</v>
      </c>
      <c r="AQ154" s="178">
        <f t="shared" si="93"/>
        <v>0</v>
      </c>
      <c r="AR154" s="175"/>
      <c r="AS154" s="180">
        <v>0</v>
      </c>
      <c r="AT154" s="177">
        <f t="shared" si="111"/>
        <v>0</v>
      </c>
      <c r="AU154" s="178">
        <f t="shared" si="112"/>
        <v>0</v>
      </c>
      <c r="AV154" s="175"/>
      <c r="AW154" s="180">
        <v>0</v>
      </c>
      <c r="AX154" s="177">
        <f t="shared" si="113"/>
        <v>0</v>
      </c>
      <c r="AY154" s="178">
        <f t="shared" si="114"/>
        <v>0</v>
      </c>
      <c r="BA154" s="143">
        <f t="shared" si="98"/>
        <v>45.62384</v>
      </c>
      <c r="BB154" s="141">
        <f t="shared" si="99"/>
        <v>1.34234407650551</v>
      </c>
      <c r="BC154" s="142">
        <f t="shared" si="115"/>
        <v>0.00366504323889715</v>
      </c>
    </row>
    <row r="155" spans="3:55">
      <c r="C155" s="140" t="s">
        <v>279</v>
      </c>
      <c r="D155" s="168">
        <v>6666021400</v>
      </c>
      <c r="E155" s="176">
        <v>22.05</v>
      </c>
      <c r="F155" s="177">
        <f t="shared" si="101"/>
        <v>0.671918089985221</v>
      </c>
      <c r="G155" s="178">
        <f t="shared" si="102"/>
        <v>0.0418771012767355</v>
      </c>
      <c r="H155" s="172"/>
      <c r="I155" s="179">
        <v>-2.14329</v>
      </c>
      <c r="J155" s="177">
        <f t="shared" si="103"/>
        <v>-0.0644319452628035</v>
      </c>
      <c r="K155" s="178">
        <f t="shared" si="104"/>
        <v>-0.00326204664149471</v>
      </c>
      <c r="M155" s="180">
        <v>14.7049</v>
      </c>
      <c r="N155" s="177">
        <f t="shared" si="105"/>
        <v>0.422276720204233</v>
      </c>
      <c r="O155" s="178">
        <f t="shared" si="106"/>
        <v>0.0210748475422585</v>
      </c>
      <c r="P155" s="175"/>
      <c r="Q155" s="180">
        <v>49.15939</v>
      </c>
      <c r="R155" s="177">
        <f t="shared" si="107"/>
        <v>1.4169993024449</v>
      </c>
      <c r="S155" s="178">
        <f t="shared" si="108"/>
        <v>0.0505295190402204</v>
      </c>
      <c r="T155" s="175"/>
      <c r="U155" s="180">
        <v>95.42227</v>
      </c>
      <c r="V155" s="177">
        <f t="shared" si="82"/>
        <v>2.73726050974599</v>
      </c>
      <c r="W155" s="178">
        <f t="shared" si="83"/>
        <v>0.0670995859622981</v>
      </c>
      <c r="X155" s="175"/>
      <c r="Y155" s="180">
        <v>51.71225</v>
      </c>
      <c r="Z155" s="177">
        <f t="shared" si="84"/>
        <v>1.47468253357174</v>
      </c>
      <c r="AA155" s="178">
        <f t="shared" si="85"/>
        <v>0.047607261543509</v>
      </c>
      <c r="AB155" s="175"/>
      <c r="AC155" s="180">
        <v>-20.81826</v>
      </c>
      <c r="AD155" s="177">
        <f t="shared" si="109"/>
        <v>-0.583195179413338</v>
      </c>
      <c r="AE155" s="178">
        <f t="shared" si="110"/>
        <v>-0.0169154850889967</v>
      </c>
      <c r="AF155" s="175"/>
      <c r="AG155" s="180">
        <v>-22.38163</v>
      </c>
      <c r="AH155" s="177">
        <f t="shared" si="88"/>
        <v>-0.60311912217258</v>
      </c>
      <c r="AI155" s="178">
        <f t="shared" si="89"/>
        <v>-0.0235796044324255</v>
      </c>
      <c r="AJ155" s="175"/>
      <c r="AK155" s="180">
        <v>41.5422</v>
      </c>
      <c r="AL155" s="177">
        <f t="shared" si="90"/>
        <v>1.09830778107474</v>
      </c>
      <c r="AM155" s="178">
        <f t="shared" si="91"/>
        <v>0.0273864896537687</v>
      </c>
      <c r="AN155" s="175"/>
      <c r="AO155" s="180">
        <v>54.9576</v>
      </c>
      <c r="AP155" s="177">
        <f t="shared" si="92"/>
        <v>1.4715277196506</v>
      </c>
      <c r="AQ155" s="178">
        <f t="shared" si="93"/>
        <v>0.0357279656117367</v>
      </c>
      <c r="AR155" s="175"/>
      <c r="AS155" s="180">
        <v>44.541</v>
      </c>
      <c r="AT155" s="177">
        <f t="shared" si="111"/>
        <v>1.21617968692404</v>
      </c>
      <c r="AU155" s="178">
        <f t="shared" si="112"/>
        <v>0.0282110806523786</v>
      </c>
      <c r="AV155" s="175"/>
      <c r="AW155" s="180">
        <v>0.58035</v>
      </c>
      <c r="AX155" s="177">
        <f t="shared" si="113"/>
        <v>0.0158311064943681</v>
      </c>
      <c r="AY155" s="178">
        <f t="shared" si="114"/>
        <v>0.000605326597115745</v>
      </c>
      <c r="BA155" s="143">
        <f t="shared" si="98"/>
        <v>329.32678</v>
      </c>
      <c r="BB155" s="141">
        <f t="shared" si="99"/>
        <v>9.2742372032471</v>
      </c>
      <c r="BC155" s="142">
        <f t="shared" si="115"/>
        <v>0.0253217345333513</v>
      </c>
    </row>
    <row r="156" spans="3:55">
      <c r="C156" s="140" t="s">
        <v>280</v>
      </c>
      <c r="D156" s="168">
        <v>6666021602</v>
      </c>
      <c r="E156" s="176">
        <v>0</v>
      </c>
      <c r="F156" s="177">
        <f t="shared" si="101"/>
        <v>0</v>
      </c>
      <c r="G156" s="178">
        <f t="shared" si="102"/>
        <v>0</v>
      </c>
      <c r="H156" s="172"/>
      <c r="I156" s="179">
        <v>0.59554</v>
      </c>
      <c r="J156" s="177">
        <f t="shared" si="103"/>
        <v>0.0179032238669569</v>
      </c>
      <c r="K156" s="178">
        <f t="shared" si="104"/>
        <v>0.000906400560295507</v>
      </c>
      <c r="M156" s="180">
        <v>11.33691</v>
      </c>
      <c r="N156" s="177">
        <f t="shared" si="105"/>
        <v>0.325559043043514</v>
      </c>
      <c r="O156" s="178">
        <f t="shared" si="106"/>
        <v>0.0162478935491099</v>
      </c>
      <c r="P156" s="175"/>
      <c r="Q156" s="180">
        <v>0.45779</v>
      </c>
      <c r="R156" s="177">
        <f t="shared" si="107"/>
        <v>0.013195609438324</v>
      </c>
      <c r="S156" s="178">
        <f t="shared" si="108"/>
        <v>0.000470549136623187</v>
      </c>
      <c r="T156" s="175"/>
      <c r="U156" s="180">
        <v>0.65372</v>
      </c>
      <c r="V156" s="177">
        <f t="shared" si="82"/>
        <v>0.018752456218356</v>
      </c>
      <c r="W156" s="178">
        <f t="shared" si="83"/>
        <v>0.000459686625934108</v>
      </c>
      <c r="X156" s="175"/>
      <c r="Y156" s="180">
        <v>0</v>
      </c>
      <c r="Z156" s="177">
        <f t="shared" si="84"/>
        <v>0</v>
      </c>
      <c r="AA156" s="178">
        <f t="shared" si="85"/>
        <v>0</v>
      </c>
      <c r="AB156" s="175"/>
      <c r="AC156" s="180">
        <v>3.86404</v>
      </c>
      <c r="AD156" s="177">
        <f t="shared" si="109"/>
        <v>0.108245814062286</v>
      </c>
      <c r="AE156" s="178">
        <f t="shared" si="110"/>
        <v>0.00313965292984556</v>
      </c>
      <c r="AF156" s="175"/>
      <c r="AG156" s="180">
        <v>0</v>
      </c>
      <c r="AH156" s="177">
        <f t="shared" si="88"/>
        <v>0</v>
      </c>
      <c r="AI156" s="178">
        <f t="shared" si="89"/>
        <v>0</v>
      </c>
      <c r="AJ156" s="175"/>
      <c r="AK156" s="180">
        <v>6.21242</v>
      </c>
      <c r="AL156" s="177">
        <f t="shared" si="90"/>
        <v>0.164246217708844</v>
      </c>
      <c r="AM156" s="178">
        <f t="shared" si="91"/>
        <v>0.00409550712419818</v>
      </c>
      <c r="AN156" s="175"/>
      <c r="AO156" s="180">
        <v>2.58334</v>
      </c>
      <c r="AP156" s="177">
        <f t="shared" si="92"/>
        <v>0.0691707137735668</v>
      </c>
      <c r="AQ156" s="178">
        <f t="shared" si="93"/>
        <v>0.00167943073721239</v>
      </c>
      <c r="AR156" s="175"/>
      <c r="AS156" s="180">
        <v>2.45431</v>
      </c>
      <c r="AT156" s="177">
        <f t="shared" si="111"/>
        <v>0.0670142557961102</v>
      </c>
      <c r="AU156" s="178">
        <f t="shared" si="112"/>
        <v>0.00155449445131316</v>
      </c>
      <c r="AV156" s="175"/>
      <c r="AW156" s="180">
        <v>3.40883</v>
      </c>
      <c r="AX156" s="177">
        <f t="shared" si="113"/>
        <v>0.0929879396074726</v>
      </c>
      <c r="AY156" s="178">
        <f t="shared" si="114"/>
        <v>0.00355553625234094</v>
      </c>
      <c r="BA156" s="143">
        <f t="shared" si="98"/>
        <v>31.5669</v>
      </c>
      <c r="BB156" s="141">
        <f t="shared" si="99"/>
        <v>0.87707527351543</v>
      </c>
      <c r="BC156" s="142">
        <f t="shared" si="115"/>
        <v>0.00239470554343255</v>
      </c>
    </row>
    <row r="157" spans="3:55">
      <c r="C157" s="140" t="s">
        <v>281</v>
      </c>
      <c r="D157" s="168">
        <v>6666021902</v>
      </c>
      <c r="E157" s="176">
        <v>3.13422</v>
      </c>
      <c r="F157" s="177">
        <f t="shared" si="101"/>
        <v>0.0955074429021986</v>
      </c>
      <c r="G157" s="178">
        <f t="shared" si="102"/>
        <v>0.00595247384868798</v>
      </c>
      <c r="H157" s="172"/>
      <c r="I157" s="179">
        <v>64.82961</v>
      </c>
      <c r="J157" s="177">
        <f t="shared" si="103"/>
        <v>1.94891866379673</v>
      </c>
      <c r="K157" s="178">
        <f t="shared" si="104"/>
        <v>0.0986694341735891</v>
      </c>
      <c r="M157" s="180">
        <v>67.23349</v>
      </c>
      <c r="N157" s="177">
        <f t="shared" si="105"/>
        <v>1.93072633238472</v>
      </c>
      <c r="O157" s="178">
        <f t="shared" si="106"/>
        <v>0.0963580542189312</v>
      </c>
      <c r="P157" s="175"/>
      <c r="Q157" s="180">
        <v>65.61017</v>
      </c>
      <c r="R157" s="177">
        <f t="shared" si="107"/>
        <v>1.8911863048604</v>
      </c>
      <c r="S157" s="178">
        <f t="shared" si="108"/>
        <v>0.0674388013001606</v>
      </c>
      <c r="T157" s="175"/>
      <c r="U157" s="180">
        <v>66.2794</v>
      </c>
      <c r="V157" s="177">
        <f t="shared" si="82"/>
        <v>1.90127508211299</v>
      </c>
      <c r="W157" s="178">
        <f t="shared" si="83"/>
        <v>0.0466067333949354</v>
      </c>
      <c r="X157" s="175"/>
      <c r="Y157" s="180">
        <v>65.05242</v>
      </c>
      <c r="Z157" s="177">
        <f t="shared" si="84"/>
        <v>1.85510527081248</v>
      </c>
      <c r="AA157" s="178">
        <f t="shared" si="85"/>
        <v>0.0598884707777789</v>
      </c>
      <c r="AB157" s="175"/>
      <c r="AC157" s="180">
        <v>144.93934</v>
      </c>
      <c r="AD157" s="177">
        <f t="shared" si="109"/>
        <v>4.06027806336124</v>
      </c>
      <c r="AE157" s="178">
        <f t="shared" si="110"/>
        <v>0.117767731048561</v>
      </c>
      <c r="AF157" s="175"/>
      <c r="AG157" s="180">
        <v>301.95756</v>
      </c>
      <c r="AH157" s="177">
        <f t="shared" si="88"/>
        <v>8.13686842828579</v>
      </c>
      <c r="AI157" s="178">
        <f t="shared" si="89"/>
        <v>0.318119807189217</v>
      </c>
      <c r="AJ157" s="175"/>
      <c r="AK157" s="180">
        <v>-131.11749</v>
      </c>
      <c r="AL157" s="177">
        <f t="shared" si="90"/>
        <v>-3.46653185199603</v>
      </c>
      <c r="AM157" s="178">
        <f t="shared" si="91"/>
        <v>-0.0864385560541599</v>
      </c>
      <c r="AN157" s="175"/>
      <c r="AO157" s="180">
        <v>95.11642</v>
      </c>
      <c r="AP157" s="177">
        <f t="shared" si="92"/>
        <v>2.54680787778084</v>
      </c>
      <c r="AQ157" s="178">
        <f t="shared" si="93"/>
        <v>0.0618352363071077</v>
      </c>
      <c r="AR157" s="175"/>
      <c r="AS157" s="180">
        <v>90.96788</v>
      </c>
      <c r="AT157" s="177">
        <f t="shared" si="111"/>
        <v>2.48385280569686</v>
      </c>
      <c r="AU157" s="178">
        <f t="shared" si="112"/>
        <v>0.0576166273648077</v>
      </c>
      <c r="AV157" s="175"/>
      <c r="AW157" s="180">
        <v>96.7054</v>
      </c>
      <c r="AX157" s="177">
        <f t="shared" si="113"/>
        <v>2.63798308948128</v>
      </c>
      <c r="AY157" s="178">
        <f t="shared" si="114"/>
        <v>0.100867322658253</v>
      </c>
      <c r="BA157" s="143">
        <f t="shared" si="98"/>
        <v>930.70842</v>
      </c>
      <c r="BB157" s="141">
        <f t="shared" si="99"/>
        <v>26.0219775094795</v>
      </c>
      <c r="BC157" s="142">
        <f t="shared" si="115"/>
        <v>0.0710486040077965</v>
      </c>
    </row>
    <row r="158" spans="3:55">
      <c r="C158" s="140" t="s">
        <v>282</v>
      </c>
      <c r="D158" s="168">
        <v>6666022100</v>
      </c>
      <c r="E158" s="176">
        <v>0</v>
      </c>
      <c r="F158" s="177">
        <f t="shared" si="101"/>
        <v>0</v>
      </c>
      <c r="G158" s="178">
        <f t="shared" si="102"/>
        <v>0</v>
      </c>
      <c r="H158" s="172"/>
      <c r="I158" s="179">
        <v>8.24709</v>
      </c>
      <c r="J158" s="177">
        <f t="shared" si="103"/>
        <v>0.247925409747358</v>
      </c>
      <c r="K158" s="178">
        <f t="shared" si="104"/>
        <v>0.0125519142237423</v>
      </c>
      <c r="M158" s="180">
        <v>6.54316</v>
      </c>
      <c r="N158" s="177">
        <f t="shared" si="105"/>
        <v>0.187898193430185</v>
      </c>
      <c r="O158" s="178">
        <f t="shared" si="106"/>
        <v>0.00937756118332012</v>
      </c>
      <c r="P158" s="175"/>
      <c r="Q158" s="180">
        <v>7.54979</v>
      </c>
      <c r="R158" s="177">
        <f t="shared" si="107"/>
        <v>0.21761960763967</v>
      </c>
      <c r="S158" s="178">
        <f t="shared" si="108"/>
        <v>0.0077602113768024</v>
      </c>
      <c r="T158" s="175"/>
      <c r="U158" s="180">
        <v>10.01354</v>
      </c>
      <c r="V158" s="177">
        <f t="shared" si="82"/>
        <v>0.287246023436267</v>
      </c>
      <c r="W158" s="178">
        <f t="shared" si="83"/>
        <v>0.00704137920861567</v>
      </c>
      <c r="X158" s="175"/>
      <c r="Y158" s="180">
        <v>8.55697</v>
      </c>
      <c r="Z158" s="177">
        <f t="shared" si="84"/>
        <v>0.244019825076212</v>
      </c>
      <c r="AA158" s="178">
        <f t="shared" si="85"/>
        <v>0.00787770612978473</v>
      </c>
      <c r="AB158" s="175"/>
      <c r="AC158" s="180">
        <v>7.88273</v>
      </c>
      <c r="AD158" s="177">
        <f t="shared" si="109"/>
        <v>0.220823937092577</v>
      </c>
      <c r="AE158" s="178">
        <f t="shared" si="110"/>
        <v>0.0064049638046401</v>
      </c>
      <c r="AF158" s="175"/>
      <c r="AG158" s="180">
        <v>7.62347</v>
      </c>
      <c r="AH158" s="177">
        <f t="shared" si="88"/>
        <v>0.205430102021568</v>
      </c>
      <c r="AI158" s="178">
        <f t="shared" si="89"/>
        <v>0.00803151544380204</v>
      </c>
      <c r="AJ158" s="175"/>
      <c r="AK158" s="180">
        <v>5.73055</v>
      </c>
      <c r="AL158" s="177">
        <f t="shared" si="90"/>
        <v>0.151506363525231</v>
      </c>
      <c r="AM158" s="178">
        <f t="shared" si="91"/>
        <v>0.00377783671267781</v>
      </c>
      <c r="AN158" s="175"/>
      <c r="AO158" s="180">
        <v>8.90213</v>
      </c>
      <c r="AP158" s="177">
        <f t="shared" si="92"/>
        <v>0.238360682761496</v>
      </c>
      <c r="AQ158" s="178">
        <f t="shared" si="93"/>
        <v>0.00578727954843751</v>
      </c>
      <c r="AR158" s="175"/>
      <c r="AS158" s="180">
        <v>7.25494</v>
      </c>
      <c r="AT158" s="177">
        <f t="shared" si="111"/>
        <v>0.198094130303601</v>
      </c>
      <c r="AU158" s="178">
        <f t="shared" si="112"/>
        <v>0.0045950853700673</v>
      </c>
      <c r="AV158" s="175"/>
      <c r="AW158" s="180">
        <v>14.89123</v>
      </c>
      <c r="AX158" s="177">
        <f t="shared" si="113"/>
        <v>0.406211162164433</v>
      </c>
      <c r="AY158" s="178">
        <f t="shared" si="114"/>
        <v>0.0155321057685326</v>
      </c>
      <c r="BA158" s="143">
        <f t="shared" si="98"/>
        <v>93.1956</v>
      </c>
      <c r="BB158" s="141">
        <f t="shared" si="99"/>
        <v>2.6051354371986</v>
      </c>
      <c r="BC158" s="142">
        <f t="shared" si="115"/>
        <v>0.00711288125572986</v>
      </c>
    </row>
    <row r="159" spans="3:55">
      <c r="C159" s="140" t="s">
        <v>283</v>
      </c>
      <c r="D159" s="168">
        <v>6666022300</v>
      </c>
      <c r="E159" s="176">
        <v>110.083</v>
      </c>
      <c r="F159" s="177">
        <f t="shared" si="101"/>
        <v>3.35450154647814</v>
      </c>
      <c r="G159" s="178">
        <f t="shared" si="102"/>
        <v>0.209068341943169</v>
      </c>
      <c r="H159" s="172"/>
      <c r="I159" s="179">
        <v>258.08514</v>
      </c>
      <c r="J159" s="177">
        <f t="shared" si="103"/>
        <v>7.75859898269621</v>
      </c>
      <c r="K159" s="178">
        <f t="shared" si="104"/>
        <v>0.39280067753626</v>
      </c>
      <c r="M159" s="180">
        <v>64.38155</v>
      </c>
      <c r="N159" s="177">
        <f t="shared" si="105"/>
        <v>1.8488279264507</v>
      </c>
      <c r="O159" s="178">
        <f t="shared" si="106"/>
        <v>0.0922706955357937</v>
      </c>
      <c r="P159" s="175"/>
      <c r="Q159" s="180">
        <v>140.78395</v>
      </c>
      <c r="R159" s="177">
        <f t="shared" si="107"/>
        <v>4.05803975487568</v>
      </c>
      <c r="S159" s="178">
        <f t="shared" si="108"/>
        <v>0.144707761469018</v>
      </c>
      <c r="T159" s="175"/>
      <c r="U159" s="180">
        <v>156.36648</v>
      </c>
      <c r="V159" s="177">
        <f t="shared" si="82"/>
        <v>4.48549160224323</v>
      </c>
      <c r="W159" s="178">
        <f t="shared" si="83"/>
        <v>0.109954689470099</v>
      </c>
      <c r="X159" s="175"/>
      <c r="Y159" s="180">
        <v>162.73504</v>
      </c>
      <c r="Z159" s="177">
        <f t="shared" si="84"/>
        <v>4.64072866850887</v>
      </c>
      <c r="AA159" s="178">
        <f t="shared" si="85"/>
        <v>0.149816912077378</v>
      </c>
      <c r="AB159" s="175"/>
      <c r="AC159" s="180">
        <v>151.04701</v>
      </c>
      <c r="AD159" s="177">
        <f t="shared" si="109"/>
        <v>4.23137611389224</v>
      </c>
      <c r="AE159" s="178">
        <f t="shared" si="110"/>
        <v>0.122730403280223</v>
      </c>
      <c r="AF159" s="175"/>
      <c r="AG159" s="180">
        <v>151.69619</v>
      </c>
      <c r="AH159" s="177">
        <f t="shared" si="88"/>
        <v>4.08776630431854</v>
      </c>
      <c r="AI159" s="178">
        <f t="shared" si="89"/>
        <v>0.159815712890708</v>
      </c>
      <c r="AJ159" s="175"/>
      <c r="AK159" s="180">
        <v>134.9575</v>
      </c>
      <c r="AL159" s="177">
        <f t="shared" si="90"/>
        <v>3.56805543193173</v>
      </c>
      <c r="AM159" s="178">
        <f t="shared" si="91"/>
        <v>0.0889700636328477</v>
      </c>
      <c r="AN159" s="175"/>
      <c r="AO159" s="180">
        <v>149.62203</v>
      </c>
      <c r="AP159" s="177">
        <f t="shared" si="92"/>
        <v>4.00623325282387</v>
      </c>
      <c r="AQ159" s="178">
        <f t="shared" si="93"/>
        <v>0.0972693629743335</v>
      </c>
      <c r="AR159" s="175"/>
      <c r="AS159" s="180">
        <v>150.85419</v>
      </c>
      <c r="AT159" s="177">
        <f t="shared" si="111"/>
        <v>4.11903193833501</v>
      </c>
      <c r="AU159" s="178">
        <f t="shared" si="112"/>
        <v>0.0955470178226632</v>
      </c>
      <c r="AV159" s="175"/>
      <c r="AW159" s="180">
        <v>167.5938</v>
      </c>
      <c r="AX159" s="177">
        <f t="shared" si="113"/>
        <v>4.57171585352946</v>
      </c>
      <c r="AY159" s="178">
        <f t="shared" si="114"/>
        <v>0.174806555788226</v>
      </c>
      <c r="BA159" s="143">
        <f t="shared" si="98"/>
        <v>1798.20588</v>
      </c>
      <c r="BB159" s="141">
        <f t="shared" si="99"/>
        <v>50.7303673760837</v>
      </c>
      <c r="BC159" s="142">
        <f t="shared" si="115"/>
        <v>0.138510679350191</v>
      </c>
    </row>
    <row r="160" spans="3:55">
      <c r="C160" s="140" t="s">
        <v>284</v>
      </c>
      <c r="D160" s="168">
        <v>6666029700</v>
      </c>
      <c r="E160" s="176">
        <v>4.67588</v>
      </c>
      <c r="F160" s="177">
        <f t="shared" si="101"/>
        <v>0.142485639845809</v>
      </c>
      <c r="G160" s="178">
        <f t="shared" si="102"/>
        <v>0.00888037643164907</v>
      </c>
      <c r="H160" s="172"/>
      <c r="I160" s="179">
        <v>-4.38316</v>
      </c>
      <c r="J160" s="177">
        <f t="shared" si="103"/>
        <v>-0.131767294765575</v>
      </c>
      <c r="K160" s="178">
        <f t="shared" si="104"/>
        <v>-0.00667108620724864</v>
      </c>
      <c r="M160" s="180">
        <v>4.98438</v>
      </c>
      <c r="N160" s="177">
        <f t="shared" si="105"/>
        <v>0.14313512085438</v>
      </c>
      <c r="O160" s="178">
        <f t="shared" si="106"/>
        <v>0.00714354049280732</v>
      </c>
      <c r="P160" s="175"/>
      <c r="Q160" s="180">
        <v>4.9822</v>
      </c>
      <c r="R160" s="177">
        <f t="shared" si="107"/>
        <v>0.143609876457804</v>
      </c>
      <c r="S160" s="178">
        <f t="shared" si="108"/>
        <v>0.00512105967470683</v>
      </c>
      <c r="T160" s="175"/>
      <c r="U160" s="180">
        <v>4.9574</v>
      </c>
      <c r="V160" s="177">
        <f t="shared" si="82"/>
        <v>0.142206795656976</v>
      </c>
      <c r="W160" s="178">
        <f t="shared" si="83"/>
        <v>0.00348597332100249</v>
      </c>
      <c r="X160" s="175"/>
      <c r="Y160" s="180">
        <v>2.95052</v>
      </c>
      <c r="Z160" s="177">
        <f t="shared" si="84"/>
        <v>0.0841402242013078</v>
      </c>
      <c r="AA160" s="178">
        <f t="shared" si="85"/>
        <v>0.0027163037255071</v>
      </c>
      <c r="AB160" s="175"/>
      <c r="AC160" s="180">
        <v>5.0769</v>
      </c>
      <c r="AD160" s="177">
        <f t="shared" si="109"/>
        <v>0.142222433880813</v>
      </c>
      <c r="AE160" s="178">
        <f t="shared" si="110"/>
        <v>0.00412513948083688</v>
      </c>
      <c r="AF160" s="175"/>
      <c r="AG160" s="180">
        <v>5.25544</v>
      </c>
      <c r="AH160" s="177">
        <f t="shared" si="88"/>
        <v>0.141618655988445</v>
      </c>
      <c r="AI160" s="178">
        <f t="shared" si="89"/>
        <v>0.0055367368828073</v>
      </c>
      <c r="AJ160" s="175"/>
      <c r="AK160" s="180">
        <v>0.42662</v>
      </c>
      <c r="AL160" s="177">
        <f t="shared" si="90"/>
        <v>0.0112791346043807</v>
      </c>
      <c r="AM160" s="178">
        <f t="shared" si="91"/>
        <v>0.000281247122590782</v>
      </c>
      <c r="AN160" s="175"/>
      <c r="AO160" s="180">
        <v>5.2644</v>
      </c>
      <c r="AP160" s="177">
        <f t="shared" si="92"/>
        <v>0.140957948078675</v>
      </c>
      <c r="AQ160" s="178">
        <f t="shared" si="93"/>
        <v>0.0034223892995041</v>
      </c>
      <c r="AR160" s="175"/>
      <c r="AS160" s="180">
        <v>1.40432</v>
      </c>
      <c r="AT160" s="177">
        <f t="shared" si="111"/>
        <v>0.0383445692270306</v>
      </c>
      <c r="AU160" s="178">
        <f t="shared" si="112"/>
        <v>0.000889458808328244</v>
      </c>
      <c r="AV160" s="175"/>
      <c r="AW160" s="180">
        <v>12.04233</v>
      </c>
      <c r="AX160" s="177">
        <f t="shared" si="113"/>
        <v>0.328497301060263</v>
      </c>
      <c r="AY160" s="178">
        <f t="shared" si="114"/>
        <v>0.0125605972951578</v>
      </c>
      <c r="BA160" s="143">
        <f t="shared" si="98"/>
        <v>47.63723</v>
      </c>
      <c r="BB160" s="141">
        <f t="shared" si="99"/>
        <v>1.32673040509031</v>
      </c>
      <c r="BC160" s="142">
        <f t="shared" si="115"/>
        <v>0.00362241275252913</v>
      </c>
    </row>
    <row r="161" spans="1:55">
      <c r="C161" s="140" t="s">
        <v>285</v>
      </c>
      <c r="D161" s="168">
        <v>6666029996</v>
      </c>
      <c r="E161" s="176">
        <v>0</v>
      </c>
      <c r="F161" s="177">
        <f t="shared" si="101"/>
        <v>0</v>
      </c>
      <c r="G161" s="178">
        <f t="shared" si="102"/>
        <v>0</v>
      </c>
      <c r="H161" s="172"/>
      <c r="I161" s="179">
        <v>0.00193</v>
      </c>
      <c r="J161" s="177">
        <f t="shared" si="103"/>
        <v>5.80199853296617e-5</v>
      </c>
      <c r="K161" s="178">
        <f t="shared" si="104"/>
        <v>2.93742331559648e-6</v>
      </c>
      <c r="M161" s="180">
        <v>1.6406</v>
      </c>
      <c r="N161" s="177">
        <f t="shared" si="105"/>
        <v>0.0471126758541075</v>
      </c>
      <c r="O161" s="178">
        <f t="shared" si="106"/>
        <v>0.00235128391745808</v>
      </c>
      <c r="P161" s="175"/>
      <c r="Q161" s="180">
        <v>1.50552</v>
      </c>
      <c r="R161" s="177">
        <f t="shared" si="107"/>
        <v>0.0433959979938085</v>
      </c>
      <c r="S161" s="178">
        <f t="shared" si="108"/>
        <v>0.00154748058316901</v>
      </c>
      <c r="T161" s="175"/>
      <c r="U161" s="180">
        <v>0</v>
      </c>
      <c r="V161" s="177">
        <f t="shared" si="82"/>
        <v>0</v>
      </c>
      <c r="W161" s="178">
        <f t="shared" si="83"/>
        <v>0</v>
      </c>
      <c r="X161" s="175"/>
      <c r="Y161" s="180">
        <v>0.10323</v>
      </c>
      <c r="Z161" s="177">
        <f t="shared" si="84"/>
        <v>0.00294381849446911</v>
      </c>
      <c r="AA161" s="178">
        <f t="shared" si="85"/>
        <v>9.50354627604956e-5</v>
      </c>
      <c r="AB161" s="175"/>
      <c r="AC161" s="180">
        <v>1.9548</v>
      </c>
      <c r="AD161" s="177">
        <f t="shared" si="109"/>
        <v>0.05476105768288</v>
      </c>
      <c r="AE161" s="178">
        <f t="shared" si="110"/>
        <v>0.00158833592490298</v>
      </c>
      <c r="AF161" s="175"/>
      <c r="AG161" s="180">
        <v>3.56867</v>
      </c>
      <c r="AH161" s="177">
        <f t="shared" si="88"/>
        <v>0.0961651639189648</v>
      </c>
      <c r="AI161" s="178">
        <f t="shared" si="89"/>
        <v>0.00375968269289877</v>
      </c>
      <c r="AJ161" s="175"/>
      <c r="AK161" s="180">
        <v>1.94817</v>
      </c>
      <c r="AL161" s="177">
        <f t="shared" si="90"/>
        <v>0.0515064264737153</v>
      </c>
      <c r="AM161" s="178">
        <f t="shared" si="91"/>
        <v>0.00128432142613493</v>
      </c>
      <c r="AN161" s="175"/>
      <c r="AO161" s="180">
        <v>2.7739</v>
      </c>
      <c r="AP161" s="177">
        <f t="shared" si="92"/>
        <v>0.0742730894642196</v>
      </c>
      <c r="AQ161" s="178">
        <f t="shared" si="93"/>
        <v>0.00180331389672031</v>
      </c>
      <c r="AR161" s="175"/>
      <c r="AS161" s="180">
        <v>4.15252</v>
      </c>
      <c r="AT161" s="177">
        <f t="shared" si="111"/>
        <v>0.11338341019613</v>
      </c>
      <c r="AU161" s="178">
        <f t="shared" si="112"/>
        <v>0.00263009534205822</v>
      </c>
      <c r="AV161" s="175"/>
      <c r="AW161" s="180">
        <v>0.94701</v>
      </c>
      <c r="AX161" s="177">
        <f t="shared" si="113"/>
        <v>0.0258330596385483</v>
      </c>
      <c r="AY161" s="178">
        <f t="shared" si="114"/>
        <v>0.000987766590393007</v>
      </c>
      <c r="BA161" s="143">
        <f t="shared" si="98"/>
        <v>18.59635</v>
      </c>
      <c r="BB161" s="141">
        <f t="shared" si="99"/>
        <v>0.509432719702173</v>
      </c>
      <c r="BC161" s="142">
        <f t="shared" si="115"/>
        <v>0.00139091979299226</v>
      </c>
    </row>
    <row r="162" spans="1:55">
      <c r="C162" s="140" t="s">
        <v>286</v>
      </c>
      <c r="D162" s="121">
        <v>6666020701</v>
      </c>
      <c r="E162" s="176">
        <v>257</v>
      </c>
      <c r="F162" s="177">
        <f t="shared" si="101"/>
        <v>7.83142626422684</v>
      </c>
      <c r="G162" s="178">
        <f t="shared" si="102"/>
        <v>0.488091384495284</v>
      </c>
      <c r="H162" s="172"/>
      <c r="I162" s="181">
        <v>257.02694</v>
      </c>
      <c r="J162" s="177">
        <f t="shared" si="103"/>
        <v>7.72678719592117</v>
      </c>
      <c r="K162" s="178">
        <f t="shared" si="104"/>
        <v>0.391190117249958</v>
      </c>
      <c r="M162" s="182">
        <v>257.01306</v>
      </c>
      <c r="N162" s="177">
        <f t="shared" si="105"/>
        <v>7.38057600027568</v>
      </c>
      <c r="O162" s="178">
        <f t="shared" si="106"/>
        <v>0.368347357402589</v>
      </c>
      <c r="P162" s="175"/>
      <c r="Q162" s="182">
        <v>257.014</v>
      </c>
      <c r="R162" s="177">
        <f t="shared" si="107"/>
        <v>7.4083233888495</v>
      </c>
      <c r="S162" s="178">
        <f t="shared" si="108"/>
        <v>0.264177277354402</v>
      </c>
      <c r="T162" s="175"/>
      <c r="U162" s="182">
        <v>257.0135</v>
      </c>
      <c r="V162" s="177">
        <f t="shared" si="82"/>
        <v>7.37262804606933</v>
      </c>
      <c r="W162" s="178">
        <f t="shared" si="83"/>
        <v>0.180728245478976</v>
      </c>
      <c r="X162" s="175"/>
      <c r="Y162" s="182">
        <v>865.78382</v>
      </c>
      <c r="Z162" s="177">
        <f t="shared" si="84"/>
        <v>24.6896291923677</v>
      </c>
      <c r="AA162" s="178">
        <f t="shared" si="85"/>
        <v>0.797056727542862</v>
      </c>
      <c r="AB162" s="175"/>
      <c r="AC162" s="182">
        <v>358.47522</v>
      </c>
      <c r="AD162" s="177">
        <f t="shared" si="109"/>
        <v>10.0421947003801</v>
      </c>
      <c r="AE162" s="178">
        <f t="shared" si="110"/>
        <v>0.291272288783251</v>
      </c>
      <c r="AF162" s="175"/>
      <c r="AG162" s="182">
        <v>358.47522</v>
      </c>
      <c r="AH162" s="177">
        <f t="shared" si="88"/>
        <v>9.65985319241817</v>
      </c>
      <c r="AI162" s="178">
        <f t="shared" si="89"/>
        <v>0.377662569099154</v>
      </c>
      <c r="AJ162" s="175"/>
      <c r="AK162" s="182">
        <v>358.47522</v>
      </c>
      <c r="AL162" s="177">
        <f t="shared" si="90"/>
        <v>9.47749814522291</v>
      </c>
      <c r="AM162" s="178">
        <f t="shared" si="91"/>
        <v>0.236323013794706</v>
      </c>
      <c r="AN162" s="175"/>
      <c r="AO162" s="182">
        <v>358.47522</v>
      </c>
      <c r="AP162" s="177">
        <f t="shared" si="92"/>
        <v>9.59842174763538</v>
      </c>
      <c r="AQ162" s="178">
        <f t="shared" si="93"/>
        <v>0.233044935237706</v>
      </c>
      <c r="AR162" s="175"/>
      <c r="AS162" s="182">
        <v>358.47522</v>
      </c>
      <c r="AT162" s="177">
        <f t="shared" si="111"/>
        <v>9.78806674366599</v>
      </c>
      <c r="AU162" s="178">
        <f t="shared" si="112"/>
        <v>0.227048637060218</v>
      </c>
      <c r="AV162" s="175"/>
      <c r="AW162" s="182">
        <v>358.47522</v>
      </c>
      <c r="AX162" s="177">
        <f t="shared" si="113"/>
        <v>9.77868421368489</v>
      </c>
      <c r="AY162" s="178">
        <f t="shared" si="114"/>
        <v>0.373902963854429</v>
      </c>
      <c r="BA162" s="143">
        <f t="shared" si="98"/>
        <v>4301.70264</v>
      </c>
      <c r="BB162" s="141">
        <f t="shared" si="99"/>
        <v>120.754088830718</v>
      </c>
      <c r="BC162" s="142">
        <f t="shared" si="115"/>
        <v>0.329698595601759</v>
      </c>
    </row>
    <row r="163" spans="1:55">
      <c r="C163" s="140" t="s">
        <v>287</v>
      </c>
      <c r="D163" s="121">
        <v>6666029900</v>
      </c>
      <c r="E163" s="176">
        <v>0</v>
      </c>
      <c r="F163" s="177">
        <f t="shared" si="101"/>
        <v>0</v>
      </c>
      <c r="G163" s="178">
        <f t="shared" si="102"/>
        <v>0</v>
      </c>
      <c r="H163" s="172"/>
      <c r="I163" s="181">
        <v>0</v>
      </c>
      <c r="J163" s="177">
        <f t="shared" si="103"/>
        <v>0</v>
      </c>
      <c r="K163" s="178">
        <f t="shared" si="104"/>
        <v>0</v>
      </c>
      <c r="M163" s="182">
        <v>0</v>
      </c>
      <c r="N163" s="177">
        <f t="shared" si="105"/>
        <v>0</v>
      </c>
      <c r="O163" s="178">
        <f t="shared" si="106"/>
        <v>0</v>
      </c>
      <c r="P163" s="175"/>
      <c r="Q163" s="182">
        <v>57.62024</v>
      </c>
      <c r="R163" s="177">
        <f t="shared" si="107"/>
        <v>1.66087984181065</v>
      </c>
      <c r="S163" s="178">
        <f t="shared" si="108"/>
        <v>0.0592261827126429</v>
      </c>
      <c r="T163" s="175"/>
      <c r="U163" s="182">
        <v>0</v>
      </c>
      <c r="V163" s="177">
        <f t="shared" si="82"/>
        <v>0</v>
      </c>
      <c r="W163" s="178">
        <f t="shared" si="83"/>
        <v>0</v>
      </c>
      <c r="X163" s="175"/>
      <c r="Y163" s="182">
        <v>0</v>
      </c>
      <c r="Z163" s="177">
        <f t="shared" si="84"/>
        <v>0</v>
      </c>
      <c r="AA163" s="178">
        <f t="shared" si="85"/>
        <v>0</v>
      </c>
      <c r="AB163" s="175"/>
      <c r="AC163" s="182">
        <v>0</v>
      </c>
      <c r="AD163" s="177">
        <f t="shared" si="109"/>
        <v>0</v>
      </c>
      <c r="AE163" s="178">
        <f t="shared" si="110"/>
        <v>0</v>
      </c>
      <c r="AF163" s="175"/>
      <c r="AG163" s="182">
        <v>0</v>
      </c>
      <c r="AH163" s="177">
        <f t="shared" si="88"/>
        <v>0</v>
      </c>
      <c r="AI163" s="178">
        <f t="shared" si="89"/>
        <v>0</v>
      </c>
      <c r="AJ163" s="175"/>
      <c r="AK163" s="182">
        <v>0</v>
      </c>
      <c r="AL163" s="177">
        <f t="shared" si="90"/>
        <v>0</v>
      </c>
      <c r="AM163" s="178">
        <f t="shared" si="91"/>
        <v>0</v>
      </c>
      <c r="AN163" s="175"/>
      <c r="AO163" s="182">
        <v>0</v>
      </c>
      <c r="AP163" s="177">
        <f t="shared" si="92"/>
        <v>0</v>
      </c>
      <c r="AQ163" s="178">
        <f t="shared" si="93"/>
        <v>0</v>
      </c>
      <c r="AR163" s="175"/>
      <c r="AS163" s="182">
        <v>0</v>
      </c>
      <c r="AT163" s="177">
        <f t="shared" si="111"/>
        <v>0</v>
      </c>
      <c r="AU163" s="178">
        <f t="shared" si="112"/>
        <v>0</v>
      </c>
      <c r="AV163" s="175"/>
      <c r="AW163" s="182">
        <v>0</v>
      </c>
      <c r="AX163" s="177">
        <f t="shared" si="113"/>
        <v>0</v>
      </c>
      <c r="AY163" s="178">
        <f t="shared" si="114"/>
        <v>0</v>
      </c>
      <c r="BA163" s="143">
        <f t="shared" si="98"/>
        <v>57.62024</v>
      </c>
      <c r="BB163" s="141">
        <f t="shared" si="99"/>
        <v>1.66087984181065</v>
      </c>
      <c r="BC163" s="142">
        <f t="shared" si="115"/>
        <v>0.00453475121721049</v>
      </c>
    </row>
    <row r="164" spans="1:55">
      <c r="C164" s="140" t="s">
        <v>288</v>
      </c>
      <c r="D164" s="121">
        <v>6666079999</v>
      </c>
      <c r="E164" s="176">
        <v>4345.80531</v>
      </c>
      <c r="F164" s="177">
        <f t="shared" si="101"/>
        <v>132.42744686362</v>
      </c>
      <c r="G164" s="178">
        <f t="shared" si="102"/>
        <v>8.2535024533263</v>
      </c>
      <c r="H164" s="172"/>
      <c r="I164" s="181">
        <v>4517.80373</v>
      </c>
      <c r="J164" s="177">
        <f t="shared" si="103"/>
        <v>135.814977273001</v>
      </c>
      <c r="K164" s="178">
        <f t="shared" si="104"/>
        <v>6.87601140507293</v>
      </c>
      <c r="M164" s="182">
        <v>4582.9802</v>
      </c>
      <c r="N164" s="177">
        <f t="shared" si="105"/>
        <v>131.608229067654</v>
      </c>
      <c r="O164" s="178">
        <f t="shared" si="106"/>
        <v>6.56826017206437</v>
      </c>
      <c r="P164" s="175"/>
      <c r="Q164" s="182">
        <v>4562.75321</v>
      </c>
      <c r="R164" s="177">
        <f t="shared" si="107"/>
        <v>131.519494359028</v>
      </c>
      <c r="S164" s="178">
        <f t="shared" si="108"/>
        <v>4.68992241768097</v>
      </c>
      <c r="T164" s="175"/>
      <c r="U164" s="183">
        <v>5215.57347</v>
      </c>
      <c r="V164" s="184">
        <f t="shared" si="82"/>
        <v>149.612698326186</v>
      </c>
      <c r="W164" s="185">
        <f t="shared" si="83"/>
        <v>3.66751724092234</v>
      </c>
      <c r="X164" s="175"/>
      <c r="Y164" s="182">
        <v>4625.92305</v>
      </c>
      <c r="Z164" s="177">
        <f t="shared" si="84"/>
        <v>131.917832302441</v>
      </c>
      <c r="AA164" s="178">
        <f t="shared" si="85"/>
        <v>4.25871101182983</v>
      </c>
      <c r="AB164" s="175"/>
      <c r="AC164" s="182">
        <v>5372.51532</v>
      </c>
      <c r="AD164" s="177">
        <f t="shared" si="109"/>
        <v>150.503694158316</v>
      </c>
      <c r="AE164" s="178">
        <f t="shared" si="110"/>
        <v>4.36533614172684</v>
      </c>
      <c r="AF164" s="175"/>
      <c r="AG164" s="182">
        <v>4960.9194</v>
      </c>
      <c r="AH164" s="177">
        <f t="shared" si="88"/>
        <v>133.682191766056</v>
      </c>
      <c r="AI164" s="178">
        <f t="shared" si="89"/>
        <v>5.22645209813341</v>
      </c>
      <c r="AJ164" s="175"/>
      <c r="AK164" s="182">
        <v>5006.44329</v>
      </c>
      <c r="AL164" s="177">
        <f t="shared" si="90"/>
        <v>132.362167167758</v>
      </c>
      <c r="AM164" s="178">
        <f t="shared" si="91"/>
        <v>3.30047294952517</v>
      </c>
      <c r="AN164" s="175"/>
      <c r="AO164" s="182">
        <v>5345.84467</v>
      </c>
      <c r="AP164" s="177">
        <f t="shared" si="92"/>
        <v>143.138685402045</v>
      </c>
      <c r="AQ164" s="178">
        <f t="shared" si="93"/>
        <v>3.47533652371002</v>
      </c>
      <c r="AR164" s="175"/>
      <c r="AS164" s="182">
        <v>4812.7725</v>
      </c>
      <c r="AT164" s="177">
        <f t="shared" si="111"/>
        <v>131.411422111911</v>
      </c>
      <c r="AU164" s="178">
        <f t="shared" si="112"/>
        <v>3.0482816541849</v>
      </c>
      <c r="AV164" s="175"/>
      <c r="AW164" s="182">
        <v>4838.53031</v>
      </c>
      <c r="AX164" s="177">
        <f t="shared" si="113"/>
        <v>131.988091003425</v>
      </c>
      <c r="AY164" s="178">
        <f t="shared" si="114"/>
        <v>5.04676675729075</v>
      </c>
      <c r="BA164" s="143">
        <f t="shared" si="98"/>
        <v>58187.86446</v>
      </c>
      <c r="BB164" s="141">
        <f t="shared" si="99"/>
        <v>1635.98692980144</v>
      </c>
      <c r="BC164" s="142">
        <f t="shared" si="115"/>
        <v>4.46678533539775</v>
      </c>
    </row>
    <row r="165" spans="1:55">
      <c r="C165" s="140" t="s">
        <v>289</v>
      </c>
      <c r="E165" s="186">
        <v>480.856520000001</v>
      </c>
      <c r="F165" s="184">
        <f t="shared" si="101"/>
        <v>14.6528886383374</v>
      </c>
      <c r="G165" s="185">
        <f t="shared" si="102"/>
        <v>0.913237060662975</v>
      </c>
      <c r="H165" s="172"/>
      <c r="I165" s="187">
        <v>-480.85657</v>
      </c>
      <c r="J165" s="184">
        <f t="shared" si="103"/>
        <v>-14.4555912627313</v>
      </c>
      <c r="K165" s="185">
        <f t="shared" si="104"/>
        <v>-0.731854559676556</v>
      </c>
      <c r="M165" s="188">
        <v>6</v>
      </c>
      <c r="N165" s="189">
        <f t="shared" si="105"/>
        <v>0.172300411510816</v>
      </c>
      <c r="O165" s="190">
        <f t="shared" si="106"/>
        <v>0.00859911221793763</v>
      </c>
      <c r="Q165" s="188">
        <v>19</v>
      </c>
      <c r="R165" s="189">
        <f t="shared" si="107"/>
        <v>0.547667225863729</v>
      </c>
      <c r="S165" s="190">
        <f t="shared" si="108"/>
        <v>0.0195295519688952</v>
      </c>
      <c r="U165" s="168">
        <v>35</v>
      </c>
      <c r="V165" s="168">
        <f t="shared" si="82"/>
        <v>1.00400166377419</v>
      </c>
      <c r="W165" s="168">
        <f t="shared" si="83"/>
        <v>0.0246115032547479</v>
      </c>
      <c r="X165" s="168"/>
      <c r="Y165" s="188">
        <v>15</v>
      </c>
      <c r="Z165" s="191">
        <f t="shared" si="84"/>
        <v>0.427756247379993</v>
      </c>
      <c r="AA165" s="192">
        <f t="shared" si="85"/>
        <v>0.0138092796803975</v>
      </c>
      <c r="AB165" s="168"/>
      <c r="AC165" s="193">
        <v>18</v>
      </c>
      <c r="AD165" s="189">
        <f t="shared" si="109"/>
        <v>0.504245466693186</v>
      </c>
      <c r="AE165" s="190">
        <f t="shared" si="110"/>
        <v>0.0146255610027899</v>
      </c>
      <c r="AG165" s="193">
        <v>-4</v>
      </c>
      <c r="AH165" s="189">
        <f t="shared" si="88"/>
        <v>-0.107788239225218</v>
      </c>
      <c r="AI165" s="190">
        <f t="shared" si="89"/>
        <v>-0.00421409958656729</v>
      </c>
      <c r="AK165" s="193">
        <v>3</v>
      </c>
      <c r="AL165" s="189">
        <f t="shared" si="90"/>
        <v>0.0793150902750509</v>
      </c>
      <c r="AM165" s="190">
        <f t="shared" si="91"/>
        <v>0.00197773514549798</v>
      </c>
      <c r="AO165" s="193">
        <v>3</v>
      </c>
      <c r="AP165" s="189">
        <f t="shared" si="92"/>
        <v>0.0803270732155661</v>
      </c>
      <c r="AQ165" s="190">
        <f t="shared" si="93"/>
        <v>0.00195030162953277</v>
      </c>
      <c r="AS165" s="193">
        <v>3</v>
      </c>
      <c r="AT165" s="189">
        <f t="shared" si="111"/>
        <v>0.0819141703323258</v>
      </c>
      <c r="AU165" s="190">
        <f t="shared" si="112"/>
        <v>0.00190011993348007</v>
      </c>
      <c r="AW165" s="193"/>
      <c r="AX165" s="189"/>
      <c r="AY165" s="190"/>
      <c r="BA165" s="143">
        <f t="shared" si="98"/>
        <v>97.9999500000002</v>
      </c>
      <c r="BB165" s="141">
        <f t="shared" si="99"/>
        <v>2.98703648542573</v>
      </c>
      <c r="BC165" s="142">
        <f t="shared" si="115"/>
        <v>0.0081555974111707</v>
      </c>
    </row>
    <row r="166" s="123" customFormat="1" spans="1:55">
      <c r="A166" s="194"/>
      <c r="B166" s="195"/>
      <c r="C166" s="196"/>
      <c r="D166" s="196" t="s">
        <v>182</v>
      </c>
      <c r="E166" s="161">
        <f>SUM(E120:E165)</f>
        <v>6787.8469975</v>
      </c>
      <c r="F166" s="165">
        <f t="shared" si="101"/>
        <v>206.842502932976</v>
      </c>
      <c r="G166" s="197">
        <f t="shared" si="102"/>
        <v>12.8913993725756</v>
      </c>
      <c r="H166" s="198"/>
      <c r="I166" s="161">
        <f>SUM(I120:I165)</f>
        <v>6154.000895</v>
      </c>
      <c r="J166" s="165">
        <f>+I166/J2</f>
        <v>185.002612252137</v>
      </c>
      <c r="K166" s="197">
        <f t="shared" ref="K166" si="116">J166/$J$1*1000</f>
        <v>9.36627239024592</v>
      </c>
      <c r="M166" s="161">
        <f>SUM(M120:M165)</f>
        <v>7111.4326625</v>
      </c>
      <c r="N166" s="165">
        <f>+M166/N2</f>
        <v>204.217129030035</v>
      </c>
      <c r="O166" s="197">
        <f t="shared" si="106"/>
        <v>10.1920012491907</v>
      </c>
      <c r="Q166" s="161">
        <f>SUM(Q120:Q165)</f>
        <v>6437.4180875</v>
      </c>
      <c r="R166" s="165">
        <f>+Q166/R2</f>
        <v>185.555942405585</v>
      </c>
      <c r="S166" s="197">
        <f t="shared" si="108"/>
        <v>6.61683637291249</v>
      </c>
      <c r="U166" s="161">
        <f>SUM(U120:U165)</f>
        <v>6407.1723675</v>
      </c>
      <c r="V166" s="165">
        <f>+U166/V2</f>
        <v>183.794620487371</v>
      </c>
      <c r="W166" s="197">
        <f t="shared" si="83"/>
        <v>4.50543267361306</v>
      </c>
      <c r="Y166" s="161">
        <f>SUM(Y120:Y165)</f>
        <v>7001.0720775</v>
      </c>
      <c r="Z166" s="165">
        <f>+Y166/Z2</f>
        <v>199.650154633883</v>
      </c>
      <c r="AA166" s="197">
        <f t="shared" si="85"/>
        <v>6.4453174920546</v>
      </c>
      <c r="AC166" s="161">
        <f>SUM(AC120:AC165)</f>
        <v>7488.8170625</v>
      </c>
      <c r="AD166" s="165">
        <f>+AC166/AD2</f>
        <v>209.789003036678</v>
      </c>
      <c r="AE166" s="197">
        <f t="shared" si="110"/>
        <v>6.08489726590708</v>
      </c>
      <c r="AG166" s="161">
        <f>SUM(AG120:AG165)</f>
        <v>7509.0370325</v>
      </c>
      <c r="AH166" s="165">
        <f>+AG166/AH2</f>
        <v>202.346470002533</v>
      </c>
      <c r="AI166" s="197">
        <f t="shared" si="89"/>
        <v>7.91095746354418</v>
      </c>
      <c r="AK166" s="161">
        <f>SUM(AK120:AK165)</f>
        <v>7046.1768375</v>
      </c>
      <c r="AL166" s="165">
        <f>+AK166/AL2</f>
        <v>186.289383986762</v>
      </c>
      <c r="AM166" s="197">
        <f t="shared" si="91"/>
        <v>4.64515719097251</v>
      </c>
      <c r="AO166" s="161">
        <f>SUM(AO120:AO165)</f>
        <v>7561.5911475</v>
      </c>
      <c r="AP166" s="165">
        <f>+AO166/AP2</f>
        <v>202.466828577136</v>
      </c>
      <c r="AQ166" s="197">
        <f t="shared" si="93"/>
        <v>4.9157945122766</v>
      </c>
      <c r="AS166" s="161">
        <f>SUM(AS120:AS165)</f>
        <v>8058.100705</v>
      </c>
      <c r="AT166" s="165">
        <f>+AS166/AT2</f>
        <v>220.024211234802</v>
      </c>
      <c r="AU166" s="197">
        <f t="shared" si="112"/>
        <v>5.10378592518677</v>
      </c>
      <c r="AW166" s="161">
        <f>SUM(AW120:AW165)</f>
        <v>4732.58686</v>
      </c>
      <c r="AX166" s="165">
        <f>+AW166/AX2</f>
        <v>129.098107305087</v>
      </c>
      <c r="AY166" s="197">
        <f>AX166/$AX$1*1000</f>
        <v>4.93626380549408</v>
      </c>
      <c r="BA166" s="161">
        <f t="shared" si="98"/>
        <v>82295.2527325</v>
      </c>
      <c r="BB166" s="165">
        <f t="shared" si="99"/>
        <v>2315.07696588498</v>
      </c>
      <c r="BC166" s="197">
        <f t="shared" ref="BC166" si="117">BB166/$BB$1*1000</f>
        <v>6.32092570738769</v>
      </c>
    </row>
    <row r="167" spans="1:55">
      <c r="E167" s="141"/>
      <c r="F167" s="141"/>
      <c r="G167" s="166"/>
      <c r="H167" s="167"/>
      <c r="I167" s="141"/>
      <c r="J167" s="141"/>
      <c r="K167" s="166"/>
      <c r="M167" s="141"/>
      <c r="N167" s="141"/>
      <c r="O167" s="166"/>
      <c r="Q167" s="141"/>
      <c r="R167" s="141"/>
      <c r="S167" s="166"/>
      <c r="U167" s="141"/>
      <c r="V167" s="141"/>
      <c r="W167" s="166"/>
      <c r="Y167" s="141"/>
      <c r="Z167" s="141"/>
      <c r="AA167" s="166"/>
      <c r="AC167" s="141"/>
      <c r="AD167" s="141"/>
      <c r="AE167" s="166"/>
      <c r="AG167" s="141"/>
      <c r="AH167" s="141"/>
      <c r="AI167" s="166"/>
      <c r="AK167" s="141"/>
      <c r="AL167" s="141"/>
      <c r="AM167" s="166"/>
      <c r="AO167" s="141"/>
      <c r="AP167" s="141"/>
      <c r="AQ167" s="166"/>
      <c r="AS167" s="141"/>
      <c r="AT167" s="141"/>
      <c r="AU167" s="166"/>
      <c r="AW167" s="141"/>
      <c r="AX167" s="141"/>
      <c r="AY167" s="166"/>
      <c r="BA167" s="141"/>
      <c r="BB167" s="141"/>
      <c r="BC167" s="166"/>
    </row>
    <row r="168" hidden="1" spans="1:55">
      <c r="E168" s="141"/>
      <c r="F168" s="141"/>
      <c r="G168" s="166"/>
      <c r="H168" s="167"/>
      <c r="I168" s="141"/>
      <c r="J168" s="141"/>
      <c r="K168" s="166"/>
      <c r="M168" s="141"/>
      <c r="N168" s="141"/>
      <c r="O168" s="166"/>
      <c r="Q168" s="141"/>
      <c r="R168" s="141"/>
      <c r="S168" s="166"/>
      <c r="U168" s="141"/>
      <c r="V168" s="141"/>
      <c r="W168" s="166"/>
      <c r="Y168" s="141"/>
      <c r="Z168" s="141"/>
      <c r="AA168" s="166"/>
      <c r="AC168" s="141"/>
      <c r="AD168" s="141"/>
      <c r="AE168" s="166"/>
      <c r="AG168" s="141"/>
      <c r="AH168" s="141"/>
      <c r="AI168" s="166"/>
      <c r="AK168" s="141"/>
      <c r="AL168" s="141"/>
      <c r="AM168" s="166"/>
      <c r="AO168" s="141"/>
      <c r="AP168" s="141"/>
      <c r="AQ168" s="166"/>
      <c r="AS168" s="141"/>
      <c r="AT168" s="141"/>
      <c r="AU168" s="166"/>
      <c r="AW168" s="141"/>
      <c r="AX168" s="141"/>
      <c r="AY168" s="166"/>
      <c r="BA168" s="141"/>
      <c r="BB168" s="141"/>
      <c r="BC168" s="166"/>
    </row>
    <row r="169" hidden="1" spans="1:55">
      <c r="B169" s="199">
        <v>6666029700</v>
      </c>
      <c r="C169" s="121" t="s">
        <v>98</v>
      </c>
      <c r="E169" s="200">
        <f>VLOOKUP(B169,'2024 by account '!$A$105:$M$108,2,0)/1000</f>
        <v>6420.764</v>
      </c>
      <c r="F169" s="201">
        <f>E169/$F$2</f>
        <v>195.656575198452</v>
      </c>
      <c r="G169" s="147">
        <f>F169/$F$1*1000</f>
        <v>12.1942396508851</v>
      </c>
      <c r="H169" s="167"/>
      <c r="I169" s="200">
        <f>VLOOKUP(B169,'2024 by account '!$A$105:$M$108,3,0)/1000</f>
        <v>5638.88882</v>
      </c>
      <c r="J169" s="201">
        <f>I169/$J$2</f>
        <v>169.517226223831</v>
      </c>
      <c r="K169" s="147">
        <f t="shared" ref="K169:K173" si="118">J169/$J$1*1000</f>
        <v>8.58228160306961</v>
      </c>
      <c r="M169" s="200">
        <f>VLOOKUP(B169,'2024 by account '!$A$105:$M$108,4,0)/1000</f>
        <v>6788.60098</v>
      </c>
      <c r="N169" s="201">
        <f>M169/$N$2</f>
        <v>194.946457072788</v>
      </c>
      <c r="O169" s="147">
        <f t="shared" ref="O169:O173" si="119">N169/$N$1*1000</f>
        <v>9.72932360497022</v>
      </c>
      <c r="Q169" s="200">
        <f>VLOOKUP(B169,'2024 by account '!$A$105:$M$108,5,0)/1000</f>
        <v>5973.10567</v>
      </c>
      <c r="R169" s="201">
        <f>Q169/$R$2</f>
        <v>172.172326951569</v>
      </c>
      <c r="S169" s="147">
        <f>R169/$R$1*1000</f>
        <v>6.13958303147199</v>
      </c>
      <c r="U169" s="200">
        <f>VLOOKUP(B169,'2024 by account '!$A$105:$M$108,6,0)/1000</f>
        <v>5993.21959</v>
      </c>
      <c r="V169" s="201">
        <f>U169/$V$2</f>
        <v>171.920069706401</v>
      </c>
      <c r="W169" s="147">
        <f>V169/$V$1*1000</f>
        <v>4.21434695559154</v>
      </c>
      <c r="Y169" s="200">
        <f>VLOOKUP(B169,'2024 by account '!$A$105:$M$108,7,0)/1000</f>
        <v>5972.97554</v>
      </c>
      <c r="Z169" s="201">
        <f>Y169/$Z$2</f>
        <v>170.331840178859</v>
      </c>
      <c r="AA169" s="147">
        <f>Z169/$Z$1*1000</f>
        <v>5.49883265040222</v>
      </c>
      <c r="AC169" s="200">
        <f>VLOOKUP(B169,'2024 by account '!$A$105:$M$108,8,0)/1000</f>
        <v>6975.13873</v>
      </c>
      <c r="AD169" s="201">
        <f>AC169/$AD$2</f>
        <v>195.399004675476</v>
      </c>
      <c r="AE169" s="147">
        <f>AD169/$AD$1*1000</f>
        <v>5.66751761102985</v>
      </c>
      <c r="AG169" s="200">
        <f>VLOOKUP(B169,'2024 by account '!$A$105:$M$108,9,0)/1000</f>
        <v>7002.86563</v>
      </c>
      <c r="AH169" s="201">
        <f>AG169/$AH$2</f>
        <v>188.706638947124</v>
      </c>
      <c r="AI169" s="147">
        <f>AH169/$AH$1*1000</f>
        <v>7.37769328904232</v>
      </c>
      <c r="AK169" s="200">
        <f>VLOOKUP(B169,'2024 by account '!$A$105:$M$108,10,0)/1000</f>
        <v>6553.20754</v>
      </c>
      <c r="AL169" s="201">
        <f>AK169/$AL$2</f>
        <v>173.256082542081</v>
      </c>
      <c r="AM169" s="147">
        <f>AL169/$AL$1*1000</f>
        <v>4.32016962253345</v>
      </c>
      <c r="AO169" s="200">
        <f>VLOOKUP(B169,'2024 by account '!$A$105:$M$108,11,0)/1000</f>
        <v>7053.3251</v>
      </c>
      <c r="AP169" s="201">
        <f>AO169/$AP$2</f>
        <v>188.857653906963</v>
      </c>
      <c r="AQ169" s="147">
        <f>AP169/$AP$1*1000</f>
        <v>4.58537047871812</v>
      </c>
      <c r="AS169" s="200">
        <f>VLOOKUP(B169,'2024 by account '!$A$105:$M$108,12,0)/1000</f>
        <v>7547.8695</v>
      </c>
      <c r="AT169" s="201">
        <f>AS169/$AT$2</f>
        <v>206.092489289722</v>
      </c>
      <c r="AU169" s="147">
        <f>AT169/$AT$1*1000</f>
        <v>4.78061909741875</v>
      </c>
      <c r="AW169" s="202">
        <f>VLOOKUP(B169,'2024 by account '!$A$105:$M$108,13,0)/1000</f>
        <v>4210.34774</v>
      </c>
      <c r="AX169" s="202">
        <f>AW169/$AX$2</f>
        <v>114.85218135653</v>
      </c>
      <c r="AY169" s="142">
        <f>AX169/$AX$1*1000</f>
        <v>4.39154901374716</v>
      </c>
      <c r="BA169" s="200">
        <f t="shared" ref="BA169:BB173" si="120">SUM(AW169,AS169,AO169,AK169,AG169,AC169,Y169,U169,Q169,M169,I169,E169)</f>
        <v>76130.30884</v>
      </c>
      <c r="BB169" s="201">
        <f t="shared" si="120"/>
        <v>2141.7085460498</v>
      </c>
      <c r="BC169" s="147">
        <f t="shared" ref="BC169:BC173" si="121">BB169/$BB$1*1000</f>
        <v>5.84757258870789</v>
      </c>
    </row>
    <row r="170" hidden="1" spans="1:55">
      <c r="B170" s="199">
        <v>6666020701</v>
      </c>
      <c r="C170" s="121" t="s">
        <v>88</v>
      </c>
      <c r="E170" s="203">
        <f>VLOOKUP(B170,'2024 by account '!$A$105:$M$108,2,0)/1000</f>
        <v>257</v>
      </c>
      <c r="F170" s="202">
        <f t="shared" ref="F170:F173" si="122">E170/$F$2</f>
        <v>7.83142626422684</v>
      </c>
      <c r="G170" s="142">
        <f t="shared" ref="G170:G173" si="123">F170/$F$1*1000</f>
        <v>0.488091384495284</v>
      </c>
      <c r="H170" s="167"/>
      <c r="I170" s="203">
        <f>VLOOKUP(B170,'2024 by account '!$A$105:$M$108,3,0)/1000</f>
        <v>257.02694</v>
      </c>
      <c r="J170" s="202">
        <f t="shared" ref="J170:J172" si="124">I170/$J$2</f>
        <v>7.72678719592117</v>
      </c>
      <c r="K170" s="142">
        <f t="shared" si="118"/>
        <v>0.391190117249958</v>
      </c>
      <c r="M170" s="203">
        <f>VLOOKUP(B170,'2024 by account '!$A$105:$M$108,4,0)/1000</f>
        <v>257.01306</v>
      </c>
      <c r="N170" s="202">
        <f t="shared" ref="N170:N172" si="125">M170/$N$2</f>
        <v>7.38057600027568</v>
      </c>
      <c r="O170" s="142">
        <f t="shared" si="119"/>
        <v>0.368347357402589</v>
      </c>
      <c r="Q170" s="203">
        <f>VLOOKUP(B170,'2024 by account '!$A$105:$M$108,5,0)/1000</f>
        <v>257.014</v>
      </c>
      <c r="R170" s="202">
        <f t="shared" ref="R170:R172" si="126">Q170/$R$2</f>
        <v>7.4083233888495</v>
      </c>
      <c r="S170" s="142">
        <f t="shared" ref="S170:S172" si="127">R170/$R$1*1000</f>
        <v>0.264177277354402</v>
      </c>
      <c r="U170" s="203">
        <f>VLOOKUP(B170,'2024 by account '!$A$105:$M$108,6,0)/1000</f>
        <v>257.0135</v>
      </c>
      <c r="V170" s="202">
        <f t="shared" ref="V170:V172" si="128">U170/$V$2</f>
        <v>7.37262804606933</v>
      </c>
      <c r="W170" s="142">
        <f t="shared" ref="W170:W172" si="129">V170/$V$1*1000</f>
        <v>0.180728245478976</v>
      </c>
      <c r="Y170" s="203">
        <f>VLOOKUP(B170,'2024 by account '!$A$105:$M$108,7,0)/1000</f>
        <v>865.78382</v>
      </c>
      <c r="Z170" s="202">
        <f t="shared" ref="Z170:Z172" si="130">Y170/$Z$2</f>
        <v>24.6896291923677</v>
      </c>
      <c r="AA170" s="142">
        <f t="shared" ref="AA170:AA173" si="131">Z170/$Z$1*1000</f>
        <v>0.797056727542862</v>
      </c>
      <c r="AC170" s="203">
        <f>VLOOKUP(B170,'2024 by account '!$A$105:$M$108,8,0)/1000</f>
        <v>358.47522</v>
      </c>
      <c r="AD170" s="202">
        <f t="shared" ref="AD170:AD173" si="132">AC170/$AD$2</f>
        <v>10.0421947003801</v>
      </c>
      <c r="AE170" s="142">
        <f t="shared" ref="AE170:AE173" si="133">AD170/$AD$1*1000</f>
        <v>0.291272288783251</v>
      </c>
      <c r="AG170" s="203">
        <f>VLOOKUP(B170,'2024 by account '!$A$105:$M$108,9,0)/1000</f>
        <v>358.47522</v>
      </c>
      <c r="AH170" s="202">
        <f t="shared" ref="AH170:AH173" si="134">AG170/$AH$2</f>
        <v>9.65985319241817</v>
      </c>
      <c r="AI170" s="142">
        <f t="shared" ref="AI170:AI173" si="135">AH170/$AH$1*1000</f>
        <v>0.377662569099154</v>
      </c>
      <c r="AK170" s="203">
        <f>VLOOKUP(B170,'2024 by account '!$A$105:$M$108,10,0)/1000</f>
        <v>358.47522</v>
      </c>
      <c r="AL170" s="202">
        <f t="shared" ref="AL170:AL173" si="136">AK170/$AL$2</f>
        <v>9.47749814522291</v>
      </c>
      <c r="AM170" s="142">
        <f t="shared" ref="AM170:AM173" si="137">AL170/$AL$1*1000</f>
        <v>0.236323013794706</v>
      </c>
      <c r="AO170" s="203">
        <f>VLOOKUP(B170,'2024 by account '!$A$105:$M$108,11,0)/1000</f>
        <v>358.47522</v>
      </c>
      <c r="AP170" s="202">
        <f t="shared" ref="AP170:AP173" si="138">AO170/$AP$2</f>
        <v>9.59842174763538</v>
      </c>
      <c r="AQ170" s="142">
        <f t="shared" ref="AQ170:AQ173" si="139">AP170/$AP$1*1000</f>
        <v>0.233044935237706</v>
      </c>
      <c r="AS170" s="203">
        <f>VLOOKUP(B170,'2024 by account '!$A$105:$M$108,12,0)/1000</f>
        <v>358.47522</v>
      </c>
      <c r="AT170" s="202">
        <f t="shared" ref="AT170:AT173" si="140">AS170/$AT$2</f>
        <v>9.78806674366599</v>
      </c>
      <c r="AU170" s="142">
        <f t="shared" ref="AU170:AU173" si="141">AT170/$AT$1*1000</f>
        <v>0.227048637060218</v>
      </c>
      <c r="AW170" s="202">
        <f>VLOOKUP(B170,'2024 by account '!$A$105:$M$108,13,0)/1000</f>
        <v>358.47522</v>
      </c>
      <c r="AX170" s="202">
        <f t="shared" ref="AX170:AX173" si="142">AW170/$AX$2</f>
        <v>9.77868421368489</v>
      </c>
      <c r="AY170" s="142">
        <f t="shared" ref="AY170:AY173" si="143">AX170/$AX$1*1000</f>
        <v>0.373902963854429</v>
      </c>
      <c r="BA170" s="203">
        <f t="shared" si="120"/>
        <v>4301.70264</v>
      </c>
      <c r="BB170" s="202">
        <f t="shared" si="120"/>
        <v>120.754088830718</v>
      </c>
      <c r="BC170" s="142">
        <f t="shared" si="121"/>
        <v>0.329698595601759</v>
      </c>
    </row>
    <row r="171" hidden="1" spans="1:55">
      <c r="B171" s="199">
        <v>6666022300</v>
      </c>
      <c r="C171" s="121" t="s">
        <v>97</v>
      </c>
      <c r="E171" s="203">
        <f>VLOOKUP(B171,'2024 by account '!$A$105:$M$108,2,0)/1000</f>
        <v>110.083</v>
      </c>
      <c r="F171" s="202">
        <f t="shared" si="122"/>
        <v>3.35450154647814</v>
      </c>
      <c r="G171" s="142">
        <f t="shared" si="123"/>
        <v>0.209068341943169</v>
      </c>
      <c r="H171" s="167"/>
      <c r="I171" s="203">
        <f>VLOOKUP(B171,'2024 by account '!$A$105:$M$108,3,0)/1000</f>
        <v>258.08514</v>
      </c>
      <c r="J171" s="202">
        <f t="shared" si="124"/>
        <v>7.75859898269621</v>
      </c>
      <c r="K171" s="142">
        <f t="shared" si="118"/>
        <v>0.39280067753626</v>
      </c>
      <c r="M171" s="203">
        <f>VLOOKUP(B171,'2024 by account '!$A$105:$M$108,4,0)/1000</f>
        <v>64.38155</v>
      </c>
      <c r="N171" s="202">
        <f t="shared" si="125"/>
        <v>1.8488279264507</v>
      </c>
      <c r="O171" s="142">
        <f t="shared" si="119"/>
        <v>0.0922706955357937</v>
      </c>
      <c r="Q171" s="203">
        <f>VLOOKUP(B171,'2024 by account '!$A$105:$M$108,5,0)/1000</f>
        <v>140.78395</v>
      </c>
      <c r="R171" s="202">
        <f t="shared" si="126"/>
        <v>4.05803975487568</v>
      </c>
      <c r="S171" s="142">
        <f t="shared" si="127"/>
        <v>0.144707761469018</v>
      </c>
      <c r="U171" s="203">
        <f>VLOOKUP(B171,'2024 by account '!$A$105:$M$108,6,0)/1000</f>
        <v>156.36648</v>
      </c>
      <c r="V171" s="202">
        <f t="shared" si="128"/>
        <v>4.48549160224323</v>
      </c>
      <c r="W171" s="142">
        <f t="shared" si="129"/>
        <v>0.109954689470099</v>
      </c>
      <c r="Y171" s="203">
        <f>VLOOKUP(B171,'2024 by account '!$A$105:$M$108,7,0)/1000</f>
        <v>162.73504</v>
      </c>
      <c r="Z171" s="202">
        <f t="shared" si="130"/>
        <v>4.64072866850887</v>
      </c>
      <c r="AA171" s="142">
        <f t="shared" si="131"/>
        <v>0.149816912077378</v>
      </c>
      <c r="AC171" s="203">
        <f>VLOOKUP(B171,'2024 by account '!$A$105:$M$108,8,0)/1000</f>
        <v>151.04701</v>
      </c>
      <c r="AD171" s="202">
        <f t="shared" si="132"/>
        <v>4.23137611389224</v>
      </c>
      <c r="AE171" s="142">
        <f t="shared" si="133"/>
        <v>0.122730403280223</v>
      </c>
      <c r="AG171" s="203">
        <f>VLOOKUP(B171,'2024 by account '!$A$105:$M$108,9,0)/1000</f>
        <v>151.69619</v>
      </c>
      <c r="AH171" s="202">
        <f t="shared" si="134"/>
        <v>4.08776630431854</v>
      </c>
      <c r="AI171" s="142">
        <f t="shared" si="135"/>
        <v>0.159815712890708</v>
      </c>
      <c r="AK171" s="203">
        <f>VLOOKUP(B171,'2024 by account '!$A$105:$M$108,10,0)/1000</f>
        <v>134.9575</v>
      </c>
      <c r="AL171" s="202">
        <f t="shared" si="136"/>
        <v>3.56805543193173</v>
      </c>
      <c r="AM171" s="142">
        <f t="shared" si="137"/>
        <v>0.0889700636328477</v>
      </c>
      <c r="AO171" s="203">
        <f>VLOOKUP(B171,'2024 by account '!$A$105:$M$108,11,0)/1000</f>
        <v>149.62203</v>
      </c>
      <c r="AP171" s="202">
        <f t="shared" si="138"/>
        <v>4.00623325282387</v>
      </c>
      <c r="AQ171" s="142">
        <f t="shared" si="139"/>
        <v>0.0972693629743335</v>
      </c>
      <c r="AS171" s="203">
        <f>VLOOKUP(B171,'2024 by account '!$A$105:$M$108,12,0)/1000</f>
        <v>150.85419</v>
      </c>
      <c r="AT171" s="202">
        <f t="shared" si="140"/>
        <v>4.11903193833501</v>
      </c>
      <c r="AU171" s="142">
        <f t="shared" si="141"/>
        <v>0.0955470178226632</v>
      </c>
      <c r="AW171" s="202">
        <f>VLOOKUP(B171,'2024 by account '!$A$105:$M$108,13,0)/1000</f>
        <v>167.5938</v>
      </c>
      <c r="AX171" s="202">
        <f t="shared" si="142"/>
        <v>4.57171585352946</v>
      </c>
      <c r="AY171" s="142">
        <f t="shared" si="143"/>
        <v>0.174806555788226</v>
      </c>
      <c r="BA171" s="203">
        <f t="shared" si="120"/>
        <v>1798.20588</v>
      </c>
      <c r="BB171" s="202">
        <f t="shared" si="120"/>
        <v>50.7303673760837</v>
      </c>
      <c r="BC171" s="142">
        <f t="shared" si="121"/>
        <v>0.138510679350191</v>
      </c>
    </row>
    <row r="172" hidden="1" spans="1:55">
      <c r="B172" s="199">
        <v>6666029900</v>
      </c>
      <c r="C172" s="140" t="s">
        <v>99</v>
      </c>
      <c r="E172" s="203">
        <f>VLOOKUP(B172,'2024 by account '!$A$105:$M$108,2,0)</f>
        <v>0</v>
      </c>
      <c r="F172" s="202">
        <f t="shared" si="122"/>
        <v>0</v>
      </c>
      <c r="G172" s="142">
        <f t="shared" si="123"/>
        <v>0</v>
      </c>
      <c r="H172" s="167"/>
      <c r="I172" s="203">
        <f>VLOOKUP(B172,'2024 by account '!$A$105:$M$108,3,0)/1000</f>
        <v>0</v>
      </c>
      <c r="J172" s="202">
        <f t="shared" si="124"/>
        <v>0</v>
      </c>
      <c r="K172" s="142">
        <f t="shared" si="118"/>
        <v>0</v>
      </c>
      <c r="M172" s="203">
        <f>VLOOKUP(B172,'2024 by account '!$A$105:$M$108,4,0)/1000</f>
        <v>0</v>
      </c>
      <c r="N172" s="202">
        <f t="shared" si="125"/>
        <v>0</v>
      </c>
      <c r="O172" s="142">
        <f t="shared" si="119"/>
        <v>0</v>
      </c>
      <c r="Q172" s="203">
        <f>VLOOKUP(B172,'2024 by account '!$A$105:$M$108,5,0)/1000</f>
        <v>57.62024</v>
      </c>
      <c r="R172" s="202">
        <f t="shared" si="126"/>
        <v>1.66087984181065</v>
      </c>
      <c r="S172" s="142">
        <f t="shared" si="127"/>
        <v>0.0592261827126429</v>
      </c>
      <c r="U172" s="203">
        <f>VLOOKUP(B172,'2024 by account '!$A$105:$M$108,6,0)/1000</f>
        <v>0</v>
      </c>
      <c r="V172" s="202">
        <f t="shared" si="128"/>
        <v>0</v>
      </c>
      <c r="W172" s="142">
        <f t="shared" si="129"/>
        <v>0</v>
      </c>
      <c r="Y172" s="203">
        <f>VLOOKUP(B172,'2024 by account '!$A$105:$M$108,7,0)/1000</f>
        <v>0</v>
      </c>
      <c r="Z172" s="202">
        <f t="shared" si="130"/>
        <v>0</v>
      </c>
      <c r="AA172" s="142">
        <f t="shared" si="131"/>
        <v>0</v>
      </c>
      <c r="AC172" s="203">
        <f>VLOOKUP(B172,'2024 by account '!$A$105:$M$108,8,0)/1000</f>
        <v>0</v>
      </c>
      <c r="AD172" s="202">
        <f t="shared" si="132"/>
        <v>0</v>
      </c>
      <c r="AE172" s="142">
        <f t="shared" si="133"/>
        <v>0</v>
      </c>
      <c r="AG172" s="203">
        <f>VLOOKUP(B172,'2024 by account '!$A$105:$M$108,9,0)/1000</f>
        <v>0</v>
      </c>
      <c r="AH172" s="202">
        <f t="shared" si="134"/>
        <v>0</v>
      </c>
      <c r="AI172" s="142">
        <f t="shared" si="135"/>
        <v>0</v>
      </c>
      <c r="AK172" s="203">
        <f>VLOOKUP(B172,'2024 by account '!$A$105:$M$108,10,0)/1000</f>
        <v>0</v>
      </c>
      <c r="AL172" s="202">
        <f t="shared" si="136"/>
        <v>0</v>
      </c>
      <c r="AM172" s="142">
        <f t="shared" si="137"/>
        <v>0</v>
      </c>
      <c r="AO172" s="203">
        <f>VLOOKUP(B172,'2024 by account '!$A$105:$M$108,11,0)/1000</f>
        <v>0</v>
      </c>
      <c r="AP172" s="202">
        <f t="shared" si="138"/>
        <v>0</v>
      </c>
      <c r="AQ172" s="142">
        <f t="shared" si="139"/>
        <v>0</v>
      </c>
      <c r="AS172" s="203">
        <f>VLOOKUP(B172,'2024 by account '!$A$105:$M$108,12,0)/1000</f>
        <v>0</v>
      </c>
      <c r="AT172" s="202">
        <f t="shared" si="140"/>
        <v>0</v>
      </c>
      <c r="AU172" s="142">
        <f t="shared" si="141"/>
        <v>0</v>
      </c>
      <c r="AW172" s="202">
        <f>VLOOKUP(B172,'2024 by account '!$A$105:$M$108,13,0)/1000</f>
        <v>0</v>
      </c>
      <c r="AX172" s="202">
        <f t="shared" si="142"/>
        <v>0</v>
      </c>
      <c r="AY172" s="142">
        <f t="shared" si="143"/>
        <v>0</v>
      </c>
      <c r="BA172" s="203">
        <f t="shared" si="120"/>
        <v>57.62024</v>
      </c>
      <c r="BB172" s="202">
        <f t="shared" si="120"/>
        <v>1.66087984181065</v>
      </c>
      <c r="BC172" s="142">
        <f t="shared" si="121"/>
        <v>0.00453475121721049</v>
      </c>
    </row>
    <row r="173" s="123" customFormat="1" hidden="1" spans="1:55">
      <c r="A173" s="194"/>
      <c r="B173" s="195"/>
      <c r="C173" s="196"/>
      <c r="D173" s="196" t="s">
        <v>182</v>
      </c>
      <c r="E173" s="161">
        <f>SUM(E169:E172)</f>
        <v>6787.847</v>
      </c>
      <c r="F173" s="165">
        <f t="shared" si="122"/>
        <v>206.842503009157</v>
      </c>
      <c r="G173" s="197">
        <f t="shared" si="123"/>
        <v>12.8913993773236</v>
      </c>
      <c r="H173" s="198"/>
      <c r="I173" s="161">
        <f>SUM(I169:I172)</f>
        <v>6154.0009</v>
      </c>
      <c r="J173" s="165">
        <f>SUM(J169:J172)</f>
        <v>185.002612402448</v>
      </c>
      <c r="K173" s="197">
        <f t="shared" si="118"/>
        <v>9.36627239785583</v>
      </c>
      <c r="M173" s="161">
        <f>SUM(M169:M172)</f>
        <v>7109.99559</v>
      </c>
      <c r="N173" s="165">
        <f>SUM(N169:N172)</f>
        <v>204.175860999515</v>
      </c>
      <c r="O173" s="197">
        <f t="shared" si="119"/>
        <v>10.1899416579086</v>
      </c>
      <c r="Q173" s="161">
        <f>SUM(Q169:Q172)</f>
        <v>6428.52386</v>
      </c>
      <c r="R173" s="165">
        <f>SUM(R169:R172)</f>
        <v>185.299569937105</v>
      </c>
      <c r="S173" s="197">
        <f t="shared" ref="S173" si="144">R173/$N$1*1000</f>
        <v>9.24786993747092</v>
      </c>
      <c r="U173" s="161">
        <f>SUM(U169:U172)</f>
        <v>6406.59957</v>
      </c>
      <c r="V173" s="165">
        <f>SUM(V169:V172)</f>
        <v>183.778189354714</v>
      </c>
      <c r="W173" s="197">
        <f t="shared" ref="W173" si="145">V173/$N$1*1000</f>
        <v>9.17194137618974</v>
      </c>
      <c r="Y173" s="161">
        <f>SUM(Y169:Y172)</f>
        <v>7001.4944</v>
      </c>
      <c r="Z173" s="165">
        <f>SUM(Z169:Z172)</f>
        <v>199.662198039736</v>
      </c>
      <c r="AA173" s="197">
        <f t="shared" si="131"/>
        <v>6.44570629002246</v>
      </c>
      <c r="AC173" s="161">
        <f>SUM(AC169:AC172)</f>
        <v>7484.66096</v>
      </c>
      <c r="AD173" s="165">
        <f t="shared" si="132"/>
        <v>209.672575489748</v>
      </c>
      <c r="AE173" s="197">
        <f t="shared" si="133"/>
        <v>6.08152030309332</v>
      </c>
      <c r="AG173" s="161">
        <f>SUM(AG169:AG172)</f>
        <v>7513.03704</v>
      </c>
      <c r="AH173" s="165">
        <f t="shared" si="134"/>
        <v>202.454258443861</v>
      </c>
      <c r="AI173" s="197">
        <f t="shared" si="135"/>
        <v>7.91517157103218</v>
      </c>
      <c r="AK173" s="161">
        <f>SUM(AK169:AK172)</f>
        <v>7046.64026</v>
      </c>
      <c r="AL173" s="165">
        <f t="shared" si="136"/>
        <v>186.301636119236</v>
      </c>
      <c r="AM173" s="197">
        <f t="shared" si="137"/>
        <v>4.645462699961</v>
      </c>
      <c r="AO173" s="161">
        <f>SUM(AO169:AO172)</f>
        <v>7561.42235</v>
      </c>
      <c r="AP173" s="165">
        <f t="shared" si="138"/>
        <v>202.462308907423</v>
      </c>
      <c r="AQ173" s="197">
        <f t="shared" si="139"/>
        <v>4.91568477693016</v>
      </c>
      <c r="AS173" s="161">
        <f>SUM(AS169:AS172)</f>
        <v>8057.19891</v>
      </c>
      <c r="AT173" s="165">
        <f t="shared" si="140"/>
        <v>219.999587971723</v>
      </c>
      <c r="AU173" s="197">
        <f t="shared" si="141"/>
        <v>5.10321475230163</v>
      </c>
      <c r="AW173" s="165">
        <f>SUM(AW169:AW172)</f>
        <v>4736.41676</v>
      </c>
      <c r="AX173" s="165">
        <f t="shared" si="142"/>
        <v>129.202581423744</v>
      </c>
      <c r="AY173" s="197">
        <f t="shared" si="143"/>
        <v>4.94025853338982</v>
      </c>
      <c r="BA173" s="161">
        <f t="shared" si="120"/>
        <v>82287.8376</v>
      </c>
      <c r="BB173" s="165">
        <f t="shared" si="120"/>
        <v>2314.85388209841</v>
      </c>
      <c r="BC173" s="197">
        <f t="shared" si="121"/>
        <v>6.32031661487705</v>
      </c>
    </row>
    <row r="174" spans="1:55">
      <c r="E174" s="141"/>
      <c r="F174" s="141"/>
      <c r="G174" s="166"/>
      <c r="H174" s="167"/>
      <c r="I174" s="141"/>
      <c r="J174" s="141"/>
      <c r="K174" s="166"/>
      <c r="M174" s="141"/>
      <c r="N174" s="141"/>
      <c r="O174" s="166"/>
      <c r="Q174" s="141"/>
      <c r="R174" s="141"/>
      <c r="S174" s="166"/>
      <c r="U174" s="141"/>
      <c r="V174" s="141"/>
      <c r="W174" s="166"/>
      <c r="Y174" s="141"/>
      <c r="Z174" s="141"/>
      <c r="AA174" s="166"/>
      <c r="AC174" s="141"/>
      <c r="AD174" s="141"/>
      <c r="AE174" s="166"/>
      <c r="AG174" s="141"/>
      <c r="AH174" s="141"/>
      <c r="AI174" s="166"/>
      <c r="AK174" s="141"/>
      <c r="AL174" s="141"/>
      <c r="AM174" s="166"/>
      <c r="AO174" s="141"/>
      <c r="AP174" s="141"/>
      <c r="AQ174" s="166"/>
      <c r="AS174" s="141"/>
      <c r="AT174" s="141"/>
      <c r="AU174" s="166"/>
      <c r="AW174" s="141"/>
      <c r="AX174" s="141"/>
      <c r="AY174" s="166"/>
      <c r="BA174" s="141"/>
      <c r="BB174" s="141"/>
      <c r="BC174" s="166"/>
    </row>
    <row r="175" spans="1:55">
      <c r="E175" s="141"/>
      <c r="F175" s="141"/>
      <c r="G175" s="166"/>
      <c r="H175" s="167"/>
      <c r="I175" s="141"/>
      <c r="J175" s="141"/>
      <c r="K175" s="166"/>
      <c r="M175" s="141"/>
      <c r="N175" s="141"/>
      <c r="O175" s="166"/>
      <c r="Q175" s="141"/>
      <c r="R175" s="141"/>
      <c r="S175" s="166"/>
      <c r="U175" s="141"/>
      <c r="V175" s="141"/>
      <c r="W175" s="166"/>
      <c r="Y175" s="141"/>
      <c r="Z175" s="141"/>
      <c r="AA175" s="166"/>
      <c r="AC175" s="141"/>
      <c r="AD175" s="141"/>
      <c r="AE175" s="166"/>
      <c r="AG175" s="141"/>
      <c r="AH175" s="141"/>
      <c r="AI175" s="166"/>
      <c r="AK175" s="141"/>
      <c r="AL175" s="141"/>
      <c r="AM175" s="166"/>
      <c r="AO175" s="141"/>
      <c r="AP175" s="141"/>
      <c r="AQ175" s="166"/>
      <c r="AS175" s="141"/>
      <c r="AT175" s="141"/>
      <c r="AU175" s="166"/>
      <c r="AW175" s="141"/>
      <c r="AX175" s="141"/>
      <c r="AY175" s="166"/>
      <c r="BA175" s="141"/>
      <c r="BB175" s="141"/>
      <c r="BC175" s="166"/>
    </row>
    <row r="176" spans="1:55">
      <c r="E176" s="141"/>
      <c r="F176" s="141"/>
      <c r="G176" s="166"/>
      <c r="H176" s="167"/>
      <c r="I176" s="141"/>
      <c r="J176" s="141"/>
      <c r="K176" s="166"/>
      <c r="M176" s="141"/>
      <c r="N176" s="141"/>
      <c r="O176" s="166"/>
      <c r="Q176" s="141"/>
      <c r="R176" s="141"/>
      <c r="S176" s="166"/>
      <c r="U176" s="141"/>
      <c r="V176" s="141"/>
      <c r="W176" s="166"/>
      <c r="Y176" s="141"/>
      <c r="Z176" s="141"/>
      <c r="AA176" s="166"/>
      <c r="AC176" s="141"/>
      <c r="AD176" s="141"/>
      <c r="AE176" s="166"/>
      <c r="AG176" s="141"/>
      <c r="AH176" s="141"/>
      <c r="AI176" s="166"/>
      <c r="AK176" s="141"/>
      <c r="AL176" s="141"/>
      <c r="AM176" s="166"/>
      <c r="AO176" s="141"/>
      <c r="AP176" s="141"/>
      <c r="AQ176" s="166"/>
      <c r="AS176" s="141"/>
      <c r="AT176" s="141"/>
      <c r="AU176" s="166"/>
      <c r="AW176" s="141"/>
      <c r="AX176" s="141"/>
      <c r="AY176" s="166"/>
      <c r="BA176" s="141"/>
      <c r="BB176" s="141"/>
      <c r="BC176" s="166"/>
    </row>
    <row r="177" s="123" customFormat="1" spans="1:55">
      <c r="A177" s="194"/>
      <c r="B177" s="194"/>
      <c r="C177" s="194"/>
      <c r="D177" s="194" t="s">
        <v>183</v>
      </c>
      <c r="E177" s="204">
        <f>E117+E166</f>
        <v>30918.2679475</v>
      </c>
      <c r="F177" s="204">
        <f>F117+F166</f>
        <v>942.156169838344</v>
      </c>
      <c r="G177" s="205">
        <f>F177/$F$1*1000</f>
        <v>58.7196117069706</v>
      </c>
      <c r="H177" s="198"/>
      <c r="I177" s="204">
        <f>I117+I166</f>
        <v>31759.062895</v>
      </c>
      <c r="J177" s="204">
        <f>J117+J166</f>
        <v>954.746302202956</v>
      </c>
      <c r="K177" s="205">
        <f>J177/$J$1*1000</f>
        <v>48.3366900669783</v>
      </c>
      <c r="M177" s="204">
        <f>M117+M166</f>
        <v>37097.8294125</v>
      </c>
      <c r="N177" s="204">
        <f>N117+N166</f>
        <v>1065.3285456553</v>
      </c>
      <c r="O177" s="205">
        <f>N177/$N$1*1000</f>
        <v>53.1680663599991</v>
      </c>
      <c r="Q177" s="204">
        <f>Q117+Q166</f>
        <v>44359.4192375</v>
      </c>
      <c r="R177" s="204">
        <f>R117+R166</f>
        <v>1278.6421091962</v>
      </c>
      <c r="S177" s="205">
        <f>R177/$R$1*1000</f>
        <v>45.5957675425667</v>
      </c>
      <c r="U177" s="204">
        <f>U117+U166</f>
        <v>43388.1815875</v>
      </c>
      <c r="V177" s="204">
        <f>V117+V166</f>
        <v>1244.6230429139</v>
      </c>
      <c r="W177" s="205">
        <f>V177/$V$1*1000</f>
        <v>30.5099534959528</v>
      </c>
      <c r="Y177" s="204">
        <f>Y117+Y166</f>
        <v>46604.0707775</v>
      </c>
      <c r="Z177" s="204">
        <f>Z117+Z166</f>
        <v>1329.01216189433</v>
      </c>
      <c r="AA177" s="205">
        <f>Z177/$Z$1*1000</f>
        <v>42.9045765074358</v>
      </c>
      <c r="AC177" s="204">
        <f>AC117+AC166</f>
        <v>46313.8643625</v>
      </c>
      <c r="AD177" s="204">
        <f>AD117+AD166</f>
        <v>1297.41978610187</v>
      </c>
      <c r="AE177" s="205">
        <f>AD177/$AD$1*1000</f>
        <v>37.6314582504822</v>
      </c>
      <c r="AG177" s="204">
        <f>AG117+AG166</f>
        <v>41841.2585825</v>
      </c>
      <c r="AH177" s="204">
        <f>AH117+AH166</f>
        <v>1127.49889739368</v>
      </c>
      <c r="AI177" s="205">
        <f>AH177/$AH$1*1000</f>
        <v>44.0808076234921</v>
      </c>
      <c r="AK177" s="204">
        <f>AK117+AK166</f>
        <v>43706.6655875</v>
      </c>
      <c r="AL177" s="204">
        <f>AL117+AL166</f>
        <v>1155.53270889801</v>
      </c>
      <c r="AM177" s="205">
        <f>AL177/$AL$1*1000</f>
        <v>28.8134028749752</v>
      </c>
      <c r="AO177" s="204">
        <f>AO117+AO166</f>
        <v>51685.9754675</v>
      </c>
      <c r="AP177" s="204">
        <f>AP117+AP166</f>
        <v>1383.92771186527</v>
      </c>
      <c r="AQ177" s="205">
        <f>AP177/$AP$1*1000</f>
        <v>33.6010807260853</v>
      </c>
      <c r="AS177" s="204">
        <f>AS117+AS166</f>
        <v>48733.335605</v>
      </c>
      <c r="AT177" s="204">
        <f>AT117+AT166</f>
        <v>1330.65025120346</v>
      </c>
      <c r="AU177" s="205">
        <f>AT177/$AT$1*1000</f>
        <v>30.8663941360115</v>
      </c>
      <c r="AW177" s="204">
        <f>AW117+AW166</f>
        <v>37276.22602</v>
      </c>
      <c r="AX177" s="204">
        <f>AX117+AX166</f>
        <v>1016.84139541786</v>
      </c>
      <c r="AY177" s="205">
        <f>AX177/$AX$1*1000</f>
        <v>38.8804877229327</v>
      </c>
      <c r="BA177" s="204">
        <f>SUM(AW177,AS177,AO177,AK177,AG177,AC177,Y177,U177,Q177,M177,I177,E177)</f>
        <v>503684.1574825</v>
      </c>
      <c r="BB177" s="204">
        <f>SUM(AX177,AT177,AP177,AL177,AH177,AD177,Z177,V177,R177,N177,J177,F177)</f>
        <v>14126.3790825812</v>
      </c>
      <c r="BC177" s="205">
        <f>BB177/$BB$1*1000</f>
        <v>38.5696864558702</v>
      </c>
    </row>
    <row r="178" spans="1:55">
      <c r="E178" s="141"/>
      <c r="F178" s="141"/>
      <c r="G178" s="141"/>
      <c r="H178" s="167"/>
      <c r="I178" s="141"/>
      <c r="J178" s="141"/>
      <c r="K178" s="141"/>
      <c r="M178" s="141"/>
      <c r="N178" s="141"/>
      <c r="O178" s="141"/>
      <c r="Q178" s="141"/>
      <c r="R178" s="141"/>
      <c r="S178" s="141"/>
      <c r="U178" s="141"/>
      <c r="V178" s="141"/>
      <c r="W178" s="141"/>
      <c r="Y178" s="141"/>
      <c r="Z178" s="141"/>
      <c r="AA178" s="141"/>
      <c r="AC178" s="141"/>
      <c r="AD178" s="141"/>
      <c r="AE178" s="141"/>
      <c r="AG178" s="141"/>
      <c r="AH178" s="141"/>
      <c r="AI178" s="141"/>
      <c r="AK178" s="141"/>
      <c r="AL178" s="141"/>
      <c r="AM178" s="141"/>
      <c r="AO178" s="141"/>
      <c r="AP178" s="141"/>
      <c r="AQ178" s="141"/>
      <c r="AS178" s="141"/>
      <c r="AT178" s="141"/>
      <c r="AU178" s="141"/>
      <c r="AW178" s="141"/>
      <c r="AX178" s="141"/>
      <c r="AY178" s="141"/>
      <c r="BA178" s="141"/>
      <c r="BB178" s="141"/>
      <c r="BC178" s="141"/>
    </row>
    <row r="179" spans="1:55">
      <c r="D179" s="121" t="s">
        <v>290</v>
      </c>
      <c r="E179" s="141">
        <f>'2024_ACT@ACT FX old format '!E69</f>
        <v>30891</v>
      </c>
      <c r="F179" s="141">
        <f>'2024_ACT@ACT FX old format '!S69</f>
        <v>941.325247969771</v>
      </c>
      <c r="G179" s="206">
        <f>'2024_ACT@ACT FX old format '!AG69</f>
        <v>58.6678247410266</v>
      </c>
      <c r="H179" s="167"/>
      <c r="I179" s="141">
        <f>'2024_ACT@ACT FX old format '!F69</f>
        <v>31759</v>
      </c>
      <c r="J179" s="141">
        <f>'2024_ACT@ACT FX old format '!T69</f>
        <v>954.744411442864</v>
      </c>
      <c r="K179" s="206">
        <f>'2024_ACT@ACT FX old format '!AH69</f>
        <v>48.3365943419838</v>
      </c>
      <c r="M179" s="141">
        <f>'2024_ACT@ACT FX old format '!G69</f>
        <v>37098</v>
      </c>
      <c r="N179" s="141">
        <f>'2024_ACT@ACT FX old format '!U69</f>
        <v>1065.33344437138</v>
      </c>
      <c r="O179" s="206">
        <f>'2024_ACT@ACT FX old format '!AI69</f>
        <v>53.1683108435083</v>
      </c>
      <c r="Q179" s="141">
        <f>'2024_ACT@ACT FX old format '!H69</f>
        <v>44359</v>
      </c>
      <c r="R179" s="141">
        <f>'2024_ACT@ACT FX old format '!V69</f>
        <v>1278.6300248468</v>
      </c>
      <c r="S179" s="206">
        <f>'2024_ACT@ACT FX old format '!AJ69</f>
        <v>45.5953366204328</v>
      </c>
      <c r="U179" s="141">
        <f>'2024_ACT@ACT FX old format '!I69</f>
        <v>43388</v>
      </c>
      <c r="V179" s="141">
        <f>'2024_ACT@ACT FX old format '!W69</f>
        <v>1244.61783393812</v>
      </c>
      <c r="W179" s="206">
        <f>'2024_ACT@ACT FX old format '!AK69</f>
        <v>30.5098258062</v>
      </c>
      <c r="Y179" s="141">
        <f>'2024_ACT@ACT FX old format '!J69</f>
        <v>46604</v>
      </c>
      <c r="Z179" s="141">
        <f>'2024_ACT@ACT FX old format '!X69</f>
        <v>1329.01014352648</v>
      </c>
      <c r="AA179" s="206">
        <f>'2024_ACT@ACT FX old format '!AL69</f>
        <v>42.9045113483497</v>
      </c>
      <c r="AC179" s="141">
        <f>'2024_ACT@ACT FX old format '!K69</f>
        <v>46314</v>
      </c>
      <c r="AD179" s="141">
        <f>'2024_ACT@ACT FX old format '!Y69</f>
        <v>1297.42358580157</v>
      </c>
      <c r="AE179" s="206">
        <f>'2024_ACT@ACT FX old format '!AM69</f>
        <v>37.6315684601783</v>
      </c>
      <c r="AG179" s="141">
        <f>'2024_ACT@ACT FX old format '!L69</f>
        <v>41841</v>
      </c>
      <c r="AH179" s="141">
        <f>'2024_ACT@ACT FX old format '!Z69</f>
        <v>1127.49192935559</v>
      </c>
      <c r="AI179" s="206">
        <f>'2024_ACT@ACT FX old format '!AN69</f>
        <v>44.0805352003905</v>
      </c>
      <c r="AK179" s="141">
        <f>'2024_ACT@ACT FX old format '!M69</f>
        <v>43707</v>
      </c>
      <c r="AL179" s="141">
        <f>'2024_ACT@ACT FX old format '!AA69</f>
        <v>1155.54155021722</v>
      </c>
      <c r="AM179" s="206">
        <f>'2024_ACT@ACT FX old format '!AO69</f>
        <v>28.81362333476</v>
      </c>
      <c r="AO179" s="141">
        <f>'2024_ACT@ACT FX old format '!N69</f>
        <v>51686</v>
      </c>
      <c r="AP179" s="141">
        <f>'2024_ACT@ACT FX old format '!AB69</f>
        <v>1383.92836873992</v>
      </c>
      <c r="AQ179" s="206">
        <f>'2024_ACT@ACT FX old format '!AP69</f>
        <v>33.6010966746769</v>
      </c>
      <c r="AS179" s="141">
        <f>'2024_ACT@ACT FX old format '!O69</f>
        <v>48732.9999999987</v>
      </c>
      <c r="AT179" s="141">
        <f>'2024_ACT@ACT FX old format '!AC69</f>
        <v>1330.64108760171</v>
      </c>
      <c r="AU179" s="206">
        <f>'2024_ACT@ACT FX old format '!AQ69</f>
        <v>30.8661815727606</v>
      </c>
      <c r="AW179" s="141">
        <f>'2024_ACT@ACT FX old format '!P69</f>
        <v>37302.0000000003</v>
      </c>
      <c r="AX179" s="141">
        <f>'2024_ACT@ACT FX old format '!AD69</f>
        <v>1017.54447222008</v>
      </c>
      <c r="AY179" s="206">
        <f>'2024_ACT@ACT FX old format '!AS69</f>
        <v>38.5692851449027</v>
      </c>
      <c r="BA179" s="141">
        <f>'2024_ACT@ACT FX old format '!Q69</f>
        <v>503681.999999999</v>
      </c>
      <c r="BB179" s="141">
        <f>'2024_ACT@ACT FX old format '!AE69</f>
        <v>14126.2321000315</v>
      </c>
      <c r="BC179" s="206">
        <f>'2024_ACT@ACT FX old format '!AS69</f>
        <v>38.5692851449027</v>
      </c>
    </row>
    <row r="180" spans="1:55">
      <c r="E180" s="141">
        <f>E179-E177</f>
        <v>-27.2679475000041</v>
      </c>
      <c r="F180" s="141">
        <f t="shared" ref="F180:G180" si="146">F179-F177</f>
        <v>-0.830921868572318</v>
      </c>
      <c r="G180" s="206">
        <f t="shared" si="146"/>
        <v>-0.0517869659440535</v>
      </c>
      <c r="I180" s="141">
        <f>I179-I177</f>
        <v>-0.0628950000063924</v>
      </c>
      <c r="J180" s="141">
        <f t="shared" ref="J180" si="147">J179-J177</f>
        <v>-0.00189076009201017</v>
      </c>
      <c r="K180" s="206">
        <f t="shared" ref="K180" si="148">K179-K177</f>
        <v>-9.57249945372496e-5</v>
      </c>
      <c r="M180" s="141">
        <f>M179-M177</f>
        <v>0.170587499997055</v>
      </c>
      <c r="N180" s="141">
        <f t="shared" ref="N180" si="149">N179-N177</f>
        <v>0.0048987160746492</v>
      </c>
      <c r="O180" s="206">
        <f t="shared" ref="O180" si="150">O179-O177</f>
        <v>0.000244483509241888</v>
      </c>
      <c r="Q180" s="141">
        <f>Q179-Q177</f>
        <v>-0.419237500005693</v>
      </c>
      <c r="R180" s="141">
        <f t="shared" ref="R180" si="151">R179-R177</f>
        <v>-0.0120843494003111</v>
      </c>
      <c r="S180" s="206">
        <f t="shared" ref="S180" si="152">S179-S177</f>
        <v>-0.000430922133880074</v>
      </c>
      <c r="U180" s="141">
        <f>U179-U177</f>
        <v>-0.181587500002934</v>
      </c>
      <c r="V180" s="141">
        <f t="shared" ref="V180" si="153">V179-V177</f>
        <v>-0.0052089757750764</v>
      </c>
      <c r="W180" s="206">
        <f t="shared" ref="W180" si="154">W179-W177</f>
        <v>-0.000127689752787319</v>
      </c>
      <c r="Y180" s="141">
        <f>Y179-Y177</f>
        <v>-0.0707774999973481</v>
      </c>
      <c r="Z180" s="141">
        <f t="shared" ref="Z180" si="155">Z179-Z177</f>
        <v>-0.00201836785322485</v>
      </c>
      <c r="AA180" s="206">
        <f t="shared" ref="AA180" si="156">AA179-AA177</f>
        <v>-6.51590861693307e-5</v>
      </c>
      <c r="AC180" s="141">
        <f>AC179-AC177</f>
        <v>0.135637499995937</v>
      </c>
      <c r="AD180" s="141">
        <f t="shared" ref="AD180" si="157">AD179-AD177</f>
        <v>0.00379969969367266</v>
      </c>
      <c r="AE180" s="206">
        <f t="shared" ref="AE180" si="158">AE179-AE177</f>
        <v>0.000110209696131847</v>
      </c>
      <c r="AG180" s="141">
        <f>AG179-AG177</f>
        <v>-0.258582499998738</v>
      </c>
      <c r="AH180" s="141">
        <f t="shared" ref="AH180" si="159">AH179-AH177</f>
        <v>-0.00696803809205448</v>
      </c>
      <c r="AI180" s="206">
        <f t="shared" ref="AI180" si="160">AI179-AI177</f>
        <v>-0.000272423101577601</v>
      </c>
      <c r="AK180" s="141">
        <f>AK179-AK177</f>
        <v>0.334412500007602</v>
      </c>
      <c r="AL180" s="141">
        <f t="shared" ref="AL180" si="161">AL179-AL177</f>
        <v>0.00884131920906839</v>
      </c>
      <c r="AM180" s="206">
        <f t="shared" ref="AM180" si="162">AM179-AM177</f>
        <v>0.000220459784788574</v>
      </c>
      <c r="AO180" s="141">
        <f>AO179-AO177</f>
        <v>0.0245324999996228</v>
      </c>
      <c r="AP180" s="141">
        <f t="shared" ref="AP180" si="163">AP179-AP177</f>
        <v>0.00065687464120856</v>
      </c>
      <c r="AQ180" s="206">
        <f t="shared" ref="AQ180" si="164">AQ179-AQ177</f>
        <v>1.59485915744995e-5</v>
      </c>
      <c r="AS180" s="141">
        <f>AS179-AS177</f>
        <v>-0.335605001302611</v>
      </c>
      <c r="AT180" s="141">
        <f t="shared" ref="AT180" si="165">AT179-AT177</f>
        <v>-0.00916360174710462</v>
      </c>
      <c r="AU180" s="206">
        <f t="shared" ref="AU180" si="166">AU179-AU177</f>
        <v>-0.00021256325092267</v>
      </c>
      <c r="AW180" s="141">
        <f>AW179-AW177</f>
        <v>25.7739800002964</v>
      </c>
      <c r="AX180" s="141">
        <f t="shared" ref="AX180" si="167">AX179-AX177</f>
        <v>0.703076802220039</v>
      </c>
      <c r="AY180" s="206">
        <f t="shared" ref="AY180" si="168">AY179-AY177</f>
        <v>-0.311202578029963</v>
      </c>
      <c r="BA180" s="141">
        <f>BA179-BA177</f>
        <v>-2.15748250100296</v>
      </c>
      <c r="BB180" s="141">
        <f t="shared" ref="BB180" si="169">BB179-BB177</f>
        <v>-0.146982549691529</v>
      </c>
      <c r="BC180" s="206">
        <f t="shared" ref="BC180" si="170">BC179-BC177</f>
        <v>-0.000401310967447444</v>
      </c>
    </row>
    <row r="183" s="124" customFormat="1" spans="1:55">
      <c r="A183" s="125"/>
      <c r="B183" s="125"/>
      <c r="C183" s="125"/>
      <c r="D183" s="207" t="s">
        <v>184</v>
      </c>
      <c r="E183" s="208" t="s">
        <v>185</v>
      </c>
      <c r="F183" s="208" t="s">
        <v>185</v>
      </c>
      <c r="G183" s="209" t="s">
        <v>218</v>
      </c>
      <c r="H183" s="210"/>
      <c r="I183" s="208" t="s">
        <v>185</v>
      </c>
      <c r="J183" s="208" t="s">
        <v>185</v>
      </c>
      <c r="K183" s="209" t="s">
        <v>218</v>
      </c>
      <c r="M183" s="208" t="s">
        <v>185</v>
      </c>
      <c r="N183" s="208" t="s">
        <v>185</v>
      </c>
      <c r="O183" s="209" t="s">
        <v>218</v>
      </c>
      <c r="Q183" s="208" t="s">
        <v>185</v>
      </c>
      <c r="R183" s="208" t="s">
        <v>185</v>
      </c>
      <c r="S183" s="209" t="s">
        <v>218</v>
      </c>
      <c r="U183" s="208" t="s">
        <v>185</v>
      </c>
      <c r="V183" s="208" t="s">
        <v>185</v>
      </c>
      <c r="W183" s="209" t="s">
        <v>218</v>
      </c>
      <c r="Y183" s="208" t="s">
        <v>185</v>
      </c>
      <c r="Z183" s="208" t="s">
        <v>185</v>
      </c>
      <c r="AA183" s="209" t="s">
        <v>218</v>
      </c>
      <c r="AC183" s="208" t="s">
        <v>185</v>
      </c>
      <c r="AD183" s="208" t="s">
        <v>185</v>
      </c>
      <c r="AE183" s="209" t="s">
        <v>218</v>
      </c>
      <c r="AG183" s="208" t="s">
        <v>185</v>
      </c>
      <c r="AH183" s="208" t="s">
        <v>185</v>
      </c>
      <c r="AI183" s="209" t="s">
        <v>218</v>
      </c>
      <c r="AK183" s="208" t="s">
        <v>185</v>
      </c>
      <c r="AL183" s="208" t="s">
        <v>185</v>
      </c>
      <c r="AM183" s="209" t="s">
        <v>218</v>
      </c>
      <c r="AO183" s="208" t="s">
        <v>185</v>
      </c>
      <c r="AP183" s="208" t="s">
        <v>185</v>
      </c>
      <c r="AQ183" s="209" t="s">
        <v>218</v>
      </c>
      <c r="AS183" s="208" t="s">
        <v>185</v>
      </c>
      <c r="AT183" s="208" t="s">
        <v>185</v>
      </c>
      <c r="AU183" s="209" t="s">
        <v>218</v>
      </c>
      <c r="AW183" s="208" t="s">
        <v>185</v>
      </c>
      <c r="AX183" s="208" t="s">
        <v>185</v>
      </c>
      <c r="AY183" s="209" t="s">
        <v>218</v>
      </c>
      <c r="BA183" s="208" t="s">
        <v>185</v>
      </c>
      <c r="BB183" s="208" t="s">
        <v>185</v>
      </c>
      <c r="BC183" s="209" t="s">
        <v>218</v>
      </c>
    </row>
    <row r="184" s="124" customFormat="1" spans="1:55">
      <c r="A184" s="125"/>
      <c r="B184" s="125"/>
      <c r="C184" s="125"/>
      <c r="D184" s="211" t="s">
        <v>186</v>
      </c>
      <c r="E184" s="212">
        <f>E22</f>
        <v>5783.02184</v>
      </c>
      <c r="F184" s="212">
        <f>F22</f>
        <v>176.222992701842</v>
      </c>
      <c r="G184" s="213">
        <f>G22</f>
        <v>10.9830472235489</v>
      </c>
      <c r="H184" s="214"/>
      <c r="I184" s="212">
        <f>I22</f>
        <v>6234.67817</v>
      </c>
      <c r="J184" s="212">
        <f>J22</f>
        <v>187.427946092519</v>
      </c>
      <c r="K184" s="213">
        <f>K22</f>
        <v>9.4890616693256</v>
      </c>
      <c r="M184" s="212">
        <f>M22</f>
        <v>5637.7888</v>
      </c>
      <c r="N184" s="212">
        <f>N22</f>
        <v>161.898888375178</v>
      </c>
      <c r="O184" s="213">
        <f>O22</f>
        <v>8.07999642537198</v>
      </c>
      <c r="Q184" s="212">
        <f>Q22</f>
        <v>13247.19171</v>
      </c>
      <c r="R184" s="212">
        <f>R22</f>
        <v>381.844880752668</v>
      </c>
      <c r="S184" s="213">
        <f>S22</f>
        <v>13.6164062601244</v>
      </c>
      <c r="U184" s="212">
        <f>U22</f>
        <v>13229.26001</v>
      </c>
      <c r="V184" s="212">
        <f>V22</f>
        <v>379.491401729751</v>
      </c>
      <c r="W184" s="213">
        <f>W22</f>
        <v>9.30262787982918</v>
      </c>
      <c r="Y184" s="212">
        <f>Y22</f>
        <v>13345.71654</v>
      </c>
      <c r="Z184" s="212">
        <f>Z22</f>
        <v>380.580908383167</v>
      </c>
      <c r="AA184" s="213">
        <f>AA22</f>
        <v>12.2863154824111</v>
      </c>
      <c r="AC184" s="212">
        <f>AC22</f>
        <v>11982.60874</v>
      </c>
      <c r="AD184" s="212">
        <f>AD22</f>
        <v>335.676452016842</v>
      </c>
      <c r="AE184" s="213">
        <f>AE22</f>
        <v>9.73624306107961</v>
      </c>
      <c r="AG184" s="212">
        <f>AG22</f>
        <v>12945.83606</v>
      </c>
      <c r="AH184" s="212">
        <f>AH22</f>
        <v>348.852218551434</v>
      </c>
      <c r="AI184" s="213">
        <f>AI22</f>
        <v>13.6387605970535</v>
      </c>
      <c r="AK184" s="212">
        <f>AK22</f>
        <v>15872.32971</v>
      </c>
      <c r="AL184" s="212">
        <f>AL22</f>
        <v>419.638421274674</v>
      </c>
      <c r="AM184" s="213">
        <f>AM22</f>
        <v>10.4637547694662</v>
      </c>
      <c r="AO184" s="212">
        <f>AO22</f>
        <v>16289.10445</v>
      </c>
      <c r="AP184" s="212">
        <f>AP22</f>
        <v>436.152028590384</v>
      </c>
      <c r="AQ184" s="213">
        <f>AQ22</f>
        <v>10.5895556508215</v>
      </c>
      <c r="AS184" s="212">
        <f>AS22</f>
        <v>15304.65224</v>
      </c>
      <c r="AT184" s="212">
        <f>AT22</f>
        <v>417.889296821457</v>
      </c>
      <c r="AU184" s="213">
        <f>AU22</f>
        <v>9.69355826540146</v>
      </c>
      <c r="AW184" s="212">
        <f>AW22</f>
        <v>13304.3807</v>
      </c>
      <c r="AX184" s="212">
        <f>AX22</f>
        <v>362.92421418681</v>
      </c>
      <c r="AY184" s="213">
        <f>AY22</f>
        <v>13.8769630324173</v>
      </c>
      <c r="BA184" s="212">
        <f>BA22</f>
        <v>143176.56897</v>
      </c>
      <c r="BB184" s="212">
        <f>BB22</f>
        <v>3988.59964947673</v>
      </c>
      <c r="BC184" s="213">
        <f>BC22</f>
        <v>10.8901960636187</v>
      </c>
    </row>
    <row r="185" s="124" customFormat="1" spans="1:55">
      <c r="A185" s="125"/>
      <c r="B185" s="125"/>
      <c r="C185" s="125"/>
      <c r="D185" s="211" t="s">
        <v>187</v>
      </c>
      <c r="E185" s="212">
        <f>E27+E85+E74+E78</f>
        <v>333.90319</v>
      </c>
      <c r="F185" s="212">
        <f>F27+F85+F74+F78</f>
        <v>10.1748568555452</v>
      </c>
      <c r="G185" s="213">
        <f>G27+G85+G74+G78</f>
        <v>0.634145020601136</v>
      </c>
      <c r="H185" s="214"/>
      <c r="I185" s="212">
        <f>I27+I85+I74+I78</f>
        <v>-1.65450999999985</v>
      </c>
      <c r="J185" s="212">
        <f>J27+J85+J74+J78</f>
        <v>-0.0497381585118042</v>
      </c>
      <c r="K185" s="213">
        <f>K27+K85+K74+K78</f>
        <v>-0.00251813277196256</v>
      </c>
      <c r="M185" s="212">
        <f>M27+M85+M74+M78</f>
        <v>599.9822</v>
      </c>
      <c r="N185" s="212">
        <f>N27+N85+N74+N78</f>
        <v>17.2295299931941</v>
      </c>
      <c r="O185" s="213">
        <f>O27+O85+O74+O78</f>
        <v>0.859885711094183</v>
      </c>
      <c r="Q185" s="212">
        <f>Q27+Q85+Q74+Q78</f>
        <v>1150.12696</v>
      </c>
      <c r="R185" s="212">
        <f>R27+R85+R74+R78</f>
        <v>33.1519390302255</v>
      </c>
      <c r="S185" s="213">
        <f>S27+S85+S74+S78</f>
        <v>1.18218232821829</v>
      </c>
      <c r="U185" s="212">
        <f>U27+U85+U74+U78</f>
        <v>796.88597</v>
      </c>
      <c r="V185" s="212">
        <f>V27+V85+V74+V78</f>
        <v>22.8592811348087</v>
      </c>
      <c r="W185" s="213">
        <f>W27+W85+W74+W78</f>
        <v>0.56035890412337</v>
      </c>
      <c r="Y185" s="212">
        <f>Y27+Y85+Y74+Y78</f>
        <v>1180.45261</v>
      </c>
      <c r="Z185" s="212">
        <f>Z27+Z85+Z74+Z78</f>
        <v>33.6630652442346</v>
      </c>
      <c r="AA185" s="213">
        <f>AA27+AA85+AA74+AA78</f>
        <v>1.08674668272968</v>
      </c>
      <c r="AC185" s="212">
        <f>AC27+AC85+AC74+AC78</f>
        <v>1108.47085</v>
      </c>
      <c r="AD185" s="212">
        <f>AD27+AD85+AD74+AD78</f>
        <v>31.052300059669</v>
      </c>
      <c r="AE185" s="213">
        <f>AE27+AE85+AE74+AE78</f>
        <v>0.900667113138296</v>
      </c>
      <c r="AG185" s="212">
        <f>AG27+AG85+AG74+AG78</f>
        <v>-1397.0218</v>
      </c>
      <c r="AH185" s="212">
        <f>AH27+AH85+AH74+AH78</f>
        <v>-37.6456299953112</v>
      </c>
      <c r="AI185" s="213">
        <f>AI27+AI85+AI74+AI78</f>
        <v>-1.47179724745137</v>
      </c>
      <c r="AK185" s="212">
        <f>AK27+AK85+AK74+AK78</f>
        <v>-2102.19806</v>
      </c>
      <c r="AL185" s="212">
        <f>AL27+AL85+AL74+AL78</f>
        <v>-55.5786763016456</v>
      </c>
      <c r="AM185" s="213">
        <f>AM27+AM85+AM74+AM78</f>
        <v>-1.38586366201989</v>
      </c>
      <c r="AO185" s="212">
        <f>AO27+AO85+AO74+AO78</f>
        <v>1107.85698</v>
      </c>
      <c r="AP185" s="212">
        <f>AP27+AP85+AP74+AP78</f>
        <v>29.6636362482786</v>
      </c>
      <c r="AQ185" s="213">
        <f>AQ27+AQ85+AQ74+AQ78</f>
        <v>0.720218424461083</v>
      </c>
      <c r="AS185" s="212">
        <f>AS27+AS85+AS74+AS78</f>
        <v>1141.55682</v>
      </c>
      <c r="AT185" s="212">
        <f>AT27+AT85+AT74+AT78</f>
        <v>31.1698932658361</v>
      </c>
      <c r="AU185" s="213">
        <f>AU27+AU85+AU74+AU78</f>
        <v>0.723031622960707</v>
      </c>
      <c r="AW185" s="212">
        <f>AW27+AW85+AW74+AW78</f>
        <v>975.326019999998</v>
      </c>
      <c r="AX185" s="212">
        <f>AX27+AX85+AX74+AX78</f>
        <v>26.6054796060104</v>
      </c>
      <c r="AY185" s="213">
        <f>AY27+AY85+AY74+AY78</f>
        <v>1.01730125056439</v>
      </c>
      <c r="BA185" s="212">
        <f>BA27+BA85+BA74+BA78</f>
        <v>4893.68723</v>
      </c>
      <c r="BB185" s="212">
        <f>BB27+BB85+BB74+BB78</f>
        <v>142.295936982334</v>
      </c>
      <c r="BC185" s="213">
        <f>BC27+BC85+BC74+BC78</f>
        <v>0.388514964894319</v>
      </c>
    </row>
    <row r="186" s="124" customFormat="1" spans="1:55">
      <c r="A186" s="125"/>
      <c r="B186" s="125"/>
      <c r="C186" s="125"/>
      <c r="D186" s="215" t="s">
        <v>188</v>
      </c>
      <c r="E186" s="216">
        <f>E93</f>
        <v>4640.01916</v>
      </c>
      <c r="F186" s="216">
        <f>F93</f>
        <v>141.392871269026</v>
      </c>
      <c r="G186" s="217">
        <f>G93</f>
        <v>8.81226994509356</v>
      </c>
      <c r="H186" s="214"/>
      <c r="I186" s="216">
        <f>I93</f>
        <v>5431.07566</v>
      </c>
      <c r="J186" s="216">
        <f>J93</f>
        <v>163.26991197797</v>
      </c>
      <c r="K186" s="217">
        <f>K93</f>
        <v>8.26599392355055</v>
      </c>
      <c r="M186" s="216">
        <f>M93</f>
        <v>8107.23386</v>
      </c>
      <c r="N186" s="216">
        <f>N93</f>
        <v>232.81328838207</v>
      </c>
      <c r="O186" s="217">
        <f>O93</f>
        <v>11.6191689565339</v>
      </c>
      <c r="Q186" s="216">
        <f>Q93</f>
        <v>7266.7466</v>
      </c>
      <c r="R186" s="216">
        <f>R93</f>
        <v>209.460997446141</v>
      </c>
      <c r="S186" s="217">
        <f>S93</f>
        <v>7.4692792299733</v>
      </c>
      <c r="U186" s="216">
        <f>U93</f>
        <v>7223.21352</v>
      </c>
      <c r="V186" s="216">
        <f>V93</f>
        <v>207.203382625034</v>
      </c>
      <c r="W186" s="217">
        <f>W93</f>
        <v>5.07926123020626</v>
      </c>
      <c r="Y186" s="216">
        <f>Y93</f>
        <v>7660.74037</v>
      </c>
      <c r="Z186" s="216">
        <f>Z93</f>
        <v>218.461970188241</v>
      </c>
      <c r="AA186" s="217">
        <f>AA93</f>
        <v>7.05262042188279</v>
      </c>
      <c r="AC186" s="216">
        <f>AC93</f>
        <v>7545.97858</v>
      </c>
      <c r="AD186" s="216">
        <f>AD93</f>
        <v>211.390305040494</v>
      </c>
      <c r="AE186" s="217">
        <f>AE93</f>
        <v>6.13134278041865</v>
      </c>
      <c r="AG186" s="216">
        <f>AG93</f>
        <v>6837.32406</v>
      </c>
      <c r="AH186" s="216">
        <f>AH93</f>
        <v>184.245780359905</v>
      </c>
      <c r="AI186" s="217">
        <f>AI93</f>
        <v>7.20329112361815</v>
      </c>
      <c r="AK186" s="216">
        <f>AK93</f>
        <v>7955.35124</v>
      </c>
      <c r="AL186" s="216">
        <f>AL93</f>
        <v>210.326467256779</v>
      </c>
      <c r="AM186" s="217">
        <f>AM93</f>
        <v>5.24452591404297</v>
      </c>
      <c r="AO186" s="216">
        <f>AO93</f>
        <v>8047.48107</v>
      </c>
      <c r="AP186" s="216">
        <f>AP93</f>
        <v>215.476867036924</v>
      </c>
      <c r="AQ186" s="217">
        <f>AQ93</f>
        <v>5.23167181481837</v>
      </c>
      <c r="AS186" s="216">
        <f>AS93</f>
        <v>7212.9186</v>
      </c>
      <c r="AT186" s="216">
        <f>AT93</f>
        <v>196.946747597867</v>
      </c>
      <c r="AU186" s="217">
        <f>AU93</f>
        <v>4.56847013680972</v>
      </c>
      <c r="AW186" s="216">
        <f>AW93</f>
        <v>8312.96269</v>
      </c>
      <c r="AX186" s="216">
        <f>AX93</f>
        <v>226.765568414058</v>
      </c>
      <c r="AY186" s="217">
        <f>AY93</f>
        <v>8.6707287276434</v>
      </c>
      <c r="BA186" s="216">
        <f>BA93</f>
        <v>86241.04541</v>
      </c>
      <c r="BB186" s="216">
        <f>BB93</f>
        <v>2417.75415759451</v>
      </c>
      <c r="BC186" s="217">
        <f>BC93</f>
        <v>6.60126839586112</v>
      </c>
    </row>
    <row r="187" s="124" customFormat="1" spans="1:55">
      <c r="A187" s="125"/>
      <c r="B187" s="125"/>
      <c r="C187" s="125"/>
      <c r="D187" s="215" t="s">
        <v>189</v>
      </c>
      <c r="E187" s="216">
        <f>E101</f>
        <v>3520.24712</v>
      </c>
      <c r="F187" s="216">
        <f>F101</f>
        <v>107.270644949949</v>
      </c>
      <c r="G187" s="217">
        <f>G101</f>
        <v>6.68561202554995</v>
      </c>
      <c r="H187" s="214"/>
      <c r="I187" s="216">
        <f>I101</f>
        <v>2611.55605</v>
      </c>
      <c r="J187" s="216">
        <f>J101</f>
        <v>78.5090381909789</v>
      </c>
      <c r="K187" s="217">
        <f>K101</f>
        <v>3.97473866904511</v>
      </c>
      <c r="M187" s="216">
        <f>M101</f>
        <v>3557.25583</v>
      </c>
      <c r="N187" s="216">
        <f>N101</f>
        <v>102.152773893042</v>
      </c>
      <c r="O187" s="217">
        <f>O101</f>
        <v>5.09820701168047</v>
      </c>
      <c r="Q187" s="216">
        <f>Q101</f>
        <v>2644.44041</v>
      </c>
      <c r="R187" s="216">
        <f>R101</f>
        <v>76.2249128056127</v>
      </c>
      <c r="S187" s="217">
        <f>S101</f>
        <v>2.71814402188114</v>
      </c>
      <c r="U187" s="216">
        <f>U101</f>
        <v>2651.83092</v>
      </c>
      <c r="V187" s="216">
        <f>V101</f>
        <v>76.0697901636523</v>
      </c>
      <c r="W187" s="217">
        <f>W101</f>
        <v>1.86472986624632</v>
      </c>
      <c r="Y187" s="216">
        <f>Y101</f>
        <v>3066.89168</v>
      </c>
      <c r="Z187" s="216">
        <f>Z101</f>
        <v>87.4588050771815</v>
      </c>
      <c r="AA187" s="217">
        <f>AA101</f>
        <v>2.82343766390694</v>
      </c>
      <c r="AC187" s="216">
        <f>AC101</f>
        <v>3496.72829</v>
      </c>
      <c r="AD187" s="216">
        <f>AD101</f>
        <v>97.956077138351</v>
      </c>
      <c r="AE187" s="217">
        <f>AE101</f>
        <v>2.84120071753201</v>
      </c>
      <c r="AG187" s="216">
        <f>AG101</f>
        <v>3925.00394</v>
      </c>
      <c r="AH187" s="216">
        <f>AH101</f>
        <v>105.767315911161</v>
      </c>
      <c r="AI187" s="217">
        <f>AI101</f>
        <v>4.13508937020725</v>
      </c>
      <c r="AK187" s="216">
        <f>AK101</f>
        <v>3464.07784</v>
      </c>
      <c r="AL187" s="216">
        <f>AL101</f>
        <v>91.5845488664677</v>
      </c>
      <c r="AM187" s="217">
        <f>AM101</f>
        <v>2.28367616363624</v>
      </c>
      <c r="AO187" s="216">
        <f>AO101</f>
        <v>3795.62081</v>
      </c>
      <c r="AP187" s="216">
        <f>AP101</f>
        <v>101.630370234465</v>
      </c>
      <c r="AQ187" s="217">
        <f>AQ101</f>
        <v>2.46753515027716</v>
      </c>
      <c r="AS187" s="216">
        <f>AS101</f>
        <v>3410.61919</v>
      </c>
      <c r="AT187" s="216">
        <f>AT101</f>
        <v>93.1260137561197</v>
      </c>
      <c r="AU187" s="217">
        <f>AU101</f>
        <v>2.16019516947622</v>
      </c>
      <c r="AW187" s="216">
        <f>AW101</f>
        <v>2686.42858</v>
      </c>
      <c r="AX187" s="216">
        <f>AX101</f>
        <v>73.2818763496063</v>
      </c>
      <c r="AY187" s="217">
        <f>AY101</f>
        <v>2.80204475010921</v>
      </c>
      <c r="BA187" s="216">
        <f>BA101</f>
        <v>38830.70066</v>
      </c>
      <c r="BB187" s="216">
        <f>BB101</f>
        <v>1091.03216733659</v>
      </c>
      <c r="BC187" s="217">
        <f>BC101</f>
        <v>2.97887861860717</v>
      </c>
    </row>
    <row r="188" s="124" customFormat="1" spans="1:55">
      <c r="A188" s="125"/>
      <c r="B188" s="125"/>
      <c r="C188" s="125"/>
      <c r="D188" s="215" t="s">
        <v>190</v>
      </c>
      <c r="E188" s="216">
        <f>E69+E116+E76+E81</f>
        <v>5655.67239</v>
      </c>
      <c r="F188" s="216">
        <f>F69+F116+F76+F81</f>
        <v>172.342339676687</v>
      </c>
      <c r="G188" s="217">
        <f>G69+G116+G76+G81</f>
        <v>10.7411866423613</v>
      </c>
      <c r="H188" s="214"/>
      <c r="I188" s="216">
        <f>I69+I116+I76+I81</f>
        <v>6279.07418</v>
      </c>
      <c r="J188" s="216">
        <f>J69+J116+J76+J81</f>
        <v>188.762586428735</v>
      </c>
      <c r="K188" s="217">
        <f>K69+K116+K76+K81</f>
        <v>9.55663155269009</v>
      </c>
      <c r="M188" s="216">
        <f>M69+M116+M76+M81</f>
        <v>6578.53864</v>
      </c>
      <c r="N188" s="216">
        <f>N69+N116+N76+N81</f>
        <v>188.914152468634</v>
      </c>
      <c r="O188" s="217">
        <f>O69+O116+O76+O81</f>
        <v>9.42826533256646</v>
      </c>
      <c r="Q188" s="216">
        <f>Q69+Q116+Q76+Q81</f>
        <v>7444.5291</v>
      </c>
      <c r="R188" s="216">
        <f>R69+R116+R76+R81</f>
        <v>214.585505266253</v>
      </c>
      <c r="S188" s="217">
        <f>S69+S116+S76+S81</f>
        <v>7.65201673381067</v>
      </c>
      <c r="U188" s="216">
        <f>U69+U116+U76+U81</f>
        <v>6885.95709</v>
      </c>
      <c r="V188" s="216">
        <f>V69+V116+V76+V81</f>
        <v>197.528925001076</v>
      </c>
      <c r="W188" s="217">
        <f>W69+W116+W76+W81</f>
        <v>4.84210729521684</v>
      </c>
      <c r="Y188" s="216">
        <f>Y69+Y116+Y76+Y81</f>
        <v>7811.47179</v>
      </c>
      <c r="Z188" s="216">
        <f>Z69+Z116+Z76+Z81</f>
        <v>222.760390627005</v>
      </c>
      <c r="AA188" s="217">
        <f>AA69+AA116+AA76+AA81</f>
        <v>7.19138657757635</v>
      </c>
      <c r="AC188" s="216">
        <f>AC69+AC116+AC76+AC81</f>
        <v>7957.57903</v>
      </c>
      <c r="AD188" s="216">
        <f>AD69+AD116+AD76+AD81</f>
        <v>222.920730651681</v>
      </c>
      <c r="AE188" s="217">
        <f>AE69+AE116+AE76+AE81</f>
        <v>6.46578097432147</v>
      </c>
      <c r="AG188" s="216">
        <f>AG69+AG116+AG76+AG81</f>
        <v>5039.53283</v>
      </c>
      <c r="AH188" s="216">
        <f>AH69+AH116+AH76+AH81</f>
        <v>135.800592565845</v>
      </c>
      <c r="AI188" s="217">
        <f>AI69+AI116+AI76+AI81</f>
        <v>5.30927330384882</v>
      </c>
      <c r="AK188" s="216">
        <f>AK69+AK116+AK76+AK81</f>
        <v>5732.18177</v>
      </c>
      <c r="AL188" s="216">
        <f>AL69+AL116+AL76+AL81</f>
        <v>151.549504853517</v>
      </c>
      <c r="AM188" s="217">
        <f>AM69+AM116+AM76+AM81</f>
        <v>3.7789124489706</v>
      </c>
      <c r="AO188" s="216">
        <f>AO69+AO116+AO76+AO81</f>
        <v>7615.80502</v>
      </c>
      <c r="AP188" s="216">
        <f>AP69+AP116+AP76+AP81</f>
        <v>203.918442479005</v>
      </c>
      <c r="AQ188" s="217">
        <f>AQ69+AQ116+AQ76+AQ81</f>
        <v>4.95103898023661</v>
      </c>
      <c r="AS188" s="216">
        <f>AS69+AS116+AS76+AS81</f>
        <v>6195.20545</v>
      </c>
      <c r="AT188" s="216">
        <f>AT69+AT116+AT76+AT81</f>
        <v>169.158371491684</v>
      </c>
      <c r="AU188" s="217">
        <f>AU69+AU116+AU76+AU81</f>
        <v>3.92387778918312</v>
      </c>
      <c r="AW188" s="216">
        <f>AW69+AW116+AW76+AW81</f>
        <v>-240.15811</v>
      </c>
      <c r="AX188" s="216">
        <f>AX69+AX116+AX76+AX81</f>
        <v>-6.55116501231352</v>
      </c>
      <c r="AY188" s="217">
        <f>AY69+AY116+AY76+AY81</f>
        <v>-0.25049382527104</v>
      </c>
      <c r="BA188" s="216">
        <f>BA69+BA116+BA76+BA81</f>
        <v>72955.38918</v>
      </c>
      <c r="BB188" s="216">
        <f>BB69+BB116+BB76+BB81</f>
        <v>2061.69037649781</v>
      </c>
      <c r="BC188" s="217">
        <f>BC69+BC116+BC76+BC81</f>
        <v>5.62909652401001</v>
      </c>
    </row>
    <row r="189" s="124" customFormat="1" spans="1:55">
      <c r="A189" s="125"/>
      <c r="B189" s="125"/>
      <c r="C189" s="125"/>
      <c r="D189" s="215" t="s">
        <v>191</v>
      </c>
      <c r="E189" s="216">
        <f>E13</f>
        <v>4197.55725</v>
      </c>
      <c r="F189" s="216">
        <f>F13</f>
        <v>127.909961452318</v>
      </c>
      <c r="G189" s="217">
        <f>G13</f>
        <v>7.97195147724015</v>
      </c>
      <c r="H189" s="214"/>
      <c r="I189" s="216">
        <f>I13</f>
        <v>5050.33245</v>
      </c>
      <c r="J189" s="216">
        <f>J13</f>
        <v>151.823945419127</v>
      </c>
      <c r="K189" s="217">
        <f>K13</f>
        <v>7.68650999489301</v>
      </c>
      <c r="M189" s="216">
        <f>M13</f>
        <v>5505.59742</v>
      </c>
      <c r="N189" s="216">
        <f>N13</f>
        <v>158.102783513148</v>
      </c>
      <c r="O189" s="217">
        <f>O13</f>
        <v>7.89054167356131</v>
      </c>
      <c r="Q189" s="216">
        <f>Q13</f>
        <v>6168.96637</v>
      </c>
      <c r="R189" s="216">
        <f>R13</f>
        <v>177.817931489713</v>
      </c>
      <c r="S189" s="217">
        <f>S13</f>
        <v>6.34090259564642</v>
      </c>
      <c r="U189" s="216">
        <f>U13</f>
        <v>6193.86171</v>
      </c>
      <c r="V189" s="216">
        <f>V13</f>
        <v>177.675641772206</v>
      </c>
      <c r="W189" s="217">
        <f>W13</f>
        <v>4.35543564671781</v>
      </c>
      <c r="Y189" s="216">
        <f>Y13</f>
        <v>6537.72571</v>
      </c>
      <c r="Z189" s="216">
        <f>Z13</f>
        <v>186.43686774062</v>
      </c>
      <c r="AA189" s="217">
        <f>AA13</f>
        <v>6.01875218687436</v>
      </c>
      <c r="AC189" s="216">
        <f>AC13</f>
        <v>6733.68181</v>
      </c>
      <c r="AD189" s="216">
        <f>AD13</f>
        <v>188.634918158159</v>
      </c>
      <c r="AE189" s="217">
        <f>AE13</f>
        <v>5.47132633808508</v>
      </c>
      <c r="AG189" s="216">
        <f>AG13</f>
        <v>6981.54646</v>
      </c>
      <c r="AH189" s="216">
        <f>AH13</f>
        <v>188.132149998114</v>
      </c>
      <c r="AI189" s="217">
        <f>AI13</f>
        <v>7.35523301267158</v>
      </c>
      <c r="AK189" s="216">
        <f>AK13</f>
        <v>5738.74625</v>
      </c>
      <c r="AL189" s="216">
        <f>AL13</f>
        <v>151.723058961453</v>
      </c>
      <c r="AM189" s="217">
        <f>AM13</f>
        <v>3.78324004990657</v>
      </c>
      <c r="AO189" s="216">
        <f>AO13</f>
        <v>7268.51599</v>
      </c>
      <c r="AP189" s="216">
        <f>AP13</f>
        <v>194.619538699081</v>
      </c>
      <c r="AQ189" s="217">
        <f>AQ13</f>
        <v>4.72526619319399</v>
      </c>
      <c r="AS189" s="216">
        <f>AS13</f>
        <v>7410.2826</v>
      </c>
      <c r="AT189" s="216">
        <f>AT13</f>
        <v>202.33571703569</v>
      </c>
      <c r="AU189" s="217">
        <f>AU13</f>
        <v>4.6934752269935</v>
      </c>
      <c r="AW189" s="216">
        <f>AW13</f>
        <v>7504.69928</v>
      </c>
      <c r="AX189" s="216">
        <f>AX13</f>
        <v>204.717314568601</v>
      </c>
      <c r="AY189" s="217">
        <f>AY13</f>
        <v>7.82767998197532</v>
      </c>
      <c r="BA189" s="216">
        <f>BA13</f>
        <v>75291.5133</v>
      </c>
      <c r="BB189" s="216">
        <f>BB13</f>
        <v>2109.92982880823</v>
      </c>
      <c r="BC189" s="217">
        <f>BC13</f>
        <v>5.76080618149117</v>
      </c>
    </row>
    <row r="190" s="124" customFormat="1" spans="1:55">
      <c r="A190" s="125"/>
      <c r="B190" s="125"/>
      <c r="C190" s="125"/>
      <c r="D190" s="218" t="s">
        <v>192</v>
      </c>
      <c r="E190" s="219">
        <f>E166</f>
        <v>6787.8469975</v>
      </c>
      <c r="F190" s="219">
        <f>F166</f>
        <v>206.842502932976</v>
      </c>
      <c r="G190" s="220">
        <f>G166</f>
        <v>12.8913993725756</v>
      </c>
      <c r="H190" s="214"/>
      <c r="I190" s="219">
        <f>I166</f>
        <v>6154.000895</v>
      </c>
      <c r="J190" s="219">
        <f>J166</f>
        <v>185.002612252137</v>
      </c>
      <c r="K190" s="220">
        <f>K166</f>
        <v>9.36627239024592</v>
      </c>
      <c r="M190" s="219">
        <f>M166</f>
        <v>7111.4326625</v>
      </c>
      <c r="N190" s="219">
        <f>N166</f>
        <v>204.217129030035</v>
      </c>
      <c r="O190" s="220">
        <f>O166</f>
        <v>10.1920012491907</v>
      </c>
      <c r="Q190" s="219">
        <f>Q166</f>
        <v>6437.4180875</v>
      </c>
      <c r="R190" s="219">
        <f>R166</f>
        <v>185.555942405585</v>
      </c>
      <c r="S190" s="220">
        <f>S166</f>
        <v>6.61683637291249</v>
      </c>
      <c r="U190" s="219">
        <f>U166</f>
        <v>6407.1723675</v>
      </c>
      <c r="V190" s="219">
        <f>V166</f>
        <v>183.794620487371</v>
      </c>
      <c r="W190" s="220">
        <f>W166</f>
        <v>4.50543267361306</v>
      </c>
      <c r="Y190" s="219">
        <f>Y166</f>
        <v>7001.0720775</v>
      </c>
      <c r="Z190" s="219">
        <f>Z166</f>
        <v>199.650154633883</v>
      </c>
      <c r="AA190" s="220">
        <f>AA166</f>
        <v>6.4453174920546</v>
      </c>
      <c r="AC190" s="219">
        <f>AC166</f>
        <v>7488.8170625</v>
      </c>
      <c r="AD190" s="219">
        <f>AD166</f>
        <v>209.789003036678</v>
      </c>
      <c r="AE190" s="220">
        <f>AE166</f>
        <v>6.08489726590708</v>
      </c>
      <c r="AG190" s="219">
        <f>AG166</f>
        <v>7509.0370325</v>
      </c>
      <c r="AH190" s="219">
        <f>AH166</f>
        <v>202.346470002533</v>
      </c>
      <c r="AI190" s="220">
        <f>AI166</f>
        <v>7.91095746354418</v>
      </c>
      <c r="AK190" s="219">
        <f>AK166</f>
        <v>7046.1768375</v>
      </c>
      <c r="AL190" s="219">
        <f>AL166</f>
        <v>186.289383986762</v>
      </c>
      <c r="AM190" s="220">
        <f>AM166</f>
        <v>4.64515719097251</v>
      </c>
      <c r="AO190" s="219">
        <f>AO166</f>
        <v>7561.5911475</v>
      </c>
      <c r="AP190" s="219">
        <f>AP166</f>
        <v>202.466828577136</v>
      </c>
      <c r="AQ190" s="220">
        <f>AQ166</f>
        <v>4.9157945122766</v>
      </c>
      <c r="AS190" s="219">
        <f>AS166</f>
        <v>8058.100705</v>
      </c>
      <c r="AT190" s="219">
        <f>AT166</f>
        <v>220.024211234802</v>
      </c>
      <c r="AU190" s="220">
        <f>AU166</f>
        <v>5.10378592518677</v>
      </c>
      <c r="AW190" s="219">
        <f>AW166</f>
        <v>4732.58686</v>
      </c>
      <c r="AX190" s="219">
        <f>AX166</f>
        <v>129.098107305087</v>
      </c>
      <c r="AY190" s="220">
        <f>AY166</f>
        <v>4.93626380549408</v>
      </c>
      <c r="BA190" s="219">
        <f>BA173</f>
        <v>82287.8376</v>
      </c>
      <c r="BB190" s="219">
        <f>BB173</f>
        <v>2314.85388209841</v>
      </c>
      <c r="BC190" s="220">
        <f>BC173</f>
        <v>6.32031661487705</v>
      </c>
    </row>
    <row r="191" s="125" customFormat="1" spans="1:55">
      <c r="D191" s="221" t="s">
        <v>193</v>
      </c>
      <c r="E191" s="222">
        <f>SUM(E184:E190)</f>
        <v>30918.2679475</v>
      </c>
      <c r="F191" s="222">
        <f>SUM(F184:F190)</f>
        <v>942.156169838344</v>
      </c>
      <c r="G191" s="223">
        <f>SUM(G184:G190)</f>
        <v>58.7196117069706</v>
      </c>
      <c r="H191" s="214"/>
      <c r="I191" s="222">
        <f>SUM(I184:I190)</f>
        <v>31759.062895</v>
      </c>
      <c r="J191" s="222">
        <f>SUM(J184:J190)</f>
        <v>954.746302202956</v>
      </c>
      <c r="K191" s="223">
        <f>SUM(K184:K190)</f>
        <v>48.3366900669783</v>
      </c>
      <c r="M191" s="222">
        <f>SUM(M184:M190)</f>
        <v>37097.8294125</v>
      </c>
      <c r="N191" s="222">
        <f>SUM(N184:N190)</f>
        <v>1065.3285456553</v>
      </c>
      <c r="O191" s="223">
        <f>SUM(O184:O190)</f>
        <v>53.1680663599991</v>
      </c>
      <c r="Q191" s="222">
        <f>SUM(Q184:Q190)</f>
        <v>44359.4192375</v>
      </c>
      <c r="R191" s="222">
        <f>SUM(R184:R190)</f>
        <v>1278.6421091962</v>
      </c>
      <c r="S191" s="223">
        <f>SUM(S184:S190)</f>
        <v>45.5957675425667</v>
      </c>
      <c r="U191" s="222">
        <f>SUM(U184:U190)</f>
        <v>43388.1815875</v>
      </c>
      <c r="V191" s="222">
        <f>SUM(V184:V190)</f>
        <v>1244.6230429139</v>
      </c>
      <c r="W191" s="223">
        <f>SUM(W184:W190)</f>
        <v>30.5099534959528</v>
      </c>
      <c r="Y191" s="222">
        <f>SUM(Y184:Y190)</f>
        <v>46604.0707775</v>
      </c>
      <c r="Z191" s="222">
        <f>SUM(Z184:Z190)</f>
        <v>1329.01216189433</v>
      </c>
      <c r="AA191" s="223">
        <f>SUM(AA184:AA190)</f>
        <v>42.9045765074359</v>
      </c>
      <c r="AC191" s="222">
        <f>SUM(AC184:AC190)</f>
        <v>46313.8643625</v>
      </c>
      <c r="AD191" s="222">
        <f>SUM(AD184:AD190)</f>
        <v>1297.41978610187</v>
      </c>
      <c r="AE191" s="223">
        <f>SUM(AE184:AE190)</f>
        <v>37.6314582504822</v>
      </c>
      <c r="AG191" s="222">
        <f>SUM(AG184:AG190)</f>
        <v>41841.2585825</v>
      </c>
      <c r="AH191" s="222">
        <f>SUM(AH184:AH190)</f>
        <v>1127.49889739368</v>
      </c>
      <c r="AI191" s="223">
        <f>SUM(AI184:AI190)</f>
        <v>44.0808076234921</v>
      </c>
      <c r="AK191" s="222">
        <f>SUM(AK184:AK190)</f>
        <v>43706.6655875</v>
      </c>
      <c r="AL191" s="222">
        <f>SUM(AL184:AL190)</f>
        <v>1155.53270889801</v>
      </c>
      <c r="AM191" s="223">
        <f>SUM(AM184:AM190)</f>
        <v>28.8134028749752</v>
      </c>
      <c r="AO191" s="222">
        <f>SUM(AO184:AO190)</f>
        <v>51685.9754675</v>
      </c>
      <c r="AP191" s="222">
        <f>SUM(AP184:AP190)</f>
        <v>1383.92771186527</v>
      </c>
      <c r="AQ191" s="223">
        <f>SUM(AQ184:AQ190)</f>
        <v>33.6010807260853</v>
      </c>
      <c r="AS191" s="222">
        <f>SUM(AS184:AS190)</f>
        <v>48733.335605</v>
      </c>
      <c r="AT191" s="222">
        <f>SUM(AT184:AT190)</f>
        <v>1330.65025120346</v>
      </c>
      <c r="AU191" s="223">
        <f>SUM(AU184:AU190)</f>
        <v>30.8663941360115</v>
      </c>
      <c r="AW191" s="222">
        <f>SUM(AW184:AW190)</f>
        <v>37276.22602</v>
      </c>
      <c r="AX191" s="222">
        <f>SUM(AX184:AX190)</f>
        <v>1016.84139541786</v>
      </c>
      <c r="AY191" s="223">
        <f>SUM(AY184:AY190)</f>
        <v>38.8804877229327</v>
      </c>
      <c r="BA191" s="222">
        <f>SUM(BA184:BA190)</f>
        <v>503676.74235</v>
      </c>
      <c r="BB191" s="222">
        <f>SUM(BB184:BB190)</f>
        <v>14126.1559987946</v>
      </c>
      <c r="BC191" s="223">
        <f>SUM(BC184:BC190)</f>
        <v>38.5690773633595</v>
      </c>
    </row>
    <row r="192" spans="1:55">
      <c r="E192" s="141">
        <f t="shared" ref="E192:G192" si="171">SUM(E184:E190)-E191</f>
        <v>0</v>
      </c>
      <c r="F192" s="141">
        <f t="shared" ref="F192" si="172">SUM(F184:F190)-F191</f>
        <v>0</v>
      </c>
      <c r="G192" s="141">
        <f t="shared" si="171"/>
        <v>0</v>
      </c>
      <c r="I192" s="141">
        <f t="shared" ref="I192:K192" si="173">SUM(I184:I190)-I191</f>
        <v>0</v>
      </c>
      <c r="J192" s="141">
        <f t="shared" si="173"/>
        <v>0</v>
      </c>
      <c r="K192" s="141">
        <f t="shared" si="173"/>
        <v>0</v>
      </c>
      <c r="M192" s="141">
        <f t="shared" ref="M192:O192" si="174">SUM(M184:M190)-M191</f>
        <v>0</v>
      </c>
      <c r="N192" s="141">
        <f t="shared" si="174"/>
        <v>0</v>
      </c>
      <c r="O192" s="141">
        <f t="shared" si="174"/>
        <v>0</v>
      </c>
      <c r="Q192" s="141">
        <f t="shared" ref="Q192:S192" si="175">SUM(Q184:Q190)-Q191</f>
        <v>0</v>
      </c>
      <c r="R192" s="141">
        <f t="shared" si="175"/>
        <v>0</v>
      </c>
      <c r="S192" s="141">
        <f t="shared" si="175"/>
        <v>0</v>
      </c>
      <c r="U192" s="141">
        <f t="shared" ref="U192:W192" si="176">SUM(U184:U190)-U191</f>
        <v>0</v>
      </c>
      <c r="V192" s="141">
        <f t="shared" si="176"/>
        <v>0</v>
      </c>
      <c r="W192" s="141">
        <f t="shared" si="176"/>
        <v>0</v>
      </c>
      <c r="Y192" s="141">
        <f t="shared" ref="Y192:AA192" si="177">SUM(Y184:Y190)-Y191</f>
        <v>0</v>
      </c>
      <c r="Z192" s="141">
        <f t="shared" si="177"/>
        <v>0</v>
      </c>
      <c r="AA192" s="141">
        <f t="shared" si="177"/>
        <v>0</v>
      </c>
      <c r="AC192" s="141">
        <f t="shared" ref="AC192:AE192" si="178">SUM(AC184:AC190)-AC191</f>
        <v>0</v>
      </c>
      <c r="AD192" s="141">
        <f t="shared" si="178"/>
        <v>0</v>
      </c>
      <c r="AE192" s="141">
        <f t="shared" si="178"/>
        <v>0</v>
      </c>
      <c r="AG192" s="141">
        <f t="shared" ref="AG192:AI192" si="179">SUM(AG184:AG190)-AG191</f>
        <v>0</v>
      </c>
      <c r="AH192" s="141">
        <f t="shared" si="179"/>
        <v>0</v>
      </c>
      <c r="AI192" s="141">
        <f t="shared" si="179"/>
        <v>0</v>
      </c>
      <c r="AK192" s="141">
        <f t="shared" ref="AK192:AM192" si="180">SUM(AK184:AK190)-AK191</f>
        <v>0</v>
      </c>
      <c r="AL192" s="141">
        <f t="shared" si="180"/>
        <v>0</v>
      </c>
      <c r="AM192" s="141">
        <f t="shared" si="180"/>
        <v>0</v>
      </c>
      <c r="AO192" s="141">
        <f t="shared" ref="AO192:AQ192" si="181">SUM(AO184:AO190)-AO191</f>
        <v>0</v>
      </c>
      <c r="AP192" s="141">
        <f t="shared" si="181"/>
        <v>0</v>
      </c>
      <c r="AQ192" s="141">
        <f t="shared" si="181"/>
        <v>0</v>
      </c>
      <c r="AS192" s="141">
        <f t="shared" ref="AS192:AU192" si="182">SUM(AS184:AS190)-AS191</f>
        <v>0</v>
      </c>
      <c r="AT192" s="141">
        <f t="shared" si="182"/>
        <v>0</v>
      </c>
      <c r="AU192" s="141">
        <f t="shared" si="182"/>
        <v>0</v>
      </c>
      <c r="AW192" s="141">
        <f t="shared" ref="AW192:AY192" si="183">SUM(AW184:AW190)-AW191</f>
        <v>0</v>
      </c>
      <c r="AX192" s="141">
        <f t="shared" si="183"/>
        <v>0</v>
      </c>
      <c r="AY192" s="141">
        <f t="shared" si="183"/>
        <v>0</v>
      </c>
      <c r="BA192" s="141">
        <f t="shared" ref="BA192:BC192" si="184">SUM(BA184:BA190)-BA191</f>
        <v>0</v>
      </c>
      <c r="BB192" s="141">
        <f t="shared" si="184"/>
        <v>0</v>
      </c>
      <c r="BC192" s="141">
        <f t="shared" si="184"/>
        <v>0</v>
      </c>
    </row>
    <row r="193" spans="4:55">
      <c r="BA193" s="126"/>
      <c r="BB193" s="126"/>
      <c r="BC193" s="126"/>
    </row>
    <row r="194" spans="4:55">
      <c r="D194" s="224"/>
      <c r="E194" s="225"/>
      <c r="F194" s="225"/>
      <c r="G194" s="226"/>
      <c r="I194" s="225"/>
      <c r="J194" s="225"/>
      <c r="K194" s="226"/>
      <c r="M194" s="225"/>
      <c r="N194" s="225"/>
      <c r="O194" s="226"/>
      <c r="Q194" s="225"/>
      <c r="R194" s="225"/>
      <c r="S194" s="226"/>
      <c r="U194" s="225"/>
      <c r="V194" s="225"/>
      <c r="W194" s="226"/>
      <c r="Y194" s="225"/>
      <c r="Z194" s="225"/>
      <c r="AA194" s="226"/>
      <c r="AC194" s="225"/>
      <c r="AD194" s="225"/>
      <c r="AE194" s="226"/>
      <c r="AG194" s="225"/>
      <c r="AH194" s="225"/>
      <c r="AI194" s="226"/>
      <c r="AK194" s="225"/>
      <c r="AL194" s="225"/>
      <c r="AM194" s="226"/>
      <c r="AO194" s="225"/>
      <c r="AP194" s="225"/>
      <c r="AQ194" s="226"/>
      <c r="AS194" s="225"/>
      <c r="AT194" s="225"/>
      <c r="AU194" s="226"/>
      <c r="AW194" s="225"/>
      <c r="AX194" s="225"/>
      <c r="AY194" s="226"/>
      <c r="BA194" s="225"/>
      <c r="BB194" s="225"/>
      <c r="BC194" s="226"/>
    </row>
    <row r="195" spans="4:55">
      <c r="D195" s="227" t="s">
        <v>52</v>
      </c>
      <c r="E195" s="228">
        <f>E22+E27+E74+E78+E85</f>
        <v>6116.92503</v>
      </c>
      <c r="F195" s="228">
        <f>F22+F27+F74+F78+F85</f>
        <v>186.397849557387</v>
      </c>
      <c r="G195" s="229">
        <f>G22+G27+G74+G78+G85</f>
        <v>11.61719224415</v>
      </c>
      <c r="I195" s="228">
        <f>I22+I27+I74+I78+I85</f>
        <v>6233.02366</v>
      </c>
      <c r="J195" s="228">
        <f>J22+J27+J74+J78+J85</f>
        <v>187.378207934007</v>
      </c>
      <c r="K195" s="229">
        <f>K22+K27+K74+K78+K85</f>
        <v>9.48654353655364</v>
      </c>
      <c r="M195" s="228">
        <f>M22+M27+M74+M78+M85</f>
        <v>6237.771</v>
      </c>
      <c r="N195" s="228">
        <f>N22+N27+N74+N78+N85</f>
        <v>179.128418368373</v>
      </c>
      <c r="O195" s="229">
        <f>O22+O27+O74+O78+O85</f>
        <v>8.93988213646616</v>
      </c>
      <c r="Q195" s="228">
        <f>Q22+Q27+Q74+Q78+Q85</f>
        <v>14397.31867</v>
      </c>
      <c r="R195" s="228">
        <f>R22+R27+R74+R78+R85</f>
        <v>414.996819782893</v>
      </c>
      <c r="S195" s="229">
        <f>S22+S27+S74+S78+S85</f>
        <v>14.7985885883427</v>
      </c>
      <c r="U195" s="228">
        <f>U22+U27+U74+U78+U85</f>
        <v>14026.14598</v>
      </c>
      <c r="V195" s="228">
        <f>V22+V27+V74+V78+V85</f>
        <v>402.35068286456</v>
      </c>
      <c r="W195" s="229">
        <f>W22+W27+W74+W78+W85</f>
        <v>9.86298678395255</v>
      </c>
      <c r="Y195" s="228">
        <f>Y22+Y27+Y74+Y78+Y85</f>
        <v>14526.16915</v>
      </c>
      <c r="Z195" s="228">
        <f>Z22+Z27+Z74+Z78+Z85</f>
        <v>414.243973627401</v>
      </c>
      <c r="AA195" s="229">
        <f>AA22+AA27+AA74+AA78+AA85</f>
        <v>13.3730621651408</v>
      </c>
      <c r="AC195" s="228">
        <f>AC22+AC27+AC74+AC78+AC85</f>
        <v>13091.07959</v>
      </c>
      <c r="AD195" s="228">
        <f>AD22+AD27+AD74+AD78+AD85</f>
        <v>366.728752076511</v>
      </c>
      <c r="AE195" s="229">
        <f>AE22+AE27+AE74+AE78+AE85</f>
        <v>10.6369101742179</v>
      </c>
      <c r="AG195" s="228">
        <f>AG22+AG27+AG74+AG78+AG85</f>
        <v>11548.81426</v>
      </c>
      <c r="AH195" s="228">
        <f>AH22+AH27+AH74+AH78+AH85</f>
        <v>311.206588556123</v>
      </c>
      <c r="AI195" s="229">
        <f>AI22+AI27+AI74+AI78+AI85</f>
        <v>12.1669633496021</v>
      </c>
      <c r="AK195" s="228">
        <f>AK22+AK27+AK74+AK78+AK85</f>
        <v>13770.13165</v>
      </c>
      <c r="AL195" s="228">
        <f>AL22+AL27+AL74+AL78+AL85</f>
        <v>364.059744973028</v>
      </c>
      <c r="AM195" s="229">
        <f>AM22+AM27+AM74+AM78+AM85</f>
        <v>9.07789110744635</v>
      </c>
      <c r="AO195" s="228">
        <f>AO22+AO27+AO74+AO78+AO85</f>
        <v>17396.96143</v>
      </c>
      <c r="AP195" s="228">
        <f>AP22+AP27+AP74+AP78+AP85</f>
        <v>465.815664838663</v>
      </c>
      <c r="AQ195" s="229">
        <f>AQ22+AQ27+AQ74+AQ78+AQ85</f>
        <v>11.3097740752826</v>
      </c>
      <c r="AS195" s="228">
        <f>AS22+AS27+AS74+AS78+AS85</f>
        <v>16446.20906</v>
      </c>
      <c r="AT195" s="228">
        <f>AT22+AT27+AT74+AT78+AT85</f>
        <v>449.059190087293</v>
      </c>
      <c r="AU195" s="229">
        <f>AU22+AU27+AU74+AU78+AU85</f>
        <v>10.4165898883622</v>
      </c>
      <c r="AW195" s="228">
        <f>AW22+AW27+AW74+AW78+AW85</f>
        <v>14279.70672</v>
      </c>
      <c r="AX195" s="228">
        <f>AX22+AX27+AX74+AX78+AX85</f>
        <v>389.52969379282</v>
      </c>
      <c r="AY195" s="229">
        <f>AY22+AY27+AY74+AY78+AY85</f>
        <v>14.8942642829817</v>
      </c>
      <c r="BA195" s="228">
        <f>BA22+BA27+BA74+BA78+BA85</f>
        <v>148070.2562</v>
      </c>
      <c r="BB195" s="228">
        <f>BB22+BB27+BB74+BB78+BB85</f>
        <v>4130.89558645906</v>
      </c>
      <c r="BC195" s="229">
        <f>BC22+BC27+BC74+BC78+BC85</f>
        <v>11.278711028513</v>
      </c>
    </row>
    <row r="196" spans="4:55">
      <c r="D196" s="230" t="s">
        <v>42</v>
      </c>
      <c r="E196" s="231">
        <f>SUM(E13,E69,E76,E81,E93,E101,E116)</f>
        <v>18013.49592</v>
      </c>
      <c r="F196" s="231">
        <f>SUM(F13,F69,F76,F81,F93,F101,F116)</f>
        <v>548.91581734798</v>
      </c>
      <c r="G196" s="232">
        <f>SUM(G13,G69,G76,G81,G93,G101,G116)</f>
        <v>34.211020090245</v>
      </c>
      <c r="I196" s="231">
        <f>SUM(I13,I69,I76,I81,I93,I101,I116)</f>
        <v>19372.03834</v>
      </c>
      <c r="J196" s="231">
        <f>SUM(J13,J69,J76,J81,J93,J101,J116)</f>
        <v>582.365482016811</v>
      </c>
      <c r="K196" s="232">
        <f>SUM(K13,K69,K76,K81,K93,K101,K116)</f>
        <v>29.4838741401787</v>
      </c>
      <c r="M196" s="231">
        <f>SUM(M13,M69,M76,M81,M93,M101,M116)</f>
        <v>23748.62575</v>
      </c>
      <c r="N196" s="231">
        <f>SUM(N13,N69,N76,N81,N93,N101,N116)</f>
        <v>681.982998256894</v>
      </c>
      <c r="O196" s="232">
        <f>SUM(O13,O69,O76,O81,O93,O101,O116)</f>
        <v>34.0361829743422</v>
      </c>
      <c r="Q196" s="231">
        <f>SUM(Q13,Q69,Q76,Q81,Q93,Q101,Q116)</f>
        <v>23524.68248</v>
      </c>
      <c r="R196" s="231">
        <f>SUM(R13,R69,R76,R81,R93,R101,R116)</f>
        <v>678.089347007719</v>
      </c>
      <c r="S196" s="232">
        <f>SUM(S13,S69,S76,S81,S93,S101,S116)</f>
        <v>24.1803425813115</v>
      </c>
      <c r="U196" s="231">
        <f>SUM(U13,U69,U76,U81,U93,U101,U116)</f>
        <v>22954.86324</v>
      </c>
      <c r="V196" s="231">
        <f>SUM(V13,V69,V76,V81,V93,V101,V116)</f>
        <v>658.477739561968</v>
      </c>
      <c r="W196" s="232">
        <f>SUM(W13,W69,W76,W81,W93,W101,W116)</f>
        <v>16.1415340383872</v>
      </c>
      <c r="Y196" s="231">
        <f>SUM(Y13,Y69,Y76,Y81,Y93,Y101,Y116)</f>
        <v>25076.82955</v>
      </c>
      <c r="Z196" s="231">
        <f>SUM(Z13,Z69,Z76,Z81,Z93,Z101,Z116)</f>
        <v>715.118033633048</v>
      </c>
      <c r="AA196" s="232">
        <f>SUM(AA13,AA69,AA76,AA81,AA93,AA101,AA116)</f>
        <v>23.0861968502404</v>
      </c>
      <c r="AC196" s="231">
        <f>SUM(AC13,AC69,AC76,AC81,AC93,AC101,AC116)</f>
        <v>25733.96771</v>
      </c>
      <c r="AD196" s="231">
        <f>SUM(AD13,AD69,AD76,AD81,AD93,AD101,AD116)</f>
        <v>720.902030988685</v>
      </c>
      <c r="AE196" s="232">
        <f>SUM(AE13,AE69,AE76,AE81,AE93,AE101,AE116)</f>
        <v>20.9096508103572</v>
      </c>
      <c r="AG196" s="231">
        <f>SUM(AG13,AG69,AG76,AG81,AG93,AG101,AG116)</f>
        <v>22783.40729</v>
      </c>
      <c r="AH196" s="231">
        <f>SUM(AH13,AH69,AH76,AH81,AH93,AH101,AH116)</f>
        <v>613.945838835025</v>
      </c>
      <c r="AI196" s="232">
        <f>SUM(AI13,AI69,AI76,AI81,AI93,AI101,AI116)</f>
        <v>24.0028868103458</v>
      </c>
      <c r="AK196" s="231">
        <f>SUM(AK13,AK69,AK76,AK81,AK93,AK101,AK116)</f>
        <v>22890.3571</v>
      </c>
      <c r="AL196" s="231">
        <f>SUM(AL13,AL69,AL76,AL81,AL93,AL101,AL116)</f>
        <v>605.183579938217</v>
      </c>
      <c r="AM196" s="232">
        <f>SUM(AM13,AM69,AM76,AM81,AM93,AM101,AM116)</f>
        <v>15.0903545765564</v>
      </c>
      <c r="AO196" s="231">
        <f>SUM(AO13,AO69,AO76,AO81,AO93,AO101,AO116)</f>
        <v>26727.42289</v>
      </c>
      <c r="AP196" s="231">
        <f>SUM(AP13,AP69,AP76,AP81,AP93,AP101,AP116)</f>
        <v>715.645218449476</v>
      </c>
      <c r="AQ196" s="232">
        <f>SUM(AQ13,AQ69,AQ76,AQ81,AQ93,AQ101,AQ116)</f>
        <v>17.3755121385261</v>
      </c>
      <c r="AS196" s="231">
        <f>SUM(AS13,AS69,AS76,AS81,AS93,AS101,AS116)</f>
        <v>24229.02584</v>
      </c>
      <c r="AT196" s="231">
        <f>SUM(AT13,AT69,AT76,AT81,AT93,AT101,AT116)</f>
        <v>661.566849881361</v>
      </c>
      <c r="AU196" s="232">
        <f>SUM(AU13,AU69,AU76,AU81,AU93,AU101,AU116)</f>
        <v>15.3460183224626</v>
      </c>
      <c r="AW196" s="231">
        <f>SUM(AW13,AW69,AW76,AW81,AW93,AW101,AW116)</f>
        <v>18263.93244</v>
      </c>
      <c r="AX196" s="231">
        <f>SUM(AX13,AX69,AX76,AX81,AX93,AX101,AX116)</f>
        <v>498.213594319951</v>
      </c>
      <c r="AY196" s="232">
        <f>SUM(AY13,AY69,AY76,AY81,AY93,AY101,AY116)</f>
        <v>19.0499596344569</v>
      </c>
      <c r="BA196" s="231">
        <f>SUM(BA13,BA69,BA76,BA81,BA93,BA101,BA116)</f>
        <v>273318.64855</v>
      </c>
      <c r="BB196" s="231">
        <f>SUM(BB13,BB69,BB76,BB81,BB93,BB101,BB116)</f>
        <v>7680.40653023714</v>
      </c>
      <c r="BC196" s="232">
        <f>SUM(BC13,BC69,BC76,BC81,BC93,BC101,BC116)</f>
        <v>20.9700497199695</v>
      </c>
    </row>
    <row r="197" spans="4:55">
      <c r="D197" s="233" t="s">
        <v>194</v>
      </c>
      <c r="E197" s="234">
        <f>E190</f>
        <v>6787.8469975</v>
      </c>
      <c r="F197" s="234">
        <f>F190</f>
        <v>206.842502932976</v>
      </c>
      <c r="G197" s="235">
        <f>G190</f>
        <v>12.8913993725756</v>
      </c>
      <c r="I197" s="234">
        <f>I190</f>
        <v>6154.000895</v>
      </c>
      <c r="J197" s="234">
        <f>J190</f>
        <v>185.002612252137</v>
      </c>
      <c r="K197" s="235">
        <f>K190</f>
        <v>9.36627239024592</v>
      </c>
      <c r="M197" s="234">
        <f>M190</f>
        <v>7111.4326625</v>
      </c>
      <c r="N197" s="234">
        <f>N190</f>
        <v>204.217129030035</v>
      </c>
      <c r="O197" s="235">
        <f>O190</f>
        <v>10.1920012491907</v>
      </c>
      <c r="Q197" s="234">
        <f>Q190</f>
        <v>6437.4180875</v>
      </c>
      <c r="R197" s="234">
        <f>R190</f>
        <v>185.555942405585</v>
      </c>
      <c r="S197" s="235">
        <f>S190</f>
        <v>6.61683637291249</v>
      </c>
      <c r="U197" s="234">
        <f>U190</f>
        <v>6407.1723675</v>
      </c>
      <c r="V197" s="234">
        <f>V190</f>
        <v>183.794620487371</v>
      </c>
      <c r="W197" s="235">
        <f>W190</f>
        <v>4.50543267361306</v>
      </c>
      <c r="Y197" s="234">
        <f>Y190</f>
        <v>7001.0720775</v>
      </c>
      <c r="Z197" s="234">
        <f>Z190</f>
        <v>199.650154633883</v>
      </c>
      <c r="AA197" s="235">
        <f>AA190</f>
        <v>6.4453174920546</v>
      </c>
      <c r="AC197" s="234">
        <f>AC190</f>
        <v>7488.8170625</v>
      </c>
      <c r="AD197" s="234">
        <f>AD190</f>
        <v>209.789003036678</v>
      </c>
      <c r="AE197" s="235">
        <f>AE190</f>
        <v>6.08489726590708</v>
      </c>
      <c r="AG197" s="234">
        <f>AG190</f>
        <v>7509.0370325</v>
      </c>
      <c r="AH197" s="234">
        <f>AH190</f>
        <v>202.346470002533</v>
      </c>
      <c r="AI197" s="235">
        <f>AI190</f>
        <v>7.91095746354418</v>
      </c>
      <c r="AK197" s="234">
        <f>AK190</f>
        <v>7046.1768375</v>
      </c>
      <c r="AL197" s="234">
        <f>AL190</f>
        <v>186.289383986762</v>
      </c>
      <c r="AM197" s="235">
        <f>AM190</f>
        <v>4.64515719097251</v>
      </c>
      <c r="AO197" s="234">
        <f>AO190</f>
        <v>7561.5911475</v>
      </c>
      <c r="AP197" s="234">
        <f>AP190</f>
        <v>202.466828577136</v>
      </c>
      <c r="AQ197" s="235">
        <f>AQ190</f>
        <v>4.9157945122766</v>
      </c>
      <c r="AS197" s="234">
        <f>AS190</f>
        <v>8058.100705</v>
      </c>
      <c r="AT197" s="234">
        <f>AT190</f>
        <v>220.024211234802</v>
      </c>
      <c r="AU197" s="235">
        <f>AU190</f>
        <v>5.10378592518677</v>
      </c>
      <c r="AW197" s="234">
        <f>AW190</f>
        <v>4732.58686</v>
      </c>
      <c r="AX197" s="234">
        <f>AX190</f>
        <v>129.098107305087</v>
      </c>
      <c r="AY197" s="235">
        <f>AY190</f>
        <v>4.93626380549408</v>
      </c>
      <c r="BA197" s="234">
        <f>BA190</f>
        <v>82287.8376</v>
      </c>
      <c r="BB197" s="234">
        <f>BB190</f>
        <v>2314.85388209841</v>
      </c>
      <c r="BC197" s="235">
        <f>BC190</f>
        <v>6.32031661487705</v>
      </c>
    </row>
    <row r="198" spans="4:55">
      <c r="D198" s="236"/>
      <c r="E198" s="237"/>
      <c r="F198" s="237"/>
      <c r="G198" s="238"/>
      <c r="I198" s="237"/>
      <c r="J198" s="237"/>
      <c r="K198" s="238"/>
      <c r="M198" s="237"/>
      <c r="N198" s="237"/>
      <c r="O198" s="238"/>
      <c r="Q198" s="237"/>
      <c r="R198" s="237"/>
      <c r="S198" s="238"/>
      <c r="U198" s="237"/>
      <c r="V198" s="237"/>
      <c r="W198" s="238"/>
      <c r="Y198" s="237"/>
      <c r="Z198" s="237"/>
      <c r="AA198" s="238"/>
      <c r="AC198" s="237"/>
      <c r="AD198" s="237"/>
      <c r="AE198" s="238"/>
      <c r="AG198" s="237"/>
      <c r="AH198" s="237"/>
      <c r="AI198" s="238"/>
      <c r="AK198" s="237"/>
      <c r="AL198" s="237"/>
      <c r="AM198" s="238"/>
      <c r="AO198" s="237"/>
      <c r="AP198" s="237"/>
      <c r="AQ198" s="238"/>
      <c r="AS198" s="237"/>
      <c r="AT198" s="237"/>
      <c r="AU198" s="238"/>
      <c r="AW198" s="237"/>
      <c r="AX198" s="237"/>
      <c r="AY198" s="238"/>
      <c r="BA198" s="237"/>
      <c r="BB198" s="237"/>
      <c r="BC198" s="238"/>
    </row>
    <row r="199" spans="4:55">
      <c r="D199" s="239" t="s">
        <v>195</v>
      </c>
      <c r="E199" s="240">
        <f>SUM(E194:E198)</f>
        <v>30918.2679475</v>
      </c>
      <c r="F199" s="240">
        <f>SUM(F194:F198)</f>
        <v>942.156169838344</v>
      </c>
      <c r="G199" s="241">
        <f>SUM(G194:G198)</f>
        <v>58.7196117069706</v>
      </c>
      <c r="I199" s="240">
        <f>SUM(I194:I198)</f>
        <v>31759.062895</v>
      </c>
      <c r="J199" s="240">
        <f>SUM(J194:J198)</f>
        <v>954.746302202956</v>
      </c>
      <c r="K199" s="241">
        <f>SUM(K194:K198)</f>
        <v>48.3366900669783</v>
      </c>
      <c r="M199" s="240">
        <f>SUM(M194:M198)</f>
        <v>37097.8294125</v>
      </c>
      <c r="N199" s="240">
        <f>SUM(N194:N198)</f>
        <v>1065.3285456553</v>
      </c>
      <c r="O199" s="241">
        <f>SUM(O194:O198)</f>
        <v>53.1680663599991</v>
      </c>
      <c r="Q199" s="240">
        <f>SUM(Q194:Q198)</f>
        <v>44359.4192375</v>
      </c>
      <c r="R199" s="240">
        <f>SUM(R194:R198)</f>
        <v>1278.6421091962</v>
      </c>
      <c r="S199" s="241">
        <f>SUM(S194:S198)</f>
        <v>45.5957675425667</v>
      </c>
      <c r="U199" s="240">
        <f>SUM(U194:U198)</f>
        <v>43388.1815875</v>
      </c>
      <c r="V199" s="240">
        <f>SUM(V194:V198)</f>
        <v>1244.6230429139</v>
      </c>
      <c r="W199" s="241">
        <f>SUM(W194:W198)</f>
        <v>30.5099534959528</v>
      </c>
      <c r="Y199" s="240">
        <f>SUM(Y194:Y198)</f>
        <v>46604.0707775</v>
      </c>
      <c r="Z199" s="240">
        <f>SUM(Z194:Z198)</f>
        <v>1329.01216189433</v>
      </c>
      <c r="AA199" s="241">
        <f>SUM(AA194:AA198)</f>
        <v>42.9045765074359</v>
      </c>
      <c r="AC199" s="240">
        <f>SUM(AC194:AC198)</f>
        <v>46313.8643625</v>
      </c>
      <c r="AD199" s="240">
        <f>SUM(AD194:AD198)</f>
        <v>1297.41978610187</v>
      </c>
      <c r="AE199" s="241">
        <f>SUM(AE194:AE198)</f>
        <v>37.6314582504822</v>
      </c>
      <c r="AG199" s="240">
        <f>SUM(AG194:AG198)</f>
        <v>41841.2585825</v>
      </c>
      <c r="AH199" s="240">
        <f>SUM(AH194:AH198)</f>
        <v>1127.49889739368</v>
      </c>
      <c r="AI199" s="241">
        <f>SUM(AI194:AI198)</f>
        <v>44.0808076234921</v>
      </c>
      <c r="AK199" s="240">
        <f>SUM(AK194:AK198)</f>
        <v>43706.6655875</v>
      </c>
      <c r="AL199" s="240">
        <f>SUM(AL194:AL198)</f>
        <v>1155.53270889801</v>
      </c>
      <c r="AM199" s="241">
        <f>SUM(AM194:AM198)</f>
        <v>28.8134028749752</v>
      </c>
      <c r="AO199" s="240">
        <f>SUM(AO194:AO198)</f>
        <v>51685.9754675</v>
      </c>
      <c r="AP199" s="240">
        <f>SUM(AP194:AP198)</f>
        <v>1383.92771186527</v>
      </c>
      <c r="AQ199" s="241">
        <f>SUM(AQ194:AQ198)</f>
        <v>33.6010807260853</v>
      </c>
      <c r="AS199" s="240">
        <f>SUM(AS194:AS198)</f>
        <v>48733.335605</v>
      </c>
      <c r="AT199" s="240">
        <f>SUM(AT194:AT198)</f>
        <v>1330.65025120346</v>
      </c>
      <c r="AU199" s="241">
        <f>SUM(AU194:AU198)</f>
        <v>30.8663941360115</v>
      </c>
      <c r="AW199" s="240">
        <f>SUM(AW194:AW198)</f>
        <v>37276.22602</v>
      </c>
      <c r="AX199" s="240">
        <f>SUM(AX194:AX198)</f>
        <v>1016.84139541786</v>
      </c>
      <c r="AY199" s="241">
        <f>SUM(AY194:AY198)</f>
        <v>38.8804877229327</v>
      </c>
      <c r="BA199" s="240">
        <f>SUM(BA194:BA198)</f>
        <v>503676.74235</v>
      </c>
      <c r="BB199" s="240">
        <f>SUM(BB194:BB198)</f>
        <v>14126.1559987946</v>
      </c>
      <c r="BC199" s="241">
        <f>SUM(BC194:BC198)</f>
        <v>38.5690773633595</v>
      </c>
    </row>
  </sheetData>
  <conditionalFormatting sqref="D120:D164">
    <cfRule type="duplicateValues" dxfId="0" priority="9"/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9"/>
  <sheetViews>
    <sheetView topLeftCell="A100" workbookViewId="0">
      <selection activeCell="C112" sqref="C112"/>
    </sheetView>
  </sheetViews>
  <sheetFormatPr defaultColWidth="8.77777777777778" defaultRowHeight="14.4"/>
  <cols>
    <col min="1" max="1" width="10.7777777777778" style="3" customWidth="1"/>
    <col min="2" max="2" width="8.77777777777778" style="3"/>
    <col min="3" max="3" width="12.4444444444444" style="3" customWidth="1"/>
    <col min="4" max="7" width="11.7777777777778" style="3" customWidth="1"/>
    <col min="8" max="11" width="8.77777777777778" style="3"/>
    <col min="12" max="13" width="11.7777777777778" style="3" customWidth="1"/>
    <col min="14" max="16384" width="8.77777777777778" style="3"/>
  </cols>
  <sheetData>
    <row r="2" spans="1:13">
      <c r="A2" s="3" t="s">
        <v>219</v>
      </c>
      <c r="B2" s="3" t="s">
        <v>291</v>
      </c>
      <c r="C2" s="3" t="s">
        <v>292</v>
      </c>
      <c r="D2" s="3" t="s">
        <v>293</v>
      </c>
      <c r="E2" s="3" t="s">
        <v>294</v>
      </c>
      <c r="F2" s="3" t="s">
        <v>295</v>
      </c>
      <c r="G2" s="3" t="s">
        <v>296</v>
      </c>
      <c r="H2" s="3" t="s">
        <v>297</v>
      </c>
      <c r="I2" s="3" t="s">
        <v>298</v>
      </c>
      <c r="J2" s="3" t="s">
        <v>299</v>
      </c>
      <c r="K2" s="3" t="s">
        <v>300</v>
      </c>
      <c r="L2" s="3" t="s">
        <v>301</v>
      </c>
      <c r="M2" s="3" t="s">
        <v>302</v>
      </c>
    </row>
    <row r="3" spans="1:13">
      <c r="A3" s="3">
        <v>5001010200</v>
      </c>
      <c r="C3" s="3">
        <v>-36323.98</v>
      </c>
      <c r="D3" s="3">
        <v>4035</v>
      </c>
      <c r="F3" s="3">
        <v>3070.97</v>
      </c>
      <c r="J3" s="3">
        <v>667.93</v>
      </c>
      <c r="K3" s="3">
        <v>437.34</v>
      </c>
      <c r="L3" s="3">
        <v>3244.22</v>
      </c>
    </row>
    <row r="4" spans="1:13">
      <c r="A4" s="3">
        <v>5001010201</v>
      </c>
      <c r="D4" s="3">
        <v>591.02</v>
      </c>
      <c r="E4" s="3">
        <v>629.27</v>
      </c>
      <c r="G4" s="3">
        <v>562.63</v>
      </c>
      <c r="J4" s="3">
        <v>342.87</v>
      </c>
      <c r="L4" s="3">
        <v>68.08</v>
      </c>
    </row>
    <row r="5" spans="1:13">
      <c r="A5" s="3">
        <v>5001010205</v>
      </c>
      <c r="B5" s="3">
        <v>93639.96</v>
      </c>
      <c r="C5" s="3">
        <v>278320.27</v>
      </c>
      <c r="D5" s="3">
        <v>127679.43</v>
      </c>
      <c r="E5" s="3">
        <v>219879.27</v>
      </c>
      <c r="F5" s="3">
        <v>219763.98</v>
      </c>
      <c r="G5" s="3">
        <v>-1233590.71</v>
      </c>
      <c r="H5" s="3">
        <v>127968.46</v>
      </c>
      <c r="I5" s="3">
        <v>216490.7</v>
      </c>
      <c r="J5" s="3">
        <v>267503.68</v>
      </c>
      <c r="K5" s="3">
        <v>273729.53</v>
      </c>
      <c r="L5" s="3">
        <v>255526.15</v>
      </c>
      <c r="M5" s="3">
        <v>256711.33</v>
      </c>
    </row>
    <row r="6" spans="1:13">
      <c r="A6" s="3">
        <v>5001010206</v>
      </c>
      <c r="B6" s="3">
        <v>94112.95</v>
      </c>
      <c r="C6" s="3">
        <v>182981.46</v>
      </c>
      <c r="D6" s="3">
        <v>98287.7</v>
      </c>
      <c r="E6" s="3">
        <v>112041.88</v>
      </c>
      <c r="F6" s="3">
        <v>108326.29</v>
      </c>
      <c r="G6" s="3">
        <v>120497.91</v>
      </c>
      <c r="H6" s="3">
        <v>67923.66</v>
      </c>
      <c r="I6" s="3">
        <v>103015.92</v>
      </c>
      <c r="J6" s="3">
        <v>120815.31</v>
      </c>
      <c r="K6" s="3">
        <v>121891.55</v>
      </c>
      <c r="L6" s="3">
        <v>110045.3</v>
      </c>
      <c r="M6" s="3">
        <v>113426.07</v>
      </c>
    </row>
    <row r="7" spans="1:13">
      <c r="A7" s="3">
        <v>5102010151</v>
      </c>
      <c r="I7" s="3">
        <v>0.01</v>
      </c>
      <c r="K7" s="3">
        <v>0</v>
      </c>
    </row>
    <row r="8" spans="1:13">
      <c r="A8" s="3">
        <v>5102040893</v>
      </c>
      <c r="B8" s="3">
        <v>-130992.6</v>
      </c>
      <c r="M8" s="3">
        <v>100</v>
      </c>
    </row>
    <row r="9" spans="1:13">
      <c r="A9" s="3">
        <v>5207000011</v>
      </c>
      <c r="D9" s="3">
        <v>-109885.95</v>
      </c>
      <c r="L9" s="3">
        <v>-39355.82</v>
      </c>
    </row>
    <row r="10" spans="1:13">
      <c r="A10" s="3">
        <v>5207000012</v>
      </c>
      <c r="E10" s="3">
        <v>-28810.12</v>
      </c>
      <c r="L10" s="3">
        <v>33954.11</v>
      </c>
    </row>
    <row r="11" spans="1:13">
      <c r="A11" s="3">
        <v>5301070000</v>
      </c>
      <c r="B11" s="3">
        <v>-468763</v>
      </c>
      <c r="C11" s="3">
        <v>-852574</v>
      </c>
      <c r="D11" s="3">
        <v>-1120183</v>
      </c>
      <c r="E11" s="3">
        <v>-1217154</v>
      </c>
      <c r="F11" s="3">
        <v>-1656716</v>
      </c>
      <c r="G11" s="3">
        <v>-1315703</v>
      </c>
      <c r="H11" s="3">
        <v>-1589931</v>
      </c>
      <c r="I11" s="3">
        <v>-1132487</v>
      </c>
      <c r="J11" s="3">
        <v>-1980895</v>
      </c>
      <c r="K11" s="3">
        <v>-2082734</v>
      </c>
      <c r="L11" s="3">
        <v>-1724254.49</v>
      </c>
      <c r="M11" s="3">
        <v>-1278947</v>
      </c>
    </row>
    <row r="12" spans="1:13">
      <c r="A12" s="3">
        <v>5301999999</v>
      </c>
      <c r="F12" s="3">
        <v>-0.03</v>
      </c>
      <c r="H12" s="3">
        <v>173.48</v>
      </c>
      <c r="J12" s="3">
        <v>-231.62</v>
      </c>
      <c r="K12" s="3">
        <v>0.03</v>
      </c>
    </row>
    <row r="13" spans="1:13">
      <c r="A13" s="3">
        <v>5405030000</v>
      </c>
      <c r="H13" s="3">
        <v>-0.25</v>
      </c>
      <c r="I13" s="3">
        <v>0.01</v>
      </c>
      <c r="J13" s="3">
        <v>0.01</v>
      </c>
      <c r="K13" s="3">
        <v>0.01</v>
      </c>
      <c r="M13" s="3">
        <v>0.01</v>
      </c>
    </row>
    <row r="14" spans="1:13">
      <c r="A14" s="3">
        <v>5601050000</v>
      </c>
      <c r="C14" s="3">
        <v>165.12</v>
      </c>
      <c r="J14" s="3">
        <v>104.17</v>
      </c>
      <c r="L14" s="3">
        <v>0.11</v>
      </c>
    </row>
    <row r="15" spans="1:13">
      <c r="A15" s="3">
        <v>5601050100</v>
      </c>
      <c r="B15" s="3">
        <v>58.46</v>
      </c>
      <c r="C15" s="3">
        <v>10.38</v>
      </c>
      <c r="D15" s="3">
        <v>10.42</v>
      </c>
      <c r="E15" s="3">
        <v>1001.27</v>
      </c>
      <c r="G15" s="3">
        <v>303.96</v>
      </c>
      <c r="H15" s="3">
        <v>85.66</v>
      </c>
      <c r="I15" s="3">
        <v>366.23</v>
      </c>
      <c r="K15" s="3">
        <v>1317.82</v>
      </c>
    </row>
    <row r="16" spans="1:13">
      <c r="A16" s="3">
        <v>5801000041</v>
      </c>
    </row>
    <row r="17" spans="1:13">
      <c r="A17" s="3">
        <v>6666010012</v>
      </c>
      <c r="B17" s="3">
        <v>560370.98</v>
      </c>
      <c r="C17" s="3">
        <v>1557641.79</v>
      </c>
      <c r="D17" s="3">
        <v>846949.8</v>
      </c>
      <c r="E17" s="3">
        <v>969755.45</v>
      </c>
      <c r="F17" s="3">
        <v>928220.3</v>
      </c>
      <c r="G17" s="3">
        <v>1028418.22</v>
      </c>
      <c r="H17" s="3">
        <v>923178.26</v>
      </c>
      <c r="I17" s="3">
        <v>872232.92</v>
      </c>
      <c r="J17" s="3">
        <v>1049480.19</v>
      </c>
      <c r="K17" s="3">
        <v>1058565.06</v>
      </c>
      <c r="L17" s="3">
        <v>962787.32</v>
      </c>
      <c r="M17" s="3">
        <v>990562.93</v>
      </c>
    </row>
    <row r="18" spans="1:13">
      <c r="A18" s="3">
        <v>6666010019</v>
      </c>
      <c r="B18" s="3">
        <v>735876.08</v>
      </c>
      <c r="C18" s="3">
        <v>2185299.33</v>
      </c>
      <c r="D18" s="3">
        <v>1003324.12</v>
      </c>
      <c r="E18" s="3">
        <v>1730172.69</v>
      </c>
      <c r="F18" s="3">
        <v>1728708.57</v>
      </c>
      <c r="G18" s="3">
        <v>1955005.16</v>
      </c>
      <c r="H18" s="3">
        <v>1727433.92</v>
      </c>
      <c r="I18" s="3">
        <v>1704201.45</v>
      </c>
      <c r="J18" s="3">
        <v>2143248.37</v>
      </c>
      <c r="K18" s="3">
        <v>2190423.7</v>
      </c>
      <c r="L18" s="3">
        <v>2043177.1</v>
      </c>
      <c r="M18" s="3">
        <v>2052715.97</v>
      </c>
    </row>
    <row r="19" spans="1:13">
      <c r="A19" s="3">
        <v>6666010101</v>
      </c>
      <c r="B19" s="3">
        <v>2546205.68</v>
      </c>
      <c r="C19" s="3">
        <v>2374086.53</v>
      </c>
      <c r="D19" s="3">
        <v>2623904.44</v>
      </c>
      <c r="E19" s="3">
        <v>3368337.76</v>
      </c>
      <c r="F19" s="3">
        <v>2286032.26</v>
      </c>
      <c r="G19" s="3">
        <v>2579677.44</v>
      </c>
      <c r="H19" s="3">
        <v>2967814.97</v>
      </c>
      <c r="I19" s="3">
        <v>2851529.79</v>
      </c>
      <c r="J19" s="3">
        <v>2939152.89</v>
      </c>
      <c r="K19" s="3">
        <v>2918711.47</v>
      </c>
      <c r="L19" s="3">
        <v>2829467.53</v>
      </c>
      <c r="M19" s="3">
        <v>2550781.73</v>
      </c>
    </row>
    <row r="20" spans="1:13">
      <c r="A20" s="3">
        <v>6666010102</v>
      </c>
      <c r="B20" s="3">
        <v>3868284.31</v>
      </c>
      <c r="C20" s="3">
        <v>2882097.23</v>
      </c>
      <c r="D20" s="3">
        <v>6494467.38</v>
      </c>
      <c r="E20" s="3">
        <v>5354045.25</v>
      </c>
      <c r="F20" s="3">
        <v>5562921.06</v>
      </c>
      <c r="G20" s="3">
        <v>6217980.29</v>
      </c>
      <c r="H20" s="3">
        <v>5890259.7</v>
      </c>
      <c r="I20" s="3">
        <v>5364878.61</v>
      </c>
      <c r="J20" s="3">
        <v>6411628.03</v>
      </c>
      <c r="K20" s="3">
        <v>6219776.47</v>
      </c>
      <c r="L20" s="3">
        <v>5525183.77</v>
      </c>
      <c r="M20" s="3">
        <v>6658631.1</v>
      </c>
    </row>
    <row r="21" spans="1:13">
      <c r="A21" s="3">
        <v>6666010115</v>
      </c>
      <c r="B21" s="3">
        <v>76878.85</v>
      </c>
      <c r="C21" s="3">
        <v>-10888234.51</v>
      </c>
      <c r="D21" s="3">
        <v>-366108.08</v>
      </c>
      <c r="E21" s="3">
        <v>-8332.35</v>
      </c>
      <c r="F21" s="3">
        <v>35239.43</v>
      </c>
      <c r="G21" s="3">
        <v>-3601.65</v>
      </c>
      <c r="H21" s="3">
        <v>140229.36</v>
      </c>
      <c r="I21" s="3">
        <v>-135884.77</v>
      </c>
      <c r="J21" s="3">
        <v>25779.98</v>
      </c>
      <c r="K21" s="3">
        <v>74725.4</v>
      </c>
      <c r="L21" s="3">
        <v>-58980.7</v>
      </c>
      <c r="M21" s="3">
        <v>-47450.02</v>
      </c>
    </row>
    <row r="22" spans="1:13">
      <c r="A22" s="3">
        <v>6666010183</v>
      </c>
      <c r="B22" s="3">
        <v>3003.2</v>
      </c>
      <c r="C22" s="3">
        <v>384554.87</v>
      </c>
      <c r="D22" s="3">
        <v>241260.01</v>
      </c>
      <c r="E22" s="3">
        <v>1361690.37</v>
      </c>
      <c r="F22" s="3">
        <v>756539.28</v>
      </c>
      <c r="G22" s="3">
        <v>326006.22</v>
      </c>
      <c r="H22" s="3">
        <v>555052.43</v>
      </c>
      <c r="I22" s="3">
        <v>277247.08</v>
      </c>
      <c r="J22" s="3">
        <v>517450.21</v>
      </c>
      <c r="K22" s="3">
        <v>953195.11</v>
      </c>
      <c r="L22" s="3">
        <v>782805.08</v>
      </c>
      <c r="M22" s="3">
        <v>439804.3</v>
      </c>
    </row>
    <row r="23" spans="1:13">
      <c r="A23" s="3">
        <v>6666010184</v>
      </c>
      <c r="B23" s="3">
        <v>-2106.9</v>
      </c>
      <c r="C23" s="3">
        <v>-2727.59</v>
      </c>
      <c r="D23" s="3">
        <v>-3400.31</v>
      </c>
      <c r="E23" s="3">
        <v>-13974.06</v>
      </c>
      <c r="F23" s="3">
        <v>-18001.2</v>
      </c>
      <c r="G23" s="3">
        <v>-17457.09</v>
      </c>
      <c r="H23" s="3">
        <v>-15693.87</v>
      </c>
      <c r="I23" s="3">
        <v>-14946.68</v>
      </c>
      <c r="J23" s="3">
        <v>-8656.51</v>
      </c>
      <c r="K23" s="3">
        <v>-6720.29</v>
      </c>
      <c r="L23" s="3">
        <v>-6585.3</v>
      </c>
      <c r="M23" s="3">
        <v>-6686.28</v>
      </c>
    </row>
    <row r="24" spans="1:13">
      <c r="A24" s="3">
        <v>6666010185</v>
      </c>
      <c r="B24" s="3">
        <v>-16634.82</v>
      </c>
      <c r="C24" s="3">
        <v>-8098.09</v>
      </c>
      <c r="D24" s="3">
        <v>-12075.66</v>
      </c>
      <c r="E24" s="3">
        <v>-11123.49</v>
      </c>
      <c r="F24" s="3">
        <v>-11165.9</v>
      </c>
      <c r="G24" s="3">
        <v>-13955.85</v>
      </c>
      <c r="H24" s="3">
        <v>-13079.26</v>
      </c>
      <c r="I24" s="3">
        <v>-15072.25</v>
      </c>
      <c r="J24" s="3">
        <v>-11503.48</v>
      </c>
      <c r="K24" s="3">
        <v>-10148.25</v>
      </c>
      <c r="L24" s="3">
        <v>-10155.72</v>
      </c>
      <c r="M24" s="3">
        <v>-10143.36</v>
      </c>
    </row>
    <row r="25" spans="1:13">
      <c r="A25" s="3">
        <v>6666010186</v>
      </c>
      <c r="B25" s="3">
        <v>37825.79</v>
      </c>
      <c r="C25" s="3">
        <v>409598.22</v>
      </c>
      <c r="D25" s="3">
        <v>311504.97</v>
      </c>
      <c r="E25" s="3">
        <v>808504.4</v>
      </c>
      <c r="F25" s="3">
        <v>449293.44</v>
      </c>
      <c r="G25" s="3">
        <v>241682.62</v>
      </c>
      <c r="H25" s="3">
        <v>464884.31</v>
      </c>
      <c r="I25" s="3">
        <v>342554.14</v>
      </c>
      <c r="J25" s="3">
        <v>289239.44</v>
      </c>
      <c r="K25" s="3">
        <v>523131.88</v>
      </c>
      <c r="L25" s="3">
        <v>462570.99</v>
      </c>
      <c r="M25" s="3">
        <v>398761.97</v>
      </c>
    </row>
    <row r="26" spans="1:13">
      <c r="A26" s="3">
        <v>6666010188</v>
      </c>
      <c r="B26" s="3">
        <v>4465979.36</v>
      </c>
      <c r="C26" s="3">
        <v>13639447.04</v>
      </c>
      <c r="D26" s="3">
        <v>4580142.76</v>
      </c>
      <c r="E26" s="3">
        <v>9638498.38</v>
      </c>
      <c r="F26" s="3">
        <v>10259971.29</v>
      </c>
      <c r="G26" s="3">
        <v>12027993.87</v>
      </c>
      <c r="H26" s="3">
        <v>9147094.53</v>
      </c>
      <c r="I26" s="3">
        <v>10575982.14</v>
      </c>
      <c r="J26" s="3">
        <v>12607755.85</v>
      </c>
      <c r="K26" s="3">
        <v>12454578.1</v>
      </c>
      <c r="L26" s="3">
        <v>11929469.96</v>
      </c>
      <c r="M26" s="3">
        <v>10234573.22</v>
      </c>
    </row>
    <row r="27" spans="1:13">
      <c r="A27" s="3">
        <v>6666010189</v>
      </c>
      <c r="C27" s="3">
        <v>1962.06</v>
      </c>
      <c r="D27" s="3">
        <v>0</v>
      </c>
      <c r="E27" s="3">
        <v>35135.6</v>
      </c>
      <c r="G27" s="3">
        <v>-89980.84</v>
      </c>
      <c r="H27" s="3">
        <v>-144.56</v>
      </c>
      <c r="I27" s="3">
        <v>0</v>
      </c>
      <c r="J27" s="3">
        <v>-69372.82</v>
      </c>
      <c r="K27" s="3">
        <v>-30980.95</v>
      </c>
      <c r="L27" s="3">
        <v>0</v>
      </c>
      <c r="M27" s="3">
        <v>0</v>
      </c>
    </row>
    <row r="28" spans="1:13">
      <c r="A28" s="3">
        <v>6666010196</v>
      </c>
      <c r="B28" s="3">
        <v>384828.82</v>
      </c>
      <c r="C28" s="3">
        <v>358205.53</v>
      </c>
      <c r="D28" s="3">
        <v>387463.63</v>
      </c>
      <c r="E28" s="3">
        <v>365928.58</v>
      </c>
      <c r="F28" s="3">
        <v>345326.74</v>
      </c>
      <c r="G28" s="3">
        <v>386461.81</v>
      </c>
      <c r="H28" s="3">
        <v>376479.62</v>
      </c>
      <c r="I28" s="3">
        <v>392844.16</v>
      </c>
      <c r="J28" s="3">
        <v>428609.96</v>
      </c>
      <c r="K28" s="3">
        <v>412179.23</v>
      </c>
      <c r="L28" s="3">
        <v>408952.16</v>
      </c>
      <c r="M28" s="3">
        <v>378381.63</v>
      </c>
    </row>
    <row r="29" spans="1:13">
      <c r="A29" s="3">
        <v>6666010199</v>
      </c>
      <c r="B29" s="3">
        <v>554086.62</v>
      </c>
      <c r="C29" s="3">
        <v>81918.53</v>
      </c>
      <c r="D29" s="3">
        <v>224647.96</v>
      </c>
      <c r="E29" s="3">
        <v>-1154500.94</v>
      </c>
      <c r="F29" s="3">
        <v>-39656.31</v>
      </c>
      <c r="G29" s="3">
        <v>36173.86</v>
      </c>
      <c r="H29" s="3">
        <v>95022.86</v>
      </c>
      <c r="I29" s="3">
        <v>608001.74</v>
      </c>
      <c r="J29" s="3">
        <v>-35588.97</v>
      </c>
      <c r="K29" s="3">
        <v>393080.24</v>
      </c>
      <c r="L29" s="3">
        <v>97622.31</v>
      </c>
      <c r="M29" s="3">
        <v>-311613.54</v>
      </c>
    </row>
    <row r="30" spans="1:13">
      <c r="A30" s="3">
        <v>6666010207</v>
      </c>
      <c r="B30" s="3">
        <v>34949.78</v>
      </c>
      <c r="C30" s="3">
        <v>32857.88</v>
      </c>
      <c r="D30" s="3">
        <v>44477.35</v>
      </c>
      <c r="E30" s="3">
        <v>41169.78</v>
      </c>
      <c r="F30" s="3">
        <v>39540.16</v>
      </c>
      <c r="G30" s="3">
        <v>45376.99</v>
      </c>
      <c r="H30" s="3">
        <v>47234.76</v>
      </c>
      <c r="I30" s="3">
        <v>49185.15</v>
      </c>
      <c r="J30" s="3">
        <v>45793.36</v>
      </c>
      <c r="K30" s="3">
        <v>42460.49</v>
      </c>
      <c r="L30" s="3">
        <v>42234.21</v>
      </c>
      <c r="M30" s="3">
        <v>38215.89</v>
      </c>
    </row>
    <row r="31" spans="1:13">
      <c r="A31" s="3">
        <v>6666010226</v>
      </c>
      <c r="B31" s="3">
        <v>81532.03</v>
      </c>
      <c r="C31" s="3">
        <v>399522.49</v>
      </c>
      <c r="D31" s="3">
        <v>359424.32</v>
      </c>
      <c r="E31" s="3">
        <v>1238.08</v>
      </c>
      <c r="F31" s="3">
        <v>192453.63</v>
      </c>
      <c r="G31" s="3">
        <v>159599.26</v>
      </c>
      <c r="H31" s="3">
        <v>215571.08</v>
      </c>
      <c r="I31" s="3">
        <v>169589.15</v>
      </c>
      <c r="J31" s="3">
        <v>162217.6</v>
      </c>
      <c r="K31" s="3">
        <v>161817.35</v>
      </c>
      <c r="L31" s="3">
        <v>158916.52</v>
      </c>
      <c r="M31" s="3">
        <v>158266.9</v>
      </c>
    </row>
    <row r="32" spans="1:13">
      <c r="A32" s="3">
        <v>6666010227</v>
      </c>
      <c r="B32" s="3">
        <v>16811.04</v>
      </c>
      <c r="C32" s="3">
        <v>-227414.33</v>
      </c>
      <c r="D32" s="3">
        <v>288838.11</v>
      </c>
      <c r="E32" s="3">
        <v>34628.72</v>
      </c>
      <c r="F32" s="3">
        <v>31753.97</v>
      </c>
      <c r="G32" s="3">
        <v>33157.43</v>
      </c>
      <c r="H32" s="3">
        <v>23255.34</v>
      </c>
      <c r="I32" s="3">
        <v>38515.35</v>
      </c>
      <c r="J32" s="3">
        <v>97614.08</v>
      </c>
      <c r="K32" s="3">
        <v>39337.63</v>
      </c>
      <c r="L32" s="3">
        <v>42498.7</v>
      </c>
      <c r="M32" s="3">
        <v>40806.23</v>
      </c>
    </row>
    <row r="33" spans="1:13">
      <c r="A33" s="3">
        <v>6666010229</v>
      </c>
      <c r="B33" s="3">
        <v>422939.6</v>
      </c>
      <c r="C33" s="3">
        <v>650586.37</v>
      </c>
      <c r="D33" s="3">
        <v>65752.32</v>
      </c>
      <c r="E33" s="3">
        <v>356457.89</v>
      </c>
      <c r="F33" s="3">
        <v>272912.19</v>
      </c>
      <c r="G33" s="3">
        <v>318157.28</v>
      </c>
      <c r="H33" s="3">
        <v>330712.58</v>
      </c>
      <c r="I33" s="3">
        <v>355128.86</v>
      </c>
      <c r="J33" s="3">
        <v>361581.52</v>
      </c>
      <c r="K33" s="3">
        <v>391859.44</v>
      </c>
      <c r="L33" s="3">
        <v>397859.32</v>
      </c>
      <c r="M33" s="3">
        <v>415066.52</v>
      </c>
    </row>
    <row r="34" spans="1:13">
      <c r="A34" s="3">
        <v>6666010302</v>
      </c>
      <c r="B34" s="3">
        <v>3500</v>
      </c>
      <c r="C34" s="3">
        <v>103500</v>
      </c>
      <c r="D34" s="3">
        <v>-50000</v>
      </c>
      <c r="E34" s="3">
        <v>-9512.35</v>
      </c>
      <c r="F34" s="3">
        <v>2757.05</v>
      </c>
      <c r="G34" s="3">
        <v>1484000</v>
      </c>
      <c r="H34" s="3">
        <v>210077.67</v>
      </c>
      <c r="I34" s="3">
        <v>10888.6</v>
      </c>
      <c r="J34" s="3">
        <v>3509.3</v>
      </c>
      <c r="K34" s="3">
        <v>0</v>
      </c>
      <c r="L34" s="3">
        <v>0</v>
      </c>
      <c r="M34" s="3">
        <v>-4400</v>
      </c>
    </row>
    <row r="35" spans="1:13">
      <c r="A35" s="3">
        <v>6666010314</v>
      </c>
      <c r="B35" s="3">
        <v>383080.71</v>
      </c>
      <c r="C35" s="3">
        <v>383236.87</v>
      </c>
      <c r="D35" s="3">
        <v>574246.82</v>
      </c>
      <c r="E35" s="3">
        <v>861211.61</v>
      </c>
      <c r="F35" s="3">
        <v>387733.23</v>
      </c>
      <c r="G35" s="3">
        <v>383158.79</v>
      </c>
      <c r="H35" s="3">
        <v>400408.94</v>
      </c>
      <c r="I35" s="3">
        <v>383158.79</v>
      </c>
      <c r="J35" s="3">
        <v>388665.96</v>
      </c>
      <c r="K35" s="3">
        <v>1733751.23</v>
      </c>
      <c r="L35" s="3">
        <v>50000</v>
      </c>
      <c r="M35" s="3">
        <v>23629.86</v>
      </c>
    </row>
    <row r="36" spans="1:13">
      <c r="A36" s="3">
        <v>6666010322</v>
      </c>
      <c r="B36" s="3">
        <v>79380.39</v>
      </c>
      <c r="C36" s="3">
        <v>58342.28</v>
      </c>
      <c r="D36" s="3">
        <v>60645.17</v>
      </c>
      <c r="E36" s="3">
        <v>40691.03</v>
      </c>
      <c r="F36" s="3">
        <v>80005.44</v>
      </c>
      <c r="G36" s="3">
        <v>20582.44</v>
      </c>
      <c r="H36" s="3">
        <v>43400.99</v>
      </c>
      <c r="I36" s="3">
        <v>43767.95</v>
      </c>
      <c r="J36" s="3">
        <v>38963.9</v>
      </c>
      <c r="K36" s="3">
        <v>29115.74</v>
      </c>
      <c r="L36" s="3">
        <v>32564.3</v>
      </c>
      <c r="M36" s="3">
        <v>28272.29</v>
      </c>
    </row>
    <row r="37" spans="1:13">
      <c r="A37" s="3">
        <v>6666010380</v>
      </c>
      <c r="B37" s="3">
        <v>-15295.21</v>
      </c>
      <c r="C37" s="3">
        <v>-15295.2</v>
      </c>
      <c r="D37" s="3">
        <v>-14261.76</v>
      </c>
      <c r="E37" s="3">
        <v>-51174.54</v>
      </c>
      <c r="F37" s="3">
        <v>-43874.73</v>
      </c>
      <c r="G37" s="3">
        <v>-44253.63</v>
      </c>
      <c r="H37" s="3">
        <v>-45882.54</v>
      </c>
      <c r="I37" s="3">
        <v>-47329.4</v>
      </c>
      <c r="J37" s="3">
        <v>-50989.9</v>
      </c>
      <c r="K37" s="3">
        <v>-49406.83</v>
      </c>
      <c r="L37" s="3">
        <v>-45204.67</v>
      </c>
      <c r="M37" s="3">
        <v>-47040.62</v>
      </c>
    </row>
    <row r="38" spans="1:13">
      <c r="A38" s="3">
        <v>6666020101</v>
      </c>
      <c r="C38" s="3">
        <v>86509.06</v>
      </c>
      <c r="D38" s="3">
        <v>87927.2</v>
      </c>
      <c r="E38" s="3">
        <v>85090.93</v>
      </c>
      <c r="F38" s="3">
        <v>86509.07</v>
      </c>
      <c r="G38" s="3">
        <v>86509.06</v>
      </c>
      <c r="H38" s="3">
        <v>86509.06</v>
      </c>
      <c r="I38" s="3">
        <v>86509.06</v>
      </c>
      <c r="J38" s="3">
        <v>86509.06</v>
      </c>
      <c r="K38" s="3">
        <v>-51936.94</v>
      </c>
      <c r="L38" s="3">
        <v>-51936.94</v>
      </c>
      <c r="M38" s="3">
        <v>-570990.11</v>
      </c>
    </row>
    <row r="39" spans="1:13">
      <c r="A39" s="3">
        <v>6666020201</v>
      </c>
      <c r="B39" s="3">
        <v>976.76</v>
      </c>
      <c r="C39" s="3">
        <v>3007.98</v>
      </c>
      <c r="D39" s="3">
        <v>2239.12</v>
      </c>
      <c r="E39" s="3">
        <v>5382.68</v>
      </c>
      <c r="F39" s="3">
        <v>5571.26</v>
      </c>
      <c r="G39" s="3">
        <v>7953.39</v>
      </c>
      <c r="H39" s="3">
        <v>9746.79</v>
      </c>
      <c r="I39" s="3">
        <v>1438.89</v>
      </c>
      <c r="J39" s="3">
        <v>7303.65</v>
      </c>
      <c r="K39" s="3">
        <v>5396.78</v>
      </c>
      <c r="L39" s="3">
        <v>2306.56</v>
      </c>
      <c r="M39" s="3">
        <v>2961.65</v>
      </c>
    </row>
    <row r="40" spans="1:13">
      <c r="A40" s="3">
        <v>6666020202</v>
      </c>
      <c r="B40" s="3">
        <v>21.03</v>
      </c>
      <c r="D40" s="3">
        <v>10594.8</v>
      </c>
      <c r="E40" s="3">
        <v>8061.6</v>
      </c>
      <c r="G40" s="3">
        <v>1567.72</v>
      </c>
      <c r="J40" s="3">
        <v>28000</v>
      </c>
      <c r="L40" s="3">
        <v>4411.2</v>
      </c>
      <c r="M40" s="3">
        <v>1761.25</v>
      </c>
    </row>
    <row r="41" spans="1:13">
      <c r="A41" s="3">
        <v>6666020204</v>
      </c>
      <c r="B41" s="3">
        <v>8360</v>
      </c>
      <c r="C41" s="3">
        <v>18367.1</v>
      </c>
      <c r="D41" s="3">
        <v>16741</v>
      </c>
      <c r="E41" s="3">
        <v>10964.21</v>
      </c>
      <c r="F41" s="3">
        <v>6949.78</v>
      </c>
      <c r="G41" s="3">
        <v>11789.8</v>
      </c>
      <c r="H41" s="3">
        <v>16353.27</v>
      </c>
      <c r="J41" s="3">
        <v>1755.37</v>
      </c>
      <c r="L41" s="3">
        <v>14852.7</v>
      </c>
      <c r="M41" s="3">
        <v>5431.35</v>
      </c>
    </row>
    <row r="42" spans="1:13">
      <c r="A42" s="3">
        <v>6666020205</v>
      </c>
      <c r="H42" s="3">
        <v>333.33</v>
      </c>
    </row>
    <row r="43" spans="1:13">
      <c r="A43" s="3">
        <v>6666020301</v>
      </c>
      <c r="I43" s="3">
        <v>147431.09</v>
      </c>
      <c r="K43" s="3">
        <v>92909.62</v>
      </c>
      <c r="L43" s="3">
        <v>32500.58</v>
      </c>
      <c r="M43" s="3">
        <v>32064.95</v>
      </c>
    </row>
    <row r="44" spans="1:13">
      <c r="A44" s="3">
        <v>6666020302</v>
      </c>
    </row>
    <row r="45" spans="1:13">
      <c r="A45" s="3">
        <v>6666020401</v>
      </c>
      <c r="B45" s="3">
        <v>551229.54</v>
      </c>
      <c r="C45" s="3">
        <v>866738.15</v>
      </c>
      <c r="D45" s="3">
        <v>805783.04</v>
      </c>
      <c r="E45" s="3">
        <v>1016403.73</v>
      </c>
      <c r="F45" s="3">
        <v>1205392.69</v>
      </c>
      <c r="G45" s="3">
        <v>1068244.75</v>
      </c>
      <c r="H45" s="3">
        <v>1199226.69</v>
      </c>
      <c r="I45" s="3">
        <v>1156321.24</v>
      </c>
      <c r="J45" s="3">
        <v>1236708.13</v>
      </c>
      <c r="K45" s="3">
        <v>1240293.3</v>
      </c>
      <c r="L45" s="3">
        <v>1173481.73</v>
      </c>
      <c r="M45" s="3">
        <v>1229508.99</v>
      </c>
    </row>
    <row r="46" spans="1:13">
      <c r="A46" s="3">
        <v>6666020405</v>
      </c>
      <c r="D46" s="3">
        <v>270</v>
      </c>
    </row>
    <row r="47" spans="1:13">
      <c r="A47" s="3">
        <v>6666020495</v>
      </c>
      <c r="B47" s="3">
        <v>1313.39</v>
      </c>
      <c r="C47" s="3">
        <v>2187.16</v>
      </c>
      <c r="E47" s="3">
        <v>6037.4</v>
      </c>
      <c r="F47" s="3">
        <v>7448.19</v>
      </c>
      <c r="G47" s="3">
        <v>4949.85</v>
      </c>
      <c r="H47" s="3">
        <v>7273.86</v>
      </c>
      <c r="I47" s="3">
        <v>9900.46</v>
      </c>
      <c r="J47" s="3">
        <v>3237.84</v>
      </c>
      <c r="K47" s="3">
        <v>9775.14</v>
      </c>
      <c r="L47" s="3">
        <v>8337.53</v>
      </c>
      <c r="M47" s="3">
        <v>8472.29</v>
      </c>
    </row>
    <row r="48" spans="1:13">
      <c r="A48" s="3">
        <v>6666020502</v>
      </c>
      <c r="B48" s="3">
        <v>530954.69</v>
      </c>
      <c r="C48" s="3">
        <v>750120.84</v>
      </c>
      <c r="D48" s="3">
        <v>764186.97</v>
      </c>
      <c r="E48" s="3">
        <v>878840.55</v>
      </c>
      <c r="F48" s="3">
        <v>1301054.57</v>
      </c>
      <c r="G48" s="3">
        <v>1031100.45</v>
      </c>
      <c r="H48" s="3">
        <v>1262071.39</v>
      </c>
      <c r="I48" s="3">
        <v>1085830.73</v>
      </c>
      <c r="J48" s="3">
        <v>1566056.93</v>
      </c>
      <c r="K48" s="3">
        <v>1523030.38</v>
      </c>
      <c r="L48" s="3">
        <v>1401319.04</v>
      </c>
      <c r="M48" s="3">
        <v>1328305.82</v>
      </c>
    </row>
    <row r="49" spans="1:13">
      <c r="A49" s="3">
        <v>6666020503</v>
      </c>
      <c r="B49" s="3">
        <v>32000</v>
      </c>
      <c r="C49" s="3">
        <v>34269.78</v>
      </c>
      <c r="D49" s="3">
        <v>31151.13</v>
      </c>
      <c r="E49" s="3">
        <v>34120.07</v>
      </c>
      <c r="F49" s="3">
        <v>30827.2</v>
      </c>
      <c r="G49" s="3">
        <v>32473.64</v>
      </c>
      <c r="H49" s="3">
        <v>34868.35</v>
      </c>
      <c r="I49" s="3">
        <v>32473.64</v>
      </c>
      <c r="J49" s="3">
        <v>32901.82</v>
      </c>
      <c r="K49" s="3">
        <v>-22486.42</v>
      </c>
      <c r="L49" s="3">
        <v>35501.66</v>
      </c>
      <c r="M49" s="3">
        <v>-104207.12</v>
      </c>
    </row>
    <row r="50" spans="1:13">
      <c r="A50" s="3">
        <v>6666020504</v>
      </c>
      <c r="F50" s="3">
        <v>4500</v>
      </c>
    </row>
    <row r="51" spans="1:13">
      <c r="A51" s="3">
        <v>6666020508</v>
      </c>
    </row>
    <row r="52" spans="1:13">
      <c r="A52" s="3">
        <v>6666020602</v>
      </c>
      <c r="B52" s="3">
        <v>37050</v>
      </c>
      <c r="C52" s="3">
        <v>17389</v>
      </c>
      <c r="D52" s="3">
        <v>600</v>
      </c>
      <c r="E52" s="3">
        <v>232329.41</v>
      </c>
      <c r="H52" s="3">
        <v>49428.6</v>
      </c>
      <c r="I52" s="3">
        <v>10500</v>
      </c>
      <c r="J52" s="3">
        <v>-228000</v>
      </c>
      <c r="L52" s="3">
        <v>-3279.41</v>
      </c>
      <c r="M52" s="3">
        <v>-7679.4</v>
      </c>
    </row>
    <row r="53" spans="1:13">
      <c r="A53" s="3">
        <v>6666020701</v>
      </c>
      <c r="B53" s="3">
        <v>0</v>
      </c>
      <c r="C53" s="3">
        <v>0</v>
      </c>
      <c r="D53" s="3">
        <v>0</v>
      </c>
    </row>
    <row r="54" spans="1:13">
      <c r="A54" s="3">
        <v>6666020801</v>
      </c>
    </row>
    <row r="55" spans="1:13">
      <c r="A55" s="3">
        <v>6666020802</v>
      </c>
      <c r="B55" s="3">
        <v>386041.38</v>
      </c>
      <c r="C55" s="3">
        <v>396106.12</v>
      </c>
      <c r="D55" s="3">
        <v>427379.45</v>
      </c>
      <c r="E55" s="3">
        <v>381763.64</v>
      </c>
      <c r="F55" s="3">
        <v>373125</v>
      </c>
      <c r="G55" s="3">
        <v>501410</v>
      </c>
      <c r="H55" s="3">
        <v>502450.93</v>
      </c>
      <c r="I55" s="3">
        <v>352450</v>
      </c>
      <c r="J55" s="3">
        <v>352450</v>
      </c>
      <c r="K55" s="3">
        <v>352450</v>
      </c>
      <c r="L55" s="3">
        <v>352450</v>
      </c>
      <c r="M55" s="3">
        <v>385196.5</v>
      </c>
    </row>
    <row r="56" spans="1:13">
      <c r="A56" s="3">
        <v>6666020803</v>
      </c>
      <c r="B56" s="3">
        <v>242000</v>
      </c>
      <c r="C56" s="3">
        <v>372323.19</v>
      </c>
      <c r="D56" s="3">
        <v>235485.12</v>
      </c>
      <c r="E56" s="3">
        <v>97368.97</v>
      </c>
      <c r="F56" s="3">
        <v>242100.92</v>
      </c>
      <c r="G56" s="3">
        <v>119365.25</v>
      </c>
      <c r="H56" s="3">
        <v>128833.11</v>
      </c>
      <c r="I56" s="3">
        <v>197944.16</v>
      </c>
      <c r="J56" s="3">
        <v>157878.57</v>
      </c>
      <c r="K56" s="3">
        <v>235195.33</v>
      </c>
      <c r="L56" s="3">
        <v>144742.38</v>
      </c>
      <c r="M56" s="3">
        <v>27325.6</v>
      </c>
    </row>
    <row r="57" spans="1:13">
      <c r="A57" s="3">
        <v>6666020901</v>
      </c>
      <c r="B57" s="3">
        <v>6.91</v>
      </c>
      <c r="H57" s="3">
        <v>25.66</v>
      </c>
      <c r="L57" s="3">
        <v>-0.01</v>
      </c>
    </row>
    <row r="58" spans="1:13">
      <c r="A58" s="3">
        <v>6666020903</v>
      </c>
      <c r="B58" s="3">
        <v>0</v>
      </c>
    </row>
    <row r="59" spans="1:13">
      <c r="A59" s="3">
        <v>6666021100</v>
      </c>
      <c r="B59" s="3">
        <v>150807.5</v>
      </c>
      <c r="C59" s="3">
        <v>233404</v>
      </c>
      <c r="D59" s="3">
        <v>320607.39</v>
      </c>
      <c r="E59" s="3">
        <v>234939.63</v>
      </c>
      <c r="F59" s="3">
        <v>234939.63</v>
      </c>
      <c r="G59" s="3">
        <v>234939.63</v>
      </c>
      <c r="H59" s="3">
        <v>242932.57</v>
      </c>
      <c r="I59" s="3">
        <v>234939.63</v>
      </c>
      <c r="J59" s="3">
        <v>234939.63</v>
      </c>
      <c r="K59" s="3">
        <v>234939.63</v>
      </c>
      <c r="L59" s="3">
        <v>234939.63</v>
      </c>
      <c r="M59" s="3">
        <v>-407126.78</v>
      </c>
    </row>
    <row r="60" spans="1:13">
      <c r="A60" s="3">
        <v>6666021500</v>
      </c>
      <c r="B60" s="3">
        <v>21266.75</v>
      </c>
      <c r="D60" s="3">
        <v>83456.98</v>
      </c>
      <c r="E60" s="3">
        <v>98626.7</v>
      </c>
      <c r="F60" s="3">
        <v>658412</v>
      </c>
      <c r="G60" s="3">
        <v>179367.28</v>
      </c>
      <c r="H60" s="3">
        <v>54155.06</v>
      </c>
      <c r="I60" s="3">
        <v>27000</v>
      </c>
      <c r="J60" s="3">
        <v>186706.08</v>
      </c>
      <c r="K60" s="3">
        <v>288422.37</v>
      </c>
      <c r="L60" s="3">
        <v>169697.09</v>
      </c>
      <c r="M60" s="3">
        <v>2243369.18</v>
      </c>
    </row>
    <row r="61" spans="1:13">
      <c r="A61" s="3">
        <v>6666021502</v>
      </c>
      <c r="B61" s="3">
        <v>666525</v>
      </c>
      <c r="C61" s="3">
        <v>687554.92</v>
      </c>
      <c r="D61" s="3">
        <v>549698.49</v>
      </c>
      <c r="E61" s="3">
        <v>663912.15</v>
      </c>
      <c r="F61" s="3">
        <v>29247.53</v>
      </c>
      <c r="G61" s="3">
        <v>504032.35</v>
      </c>
      <c r="H61" s="3">
        <v>645383.41</v>
      </c>
      <c r="I61" s="3">
        <v>-497268.42</v>
      </c>
      <c r="J61" s="3">
        <v>-259032.9</v>
      </c>
      <c r="K61" s="3">
        <v>436102.83</v>
      </c>
      <c r="L61" s="3">
        <v>517823.45</v>
      </c>
      <c r="M61" s="3">
        <v>-2223853.49</v>
      </c>
    </row>
    <row r="62" spans="1:13">
      <c r="A62" s="3">
        <v>6666021503</v>
      </c>
      <c r="B62" s="3">
        <v>89072.93</v>
      </c>
      <c r="C62" s="3">
        <v>179649.51</v>
      </c>
      <c r="D62" s="3">
        <v>84766.54</v>
      </c>
      <c r="E62" s="3">
        <v>84550</v>
      </c>
      <c r="F62" s="3">
        <v>84550</v>
      </c>
      <c r="G62" s="3">
        <v>84550</v>
      </c>
      <c r="H62" s="3">
        <v>107788.37</v>
      </c>
      <c r="I62" s="3">
        <v>130153.14</v>
      </c>
      <c r="J62" s="3">
        <v>312043.86</v>
      </c>
      <c r="K62" s="3">
        <v>91424.5</v>
      </c>
      <c r="L62" s="3">
        <v>120434.72</v>
      </c>
      <c r="M62" s="3">
        <v>142974.08</v>
      </c>
    </row>
    <row r="63" spans="1:13">
      <c r="A63" s="3">
        <v>6666021505</v>
      </c>
      <c r="B63" s="3">
        <v>0</v>
      </c>
      <c r="C63" s="3">
        <v>1526.82</v>
      </c>
      <c r="D63" s="3">
        <v>0</v>
      </c>
      <c r="F63" s="3">
        <v>38.6</v>
      </c>
      <c r="G63" s="3">
        <v>4276.8</v>
      </c>
      <c r="K63" s="3">
        <v>131.25</v>
      </c>
      <c r="M63" s="3">
        <v>0</v>
      </c>
    </row>
    <row r="64" spans="1:13">
      <c r="A64" s="3">
        <v>6666021506</v>
      </c>
      <c r="B64" s="3">
        <v>1076583.95</v>
      </c>
      <c r="C64" s="3">
        <v>977622.72</v>
      </c>
      <c r="D64" s="3">
        <v>1175692.33</v>
      </c>
      <c r="E64" s="3">
        <v>1076514.33</v>
      </c>
      <c r="F64" s="3">
        <v>1076603.34</v>
      </c>
      <c r="G64" s="3">
        <v>1076609.63</v>
      </c>
      <c r="H64" s="3">
        <v>1076967.47</v>
      </c>
      <c r="I64" s="3">
        <v>-242431.13</v>
      </c>
      <c r="J64" s="3">
        <v>127008.93</v>
      </c>
      <c r="K64" s="3">
        <v>1076603.33</v>
      </c>
      <c r="L64" s="3">
        <v>1076603.33</v>
      </c>
      <c r="M64" s="3">
        <v>1342895.85</v>
      </c>
    </row>
    <row r="65" spans="1:13">
      <c r="A65" s="3">
        <v>6666021600</v>
      </c>
      <c r="B65" s="3">
        <v>474389.24</v>
      </c>
      <c r="C65" s="3">
        <v>567255.06</v>
      </c>
      <c r="D65" s="3">
        <v>899014.74</v>
      </c>
      <c r="E65" s="3">
        <v>1357513.1</v>
      </c>
      <c r="F65" s="3">
        <v>802442.21</v>
      </c>
      <c r="G65" s="3">
        <v>707020.32</v>
      </c>
      <c r="H65" s="3">
        <v>1201744.48</v>
      </c>
      <c r="I65" s="3">
        <v>722922.46</v>
      </c>
      <c r="J65" s="3">
        <v>588664.36</v>
      </c>
      <c r="K65" s="3">
        <v>959447.42</v>
      </c>
      <c r="L65" s="3">
        <v>705995.78</v>
      </c>
      <c r="M65" s="3">
        <v>575157.93</v>
      </c>
    </row>
    <row r="66" spans="1:13">
      <c r="A66" s="3">
        <v>6666021602</v>
      </c>
      <c r="B66" s="3">
        <v>254753.6</v>
      </c>
      <c r="C66" s="3">
        <v>-25529.84</v>
      </c>
      <c r="D66" s="3">
        <v>248344.97</v>
      </c>
      <c r="E66" s="3">
        <v>646468.09</v>
      </c>
      <c r="F66" s="3">
        <v>36872.27</v>
      </c>
      <c r="G66" s="3">
        <v>-43649.9</v>
      </c>
      <c r="H66" s="3">
        <v>-27216.82</v>
      </c>
      <c r="I66" s="3">
        <v>63164.84</v>
      </c>
      <c r="J66" s="3">
        <v>-281048.73</v>
      </c>
      <c r="K66" s="3">
        <v>275704.61</v>
      </c>
      <c r="L66" s="3">
        <v>256610.82</v>
      </c>
      <c r="M66" s="3">
        <v>301688.44</v>
      </c>
    </row>
    <row r="67" spans="1:13">
      <c r="A67" s="3">
        <v>6666021603</v>
      </c>
      <c r="C67" s="3">
        <v>27547.76</v>
      </c>
      <c r="D67" s="3">
        <v>16346.99</v>
      </c>
      <c r="E67" s="3">
        <v>25909.59</v>
      </c>
      <c r="F67" s="3">
        <v>23928.17</v>
      </c>
      <c r="G67" s="3">
        <v>56291.87</v>
      </c>
      <c r="H67" s="3">
        <v>36853.27</v>
      </c>
      <c r="I67" s="3">
        <v>25932.32</v>
      </c>
      <c r="J67" s="3">
        <v>24557.77</v>
      </c>
      <c r="K67" s="3">
        <v>32575.6</v>
      </c>
      <c r="L67" s="3">
        <v>47249.27</v>
      </c>
      <c r="M67" s="3">
        <v>37940.62</v>
      </c>
    </row>
    <row r="68" spans="1:13">
      <c r="A68" s="3">
        <v>6666021604</v>
      </c>
      <c r="B68" s="3">
        <v>291921.36</v>
      </c>
      <c r="C68" s="3">
        <v>80562.93</v>
      </c>
      <c r="D68" s="3">
        <v>288239.59</v>
      </c>
      <c r="E68" s="3">
        <v>-53897.15</v>
      </c>
      <c r="F68" s="3">
        <v>35310.22</v>
      </c>
      <c r="G68" s="3">
        <v>66837.65</v>
      </c>
      <c r="H68" s="3">
        <v>56766.21</v>
      </c>
      <c r="I68" s="3">
        <v>40199.89</v>
      </c>
      <c r="J68" s="3">
        <v>242349.93</v>
      </c>
      <c r="K68" s="3">
        <v>202855.88</v>
      </c>
      <c r="L68" s="3">
        <v>112734.06</v>
      </c>
      <c r="M68" s="3">
        <v>184307.74</v>
      </c>
    </row>
    <row r="69" spans="1:13">
      <c r="A69" s="3">
        <v>6666021902</v>
      </c>
      <c r="B69" s="3">
        <v>208166.04</v>
      </c>
      <c r="C69" s="3">
        <v>237235.43</v>
      </c>
      <c r="D69" s="3">
        <v>273970.52</v>
      </c>
      <c r="E69" s="3">
        <v>316339.22</v>
      </c>
      <c r="F69" s="3">
        <v>240022.11</v>
      </c>
      <c r="G69" s="3">
        <v>198218.17</v>
      </c>
      <c r="H69" s="3">
        <v>229754.7</v>
      </c>
      <c r="I69" s="3">
        <v>260162.75</v>
      </c>
      <c r="J69" s="3">
        <v>269685.29</v>
      </c>
      <c r="K69" s="3">
        <v>304190.8</v>
      </c>
      <c r="L69" s="3">
        <v>333943.73</v>
      </c>
      <c r="M69" s="3">
        <v>342315.53</v>
      </c>
    </row>
    <row r="70" spans="1:13">
      <c r="A70" s="3">
        <v>6666022100</v>
      </c>
      <c r="B70" s="3">
        <v>37124.25</v>
      </c>
      <c r="C70" s="3">
        <v>39776.91</v>
      </c>
      <c r="D70" s="3">
        <v>37160.75</v>
      </c>
      <c r="E70" s="3">
        <v>70100.08</v>
      </c>
      <c r="F70" s="3">
        <v>35941.05</v>
      </c>
      <c r="G70" s="3">
        <v>43115.36</v>
      </c>
      <c r="H70" s="3">
        <v>30330.03</v>
      </c>
      <c r="I70" s="3">
        <v>40936.56</v>
      </c>
      <c r="J70" s="3">
        <v>41056.96</v>
      </c>
      <c r="K70" s="3">
        <v>42878.78</v>
      </c>
      <c r="L70" s="3">
        <v>36146.68</v>
      </c>
      <c r="M70" s="3">
        <v>38801.01</v>
      </c>
    </row>
    <row r="71" spans="1:13">
      <c r="A71" s="3">
        <v>6666022300</v>
      </c>
      <c r="B71" s="3">
        <v>0</v>
      </c>
      <c r="C71" s="3">
        <v>0</v>
      </c>
      <c r="D71" s="3">
        <v>0</v>
      </c>
    </row>
    <row r="72" spans="1:13">
      <c r="A72" s="3">
        <v>6666029900</v>
      </c>
      <c r="C72" s="3">
        <v>26711.37</v>
      </c>
      <c r="D72" s="3">
        <v>-17800.11</v>
      </c>
    </row>
    <row r="73" spans="1:13">
      <c r="A73" s="3">
        <v>6666029997</v>
      </c>
      <c r="B73" s="3">
        <v>19000</v>
      </c>
      <c r="C73" s="3">
        <v>19000</v>
      </c>
      <c r="D73" s="3">
        <v>18963</v>
      </c>
      <c r="E73" s="3">
        <v>18987</v>
      </c>
      <c r="F73" s="3">
        <v>18987.5</v>
      </c>
      <c r="G73" s="3">
        <v>18987.5</v>
      </c>
      <c r="H73" s="3">
        <v>18987.5</v>
      </c>
      <c r="I73" s="3">
        <v>18987.5</v>
      </c>
      <c r="J73" s="3">
        <v>18987.5</v>
      </c>
      <c r="K73" s="3">
        <v>18987.5</v>
      </c>
      <c r="L73" s="3">
        <v>18987.5</v>
      </c>
      <c r="M73" s="3">
        <v>-208862.5</v>
      </c>
    </row>
    <row r="74" spans="1:13">
      <c r="A74" s="3">
        <v>6666030300</v>
      </c>
      <c r="B74" s="3">
        <v>329000</v>
      </c>
      <c r="C74" s="3">
        <v>276881.27</v>
      </c>
      <c r="D74" s="3">
        <v>342044.77</v>
      </c>
      <c r="E74" s="3">
        <v>329103.63</v>
      </c>
      <c r="F74" s="3">
        <v>329332.26</v>
      </c>
      <c r="G74" s="3">
        <v>293519.53</v>
      </c>
      <c r="H74" s="3">
        <v>408336.98</v>
      </c>
      <c r="I74" s="3">
        <v>254563.54</v>
      </c>
      <c r="J74" s="3">
        <v>-240667.73</v>
      </c>
      <c r="K74" s="3">
        <v>-56106.46</v>
      </c>
      <c r="L74" s="3">
        <v>329332.27</v>
      </c>
      <c r="M74" s="3">
        <v>-1056051.97</v>
      </c>
    </row>
    <row r="75" spans="1:13">
      <c r="A75" s="3">
        <v>6666031200</v>
      </c>
      <c r="B75" s="3">
        <v>4299</v>
      </c>
      <c r="C75" s="3">
        <v>48484.26</v>
      </c>
      <c r="D75" s="3">
        <v>-12483.86</v>
      </c>
      <c r="G75" s="3">
        <v>35812.74</v>
      </c>
      <c r="I75" s="3">
        <v>22812</v>
      </c>
    </row>
    <row r="76" spans="1:13">
      <c r="A76" s="3">
        <v>6666050107</v>
      </c>
      <c r="E76" s="3">
        <v>0.01</v>
      </c>
      <c r="H76" s="3">
        <v>3962.07</v>
      </c>
      <c r="I76" s="3">
        <v>-3962.07</v>
      </c>
      <c r="J76" s="3">
        <v>0.91</v>
      </c>
      <c r="K76" s="3">
        <v>2346.23</v>
      </c>
      <c r="M76" s="3">
        <v>3003.31</v>
      </c>
    </row>
    <row r="77" spans="1:13">
      <c r="A77" s="3">
        <v>6666050306</v>
      </c>
      <c r="C77" s="3">
        <v>56565.61</v>
      </c>
      <c r="D77" s="3">
        <v>19647.88</v>
      </c>
      <c r="F77" s="3">
        <v>8991.29</v>
      </c>
      <c r="G77" s="3">
        <v>9295.28</v>
      </c>
      <c r="H77" s="3">
        <v>194080.81</v>
      </c>
      <c r="J77" s="3">
        <v>9421.67</v>
      </c>
      <c r="K77" s="3">
        <v>26258.26</v>
      </c>
      <c r="L77" s="3">
        <v>8350.38</v>
      </c>
      <c r="M77" s="3">
        <v>130141</v>
      </c>
    </row>
    <row r="78" spans="1:13">
      <c r="A78" s="3">
        <v>6666050307</v>
      </c>
      <c r="B78" s="3">
        <v>-37142.28</v>
      </c>
      <c r="C78" s="3">
        <v>-499238.27</v>
      </c>
      <c r="D78" s="3">
        <v>-237623.37</v>
      </c>
      <c r="E78" s="3">
        <v>-190129.27</v>
      </c>
      <c r="F78" s="3">
        <v>-115741.13</v>
      </c>
      <c r="G78" s="3">
        <v>-70048.12</v>
      </c>
      <c r="H78" s="3">
        <v>-229085.97</v>
      </c>
      <c r="I78" s="3">
        <v>-377789.89</v>
      </c>
      <c r="J78" s="3">
        <v>-2653557.93</v>
      </c>
      <c r="K78" s="3">
        <v>633983.08</v>
      </c>
      <c r="L78" s="3">
        <v>52761.43</v>
      </c>
      <c r="M78" s="3">
        <v>-9966019.85</v>
      </c>
    </row>
    <row r="79" spans="1:13">
      <c r="A79" s="3">
        <v>6666050308</v>
      </c>
      <c r="B79" s="3">
        <v>-45794.38</v>
      </c>
      <c r="C79" s="3">
        <v>25181.04</v>
      </c>
      <c r="D79" s="3">
        <v>87066.43</v>
      </c>
      <c r="E79" s="3">
        <v>-18991.98</v>
      </c>
      <c r="F79" s="3">
        <v>-35119.39</v>
      </c>
      <c r="G79" s="3">
        <v>282195.44</v>
      </c>
      <c r="H79" s="3">
        <v>61047.8</v>
      </c>
      <c r="I79" s="3">
        <v>69446.99</v>
      </c>
      <c r="J79" s="3">
        <v>141583.87</v>
      </c>
      <c r="K79" s="3">
        <v>-284198.75</v>
      </c>
      <c r="L79" s="3">
        <v>327332.27</v>
      </c>
      <c r="M79" s="3">
        <v>605263.09</v>
      </c>
    </row>
    <row r="80" spans="1:13">
      <c r="A80" s="3">
        <v>6666050309</v>
      </c>
      <c r="B80" s="3">
        <v>248528</v>
      </c>
      <c r="C80" s="3">
        <v>213317.3</v>
      </c>
      <c r="D80" s="3">
        <v>200727.54</v>
      </c>
      <c r="E80" s="3">
        <v>439464.84</v>
      </c>
      <c r="F80" s="3">
        <v>622703.51</v>
      </c>
      <c r="G80" s="3">
        <v>678066.36</v>
      </c>
      <c r="H80" s="3">
        <v>463747.25</v>
      </c>
      <c r="I80" s="3">
        <v>497215.87</v>
      </c>
      <c r="J80" s="3">
        <v>528548.85</v>
      </c>
      <c r="K80" s="3">
        <v>998420.47</v>
      </c>
      <c r="L80" s="3">
        <v>498713.91</v>
      </c>
      <c r="M80" s="3">
        <v>356590.41</v>
      </c>
    </row>
    <row r="81" spans="1:13">
      <c r="A81" s="3">
        <v>6666050312</v>
      </c>
      <c r="B81" s="3">
        <v>-1179</v>
      </c>
      <c r="C81" s="3">
        <v>42258.4</v>
      </c>
      <c r="D81" s="3">
        <v>30048.09</v>
      </c>
      <c r="F81" s="3">
        <v>-21006.82</v>
      </c>
      <c r="G81" s="3">
        <v>-12676.18</v>
      </c>
      <c r="H81" s="3">
        <v>7141.65</v>
      </c>
      <c r="I81" s="3">
        <v>-1312538.85</v>
      </c>
      <c r="J81" s="3">
        <v>101207.96</v>
      </c>
      <c r="K81" s="3">
        <v>-61904.23</v>
      </c>
      <c r="L81" s="3">
        <v>-8588.45</v>
      </c>
      <c r="M81" s="3">
        <v>9518381.5</v>
      </c>
    </row>
    <row r="82" spans="1:13">
      <c r="A82" s="3">
        <v>6666070100</v>
      </c>
      <c r="L82" s="3">
        <v>33.72</v>
      </c>
    </row>
    <row r="83" spans="1:13">
      <c r="A83" s="3">
        <v>6666070300</v>
      </c>
      <c r="C83" s="3">
        <v>-11410.56</v>
      </c>
    </row>
    <row r="84" spans="1:13">
      <c r="A84" s="3">
        <v>6666070400</v>
      </c>
      <c r="B84" s="3">
        <v>324132.95</v>
      </c>
      <c r="C84" s="3">
        <v>323464.65</v>
      </c>
      <c r="D84" s="3">
        <v>324804.91</v>
      </c>
      <c r="E84" s="3">
        <v>322792.69</v>
      </c>
      <c r="F84" s="3">
        <v>323798.79</v>
      </c>
      <c r="G84" s="3">
        <v>323798.8</v>
      </c>
      <c r="H84" s="3">
        <v>323798.8</v>
      </c>
      <c r="I84" s="3">
        <v>323798.8</v>
      </c>
      <c r="J84" s="3">
        <v>323798.8</v>
      </c>
      <c r="K84" s="3">
        <v>-285026.2</v>
      </c>
      <c r="L84" s="3">
        <v>-285026.2</v>
      </c>
      <c r="M84" s="3">
        <v>-764375.45</v>
      </c>
    </row>
    <row r="85" spans="1:13">
      <c r="A85" s="3">
        <v>6666091600</v>
      </c>
      <c r="B85" s="3">
        <v>5300</v>
      </c>
      <c r="C85" s="3">
        <v>10700</v>
      </c>
      <c r="D85" s="3">
        <v>11004.98</v>
      </c>
      <c r="E85" s="3">
        <v>16455</v>
      </c>
      <c r="F85" s="3">
        <v>25000</v>
      </c>
      <c r="G85" s="3">
        <v>13914.5</v>
      </c>
      <c r="H85" s="3">
        <v>11642.35</v>
      </c>
      <c r="I85" s="3">
        <v>5075.16</v>
      </c>
      <c r="J85" s="3">
        <v>12649.82</v>
      </c>
      <c r="K85" s="3">
        <v>13425.78</v>
      </c>
      <c r="L85" s="3">
        <v>9661.97</v>
      </c>
      <c r="M85" s="3">
        <v>57607.32</v>
      </c>
    </row>
    <row r="86" spans="1:13">
      <c r="A86" s="3">
        <v>6666093800</v>
      </c>
      <c r="H86" s="3">
        <v>295.3</v>
      </c>
    </row>
    <row r="87" spans="1:13">
      <c r="A87" s="3">
        <v>6666100203</v>
      </c>
      <c r="B87" s="3">
        <v>79166.67</v>
      </c>
      <c r="C87" s="3">
        <v>79166.67</v>
      </c>
      <c r="D87" s="3">
        <v>79166.67</v>
      </c>
      <c r="E87" s="3">
        <v>79166.67</v>
      </c>
      <c r="F87" s="3">
        <v>79166.67</v>
      </c>
      <c r="G87" s="3">
        <v>79166.67</v>
      </c>
      <c r="H87" s="3">
        <v>870832.67</v>
      </c>
      <c r="I87" s="3">
        <v>870832.67</v>
      </c>
      <c r="J87" s="3">
        <v>1303384.46</v>
      </c>
      <c r="K87" s="3">
        <v>-112214.29</v>
      </c>
      <c r="L87" s="3">
        <v>115785.71</v>
      </c>
      <c r="M87" s="3">
        <v>-2582836.57</v>
      </c>
    </row>
    <row r="88" spans="1:13">
      <c r="A88" s="3">
        <v>6666110101</v>
      </c>
      <c r="B88" s="3">
        <v>229047.96</v>
      </c>
      <c r="C88" s="3">
        <v>215435.36</v>
      </c>
      <c r="D88" s="3">
        <v>244156.48</v>
      </c>
      <c r="E88" s="3">
        <v>249926.84</v>
      </c>
      <c r="F88" s="3">
        <v>244156.47</v>
      </c>
      <c r="G88" s="3">
        <v>236280.43</v>
      </c>
      <c r="H88" s="3">
        <v>244156.48</v>
      </c>
      <c r="I88" s="3">
        <v>244156.47</v>
      </c>
      <c r="J88" s="3">
        <v>236280.45</v>
      </c>
      <c r="K88" s="3">
        <v>263517.46</v>
      </c>
      <c r="L88" s="3">
        <v>325486.04</v>
      </c>
      <c r="M88" s="3">
        <v>341791.7</v>
      </c>
    </row>
    <row r="89" spans="1:13">
      <c r="A89" s="3">
        <v>6666110106</v>
      </c>
      <c r="B89" s="3">
        <v>119523.79</v>
      </c>
      <c r="C89" s="3">
        <v>111812.59</v>
      </c>
      <c r="D89" s="3">
        <v>119523.79</v>
      </c>
      <c r="E89" s="3">
        <v>115668.19</v>
      </c>
      <c r="F89" s="3">
        <v>119523.79</v>
      </c>
      <c r="G89" s="3">
        <v>115668.19</v>
      </c>
      <c r="H89" s="3">
        <v>119523.8</v>
      </c>
      <c r="I89" s="3">
        <v>119523.79</v>
      </c>
      <c r="J89" s="3">
        <v>-940767.93</v>
      </c>
      <c r="K89" s="3">
        <v>0</v>
      </c>
      <c r="L89" s="3">
        <v>0</v>
      </c>
      <c r="M89" s="3">
        <v>0</v>
      </c>
    </row>
    <row r="90" spans="1:13">
      <c r="A90" s="3">
        <v>6666110107</v>
      </c>
      <c r="B90" s="3">
        <v>1169877.9</v>
      </c>
      <c r="C90" s="3">
        <v>1865982.16</v>
      </c>
      <c r="D90" s="3">
        <v>1963731.76</v>
      </c>
      <c r="E90" s="3">
        <v>2713839.32</v>
      </c>
      <c r="F90" s="3">
        <v>2884266.54</v>
      </c>
      <c r="G90" s="3">
        <v>3089321.45</v>
      </c>
      <c r="H90" s="3">
        <v>3173635.59</v>
      </c>
      <c r="I90" s="3">
        <v>3413349.95</v>
      </c>
      <c r="J90" s="3">
        <v>3336531.29</v>
      </c>
      <c r="K90" s="3">
        <v>3703676.64</v>
      </c>
      <c r="L90" s="3">
        <v>4072314.03</v>
      </c>
      <c r="M90" s="3">
        <v>4067683.14</v>
      </c>
    </row>
    <row r="91" spans="1:13">
      <c r="A91" s="3">
        <v>6666110110</v>
      </c>
      <c r="B91" s="3">
        <v>2547065.27</v>
      </c>
      <c r="C91" s="3">
        <v>2536594.03</v>
      </c>
      <c r="D91" s="3">
        <v>2822783.8</v>
      </c>
      <c r="E91" s="3">
        <v>2745595.15</v>
      </c>
      <c r="F91" s="3">
        <v>2888131.3</v>
      </c>
      <c r="G91" s="3">
        <v>2815489.37</v>
      </c>
      <c r="H91" s="3">
        <v>2907519.26</v>
      </c>
      <c r="I91" s="3">
        <v>2915669.62</v>
      </c>
      <c r="J91" s="3">
        <v>2825886.43</v>
      </c>
      <c r="K91" s="3">
        <v>2983014.06</v>
      </c>
      <c r="L91" s="3">
        <v>2675170.19</v>
      </c>
      <c r="M91" s="3">
        <v>2750064.67</v>
      </c>
    </row>
    <row r="92" spans="1:13">
      <c r="A92" s="3">
        <v>6666110112</v>
      </c>
      <c r="B92" s="3">
        <v>89089.78</v>
      </c>
      <c r="C92" s="3">
        <v>88557.39</v>
      </c>
      <c r="D92" s="3">
        <v>213368.08</v>
      </c>
      <c r="E92" s="3">
        <v>206485.13</v>
      </c>
      <c r="F92" s="3">
        <v>-119777.34</v>
      </c>
      <c r="G92" s="3">
        <v>99151.21</v>
      </c>
      <c r="H92" s="3">
        <v>102449.82</v>
      </c>
      <c r="I92" s="3">
        <v>102449.81</v>
      </c>
      <c r="J92" s="3">
        <v>99000.9</v>
      </c>
      <c r="K92" s="3">
        <v>131911.01</v>
      </c>
      <c r="L92" s="3">
        <v>140721.17</v>
      </c>
      <c r="M92" s="3">
        <v>143986.87</v>
      </c>
    </row>
    <row r="93" spans="1:13">
      <c r="A93" s="3">
        <v>6666110203</v>
      </c>
      <c r="B93" s="3">
        <v>137443.25</v>
      </c>
      <c r="C93" s="3">
        <v>456356.66</v>
      </c>
      <c r="D93" s="3">
        <v>613837.31</v>
      </c>
      <c r="E93" s="3">
        <v>672411.83</v>
      </c>
      <c r="F93" s="3">
        <v>1108093.91</v>
      </c>
      <c r="G93" s="3">
        <v>790013.99</v>
      </c>
      <c r="H93" s="3">
        <v>914788.35</v>
      </c>
      <c r="I93" s="3">
        <v>81863.41</v>
      </c>
      <c r="J93" s="3">
        <v>901765.46</v>
      </c>
      <c r="K93" s="3">
        <v>817898.25</v>
      </c>
      <c r="L93" s="3">
        <v>1186331.66</v>
      </c>
      <c r="M93" s="3">
        <v>957050.58</v>
      </c>
    </row>
    <row r="94" spans="1:13">
      <c r="A94" s="3">
        <v>6666110204</v>
      </c>
      <c r="G94" s="3">
        <v>8835.9</v>
      </c>
      <c r="H94" s="3">
        <v>8835.9</v>
      </c>
      <c r="I94" s="3">
        <v>8835.9</v>
      </c>
      <c r="J94" s="3">
        <v>8835.9</v>
      </c>
      <c r="K94" s="3">
        <v>8835.9</v>
      </c>
      <c r="L94" s="3">
        <v>8835.89</v>
      </c>
      <c r="M94" s="3">
        <v>8835.9</v>
      </c>
    </row>
    <row r="95" spans="1:13">
      <c r="A95" s="3">
        <v>6666110207</v>
      </c>
      <c r="B95" s="3">
        <v>42952.55</v>
      </c>
      <c r="C95" s="3">
        <v>231950.92</v>
      </c>
      <c r="D95" s="3">
        <v>142033.51</v>
      </c>
      <c r="E95" s="3">
        <v>137451.74</v>
      </c>
      <c r="F95" s="3">
        <v>147713.71</v>
      </c>
      <c r="G95" s="3">
        <v>143131.92</v>
      </c>
      <c r="H95" s="3">
        <v>147713.72</v>
      </c>
      <c r="I95" s="3">
        <v>147713.68</v>
      </c>
      <c r="J95" s="3">
        <v>143131.97</v>
      </c>
      <c r="K95" s="3">
        <v>147713.68</v>
      </c>
      <c r="L95" s="3">
        <v>157908.03</v>
      </c>
      <c r="M95" s="3">
        <v>162489.76</v>
      </c>
    </row>
    <row r="96" spans="1:13">
      <c r="A96" s="3">
        <v>6666110506</v>
      </c>
      <c r="F96" s="3">
        <v>29847.24</v>
      </c>
      <c r="G96" s="3">
        <v>29847.24</v>
      </c>
      <c r="H96" s="3">
        <v>29847.24</v>
      </c>
      <c r="I96" s="3">
        <v>29847.24</v>
      </c>
      <c r="J96" s="3">
        <v>29847.24</v>
      </c>
      <c r="K96" s="3">
        <v>29847.24</v>
      </c>
      <c r="L96" s="3">
        <v>29847.25</v>
      </c>
      <c r="M96" s="3">
        <v>29847.24</v>
      </c>
    </row>
    <row r="97" spans="1:13">
      <c r="A97" s="3">
        <v>8701530201</v>
      </c>
      <c r="C97" s="3">
        <v>0</v>
      </c>
      <c r="D97" s="3">
        <v>0</v>
      </c>
      <c r="E97" s="3">
        <v>0</v>
      </c>
      <c r="G97" s="3">
        <v>0</v>
      </c>
    </row>
    <row r="98" spans="1:13">
      <c r="A98" s="3">
        <v>6666029996</v>
      </c>
      <c r="L98" s="3">
        <v>-0.02</v>
      </c>
    </row>
    <row r="99" spans="1:13">
      <c r="A99" s="3" t="s">
        <v>303</v>
      </c>
      <c r="B99" s="3">
        <v>-15295.2100000009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1:13">
      <c r="A100" s="3" t="s">
        <v>304</v>
      </c>
      <c r="B100" s="3">
        <v>-27255.54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1:13">
      <c r="A101" s="3" t="s">
        <v>305</v>
      </c>
      <c r="B101" s="3">
        <v>15295.21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1:13">
      <c r="A102" s="117" t="s">
        <v>243</v>
      </c>
      <c r="B102" s="117">
        <v>24103172.32</v>
      </c>
      <c r="C102" s="117">
        <v>25605062</v>
      </c>
      <c r="D102" s="117">
        <v>29986396.75</v>
      </c>
      <c r="E102" s="117">
        <v>37922001.15</v>
      </c>
      <c r="F102" s="117">
        <v>36981009.22</v>
      </c>
      <c r="G102" s="117">
        <v>39602998.7</v>
      </c>
      <c r="H102" s="117">
        <v>38825368.26</v>
      </c>
      <c r="I102" s="117">
        <v>34332221.55</v>
      </c>
      <c r="J102" s="117">
        <v>36660488.75</v>
      </c>
      <c r="K102" s="117">
        <v>44124384.32</v>
      </c>
      <c r="L102" s="117">
        <v>40675234.87</v>
      </c>
      <c r="M102" s="117">
        <v>32543639.16</v>
      </c>
    </row>
    <row r="104" spans="1:13">
      <c r="A104" s="117" t="s">
        <v>12</v>
      </c>
    </row>
    <row r="105" spans="1:13">
      <c r="A105" s="3">
        <v>6666029700</v>
      </c>
      <c r="B105" s="3">
        <v>6420764</v>
      </c>
      <c r="C105" s="3">
        <v>5638888.82</v>
      </c>
      <c r="D105" s="3">
        <v>6788600.98</v>
      </c>
      <c r="E105" s="3">
        <v>5973105.67</v>
      </c>
      <c r="F105" s="3">
        <v>5993219.59</v>
      </c>
      <c r="G105" s="3">
        <v>5972975.54</v>
      </c>
      <c r="H105" s="3">
        <v>6975138.73</v>
      </c>
      <c r="I105" s="3">
        <v>7002865.63</v>
      </c>
      <c r="J105" s="3">
        <v>6553207.54</v>
      </c>
      <c r="K105" s="3">
        <v>7053325.1</v>
      </c>
      <c r="L105" s="3">
        <v>7547869.5</v>
      </c>
      <c r="M105" s="3">
        <v>4210347.74</v>
      </c>
    </row>
    <row r="106" spans="1:13">
      <c r="A106" s="3">
        <v>6666020701</v>
      </c>
      <c r="B106" s="3">
        <v>257000</v>
      </c>
      <c r="C106" s="3">
        <v>257026.94</v>
      </c>
      <c r="D106" s="3">
        <v>257013.06</v>
      </c>
      <c r="E106" s="3">
        <v>257014</v>
      </c>
      <c r="F106" s="3">
        <v>257013.5</v>
      </c>
      <c r="G106" s="3">
        <v>865783.82</v>
      </c>
      <c r="H106" s="3">
        <v>358475.22</v>
      </c>
      <c r="I106" s="3">
        <v>358475.22</v>
      </c>
      <c r="J106" s="3">
        <v>358475.22</v>
      </c>
      <c r="K106" s="3">
        <v>358475.22</v>
      </c>
      <c r="L106" s="3">
        <v>358475.22</v>
      </c>
      <c r="M106" s="3">
        <v>358475.22</v>
      </c>
    </row>
    <row r="107" spans="1:13">
      <c r="A107" s="3">
        <v>6666022300</v>
      </c>
      <c r="B107" s="3">
        <v>110083</v>
      </c>
      <c r="C107" s="3">
        <v>258085.14</v>
      </c>
      <c r="D107" s="3">
        <v>64381.55</v>
      </c>
      <c r="E107" s="3">
        <v>140783.95</v>
      </c>
      <c r="F107" s="3">
        <v>156366.48</v>
      </c>
      <c r="G107" s="3">
        <v>162735.04</v>
      </c>
      <c r="H107" s="3">
        <v>151047.01</v>
      </c>
      <c r="I107" s="3">
        <v>151696.19</v>
      </c>
      <c r="J107" s="3">
        <v>134957.5</v>
      </c>
      <c r="K107" s="3">
        <v>149622.03</v>
      </c>
      <c r="L107" s="3">
        <v>150854.19</v>
      </c>
      <c r="M107" s="3">
        <v>167593.8</v>
      </c>
    </row>
    <row r="108" spans="1:13">
      <c r="A108" s="3">
        <v>6666029900</v>
      </c>
      <c r="B108" s="3">
        <v>0</v>
      </c>
      <c r="C108" s="3">
        <v>0</v>
      </c>
      <c r="D108" s="3">
        <v>0</v>
      </c>
      <c r="E108" s="3">
        <v>57620.24</v>
      </c>
      <c r="F108" s="3">
        <v>0</v>
      </c>
    </row>
    <row r="109" spans="1:13">
      <c r="A109" s="118"/>
      <c r="B109" s="118">
        <f t="shared" ref="B109:M109" si="0">SUM(B105:B108)</f>
        <v>6787847</v>
      </c>
      <c r="C109" s="118">
        <f t="shared" si="0"/>
        <v>6154000.9</v>
      </c>
      <c r="D109" s="118">
        <f t="shared" si="0"/>
        <v>7109995.59</v>
      </c>
      <c r="E109" s="118">
        <f t="shared" si="0"/>
        <v>6428523.86</v>
      </c>
      <c r="F109" s="118">
        <f t="shared" si="0"/>
        <v>6406599.57</v>
      </c>
      <c r="G109" s="118">
        <f t="shared" si="0"/>
        <v>7001494.4</v>
      </c>
      <c r="H109" s="118">
        <f t="shared" si="0"/>
        <v>7484660.96</v>
      </c>
      <c r="I109" s="118">
        <f t="shared" si="0"/>
        <v>7513037.04</v>
      </c>
      <c r="J109" s="118">
        <f t="shared" si="0"/>
        <v>7046640.26</v>
      </c>
      <c r="K109" s="118">
        <f t="shared" si="0"/>
        <v>7561422.35</v>
      </c>
      <c r="L109" s="118">
        <f t="shared" si="0"/>
        <v>8057198.91</v>
      </c>
      <c r="M109" s="118">
        <f t="shared" si="0"/>
        <v>4736416.76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84"/>
  <sheetViews>
    <sheetView showGridLines="0" zoomScale="80" zoomScaleNormal="80" workbookViewId="0">
      <pane xSplit="3" ySplit="1" topLeftCell="D64" activePane="bottomRight" state="frozen"/>
      <selection/>
      <selection pane="topRight"/>
      <selection pane="bottomLeft"/>
      <selection pane="bottomRight" activeCell="H93" sqref="H93"/>
    </sheetView>
  </sheetViews>
  <sheetFormatPr defaultColWidth="8.77777777777778" defaultRowHeight="12"/>
  <cols>
    <col min="1" max="1" width="6.22222222222222" style="57" customWidth="1"/>
    <col min="2" max="3" width="15.2222222222222" style="57" customWidth="1"/>
    <col min="4" max="4" width="31.5555555555556" style="57" customWidth="1"/>
    <col min="5" max="5" width="7.44444444444444" style="57" customWidth="1"/>
    <col min="6" max="6" width="7.77777777777778" style="57" customWidth="1"/>
    <col min="7" max="7" width="8" style="57" customWidth="1"/>
    <col min="8" max="8" width="7.55555555555556" style="57" customWidth="1"/>
    <col min="9" max="9" width="8.22222222222222" style="57" customWidth="1"/>
    <col min="10" max="10" width="7.55555555555556" style="57" customWidth="1"/>
    <col min="11" max="15" width="7.22222222222222" style="57" customWidth="1"/>
    <col min="16" max="16" width="9.11111111111111" style="57" customWidth="1"/>
    <col min="17" max="17" width="13.7777777777778" style="57" customWidth="1"/>
    <col min="18" max="18" width="4.77777777777778" style="57" customWidth="1"/>
    <col min="19" max="19" width="7.77777777777778" style="58" customWidth="1"/>
    <col min="20" max="20" width="8.22222222222222" style="58" customWidth="1"/>
    <col min="21" max="30" width="8.55555555555556" style="58" customWidth="1"/>
    <col min="31" max="31" width="13.4444444444444" style="58" customWidth="1"/>
    <col min="32" max="32" width="2.77777777777778" style="58" customWidth="1"/>
    <col min="33" max="33" width="11.2222222222222" style="58" customWidth="1"/>
    <col min="34" max="34" width="11.4444444444444" style="58" customWidth="1"/>
    <col min="35" max="45" width="9" style="58" customWidth="1"/>
    <col min="46" max="46" width="8.77777777777778" style="58"/>
    <col min="47" max="48" width="9" style="58" customWidth="1"/>
    <col min="49" max="16384" width="8.77777777777778" style="57"/>
  </cols>
  <sheetData>
    <row r="1" ht="37.35" customHeight="1" spans="1:50">
      <c r="A1" s="59" t="s">
        <v>306</v>
      </c>
      <c r="B1" s="59" t="s">
        <v>307</v>
      </c>
      <c r="C1" s="59" t="s">
        <v>308</v>
      </c>
      <c r="D1" s="60" t="s">
        <v>309</v>
      </c>
      <c r="E1" s="61" t="s">
        <v>310</v>
      </c>
      <c r="F1" s="61" t="s">
        <v>311</v>
      </c>
      <c r="G1" s="61" t="s">
        <v>312</v>
      </c>
      <c r="H1" s="61" t="s">
        <v>313</v>
      </c>
      <c r="I1" s="61" t="s">
        <v>314</v>
      </c>
      <c r="J1" s="61" t="s">
        <v>315</v>
      </c>
      <c r="K1" s="61" t="s">
        <v>316</v>
      </c>
      <c r="L1" s="61" t="s">
        <v>317</v>
      </c>
      <c r="M1" s="61" t="s">
        <v>318</v>
      </c>
      <c r="N1" s="61" t="s">
        <v>319</v>
      </c>
      <c r="O1" s="61" t="s">
        <v>320</v>
      </c>
      <c r="P1" s="61" t="s">
        <v>321</v>
      </c>
      <c r="Q1" s="61" t="s">
        <v>322</v>
      </c>
      <c r="R1" s="62"/>
      <c r="S1" s="63" t="s">
        <v>310</v>
      </c>
      <c r="T1" s="63" t="s">
        <v>311</v>
      </c>
      <c r="U1" s="63" t="s">
        <v>312</v>
      </c>
      <c r="V1" s="63" t="s">
        <v>313</v>
      </c>
      <c r="W1" s="63" t="s">
        <v>314</v>
      </c>
      <c r="X1" s="63" t="s">
        <v>315</v>
      </c>
      <c r="Y1" s="63" t="s">
        <v>316</v>
      </c>
      <c r="Z1" s="61" t="s">
        <v>317</v>
      </c>
      <c r="AA1" s="61" t="s">
        <v>318</v>
      </c>
      <c r="AB1" s="61" t="s">
        <v>319</v>
      </c>
      <c r="AC1" s="61" t="s">
        <v>320</v>
      </c>
      <c r="AD1" s="61" t="s">
        <v>321</v>
      </c>
      <c r="AE1" s="63" t="s">
        <v>323</v>
      </c>
      <c r="AF1" s="64"/>
      <c r="AG1" s="63" t="s">
        <v>324</v>
      </c>
      <c r="AH1" s="63" t="s">
        <v>325</v>
      </c>
      <c r="AI1" s="63" t="s">
        <v>326</v>
      </c>
      <c r="AJ1" s="63" t="s">
        <v>327</v>
      </c>
      <c r="AK1" s="63" t="s">
        <v>328</v>
      </c>
      <c r="AL1" s="63" t="s">
        <v>329</v>
      </c>
      <c r="AM1" s="63" t="s">
        <v>330</v>
      </c>
      <c r="AN1" s="63" t="s">
        <v>331</v>
      </c>
      <c r="AO1" s="63" t="s">
        <v>332</v>
      </c>
      <c r="AP1" s="63" t="s">
        <v>333</v>
      </c>
      <c r="AQ1" s="63" t="s">
        <v>334</v>
      </c>
      <c r="AR1" s="63" t="s">
        <v>335</v>
      </c>
      <c r="AS1" s="63" t="s">
        <v>336</v>
      </c>
      <c r="AU1" s="63" t="s">
        <v>337</v>
      </c>
      <c r="AV1" s="63" t="s">
        <v>338</v>
      </c>
      <c r="AW1" s="63" t="s">
        <v>339</v>
      </c>
      <c r="AX1" s="63" t="s">
        <v>340</v>
      </c>
    </row>
    <row r="2" ht="37.35" customHeight="1" spans="1:50">
      <c r="A2" s="65"/>
      <c r="B2" s="65"/>
      <c r="C2" s="65"/>
      <c r="D2" s="66" t="s">
        <v>341</v>
      </c>
      <c r="E2" s="67">
        <v>32.8165</v>
      </c>
      <c r="F2" s="67">
        <v>33.2644</v>
      </c>
      <c r="G2" s="67">
        <v>34.8229</v>
      </c>
      <c r="H2" s="67">
        <v>34.6926</v>
      </c>
      <c r="I2" s="67">
        <v>34.8605</v>
      </c>
      <c r="J2" s="67">
        <v>35.0667</v>
      </c>
      <c r="K2" s="67">
        <v>35.6969</v>
      </c>
      <c r="L2" s="67">
        <v>37.1098</v>
      </c>
      <c r="M2" s="67">
        <v>37.8238238095238</v>
      </c>
      <c r="N2" s="67">
        <v>37.3473086956522</v>
      </c>
      <c r="O2" s="67">
        <v>36.6237</v>
      </c>
      <c r="P2" s="68">
        <v>36.65884</v>
      </c>
      <c r="Q2" s="69"/>
      <c r="R2" s="62"/>
      <c r="S2" s="68">
        <f t="shared" ref="S2:AC2" si="0">E2</f>
        <v>32.8165</v>
      </c>
      <c r="T2" s="68">
        <f t="shared" si="0"/>
        <v>33.2644</v>
      </c>
      <c r="U2" s="68">
        <f t="shared" si="0"/>
        <v>34.8229</v>
      </c>
      <c r="V2" s="68">
        <f t="shared" si="0"/>
        <v>34.6926</v>
      </c>
      <c r="W2" s="68">
        <f t="shared" si="0"/>
        <v>34.8605</v>
      </c>
      <c r="X2" s="68">
        <f t="shared" si="0"/>
        <v>35.0667</v>
      </c>
      <c r="Y2" s="68">
        <f t="shared" si="0"/>
        <v>35.6969</v>
      </c>
      <c r="Z2" s="68">
        <f t="shared" si="0"/>
        <v>37.1098</v>
      </c>
      <c r="AA2" s="68">
        <f t="shared" si="0"/>
        <v>37.8238238095238</v>
      </c>
      <c r="AB2" s="68">
        <f t="shared" si="0"/>
        <v>37.3473086956522</v>
      </c>
      <c r="AC2" s="68">
        <f t="shared" si="0"/>
        <v>36.6237</v>
      </c>
      <c r="AD2" s="68">
        <v>36.65884</v>
      </c>
      <c r="AE2" s="70"/>
      <c r="AF2" s="64"/>
    </row>
    <row r="3" spans="1:50">
      <c r="A3" s="65"/>
      <c r="B3" s="65"/>
      <c r="C3" s="65"/>
      <c r="D3" s="71" t="s">
        <v>342</v>
      </c>
      <c r="E3" s="72">
        <v>16045</v>
      </c>
      <c r="F3" s="72">
        <v>19752</v>
      </c>
      <c r="G3" s="72">
        <v>20037</v>
      </c>
      <c r="H3" s="72">
        <v>28043</v>
      </c>
      <c r="I3" s="72">
        <v>40794</v>
      </c>
      <c r="J3" s="72">
        <v>30976</v>
      </c>
      <c r="K3" s="72">
        <v>34477</v>
      </c>
      <c r="L3" s="72">
        <v>25578</v>
      </c>
      <c r="M3" s="72">
        <v>40104</v>
      </c>
      <c r="N3" s="72">
        <v>41187</v>
      </c>
      <c r="O3" s="72">
        <v>43110</v>
      </c>
      <c r="P3" s="72">
        <v>26153</v>
      </c>
      <c r="Q3" s="72">
        <f>SUM(E3:P3)</f>
        <v>366256</v>
      </c>
      <c r="R3" s="62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64"/>
    </row>
    <row r="4" spans="1:50">
      <c r="A4" s="65"/>
      <c r="B4" s="65"/>
      <c r="C4" s="65"/>
      <c r="D4" s="74" t="s">
        <v>343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62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64"/>
    </row>
    <row r="5" spans="1:50">
      <c r="A5" s="65" t="s">
        <v>52</v>
      </c>
      <c r="B5" s="77" t="s">
        <v>186</v>
      </c>
      <c r="C5" s="77" t="s">
        <v>344</v>
      </c>
      <c r="D5" s="78" t="s">
        <v>345</v>
      </c>
      <c r="E5" s="79">
        <v>5783</v>
      </c>
      <c r="F5" s="79">
        <v>6235</v>
      </c>
      <c r="G5" s="79">
        <v>5637</v>
      </c>
      <c r="H5" s="79">
        <v>13247</v>
      </c>
      <c r="I5" s="79">
        <v>13229</v>
      </c>
      <c r="J5" s="79">
        <v>14828</v>
      </c>
      <c r="K5" s="79">
        <v>12074</v>
      </c>
      <c r="L5" s="79">
        <v>12946</v>
      </c>
      <c r="M5" s="79">
        <v>15872</v>
      </c>
      <c r="N5" s="79">
        <v>16293</v>
      </c>
      <c r="O5" s="79">
        <v>15305</v>
      </c>
      <c r="P5" s="79">
        <v>13304</v>
      </c>
      <c r="Q5" s="79">
        <v>144753</v>
      </c>
      <c r="R5" s="62"/>
      <c r="S5" s="73">
        <f>+E5/$E$2</f>
        <v>176.222327182972</v>
      </c>
      <c r="T5" s="73">
        <f>+F5/$F$2</f>
        <v>187.437621000228</v>
      </c>
      <c r="U5" s="73">
        <f>+G5/$G$2</f>
        <v>161.876236614412</v>
      </c>
      <c r="V5" s="73">
        <f>+H5/$H$2</f>
        <v>381.839354790359</v>
      </c>
      <c r="W5" s="73">
        <f>+I5/$I$2</f>
        <v>379.48394314482</v>
      </c>
      <c r="X5" s="73">
        <f>+J5/$J$2</f>
        <v>422.851309076702</v>
      </c>
      <c r="Y5" s="73">
        <f>+K5/$K$2</f>
        <v>338.236653602974</v>
      </c>
      <c r="Z5" s="73">
        <f>+L5/$L$2</f>
        <v>348.856636252419</v>
      </c>
      <c r="AA5" s="73">
        <f>+M5/$M$2</f>
        <v>419.629704281869</v>
      </c>
      <c r="AB5" s="73">
        <f>+N5/$N$2</f>
        <v>436.256334633739</v>
      </c>
      <c r="AC5" s="73">
        <f>+O5/$O$2</f>
        <v>417.898792312082</v>
      </c>
      <c r="AD5" s="73">
        <f>+P5/$P$2</f>
        <v>362.913829242824</v>
      </c>
      <c r="AE5" s="73">
        <f>+SUM(S5:AD5)</f>
        <v>4033.5027421354</v>
      </c>
      <c r="AF5" s="64"/>
      <c r="AG5" s="80">
        <f>+S5*1000/$E$3</f>
        <v>10.9830057452772</v>
      </c>
      <c r="AH5" s="80">
        <f>+T5*1000/$F$3</f>
        <v>9.48955148846843</v>
      </c>
      <c r="AI5" s="80">
        <f>+U5*1000/$G$3</f>
        <v>8.0788659287524</v>
      </c>
      <c r="AJ5" s="80">
        <f>+V5*1000/$H$3</f>
        <v>13.616209206945</v>
      </c>
      <c r="AK5" s="80">
        <f>+W5*1000/$I$3</f>
        <v>9.30244504448743</v>
      </c>
      <c r="AL5" s="80">
        <f>+X5*1000/$J$3</f>
        <v>13.6509332733956</v>
      </c>
      <c r="AM5" s="80">
        <f>+Y5*1000/$K$3</f>
        <v>9.81050130820472</v>
      </c>
      <c r="AN5" s="80">
        <f>+Z5*1000/$L$3</f>
        <v>13.638933311925</v>
      </c>
      <c r="AO5" s="80">
        <f>+AA5*1000/$M$3</f>
        <v>10.4635374097813</v>
      </c>
      <c r="AP5" s="80">
        <f>+AB5*1000/$N$3</f>
        <v>10.5920881499925</v>
      </c>
      <c r="AQ5" s="80">
        <f>+AC5*1000/$O$3</f>
        <v>9.69377852730415</v>
      </c>
      <c r="AR5" s="80">
        <f>+AD5*1000/$P$3</f>
        <v>13.8765659481828</v>
      </c>
      <c r="AS5" s="80">
        <f>+AE5*1000/$Q$3</f>
        <v>11.0127963559243</v>
      </c>
      <c r="AU5" s="80">
        <f>SUM(S5:X5)/SUM($E$3:$J$3)*1000</f>
        <v>10.9845406066901</v>
      </c>
      <c r="AV5" s="80">
        <f>SUM(Y5:AA5)/SUM($K$3:$M$3)*1000</f>
        <v>11.0496609804138</v>
      </c>
      <c r="AW5" s="80">
        <f>SUM(AB5:AD5)/SUM($N$3:$P$3)*1000</f>
        <v>11.01918475499</v>
      </c>
      <c r="AX5" s="80">
        <f>SUM(Y5:AD5)/SUM($K$3:$P$3)*1000</f>
        <v>11.0336782869009</v>
      </c>
    </row>
    <row r="6" spans="1:50">
      <c r="A6" s="65"/>
      <c r="B6" s="65"/>
      <c r="C6" s="65"/>
      <c r="D6" s="81" t="s">
        <v>346</v>
      </c>
      <c r="E6" s="82">
        <v>5783</v>
      </c>
      <c r="F6" s="82">
        <v>6235</v>
      </c>
      <c r="G6" s="82">
        <v>5637</v>
      </c>
      <c r="H6" s="82">
        <v>13247</v>
      </c>
      <c r="I6" s="82">
        <v>13229</v>
      </c>
      <c r="J6" s="82">
        <v>14828</v>
      </c>
      <c r="K6" s="82">
        <v>12074</v>
      </c>
      <c r="L6" s="82">
        <v>12946</v>
      </c>
      <c r="M6" s="82">
        <v>15872</v>
      </c>
      <c r="N6" s="82">
        <v>16293</v>
      </c>
      <c r="O6" s="82">
        <v>15305</v>
      </c>
      <c r="P6" s="82">
        <v>13304</v>
      </c>
      <c r="Q6" s="82">
        <v>144753</v>
      </c>
      <c r="R6" s="62"/>
      <c r="S6" s="83">
        <f t="shared" ref="S6:S69" si="1">+E6/$E$2</f>
        <v>176.222327182972</v>
      </c>
      <c r="T6" s="83">
        <f t="shared" ref="T6:T69" si="2">+F6/$F$2</f>
        <v>187.437621000228</v>
      </c>
      <c r="U6" s="83">
        <f t="shared" ref="U6:U69" si="3">+G6/$G$2</f>
        <v>161.876236614412</v>
      </c>
      <c r="V6" s="83">
        <f t="shared" ref="V6:V69" si="4">+H6/$H$2</f>
        <v>381.839354790359</v>
      </c>
      <c r="W6" s="83">
        <f t="shared" ref="W6:W69" si="5">+I6/$I$2</f>
        <v>379.48394314482</v>
      </c>
      <c r="X6" s="83">
        <f t="shared" ref="X6:X69" si="6">+J6/$J$2</f>
        <v>422.851309076702</v>
      </c>
      <c r="Y6" s="83">
        <f t="shared" ref="Y6:Y69" si="7">+K6/$K$2</f>
        <v>338.236653602974</v>
      </c>
      <c r="Z6" s="83">
        <f t="shared" ref="Z6:Z69" si="8">+L6/$L$2</f>
        <v>348.856636252419</v>
      </c>
      <c r="AA6" s="83">
        <f t="shared" ref="AA6:AA69" si="9">+M6/$M$2</f>
        <v>419.629704281869</v>
      </c>
      <c r="AB6" s="83">
        <f t="shared" ref="AB6:AB69" si="10">+N6/$N$2</f>
        <v>436.256334633739</v>
      </c>
      <c r="AC6" s="83">
        <f t="shared" ref="AC6:AC69" si="11">+O6/$O$2</f>
        <v>417.898792312082</v>
      </c>
      <c r="AD6" s="83">
        <f t="shared" ref="AD6:AD69" si="12">+P6/$P$2</f>
        <v>362.913829242824</v>
      </c>
      <c r="AE6" s="83">
        <f t="shared" ref="AE6:AE69" si="13">+SUM(S6:AD6)</f>
        <v>4033.5027421354</v>
      </c>
      <c r="AF6" s="64"/>
      <c r="AG6" s="84">
        <f t="shared" ref="AG6:AG69" si="14">+S6*1000/$E$3</f>
        <v>10.9830057452772</v>
      </c>
      <c r="AH6" s="84">
        <f t="shared" ref="AH6:AH69" si="15">+T6*1000/$F$3</f>
        <v>9.48955148846843</v>
      </c>
      <c r="AI6" s="84">
        <f t="shared" ref="AI6:AI69" si="16">+U6*1000/$G$3</f>
        <v>8.0788659287524</v>
      </c>
      <c r="AJ6" s="84">
        <f t="shared" ref="AJ6:AJ69" si="17">+V6*1000/$H$3</f>
        <v>13.616209206945</v>
      </c>
      <c r="AK6" s="84">
        <f t="shared" ref="AK6:AK69" si="18">+W6*1000/$I$3</f>
        <v>9.30244504448743</v>
      </c>
      <c r="AL6" s="84">
        <f t="shared" ref="AL6:AL69" si="19">+X6*1000/$J$3</f>
        <v>13.6509332733956</v>
      </c>
      <c r="AM6" s="84">
        <f t="shared" ref="AM6:AM69" si="20">+Y6*1000/$K$3</f>
        <v>9.81050130820472</v>
      </c>
      <c r="AN6" s="84">
        <f t="shared" ref="AN6:AN69" si="21">+Z6*1000/$L$3</f>
        <v>13.638933311925</v>
      </c>
      <c r="AO6" s="84">
        <f t="shared" ref="AO6:AO69" si="22">+AA6*1000/$M$3</f>
        <v>10.4635374097813</v>
      </c>
      <c r="AP6" s="84">
        <f t="shared" ref="AP6:AP69" si="23">+AB6*1000/$N$3</f>
        <v>10.5920881499925</v>
      </c>
      <c r="AQ6" s="84">
        <f t="shared" ref="AQ6:AQ69" si="24">+AC6*1000/$O$3</f>
        <v>9.69377852730415</v>
      </c>
      <c r="AR6" s="84">
        <f t="shared" ref="AR6:AR69" si="25">+AD6*1000/$P$3</f>
        <v>13.8765659481828</v>
      </c>
      <c r="AS6" s="84">
        <f t="shared" ref="AS6:AS69" si="26">+AE6*1000/$Q$3</f>
        <v>11.0127963559243</v>
      </c>
      <c r="AU6" s="84">
        <f t="shared" ref="AU6:AU69" si="27">SUM(S6:X6)/SUM($E$3:$J$3)*1000</f>
        <v>10.9845406066901</v>
      </c>
      <c r="AV6" s="84">
        <f t="shared" ref="AV6:AV69" si="28">SUM(Y6:AA6)/SUM($K$3:$M$3)*1000</f>
        <v>11.0496609804138</v>
      </c>
      <c r="AW6" s="84">
        <f t="shared" ref="AW6:AW69" si="29">SUM(AB6:AD6)/SUM($N$3:$P$3)*1000</f>
        <v>11.01918475499</v>
      </c>
      <c r="AX6" s="84">
        <f t="shared" ref="AX6:AX69" si="30">SUM(Y6:AD6)/SUM($K$3:$P$3)*1000</f>
        <v>11.0336782869009</v>
      </c>
    </row>
    <row r="7" spans="1:50">
      <c r="A7" s="65" t="s">
        <v>52</v>
      </c>
      <c r="B7" s="77" t="s">
        <v>347</v>
      </c>
      <c r="C7" s="77" t="s">
        <v>348</v>
      </c>
      <c r="D7" s="78" t="s">
        <v>349</v>
      </c>
      <c r="E7" s="79">
        <v>474</v>
      </c>
      <c r="F7" s="79">
        <v>393</v>
      </c>
      <c r="G7" s="79">
        <v>899</v>
      </c>
      <c r="H7" s="79">
        <v>1358</v>
      </c>
      <c r="I7" s="79">
        <v>802</v>
      </c>
      <c r="J7" s="79">
        <v>707</v>
      </c>
      <c r="K7" s="79">
        <v>1202</v>
      </c>
      <c r="L7" s="79">
        <v>723</v>
      </c>
      <c r="M7" s="79">
        <v>578</v>
      </c>
      <c r="N7" s="79">
        <v>956</v>
      </c>
      <c r="O7" s="79">
        <v>706</v>
      </c>
      <c r="P7" s="79">
        <v>575</v>
      </c>
      <c r="Q7" s="79">
        <v>9373</v>
      </c>
      <c r="R7" s="62"/>
      <c r="S7" s="73">
        <f t="shared" si="1"/>
        <v>14.443953499002</v>
      </c>
      <c r="T7" s="73">
        <f t="shared" si="2"/>
        <v>11.8144322458845</v>
      </c>
      <c r="U7" s="73">
        <f t="shared" si="3"/>
        <v>25.8163449913706</v>
      </c>
      <c r="V7" s="73">
        <f t="shared" si="4"/>
        <v>39.1437943538391</v>
      </c>
      <c r="W7" s="73">
        <f t="shared" si="5"/>
        <v>23.0059809813399</v>
      </c>
      <c r="X7" s="73">
        <f t="shared" si="6"/>
        <v>20.161577793177</v>
      </c>
      <c r="Y7" s="73">
        <f t="shared" si="7"/>
        <v>33.6723917202894</v>
      </c>
      <c r="Z7" s="73">
        <f t="shared" si="8"/>
        <v>19.4827242399582</v>
      </c>
      <c r="AA7" s="73">
        <f t="shared" si="9"/>
        <v>15.2813740596598</v>
      </c>
      <c r="AB7" s="73">
        <f t="shared" si="10"/>
        <v>25.5975606646937</v>
      </c>
      <c r="AC7" s="73">
        <f t="shared" si="11"/>
        <v>19.2771347515407</v>
      </c>
      <c r="AD7" s="73">
        <f t="shared" si="12"/>
        <v>15.6851662518509</v>
      </c>
      <c r="AE7" s="73">
        <f t="shared" si="13"/>
        <v>263.382435552606</v>
      </c>
      <c r="AF7" s="64"/>
      <c r="AG7" s="80">
        <f t="shared" si="14"/>
        <v>0.900215238329824</v>
      </c>
      <c r="AH7" s="80">
        <f t="shared" si="15"/>
        <v>0.598138530067056</v>
      </c>
      <c r="AI7" s="80">
        <f t="shared" si="16"/>
        <v>1.28843364732099</v>
      </c>
      <c r="AJ7" s="80">
        <f t="shared" si="17"/>
        <v>1.39584903019788</v>
      </c>
      <c r="AK7" s="80">
        <f t="shared" si="18"/>
        <v>0.563955017437366</v>
      </c>
      <c r="AL7" s="80">
        <f t="shared" si="19"/>
        <v>0.650877382269402</v>
      </c>
      <c r="AM7" s="80">
        <f t="shared" si="20"/>
        <v>0.976662462519635</v>
      </c>
      <c r="AN7" s="80">
        <f t="shared" si="21"/>
        <v>0.761698500272038</v>
      </c>
      <c r="AO7" s="80">
        <f t="shared" si="22"/>
        <v>0.38104363803261</v>
      </c>
      <c r="AP7" s="80">
        <f t="shared" si="23"/>
        <v>0.621496119277775</v>
      </c>
      <c r="AQ7" s="80">
        <f t="shared" si="24"/>
        <v>0.447161557678976</v>
      </c>
      <c r="AR7" s="80">
        <f t="shared" si="25"/>
        <v>0.599746348482042</v>
      </c>
      <c r="AS7" s="80">
        <f t="shared" si="26"/>
        <v>0.719121149012182</v>
      </c>
      <c r="AU7" s="80">
        <f t="shared" si="27"/>
        <v>0.863402981519806</v>
      </c>
      <c r="AV7" s="80">
        <f t="shared" si="28"/>
        <v>0.683278487404102</v>
      </c>
      <c r="AW7" s="80">
        <f t="shared" si="29"/>
        <v>0.548301146836444</v>
      </c>
      <c r="AX7" s="80">
        <f t="shared" si="30"/>
        <v>0.612492114240097</v>
      </c>
    </row>
    <row r="8" spans="1:50">
      <c r="A8" s="65" t="s">
        <v>52</v>
      </c>
      <c r="B8" s="77" t="s">
        <v>347</v>
      </c>
      <c r="C8" s="77" t="s">
        <v>348</v>
      </c>
      <c r="D8" s="78" t="s">
        <v>350</v>
      </c>
      <c r="E8" s="79">
        <v>26</v>
      </c>
      <c r="F8" s="79">
        <v>119</v>
      </c>
      <c r="G8" s="79">
        <v>91</v>
      </c>
      <c r="H8" s="79">
        <v>81</v>
      </c>
      <c r="I8" s="79">
        <v>60</v>
      </c>
      <c r="J8" s="79">
        <v>56</v>
      </c>
      <c r="K8" s="79">
        <v>48</v>
      </c>
      <c r="L8" s="79">
        <v>28</v>
      </c>
      <c r="M8" s="79">
        <v>237</v>
      </c>
      <c r="N8" s="79">
        <v>68</v>
      </c>
      <c r="O8" s="79">
        <v>48</v>
      </c>
      <c r="P8" s="79">
        <v>40</v>
      </c>
      <c r="Q8" s="79">
        <v>902</v>
      </c>
      <c r="R8" s="62"/>
      <c r="S8" s="73">
        <f t="shared" si="1"/>
        <v>0.792284369143571</v>
      </c>
      <c r="T8" s="73">
        <f t="shared" si="2"/>
        <v>3.5773980591864</v>
      </c>
      <c r="U8" s="73">
        <f t="shared" si="3"/>
        <v>2.61322290791405</v>
      </c>
      <c r="V8" s="73">
        <f t="shared" si="4"/>
        <v>2.33479185762958</v>
      </c>
      <c r="W8" s="73">
        <f t="shared" si="5"/>
        <v>1.72114570932718</v>
      </c>
      <c r="X8" s="73">
        <f t="shared" si="6"/>
        <v>1.59695665688531</v>
      </c>
      <c r="Y8" s="73">
        <f t="shared" si="7"/>
        <v>1.3446545778485</v>
      </c>
      <c r="Z8" s="73">
        <f t="shared" si="8"/>
        <v>0.754517674576527</v>
      </c>
      <c r="AA8" s="73">
        <f t="shared" si="9"/>
        <v>6.26589213172902</v>
      </c>
      <c r="AB8" s="73">
        <f t="shared" si="10"/>
        <v>1.82074699288616</v>
      </c>
      <c r="AC8" s="73">
        <f t="shared" si="11"/>
        <v>1.31062672531721</v>
      </c>
      <c r="AD8" s="73">
        <f t="shared" si="12"/>
        <v>1.09114200012875</v>
      </c>
      <c r="AE8" s="73">
        <f t="shared" si="13"/>
        <v>25.2233796625722</v>
      </c>
      <c r="AF8" s="64"/>
      <c r="AG8" s="80">
        <f t="shared" si="14"/>
        <v>0.049378894929484</v>
      </c>
      <c r="AH8" s="80">
        <f t="shared" si="15"/>
        <v>0.181115738111908</v>
      </c>
      <c r="AI8" s="80">
        <f t="shared" si="16"/>
        <v>0.130419868638721</v>
      </c>
      <c r="AJ8" s="80">
        <f t="shared" si="17"/>
        <v>0.0832575636568691</v>
      </c>
      <c r="AK8" s="80">
        <f t="shared" si="18"/>
        <v>0.0421911484367107</v>
      </c>
      <c r="AL8" s="80">
        <f t="shared" si="19"/>
        <v>0.0515546441401507</v>
      </c>
      <c r="AM8" s="80">
        <f t="shared" si="20"/>
        <v>0.0390014960074396</v>
      </c>
      <c r="AN8" s="80">
        <f t="shared" si="21"/>
        <v>0.029498697105971</v>
      </c>
      <c r="AO8" s="80">
        <f t="shared" si="22"/>
        <v>0.15624107649434</v>
      </c>
      <c r="AP8" s="80">
        <f t="shared" si="23"/>
        <v>0.044206836936076</v>
      </c>
      <c r="AQ8" s="80">
        <f t="shared" si="24"/>
        <v>0.0304019189356811</v>
      </c>
      <c r="AR8" s="80">
        <f t="shared" si="25"/>
        <v>0.0417214851117943</v>
      </c>
      <c r="AS8" s="80">
        <f t="shared" si="26"/>
        <v>0.0688681677913051</v>
      </c>
      <c r="AU8" s="80">
        <f t="shared" si="27"/>
        <v>0.0811824163657897</v>
      </c>
      <c r="AV8" s="80">
        <f t="shared" si="28"/>
        <v>0.0835178504593101</v>
      </c>
      <c r="AW8" s="80">
        <f t="shared" si="29"/>
        <v>0.0382301106231972</v>
      </c>
      <c r="AX8" s="80">
        <f t="shared" si="30"/>
        <v>0.0597675317886993</v>
      </c>
    </row>
    <row r="9" spans="1:50">
      <c r="A9" s="65" t="s">
        <v>52</v>
      </c>
      <c r="B9" s="77" t="s">
        <v>347</v>
      </c>
      <c r="C9" s="77" t="s">
        <v>351</v>
      </c>
      <c r="D9" s="78" t="s">
        <v>352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>
        <v>-2</v>
      </c>
      <c r="P9" s="79">
        <v>2</v>
      </c>
      <c r="Q9" s="79">
        <v>0</v>
      </c>
      <c r="R9" s="62"/>
      <c r="S9" s="73"/>
      <c r="T9" s="73"/>
      <c r="U9" s="73"/>
      <c r="V9" s="73"/>
      <c r="W9" s="73"/>
      <c r="X9" s="73"/>
      <c r="Y9" s="73"/>
      <c r="Z9" s="73"/>
      <c r="AA9" s="73"/>
      <c r="AB9" s="73"/>
      <c r="AC9" s="73">
        <f t="shared" si="11"/>
        <v>-0.0546094468882172</v>
      </c>
      <c r="AD9" s="73">
        <f t="shared" si="12"/>
        <v>0.0545571000064377</v>
      </c>
      <c r="AE9" s="73">
        <f t="shared" si="13"/>
        <v>-5.23468817794498e-5</v>
      </c>
      <c r="AF9" s="64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>
        <f t="shared" si="24"/>
        <v>-0.00126674662232005</v>
      </c>
      <c r="AR9" s="80">
        <f t="shared" si="25"/>
        <v>0.00208607425558971</v>
      </c>
      <c r="AS9" s="80">
        <f t="shared" si="26"/>
        <v>-1.42924298248902e-7</v>
      </c>
      <c r="AU9" s="80"/>
      <c r="AV9" s="80"/>
      <c r="AW9" s="80">
        <f t="shared" si="29"/>
        <v>-4.73941890262108e-7</v>
      </c>
      <c r="AX9" s="80">
        <f t="shared" si="30"/>
        <v>-2.48550070412232e-7</v>
      </c>
    </row>
    <row r="10" spans="1:50">
      <c r="A10" s="65" t="s">
        <v>52</v>
      </c>
      <c r="B10" s="77" t="s">
        <v>347</v>
      </c>
      <c r="C10" s="77" t="s">
        <v>353</v>
      </c>
      <c r="D10" s="78" t="s">
        <v>354</v>
      </c>
      <c r="E10" s="79">
        <v>203</v>
      </c>
      <c r="F10" s="79">
        <v>295</v>
      </c>
      <c r="G10" s="79">
        <v>307</v>
      </c>
      <c r="H10" s="79">
        <v>420</v>
      </c>
      <c r="I10" s="79">
        <v>597</v>
      </c>
      <c r="J10" s="79">
        <v>970</v>
      </c>
      <c r="K10" s="79">
        <v>719</v>
      </c>
      <c r="L10" s="79">
        <v>567</v>
      </c>
      <c r="M10" s="79">
        <v>680</v>
      </c>
      <c r="N10" s="79">
        <v>720</v>
      </c>
      <c r="O10" s="79">
        <v>834</v>
      </c>
      <c r="P10" s="79">
        <v>1092</v>
      </c>
      <c r="Q10" s="79">
        <v>7404</v>
      </c>
      <c r="R10" s="62"/>
      <c r="S10" s="73">
        <f t="shared" si="1"/>
        <v>6.18591257446711</v>
      </c>
      <c r="T10" s="73">
        <f t="shared" si="2"/>
        <v>8.86833972655451</v>
      </c>
      <c r="U10" s="73">
        <f t="shared" si="3"/>
        <v>8.81603772230343</v>
      </c>
      <c r="V10" s="73">
        <f t="shared" si="4"/>
        <v>12.1063281506719</v>
      </c>
      <c r="W10" s="73">
        <f t="shared" si="5"/>
        <v>17.1253998078054</v>
      </c>
      <c r="X10" s="73">
        <f t="shared" si="6"/>
        <v>27.6615706639062</v>
      </c>
      <c r="Y10" s="73">
        <f t="shared" si="7"/>
        <v>20.1418050306889</v>
      </c>
      <c r="Z10" s="73">
        <f t="shared" si="8"/>
        <v>15.2789829101747</v>
      </c>
      <c r="AA10" s="73">
        <f t="shared" si="9"/>
        <v>17.9780871290115</v>
      </c>
      <c r="AB10" s="73">
        <f t="shared" si="10"/>
        <v>19.2784975717359</v>
      </c>
      <c r="AC10" s="73">
        <f t="shared" si="11"/>
        <v>22.7721393523866</v>
      </c>
      <c r="AD10" s="73">
        <f t="shared" si="12"/>
        <v>29.788176603515</v>
      </c>
      <c r="AE10" s="73">
        <f t="shared" si="13"/>
        <v>206.001277243221</v>
      </c>
      <c r="AF10" s="64"/>
      <c r="AG10" s="80">
        <f t="shared" si="14"/>
        <v>0.385535218103279</v>
      </c>
      <c r="AH10" s="80">
        <f t="shared" si="15"/>
        <v>0.448984392798426</v>
      </c>
      <c r="AI10" s="80">
        <f t="shared" si="16"/>
        <v>0.439987908484475</v>
      </c>
      <c r="AJ10" s="80">
        <f t="shared" si="17"/>
        <v>0.43170588562821</v>
      </c>
      <c r="AK10" s="80">
        <f t="shared" si="18"/>
        <v>0.419801926945271</v>
      </c>
      <c r="AL10" s="80">
        <f t="shared" si="19"/>
        <v>0.893000085999038</v>
      </c>
      <c r="AM10" s="80">
        <f t="shared" si="20"/>
        <v>0.584209908944773</v>
      </c>
      <c r="AN10" s="80">
        <f t="shared" si="21"/>
        <v>0.597348616395913</v>
      </c>
      <c r="AO10" s="80">
        <f t="shared" si="22"/>
        <v>0.448286632979541</v>
      </c>
      <c r="AP10" s="80">
        <f t="shared" si="23"/>
        <v>0.468072391087864</v>
      </c>
      <c r="AQ10" s="80">
        <f t="shared" si="24"/>
        <v>0.528233341507459</v>
      </c>
      <c r="AR10" s="80">
        <f t="shared" si="25"/>
        <v>1.13899654355198</v>
      </c>
      <c r="AS10" s="80">
        <f t="shared" si="26"/>
        <v>0.56245161101312</v>
      </c>
      <c r="AU10" s="80">
        <f t="shared" si="27"/>
        <v>0.518889465558016</v>
      </c>
      <c r="AV10" s="80">
        <f t="shared" si="28"/>
        <v>0.533141056419045</v>
      </c>
      <c r="AW10" s="80">
        <f t="shared" si="29"/>
        <v>0.650419316683001</v>
      </c>
      <c r="AX10" s="80">
        <f t="shared" si="30"/>
        <v>0.594645473828339</v>
      </c>
    </row>
    <row r="11" spans="1:50">
      <c r="A11" s="65" t="s">
        <v>52</v>
      </c>
      <c r="B11" s="77" t="s">
        <v>347</v>
      </c>
      <c r="C11" s="77" t="s">
        <v>351</v>
      </c>
      <c r="D11" s="78" t="s">
        <v>355</v>
      </c>
      <c r="E11" s="79">
        <v>0</v>
      </c>
      <c r="F11" s="79">
        <v>-36</v>
      </c>
      <c r="G11" s="79">
        <v>5</v>
      </c>
      <c r="H11" s="79">
        <v>1</v>
      </c>
      <c r="I11" s="79">
        <v>3</v>
      </c>
      <c r="J11" s="79">
        <v>1</v>
      </c>
      <c r="K11" s="79">
        <v>0</v>
      </c>
      <c r="L11" s="79">
        <v>0</v>
      </c>
      <c r="M11" s="79">
        <v>1</v>
      </c>
      <c r="N11" s="79">
        <v>0</v>
      </c>
      <c r="O11" s="79">
        <v>3</v>
      </c>
      <c r="P11" s="79">
        <v>0</v>
      </c>
      <c r="Q11" s="79">
        <v>-22</v>
      </c>
      <c r="R11" s="62"/>
      <c r="S11" s="73">
        <f t="shared" si="1"/>
        <v>0</v>
      </c>
      <c r="T11" s="73">
        <f t="shared" si="2"/>
        <v>-1.0822380683253</v>
      </c>
      <c r="U11" s="73">
        <f t="shared" si="3"/>
        <v>0.143583676259013</v>
      </c>
      <c r="V11" s="73">
        <f t="shared" si="4"/>
        <v>0.0288245908349331</v>
      </c>
      <c r="W11" s="73">
        <f t="shared" si="5"/>
        <v>0.0860572854663588</v>
      </c>
      <c r="X11" s="73">
        <f t="shared" si="6"/>
        <v>0.0285170831586662</v>
      </c>
      <c r="Y11" s="73">
        <f t="shared" si="7"/>
        <v>0</v>
      </c>
      <c r="Z11" s="73">
        <f t="shared" si="8"/>
        <v>0</v>
      </c>
      <c r="AA11" s="73">
        <f t="shared" si="9"/>
        <v>0.026438363425017</v>
      </c>
      <c r="AB11" s="73">
        <f t="shared" si="10"/>
        <v>0</v>
      </c>
      <c r="AC11" s="73">
        <f t="shared" si="11"/>
        <v>0.0819141703323258</v>
      </c>
      <c r="AD11" s="73">
        <f t="shared" si="12"/>
        <v>0</v>
      </c>
      <c r="AE11" s="73">
        <f t="shared" si="13"/>
        <v>-0.686902898848982</v>
      </c>
      <c r="AF11" s="64"/>
      <c r="AG11" s="80">
        <f t="shared" si="14"/>
        <v>0</v>
      </c>
      <c r="AH11" s="80">
        <f t="shared" si="15"/>
        <v>-0.0547913157313334</v>
      </c>
      <c r="AI11" s="80">
        <f t="shared" si="16"/>
        <v>0.00716592684828135</v>
      </c>
      <c r="AJ11" s="80">
        <f t="shared" si="17"/>
        <v>0.00102787115625764</v>
      </c>
      <c r="AK11" s="80">
        <f t="shared" si="18"/>
        <v>0.00210955742183553</v>
      </c>
      <c r="AL11" s="80">
        <f t="shared" si="19"/>
        <v>0.000920618645359833</v>
      </c>
      <c r="AM11" s="80">
        <f t="shared" si="20"/>
        <v>0</v>
      </c>
      <c r="AN11" s="80">
        <f t="shared" si="21"/>
        <v>0</v>
      </c>
      <c r="AO11" s="80">
        <f t="shared" si="22"/>
        <v>0.000659245048499326</v>
      </c>
      <c r="AP11" s="80">
        <f t="shared" si="23"/>
        <v>0</v>
      </c>
      <c r="AQ11" s="80">
        <f t="shared" si="24"/>
        <v>0.00190011993348007</v>
      </c>
      <c r="AR11" s="80">
        <f t="shared" si="25"/>
        <v>0</v>
      </c>
      <c r="AS11" s="80">
        <f t="shared" si="26"/>
        <v>-0.00187547207103497</v>
      </c>
      <c r="AU11" s="80">
        <f t="shared" si="27"/>
        <v>-0.0051093527829404</v>
      </c>
      <c r="AV11" s="80">
        <f t="shared" si="28"/>
        <v>0.000263963931598927</v>
      </c>
      <c r="AW11" s="80">
        <f t="shared" si="29"/>
        <v>0.000741640292732692</v>
      </c>
      <c r="AX11" s="80">
        <f t="shared" si="30"/>
        <v>0.000514472476282318</v>
      </c>
    </row>
    <row r="12" spans="1:50">
      <c r="A12" s="65" t="s">
        <v>52</v>
      </c>
      <c r="B12" s="77" t="s">
        <v>347</v>
      </c>
      <c r="C12" s="77" t="s">
        <v>356</v>
      </c>
      <c r="D12" s="78" t="s">
        <v>357</v>
      </c>
      <c r="E12" s="79">
        <v>-469</v>
      </c>
      <c r="F12" s="79">
        <v>-853</v>
      </c>
      <c r="G12" s="79">
        <v>-1120</v>
      </c>
      <c r="H12" s="79">
        <v>-1217</v>
      </c>
      <c r="I12" s="79">
        <v>-1657</v>
      </c>
      <c r="J12" s="79">
        <v>-1316</v>
      </c>
      <c r="K12" s="79">
        <v>-1590</v>
      </c>
      <c r="L12" s="79">
        <v>-1132</v>
      </c>
      <c r="M12" s="79">
        <v>-1981</v>
      </c>
      <c r="N12" s="79">
        <v>-2083</v>
      </c>
      <c r="O12" s="79">
        <v>-1724</v>
      </c>
      <c r="P12" s="79">
        <v>-1279</v>
      </c>
      <c r="Q12" s="79">
        <v>-16421</v>
      </c>
      <c r="R12" s="62"/>
      <c r="S12" s="73">
        <f t="shared" si="1"/>
        <v>-14.2915911203206</v>
      </c>
      <c r="T12" s="73">
        <f t="shared" si="2"/>
        <v>-25.6430297855966</v>
      </c>
      <c r="U12" s="73">
        <f t="shared" si="3"/>
        <v>-32.162743482019</v>
      </c>
      <c r="V12" s="73">
        <f t="shared" si="4"/>
        <v>-35.0795270461136</v>
      </c>
      <c r="W12" s="73">
        <f t="shared" si="5"/>
        <v>-47.5323073392522</v>
      </c>
      <c r="X12" s="73">
        <f t="shared" si="6"/>
        <v>-37.5284814368047</v>
      </c>
      <c r="Y12" s="73">
        <f t="shared" si="7"/>
        <v>-44.5416828912315</v>
      </c>
      <c r="Z12" s="73">
        <f t="shared" si="8"/>
        <v>-30.5040717007367</v>
      </c>
      <c r="AA12" s="73">
        <f t="shared" si="9"/>
        <v>-52.3743979449586</v>
      </c>
      <c r="AB12" s="73">
        <f t="shared" si="10"/>
        <v>-55.7737645026747</v>
      </c>
      <c r="AC12" s="73">
        <f t="shared" si="11"/>
        <v>-47.0733432176432</v>
      </c>
      <c r="AD12" s="73">
        <f t="shared" si="12"/>
        <v>-34.8892654541169</v>
      </c>
      <c r="AE12" s="73">
        <f t="shared" si="13"/>
        <v>-457.394205921468</v>
      </c>
      <c r="AF12" s="64"/>
      <c r="AG12" s="80">
        <f t="shared" si="14"/>
        <v>-0.890719296997231</v>
      </c>
      <c r="AH12" s="80">
        <f t="shared" si="15"/>
        <v>-1.29824978663409</v>
      </c>
      <c r="AI12" s="80">
        <f t="shared" si="16"/>
        <v>-1.60516761401502</v>
      </c>
      <c r="AJ12" s="80">
        <f t="shared" si="17"/>
        <v>-1.25091919716555</v>
      </c>
      <c r="AK12" s="80">
        <f t="shared" si="18"/>
        <v>-1.16517888266049</v>
      </c>
      <c r="AL12" s="80">
        <f t="shared" si="19"/>
        <v>-1.21153413729354</v>
      </c>
      <c r="AM12" s="80">
        <f t="shared" si="20"/>
        <v>-1.29192455524644</v>
      </c>
      <c r="AN12" s="80">
        <f t="shared" si="21"/>
        <v>-1.19259018299854</v>
      </c>
      <c r="AO12" s="80">
        <f t="shared" si="22"/>
        <v>-1.30596444107716</v>
      </c>
      <c r="AP12" s="80">
        <f t="shared" si="23"/>
        <v>-1.35415943143892</v>
      </c>
      <c r="AQ12" s="80">
        <f t="shared" si="24"/>
        <v>-1.09193558843988</v>
      </c>
      <c r="AR12" s="80">
        <f t="shared" si="25"/>
        <v>-1.33404448644962</v>
      </c>
      <c r="AS12" s="80">
        <f t="shared" si="26"/>
        <v>-1.24883744135651</v>
      </c>
      <c r="AU12" s="80">
        <f t="shared" si="27"/>
        <v>-1.23508760342382</v>
      </c>
      <c r="AV12" s="80">
        <f t="shared" si="28"/>
        <v>-1.27217876113906</v>
      </c>
      <c r="AW12" s="80">
        <f t="shared" si="29"/>
        <v>-1.24704728994509</v>
      </c>
      <c r="AX12" s="80">
        <f t="shared" si="30"/>
        <v>-1.2589990252618</v>
      </c>
    </row>
    <row r="13" spans="1:50">
      <c r="A13" s="65"/>
      <c r="B13" s="77"/>
      <c r="C13" s="77"/>
      <c r="D13" s="85" t="s">
        <v>358</v>
      </c>
      <c r="E13" s="86">
        <v>235</v>
      </c>
      <c r="F13" s="86">
        <v>-82</v>
      </c>
      <c r="G13" s="86">
        <v>182</v>
      </c>
      <c r="H13" s="86">
        <v>642</v>
      </c>
      <c r="I13" s="86">
        <v>-195</v>
      </c>
      <c r="J13" s="86">
        <v>417</v>
      </c>
      <c r="K13" s="86">
        <v>379</v>
      </c>
      <c r="L13" s="86">
        <v>186</v>
      </c>
      <c r="M13" s="86">
        <v>-486</v>
      </c>
      <c r="N13" s="86">
        <v>-338</v>
      </c>
      <c r="O13" s="86">
        <v>-135</v>
      </c>
      <c r="P13" s="86">
        <v>430</v>
      </c>
      <c r="Q13" s="86">
        <v>1235</v>
      </c>
      <c r="R13" s="62"/>
      <c r="S13" s="87">
        <f t="shared" si="1"/>
        <v>7.16103179802843</v>
      </c>
      <c r="T13" s="87">
        <f t="shared" si="2"/>
        <v>-2.46509782229651</v>
      </c>
      <c r="U13" s="87">
        <f t="shared" si="3"/>
        <v>5.22644581582809</v>
      </c>
      <c r="V13" s="87">
        <f t="shared" si="4"/>
        <v>18.5053873160271</v>
      </c>
      <c r="W13" s="87">
        <f t="shared" si="5"/>
        <v>-5.59372355531332</v>
      </c>
      <c r="X13" s="87">
        <f t="shared" si="6"/>
        <v>11.8916236771638</v>
      </c>
      <c r="Y13" s="87">
        <f t="shared" si="7"/>
        <v>10.6171684375954</v>
      </c>
      <c r="Z13" s="87">
        <f t="shared" si="8"/>
        <v>5.01215312397264</v>
      </c>
      <c r="AA13" s="87">
        <f t="shared" si="9"/>
        <v>-12.8490446245582</v>
      </c>
      <c r="AB13" s="87">
        <f t="shared" si="10"/>
        <v>-9.05018358228711</v>
      </c>
      <c r="AC13" s="87">
        <f t="shared" si="11"/>
        <v>-3.68613766495466</v>
      </c>
      <c r="AD13" s="87">
        <f t="shared" si="12"/>
        <v>11.7297765013841</v>
      </c>
      <c r="AE13" s="87">
        <f t="shared" si="13"/>
        <v>36.4993994205897</v>
      </c>
      <c r="AF13" s="64"/>
      <c r="AG13" s="88">
        <f t="shared" si="14"/>
        <v>0.446309242631875</v>
      </c>
      <c r="AH13" s="88">
        <f t="shared" si="15"/>
        <v>-0.124802441388037</v>
      </c>
      <c r="AI13" s="88">
        <f t="shared" si="16"/>
        <v>0.260839737277441</v>
      </c>
      <c r="AJ13" s="88">
        <f t="shared" si="17"/>
        <v>0.659893282317407</v>
      </c>
      <c r="AK13" s="88">
        <f t="shared" si="18"/>
        <v>-0.13712123241931</v>
      </c>
      <c r="AL13" s="88">
        <f t="shared" si="19"/>
        <v>0.383897975115051</v>
      </c>
      <c r="AM13" s="88">
        <f t="shared" si="20"/>
        <v>0.307949312225409</v>
      </c>
      <c r="AN13" s="88">
        <f t="shared" si="21"/>
        <v>0.195955630775379</v>
      </c>
      <c r="AO13" s="88">
        <f t="shared" si="22"/>
        <v>-0.320393093570672</v>
      </c>
      <c r="AP13" s="88">
        <f t="shared" si="23"/>
        <v>-0.219733983594025</v>
      </c>
      <c r="AQ13" s="88">
        <f t="shared" si="24"/>
        <v>-0.0855053970066031</v>
      </c>
      <c r="AR13" s="88">
        <f t="shared" si="25"/>
        <v>0.448505964951788</v>
      </c>
      <c r="AS13" s="88">
        <f t="shared" si="26"/>
        <v>0.0996554306839744</v>
      </c>
      <c r="AU13" s="88">
        <f t="shared" si="27"/>
        <v>0.223105278157867</v>
      </c>
      <c r="AV13" s="88">
        <f t="shared" si="28"/>
        <v>0.0277586331434002</v>
      </c>
      <c r="AW13" s="88">
        <f t="shared" si="29"/>
        <v>-0.00911312581129612</v>
      </c>
      <c r="AX13" s="88">
        <f t="shared" si="30"/>
        <v>0.00842192019881472</v>
      </c>
    </row>
    <row r="14" spans="1:50">
      <c r="A14" s="65"/>
      <c r="B14" s="65"/>
      <c r="C14" s="65"/>
      <c r="D14" s="89" t="s">
        <v>359</v>
      </c>
      <c r="E14" s="90">
        <v>6018</v>
      </c>
      <c r="F14" s="90">
        <v>6153</v>
      </c>
      <c r="G14" s="90">
        <v>5819</v>
      </c>
      <c r="H14" s="90">
        <v>13889</v>
      </c>
      <c r="I14" s="90">
        <v>13034</v>
      </c>
      <c r="J14" s="90">
        <v>15245</v>
      </c>
      <c r="K14" s="90">
        <v>12453</v>
      </c>
      <c r="L14" s="90">
        <v>13131</v>
      </c>
      <c r="M14" s="90">
        <v>15387</v>
      </c>
      <c r="N14" s="90">
        <v>15955</v>
      </c>
      <c r="O14" s="90">
        <v>15170</v>
      </c>
      <c r="P14" s="90">
        <v>13734</v>
      </c>
      <c r="Q14" s="90">
        <v>145988</v>
      </c>
      <c r="R14" s="62"/>
      <c r="S14" s="91">
        <f t="shared" si="1"/>
        <v>183.383358981</v>
      </c>
      <c r="T14" s="91">
        <f t="shared" si="2"/>
        <v>184.972523177932</v>
      </c>
      <c r="U14" s="91">
        <f t="shared" si="3"/>
        <v>167.10268243024</v>
      </c>
      <c r="V14" s="91">
        <f t="shared" si="4"/>
        <v>400.344742106386</v>
      </c>
      <c r="W14" s="91">
        <f t="shared" si="5"/>
        <v>373.890219589507</v>
      </c>
      <c r="X14" s="91">
        <f t="shared" si="6"/>
        <v>434.742932753866</v>
      </c>
      <c r="Y14" s="91">
        <f t="shared" si="7"/>
        <v>348.853822040569</v>
      </c>
      <c r="Z14" s="91">
        <f t="shared" si="8"/>
        <v>353.841842316585</v>
      </c>
      <c r="AA14" s="91">
        <f t="shared" si="9"/>
        <v>406.807098020736</v>
      </c>
      <c r="AB14" s="91">
        <f t="shared" si="10"/>
        <v>427.206151051452</v>
      </c>
      <c r="AC14" s="91">
        <f t="shared" si="11"/>
        <v>414.212654647127</v>
      </c>
      <c r="AD14" s="91">
        <f t="shared" si="12"/>
        <v>374.643605744208</v>
      </c>
      <c r="AE14" s="91">
        <f t="shared" si="13"/>
        <v>4070.00163285961</v>
      </c>
      <c r="AF14" s="64"/>
      <c r="AG14" s="92">
        <f t="shared" si="14"/>
        <v>11.429314987909</v>
      </c>
      <c r="AH14" s="92">
        <f t="shared" si="15"/>
        <v>9.36474904708039</v>
      </c>
      <c r="AI14" s="92">
        <f t="shared" si="16"/>
        <v>8.33970566602984</v>
      </c>
      <c r="AJ14" s="92">
        <f t="shared" si="17"/>
        <v>14.2761024892624</v>
      </c>
      <c r="AK14" s="92">
        <f t="shared" si="18"/>
        <v>9.16532381206812</v>
      </c>
      <c r="AL14" s="92">
        <f t="shared" si="19"/>
        <v>14.0348312485107</v>
      </c>
      <c r="AM14" s="92">
        <f t="shared" si="20"/>
        <v>10.1184506204301</v>
      </c>
      <c r="AN14" s="92">
        <f t="shared" si="21"/>
        <v>13.8338354178038</v>
      </c>
      <c r="AO14" s="92">
        <f t="shared" si="22"/>
        <v>10.1438035612591</v>
      </c>
      <c r="AP14" s="92">
        <f t="shared" si="23"/>
        <v>10.3723541663984</v>
      </c>
      <c r="AQ14" s="92">
        <f t="shared" si="24"/>
        <v>9.60827313029755</v>
      </c>
      <c r="AR14" s="92">
        <f t="shared" si="25"/>
        <v>14.3250719131346</v>
      </c>
      <c r="AS14" s="92">
        <f t="shared" si="26"/>
        <v>11.1124503976989</v>
      </c>
      <c r="AU14" s="92">
        <f t="shared" si="27"/>
        <v>11.207645884848</v>
      </c>
      <c r="AV14" s="92">
        <f t="shared" si="28"/>
        <v>11.0774145346688</v>
      </c>
      <c r="AW14" s="92">
        <f t="shared" si="29"/>
        <v>11.0100716291787</v>
      </c>
      <c r="AX14" s="92">
        <f t="shared" si="30"/>
        <v>11.0420977917405</v>
      </c>
    </row>
    <row r="15" spans="1:50">
      <c r="A15" s="65" t="s">
        <v>42</v>
      </c>
      <c r="B15" s="65" t="s">
        <v>189</v>
      </c>
      <c r="C15" s="65" t="s">
        <v>188</v>
      </c>
      <c r="D15" s="78" t="s">
        <v>360</v>
      </c>
      <c r="E15" s="79">
        <v>4640</v>
      </c>
      <c r="F15" s="79">
        <v>5589</v>
      </c>
      <c r="G15" s="79">
        <v>8214</v>
      </c>
      <c r="H15" s="79">
        <v>7488</v>
      </c>
      <c r="I15" s="79">
        <v>7344</v>
      </c>
      <c r="J15" s="79">
        <v>7724</v>
      </c>
      <c r="K15" s="79">
        <v>7684</v>
      </c>
      <c r="L15" s="79">
        <v>6916</v>
      </c>
      <c r="M15" s="79">
        <v>8052</v>
      </c>
      <c r="N15" s="79">
        <v>8212</v>
      </c>
      <c r="O15" s="79">
        <v>7268</v>
      </c>
      <c r="P15" s="79">
        <v>8390</v>
      </c>
      <c r="Q15" s="79">
        <v>87521</v>
      </c>
      <c r="R15" s="62"/>
      <c r="S15" s="73">
        <f t="shared" si="1"/>
        <v>141.392287416391</v>
      </c>
      <c r="T15" s="73">
        <f t="shared" si="2"/>
        <v>168.017460107502</v>
      </c>
      <c r="U15" s="73">
        <f t="shared" si="3"/>
        <v>235.879263358307</v>
      </c>
      <c r="V15" s="73">
        <f t="shared" si="4"/>
        <v>215.838536171979</v>
      </c>
      <c r="W15" s="73">
        <f t="shared" si="5"/>
        <v>210.668234821646</v>
      </c>
      <c r="X15" s="73">
        <f t="shared" si="6"/>
        <v>220.265950317538</v>
      </c>
      <c r="Y15" s="73">
        <f t="shared" si="7"/>
        <v>215.256787003914</v>
      </c>
      <c r="Z15" s="73">
        <f t="shared" si="8"/>
        <v>186.365865620402</v>
      </c>
      <c r="AA15" s="73">
        <f t="shared" si="9"/>
        <v>212.881702298237</v>
      </c>
      <c r="AB15" s="73">
        <f t="shared" si="10"/>
        <v>219.881975082076</v>
      </c>
      <c r="AC15" s="73">
        <f t="shared" si="11"/>
        <v>198.450729991781</v>
      </c>
      <c r="AD15" s="73">
        <f t="shared" si="12"/>
        <v>228.867034527006</v>
      </c>
      <c r="AE15" s="73">
        <f t="shared" si="13"/>
        <v>2453.76582671678</v>
      </c>
      <c r="AF15" s="64"/>
      <c r="AG15" s="80">
        <f t="shared" si="14"/>
        <v>8.81223355664638</v>
      </c>
      <c r="AH15" s="80">
        <f t="shared" si="15"/>
        <v>8.50635176728951</v>
      </c>
      <c r="AI15" s="80">
        <f t="shared" si="16"/>
        <v>11.7721846263566</v>
      </c>
      <c r="AJ15" s="80">
        <f t="shared" si="17"/>
        <v>7.69669921805724</v>
      </c>
      <c r="AK15" s="80">
        <f t="shared" si="18"/>
        <v>5.16419656865339</v>
      </c>
      <c r="AL15" s="80">
        <f t="shared" si="19"/>
        <v>7.11085841675935</v>
      </c>
      <c r="AM15" s="80">
        <f t="shared" si="20"/>
        <v>6.24348948585763</v>
      </c>
      <c r="AN15" s="80">
        <f t="shared" si="21"/>
        <v>7.28617818517484</v>
      </c>
      <c r="AO15" s="80">
        <f t="shared" si="22"/>
        <v>5.30824113051657</v>
      </c>
      <c r="AP15" s="80">
        <f t="shared" si="23"/>
        <v>5.33862566057436</v>
      </c>
      <c r="AQ15" s="80">
        <f t="shared" si="24"/>
        <v>4.60335722551105</v>
      </c>
      <c r="AR15" s="80">
        <f t="shared" si="25"/>
        <v>8.75108150219884</v>
      </c>
      <c r="AS15" s="80">
        <f t="shared" si="26"/>
        <v>6.69959216153941</v>
      </c>
      <c r="AU15" s="80">
        <f t="shared" si="27"/>
        <v>7.65875174075545</v>
      </c>
      <c r="AV15" s="80">
        <f t="shared" si="28"/>
        <v>6.13528844060496</v>
      </c>
      <c r="AW15" s="80">
        <f t="shared" si="29"/>
        <v>5.85966264917034</v>
      </c>
      <c r="AX15" s="80">
        <f t="shared" si="30"/>
        <v>5.99074158522863</v>
      </c>
    </row>
    <row r="16" spans="1:50">
      <c r="A16" s="65" t="s">
        <v>42</v>
      </c>
      <c r="B16" s="65" t="s">
        <v>189</v>
      </c>
      <c r="C16" s="65" t="s">
        <v>189</v>
      </c>
      <c r="D16" s="78" t="s">
        <v>361</v>
      </c>
      <c r="E16" s="79">
        <v>3493</v>
      </c>
      <c r="F16" s="79">
        <v>2454</v>
      </c>
      <c r="G16" s="79">
        <v>3451</v>
      </c>
      <c r="H16" s="79">
        <v>2423</v>
      </c>
      <c r="I16" s="79">
        <v>2531</v>
      </c>
      <c r="J16" s="79">
        <v>3004</v>
      </c>
      <c r="K16" s="79">
        <v>3435</v>
      </c>
      <c r="L16" s="79">
        <v>3842</v>
      </c>
      <c r="M16" s="79">
        <v>3367</v>
      </c>
      <c r="N16" s="79">
        <v>3631</v>
      </c>
      <c r="O16" s="79">
        <v>3356</v>
      </c>
      <c r="P16" s="79">
        <v>2610</v>
      </c>
      <c r="Q16" s="79">
        <v>37597</v>
      </c>
      <c r="R16" s="62"/>
      <c r="S16" s="73">
        <f t="shared" si="1"/>
        <v>106.440357746865</v>
      </c>
      <c r="T16" s="73">
        <f t="shared" si="2"/>
        <v>73.7725616575077</v>
      </c>
      <c r="U16" s="73">
        <f t="shared" si="3"/>
        <v>99.1014533539711</v>
      </c>
      <c r="V16" s="73">
        <f t="shared" si="4"/>
        <v>69.8419835930429</v>
      </c>
      <c r="W16" s="73">
        <f t="shared" si="5"/>
        <v>72.6036631717847</v>
      </c>
      <c r="X16" s="73">
        <f t="shared" si="6"/>
        <v>85.6653178086333</v>
      </c>
      <c r="Y16" s="73">
        <f t="shared" si="7"/>
        <v>96.226843227283</v>
      </c>
      <c r="Z16" s="73">
        <f t="shared" si="8"/>
        <v>103.530603775822</v>
      </c>
      <c r="AA16" s="73">
        <f t="shared" si="9"/>
        <v>89.0179696520321</v>
      </c>
      <c r="AB16" s="73">
        <f t="shared" si="10"/>
        <v>97.2225342819068</v>
      </c>
      <c r="AC16" s="73">
        <f t="shared" si="11"/>
        <v>91.6346518784285</v>
      </c>
      <c r="AD16" s="73">
        <f t="shared" si="12"/>
        <v>71.1970155084013</v>
      </c>
      <c r="AE16" s="73">
        <f t="shared" si="13"/>
        <v>1056.25495565568</v>
      </c>
      <c r="AF16" s="64"/>
      <c r="AG16" s="80">
        <f t="shared" si="14"/>
        <v>6.63386461494953</v>
      </c>
      <c r="AH16" s="80">
        <f t="shared" si="15"/>
        <v>3.73494135568589</v>
      </c>
      <c r="AI16" s="80">
        <f t="shared" si="16"/>
        <v>4.94592271068379</v>
      </c>
      <c r="AJ16" s="80">
        <f t="shared" si="17"/>
        <v>2.49053181161227</v>
      </c>
      <c r="AK16" s="80">
        <f t="shared" si="18"/>
        <v>1.77976327822191</v>
      </c>
      <c r="AL16" s="80">
        <f t="shared" si="19"/>
        <v>2.76553841066094</v>
      </c>
      <c r="AM16" s="80">
        <f t="shared" si="20"/>
        <v>2.7910445580324</v>
      </c>
      <c r="AN16" s="80">
        <f t="shared" si="21"/>
        <v>4.04764265289788</v>
      </c>
      <c r="AO16" s="80">
        <f t="shared" si="22"/>
        <v>2.21967807829723</v>
      </c>
      <c r="AP16" s="80">
        <f t="shared" si="23"/>
        <v>2.36051507227783</v>
      </c>
      <c r="AQ16" s="80">
        <f t="shared" si="24"/>
        <v>2.12560083225304</v>
      </c>
      <c r="AR16" s="80">
        <f t="shared" si="25"/>
        <v>2.72232690354457</v>
      </c>
      <c r="AS16" s="80">
        <f t="shared" si="26"/>
        <v>2.88392532997597</v>
      </c>
      <c r="AU16" s="80">
        <f t="shared" si="27"/>
        <v>3.26010355054582</v>
      </c>
      <c r="AV16" s="80">
        <f t="shared" si="28"/>
        <v>2.88316992636845</v>
      </c>
      <c r="AW16" s="80">
        <f t="shared" si="29"/>
        <v>2.3544970726006</v>
      </c>
      <c r="AX16" s="80">
        <f t="shared" si="30"/>
        <v>2.60591721305297</v>
      </c>
    </row>
    <row r="17" spans="1:50">
      <c r="A17" s="65"/>
      <c r="B17" s="65"/>
      <c r="C17" s="65"/>
      <c r="D17" s="81" t="s">
        <v>362</v>
      </c>
      <c r="E17" s="82">
        <v>8133</v>
      </c>
      <c r="F17" s="82">
        <v>8043</v>
      </c>
      <c r="G17" s="82">
        <v>11664</v>
      </c>
      <c r="H17" s="82">
        <v>9911</v>
      </c>
      <c r="I17" s="82">
        <v>9875</v>
      </c>
      <c r="J17" s="82">
        <v>10728</v>
      </c>
      <c r="K17" s="82">
        <v>11119</v>
      </c>
      <c r="L17" s="82">
        <v>10758</v>
      </c>
      <c r="M17" s="82">
        <v>11419</v>
      </c>
      <c r="N17" s="82">
        <v>11843</v>
      </c>
      <c r="O17" s="82">
        <v>10624</v>
      </c>
      <c r="P17" s="82">
        <v>11000</v>
      </c>
      <c r="Q17" s="82">
        <v>125117</v>
      </c>
      <c r="R17" s="62"/>
      <c r="S17" s="83">
        <f t="shared" si="1"/>
        <v>247.832645163256</v>
      </c>
      <c r="T17" s="83">
        <f t="shared" si="2"/>
        <v>241.79002176501</v>
      </c>
      <c r="U17" s="83">
        <f t="shared" si="3"/>
        <v>334.951999977027</v>
      </c>
      <c r="V17" s="83">
        <f t="shared" si="4"/>
        <v>285.680519765022</v>
      </c>
      <c r="W17" s="83">
        <f t="shared" si="5"/>
        <v>283.271897993431</v>
      </c>
      <c r="X17" s="83">
        <f t="shared" si="6"/>
        <v>305.931268126171</v>
      </c>
      <c r="Y17" s="83">
        <f t="shared" si="7"/>
        <v>311.483630231197</v>
      </c>
      <c r="Z17" s="83">
        <f t="shared" si="8"/>
        <v>289.896469396224</v>
      </c>
      <c r="AA17" s="83">
        <f t="shared" si="9"/>
        <v>301.899671950269</v>
      </c>
      <c r="AB17" s="83">
        <f t="shared" si="10"/>
        <v>317.104509363983</v>
      </c>
      <c r="AC17" s="83">
        <f t="shared" si="11"/>
        <v>290.08538187021</v>
      </c>
      <c r="AD17" s="83">
        <f t="shared" si="12"/>
        <v>300.064050035408</v>
      </c>
      <c r="AE17" s="83">
        <f t="shared" si="13"/>
        <v>3509.99206563721</v>
      </c>
      <c r="AF17" s="64"/>
      <c r="AG17" s="84">
        <f t="shared" si="14"/>
        <v>15.4460981715959</v>
      </c>
      <c r="AH17" s="84">
        <f t="shared" si="15"/>
        <v>12.2412931229754</v>
      </c>
      <c r="AI17" s="84">
        <f t="shared" si="16"/>
        <v>16.7166741516707</v>
      </c>
      <c r="AJ17" s="84">
        <f t="shared" si="17"/>
        <v>10.1872310296695</v>
      </c>
      <c r="AK17" s="84">
        <f t="shared" si="18"/>
        <v>6.9439598468753</v>
      </c>
      <c r="AL17" s="84">
        <f t="shared" si="19"/>
        <v>9.87639682742029</v>
      </c>
      <c r="AM17" s="84">
        <f t="shared" si="20"/>
        <v>9.03453404389003</v>
      </c>
      <c r="AN17" s="84">
        <f t="shared" si="21"/>
        <v>11.3338208380727</v>
      </c>
      <c r="AO17" s="84">
        <f t="shared" si="22"/>
        <v>7.5279192088138</v>
      </c>
      <c r="AP17" s="84">
        <f t="shared" si="23"/>
        <v>7.69914073285219</v>
      </c>
      <c r="AQ17" s="84">
        <f t="shared" si="24"/>
        <v>6.72895805776409</v>
      </c>
      <c r="AR17" s="84">
        <f t="shared" si="25"/>
        <v>11.4734084057434</v>
      </c>
      <c r="AS17" s="84">
        <f t="shared" si="26"/>
        <v>9.58343908533159</v>
      </c>
      <c r="AU17" s="84">
        <f t="shared" si="27"/>
        <v>10.9186707921766</v>
      </c>
      <c r="AV17" s="84">
        <f t="shared" si="28"/>
        <v>9.01845836697341</v>
      </c>
      <c r="AW17" s="84">
        <f t="shared" si="29"/>
        <v>8.21415972177094</v>
      </c>
      <c r="AX17" s="84">
        <f t="shared" si="30"/>
        <v>8.5966587982816</v>
      </c>
    </row>
    <row r="18" spans="1:50">
      <c r="A18" s="65" t="s">
        <v>42</v>
      </c>
      <c r="B18" s="65" t="s">
        <v>363</v>
      </c>
      <c r="C18" s="65" t="s">
        <v>364</v>
      </c>
      <c r="D18" s="78" t="s">
        <v>365</v>
      </c>
      <c r="E18" s="79">
        <v>1</v>
      </c>
      <c r="F18" s="79">
        <v>3</v>
      </c>
      <c r="G18" s="79">
        <v>13</v>
      </c>
      <c r="H18" s="79">
        <v>13</v>
      </c>
      <c r="I18" s="79">
        <v>6</v>
      </c>
      <c r="J18" s="79">
        <v>10</v>
      </c>
      <c r="K18" s="79">
        <v>10</v>
      </c>
      <c r="L18" s="79">
        <v>1</v>
      </c>
      <c r="M18" s="79">
        <v>35</v>
      </c>
      <c r="N18" s="79">
        <v>6</v>
      </c>
      <c r="O18" s="79">
        <v>7</v>
      </c>
      <c r="P18" s="79">
        <v>4</v>
      </c>
      <c r="Q18" s="79">
        <v>109</v>
      </c>
      <c r="R18" s="62"/>
      <c r="S18" s="73">
        <f t="shared" si="1"/>
        <v>0.0304724757362912</v>
      </c>
      <c r="T18" s="73">
        <f t="shared" si="2"/>
        <v>0.0901865056937747</v>
      </c>
      <c r="U18" s="73">
        <f t="shared" si="3"/>
        <v>0.373317558273435</v>
      </c>
      <c r="V18" s="73">
        <f t="shared" si="4"/>
        <v>0.37471968085413</v>
      </c>
      <c r="W18" s="73">
        <f t="shared" si="5"/>
        <v>0.172114570932718</v>
      </c>
      <c r="X18" s="73">
        <f t="shared" si="6"/>
        <v>0.285170831586662</v>
      </c>
      <c r="Y18" s="73">
        <f t="shared" si="7"/>
        <v>0.280136370385103</v>
      </c>
      <c r="Z18" s="73">
        <f t="shared" si="8"/>
        <v>0.0269470598063045</v>
      </c>
      <c r="AA18" s="73">
        <f t="shared" si="9"/>
        <v>0.925342719875593</v>
      </c>
      <c r="AB18" s="73">
        <f t="shared" si="10"/>
        <v>0.160654146431132</v>
      </c>
      <c r="AC18" s="73">
        <f t="shared" si="11"/>
        <v>0.19113306410876</v>
      </c>
      <c r="AD18" s="73">
        <f t="shared" si="12"/>
        <v>0.109114200012875</v>
      </c>
      <c r="AE18" s="73">
        <f t="shared" si="13"/>
        <v>3.01930918369678</v>
      </c>
      <c r="AF18" s="64"/>
      <c r="AG18" s="80">
        <f t="shared" si="14"/>
        <v>0.00189918826651862</v>
      </c>
      <c r="AH18" s="80">
        <f t="shared" si="15"/>
        <v>0.00456594297761111</v>
      </c>
      <c r="AI18" s="80">
        <f t="shared" si="16"/>
        <v>0.0186314098055315</v>
      </c>
      <c r="AJ18" s="80">
        <f t="shared" si="17"/>
        <v>0.0133623250313494</v>
      </c>
      <c r="AK18" s="80">
        <f t="shared" si="18"/>
        <v>0.00421911484367107</v>
      </c>
      <c r="AL18" s="80">
        <f t="shared" si="19"/>
        <v>0.00920618645359833</v>
      </c>
      <c r="AM18" s="80">
        <f t="shared" si="20"/>
        <v>0.00812531166821659</v>
      </c>
      <c r="AN18" s="80">
        <f t="shared" si="21"/>
        <v>0.00105352489664182</v>
      </c>
      <c r="AO18" s="80">
        <f t="shared" si="22"/>
        <v>0.0230735766974764</v>
      </c>
      <c r="AP18" s="80">
        <f t="shared" si="23"/>
        <v>0.00390060325906553</v>
      </c>
      <c r="AQ18" s="80">
        <f t="shared" si="24"/>
        <v>0.00443361317812016</v>
      </c>
      <c r="AR18" s="80">
        <f t="shared" si="25"/>
        <v>0.00417214851117942</v>
      </c>
      <c r="AS18" s="80">
        <f t="shared" si="26"/>
        <v>0.00824371254995626</v>
      </c>
      <c r="AU18" s="80">
        <f t="shared" si="27"/>
        <v>0.00851915952814388</v>
      </c>
      <c r="AV18" s="80">
        <f t="shared" si="28"/>
        <v>0.0123046970323885</v>
      </c>
      <c r="AW18" s="80">
        <f t="shared" si="29"/>
        <v>0.00417294169807848</v>
      </c>
      <c r="AX18" s="80">
        <f t="shared" si="30"/>
        <v>0.00804014814476005</v>
      </c>
    </row>
    <row r="19" spans="1:50">
      <c r="A19" s="65" t="s">
        <v>42</v>
      </c>
      <c r="B19" s="65" t="s">
        <v>363</v>
      </c>
      <c r="C19" s="65" t="s">
        <v>364</v>
      </c>
      <c r="D19" s="78" t="s">
        <v>366</v>
      </c>
      <c r="E19" s="79">
        <v>8</v>
      </c>
      <c r="F19" s="79">
        <v>18</v>
      </c>
      <c r="G19" s="79">
        <v>17</v>
      </c>
      <c r="H19" s="79">
        <v>11</v>
      </c>
      <c r="I19" s="79">
        <v>7</v>
      </c>
      <c r="J19" s="79">
        <v>12</v>
      </c>
      <c r="K19" s="79">
        <v>16</v>
      </c>
      <c r="L19" s="79">
        <v>0</v>
      </c>
      <c r="M19" s="79">
        <v>2</v>
      </c>
      <c r="N19" s="79">
        <v>0</v>
      </c>
      <c r="O19" s="79">
        <v>15</v>
      </c>
      <c r="P19" s="79">
        <v>5</v>
      </c>
      <c r="Q19" s="79">
        <v>111</v>
      </c>
      <c r="R19" s="62"/>
      <c r="S19" s="73">
        <f t="shared" si="1"/>
        <v>0.24377980589033</v>
      </c>
      <c r="T19" s="73">
        <f t="shared" si="2"/>
        <v>0.541119034162648</v>
      </c>
      <c r="U19" s="73">
        <f t="shared" si="3"/>
        <v>0.488184499280646</v>
      </c>
      <c r="V19" s="73">
        <f t="shared" si="4"/>
        <v>0.317070499184264</v>
      </c>
      <c r="W19" s="73">
        <f t="shared" si="5"/>
        <v>0.200800332754837</v>
      </c>
      <c r="X19" s="73">
        <f t="shared" si="6"/>
        <v>0.342204997903994</v>
      </c>
      <c r="Y19" s="73">
        <f t="shared" si="7"/>
        <v>0.448218192616166</v>
      </c>
      <c r="Z19" s="73">
        <f t="shared" si="8"/>
        <v>0</v>
      </c>
      <c r="AA19" s="73">
        <f t="shared" si="9"/>
        <v>0.0528767268500339</v>
      </c>
      <c r="AB19" s="73">
        <f t="shared" si="10"/>
        <v>0</v>
      </c>
      <c r="AC19" s="73">
        <f t="shared" si="11"/>
        <v>0.409570851661629</v>
      </c>
      <c r="AD19" s="73">
        <f t="shared" si="12"/>
        <v>0.136392750016094</v>
      </c>
      <c r="AE19" s="73">
        <f t="shared" si="13"/>
        <v>3.18021769032064</v>
      </c>
      <c r="AF19" s="64"/>
      <c r="AG19" s="80">
        <f t="shared" si="14"/>
        <v>0.0151935061321489</v>
      </c>
      <c r="AH19" s="80">
        <f t="shared" si="15"/>
        <v>0.0273956578656667</v>
      </c>
      <c r="AI19" s="80">
        <f t="shared" si="16"/>
        <v>0.0243641512841566</v>
      </c>
      <c r="AJ19" s="80">
        <f t="shared" si="17"/>
        <v>0.0113065827188341</v>
      </c>
      <c r="AK19" s="80">
        <f t="shared" si="18"/>
        <v>0.00492230065094958</v>
      </c>
      <c r="AL19" s="80">
        <f t="shared" si="19"/>
        <v>0.011047423744318</v>
      </c>
      <c r="AM19" s="80">
        <f t="shared" si="20"/>
        <v>0.0130004986691465</v>
      </c>
      <c r="AN19" s="80">
        <f t="shared" si="21"/>
        <v>0</v>
      </c>
      <c r="AO19" s="80">
        <f t="shared" si="22"/>
        <v>0.00131849009699865</v>
      </c>
      <c r="AP19" s="80">
        <f t="shared" si="23"/>
        <v>0</v>
      </c>
      <c r="AQ19" s="80">
        <f t="shared" si="24"/>
        <v>0.00950059966740035</v>
      </c>
      <c r="AR19" s="80">
        <f t="shared" si="25"/>
        <v>0.00521518563897428</v>
      </c>
      <c r="AS19" s="80">
        <f t="shared" si="26"/>
        <v>0.00868304598510507</v>
      </c>
      <c r="AU19" s="80">
        <f t="shared" si="27"/>
        <v>0.013705109441086</v>
      </c>
      <c r="AV19" s="80">
        <f t="shared" si="28"/>
        <v>0.00500299443351271</v>
      </c>
      <c r="AW19" s="80">
        <f t="shared" si="29"/>
        <v>0.00494308376349229</v>
      </c>
      <c r="AX19" s="80">
        <f t="shared" si="30"/>
        <v>0.00497157538919953</v>
      </c>
    </row>
    <row r="20" spans="1:50">
      <c r="A20" s="65" t="s">
        <v>42</v>
      </c>
      <c r="B20" s="65" t="s">
        <v>363</v>
      </c>
      <c r="C20" s="65" t="s">
        <v>364</v>
      </c>
      <c r="D20" s="78" t="s">
        <v>367</v>
      </c>
      <c r="E20" s="79">
        <v>37</v>
      </c>
      <c r="F20" s="79">
        <v>17</v>
      </c>
      <c r="G20" s="79">
        <v>1</v>
      </c>
      <c r="H20" s="79">
        <v>4</v>
      </c>
      <c r="I20" s="79">
        <v>0</v>
      </c>
      <c r="J20" s="79">
        <v>0</v>
      </c>
      <c r="K20" s="79">
        <v>49</v>
      </c>
      <c r="L20" s="79">
        <v>11</v>
      </c>
      <c r="M20" s="79">
        <v>0</v>
      </c>
      <c r="N20" s="79">
        <v>0</v>
      </c>
      <c r="O20" s="79">
        <v>-3</v>
      </c>
      <c r="P20" s="79">
        <v>-8</v>
      </c>
      <c r="Q20" s="79">
        <v>108</v>
      </c>
      <c r="R20" s="62"/>
      <c r="S20" s="73">
        <f t="shared" si="1"/>
        <v>1.12748160224277</v>
      </c>
      <c r="T20" s="73">
        <f t="shared" si="2"/>
        <v>0.511056865598057</v>
      </c>
      <c r="U20" s="73">
        <f t="shared" si="3"/>
        <v>0.0287167352518027</v>
      </c>
      <c r="V20" s="73">
        <f t="shared" si="4"/>
        <v>0.115298363339732</v>
      </c>
      <c r="W20" s="73">
        <f t="shared" si="5"/>
        <v>0</v>
      </c>
      <c r="X20" s="73">
        <f t="shared" si="6"/>
        <v>0</v>
      </c>
      <c r="Y20" s="73">
        <f t="shared" si="7"/>
        <v>1.37266821488701</v>
      </c>
      <c r="Z20" s="73">
        <f t="shared" si="8"/>
        <v>0.29641765786935</v>
      </c>
      <c r="AA20" s="73">
        <f t="shared" si="9"/>
        <v>0</v>
      </c>
      <c r="AB20" s="73">
        <f t="shared" si="10"/>
        <v>0</v>
      </c>
      <c r="AC20" s="73">
        <f t="shared" si="11"/>
        <v>-0.0819141703323258</v>
      </c>
      <c r="AD20" s="73">
        <f t="shared" si="12"/>
        <v>-0.218228400025751</v>
      </c>
      <c r="AE20" s="73">
        <f t="shared" si="13"/>
        <v>3.15149686883065</v>
      </c>
      <c r="AF20" s="64"/>
      <c r="AG20" s="80">
        <f t="shared" si="14"/>
        <v>0.0702699658611888</v>
      </c>
      <c r="AH20" s="80">
        <f t="shared" si="15"/>
        <v>0.0258736768731296</v>
      </c>
      <c r="AI20" s="80">
        <f t="shared" si="16"/>
        <v>0.00143318536965627</v>
      </c>
      <c r="AJ20" s="80">
        <f t="shared" si="17"/>
        <v>0.00411148462503057</v>
      </c>
      <c r="AK20" s="80">
        <f t="shared" si="18"/>
        <v>0</v>
      </c>
      <c r="AL20" s="80">
        <f t="shared" si="19"/>
        <v>0</v>
      </c>
      <c r="AM20" s="80">
        <f t="shared" si="20"/>
        <v>0.0398140271742613</v>
      </c>
      <c r="AN20" s="80">
        <f t="shared" si="21"/>
        <v>0.01158877386306</v>
      </c>
      <c r="AO20" s="80">
        <f t="shared" si="22"/>
        <v>0</v>
      </c>
      <c r="AP20" s="80">
        <f t="shared" si="23"/>
        <v>0</v>
      </c>
      <c r="AQ20" s="80">
        <f t="shared" si="24"/>
        <v>-0.00190011993348007</v>
      </c>
      <c r="AR20" s="80">
        <f t="shared" si="25"/>
        <v>-0.00834429702235885</v>
      </c>
      <c r="AS20" s="80">
        <f t="shared" si="26"/>
        <v>0.00860462864452909</v>
      </c>
      <c r="AU20" s="80">
        <f t="shared" si="27"/>
        <v>0.0114525404693464</v>
      </c>
      <c r="AV20" s="80">
        <f t="shared" si="28"/>
        <v>0.0166643623913613</v>
      </c>
      <c r="AW20" s="80">
        <f t="shared" si="29"/>
        <v>-0.00271745197245882</v>
      </c>
      <c r="AX20" s="80">
        <f t="shared" si="30"/>
        <v>0.00649992783973278</v>
      </c>
    </row>
    <row r="21" spans="1:50">
      <c r="A21" s="65" t="s">
        <v>42</v>
      </c>
      <c r="B21" s="65" t="s">
        <v>363</v>
      </c>
      <c r="C21" s="65" t="s">
        <v>368</v>
      </c>
      <c r="D21" s="78" t="s">
        <v>369</v>
      </c>
      <c r="E21" s="79">
        <v>531</v>
      </c>
      <c r="F21" s="79">
        <v>750</v>
      </c>
      <c r="G21" s="79">
        <v>764</v>
      </c>
      <c r="H21" s="79">
        <v>888</v>
      </c>
      <c r="I21" s="79">
        <v>1301</v>
      </c>
      <c r="J21" s="79">
        <v>1031</v>
      </c>
      <c r="K21" s="79">
        <v>1262</v>
      </c>
      <c r="L21" s="79">
        <v>1086</v>
      </c>
      <c r="M21" s="79">
        <v>1566</v>
      </c>
      <c r="N21" s="79">
        <v>1523</v>
      </c>
      <c r="O21" s="79">
        <v>1401</v>
      </c>
      <c r="P21" s="79">
        <v>1328</v>
      </c>
      <c r="Q21" s="79">
        <v>13431</v>
      </c>
      <c r="R21" s="62"/>
      <c r="S21" s="73">
        <f t="shared" si="1"/>
        <v>16.1808846159706</v>
      </c>
      <c r="T21" s="73">
        <f t="shared" si="2"/>
        <v>22.5466264234437</v>
      </c>
      <c r="U21" s="73">
        <f t="shared" si="3"/>
        <v>21.9395857323773</v>
      </c>
      <c r="V21" s="73">
        <f t="shared" si="4"/>
        <v>25.5962366614206</v>
      </c>
      <c r="W21" s="73">
        <f t="shared" si="5"/>
        <v>37.3201761305776</v>
      </c>
      <c r="X21" s="73">
        <f t="shared" si="6"/>
        <v>29.4011127365849</v>
      </c>
      <c r="Y21" s="73">
        <f t="shared" si="7"/>
        <v>35.3532099426001</v>
      </c>
      <c r="Z21" s="73">
        <f t="shared" si="8"/>
        <v>29.2645069496467</v>
      </c>
      <c r="AA21" s="73">
        <f t="shared" si="9"/>
        <v>41.4024771235766</v>
      </c>
      <c r="AB21" s="73">
        <f t="shared" si="10"/>
        <v>40.7793775024357</v>
      </c>
      <c r="AC21" s="73">
        <f t="shared" si="11"/>
        <v>38.2539175451961</v>
      </c>
      <c r="AD21" s="73">
        <f t="shared" si="12"/>
        <v>36.2259144042747</v>
      </c>
      <c r="AE21" s="73">
        <f t="shared" si="13"/>
        <v>374.264025768104</v>
      </c>
      <c r="AF21" s="64"/>
      <c r="AG21" s="80">
        <f t="shared" si="14"/>
        <v>1.00846896952139</v>
      </c>
      <c r="AH21" s="80">
        <f t="shared" si="15"/>
        <v>1.14148574440278</v>
      </c>
      <c r="AI21" s="80">
        <f t="shared" si="16"/>
        <v>1.09495362241739</v>
      </c>
      <c r="AJ21" s="80">
        <f t="shared" si="17"/>
        <v>0.912749586756787</v>
      </c>
      <c r="AK21" s="80">
        <f t="shared" si="18"/>
        <v>0.914844735269343</v>
      </c>
      <c r="AL21" s="80">
        <f t="shared" si="19"/>
        <v>0.949157823365988</v>
      </c>
      <c r="AM21" s="80">
        <f t="shared" si="20"/>
        <v>1.02541433252893</v>
      </c>
      <c r="AN21" s="80">
        <f t="shared" si="21"/>
        <v>1.14412803775302</v>
      </c>
      <c r="AO21" s="80">
        <f t="shared" si="22"/>
        <v>1.03237774594994</v>
      </c>
      <c r="AP21" s="80">
        <f t="shared" si="23"/>
        <v>0.990103127259468</v>
      </c>
      <c r="AQ21" s="80">
        <f t="shared" si="24"/>
        <v>0.887356008935193</v>
      </c>
      <c r="AR21" s="80">
        <f t="shared" si="25"/>
        <v>1.38515330571157</v>
      </c>
      <c r="AS21" s="80">
        <f t="shared" si="26"/>
        <v>1.02186455858226</v>
      </c>
      <c r="AU21" s="80">
        <f t="shared" si="27"/>
        <v>0.982894770219629</v>
      </c>
      <c r="AV21" s="80">
        <f t="shared" si="28"/>
        <v>1.058518895115</v>
      </c>
      <c r="AW21" s="80">
        <f t="shared" si="29"/>
        <v>1.04354195972754</v>
      </c>
      <c r="AX21" s="80">
        <f t="shared" si="30"/>
        <v>1.05066451798228</v>
      </c>
    </row>
    <row r="22" spans="1:50">
      <c r="A22" s="65" t="s">
        <v>42</v>
      </c>
      <c r="B22" s="65" t="s">
        <v>363</v>
      </c>
      <c r="C22" s="65" t="s">
        <v>368</v>
      </c>
      <c r="D22" s="78" t="s">
        <v>370</v>
      </c>
      <c r="E22" s="79">
        <v>4</v>
      </c>
      <c r="F22" s="79">
        <v>104</v>
      </c>
      <c r="G22" s="79">
        <v>-50</v>
      </c>
      <c r="H22" s="79">
        <v>-10</v>
      </c>
      <c r="I22" s="79">
        <v>3</v>
      </c>
      <c r="J22" s="79">
        <v>2</v>
      </c>
      <c r="K22" s="79">
        <v>47</v>
      </c>
      <c r="L22" s="79">
        <v>11</v>
      </c>
      <c r="M22" s="79">
        <v>4</v>
      </c>
      <c r="N22" s="79">
        <v>0</v>
      </c>
      <c r="O22" s="79">
        <v>0</v>
      </c>
      <c r="P22" s="79">
        <v>-4</v>
      </c>
      <c r="Q22" s="79">
        <v>111</v>
      </c>
      <c r="R22" s="62"/>
      <c r="S22" s="73">
        <f t="shared" si="1"/>
        <v>0.121889902945165</v>
      </c>
      <c r="T22" s="73">
        <f t="shared" si="2"/>
        <v>3.12646553071752</v>
      </c>
      <c r="U22" s="73">
        <f t="shared" si="3"/>
        <v>-1.43583676259013</v>
      </c>
      <c r="V22" s="73">
        <f t="shared" si="4"/>
        <v>-0.288245908349331</v>
      </c>
      <c r="W22" s="73">
        <f t="shared" si="5"/>
        <v>0.0860572854663588</v>
      </c>
      <c r="X22" s="73">
        <f t="shared" si="6"/>
        <v>0.0570341663173324</v>
      </c>
      <c r="Y22" s="73">
        <f t="shared" si="7"/>
        <v>1.31664094080999</v>
      </c>
      <c r="Z22" s="73">
        <f t="shared" si="8"/>
        <v>0.29641765786935</v>
      </c>
      <c r="AA22" s="73">
        <f t="shared" si="9"/>
        <v>0.105753453700068</v>
      </c>
      <c r="AB22" s="73">
        <f t="shared" si="10"/>
        <v>0</v>
      </c>
      <c r="AC22" s="73">
        <f t="shared" si="11"/>
        <v>0</v>
      </c>
      <c r="AD22" s="73">
        <f t="shared" si="12"/>
        <v>-0.109114200012875</v>
      </c>
      <c r="AE22" s="73">
        <f t="shared" si="13"/>
        <v>3.27706206687344</v>
      </c>
      <c r="AF22" s="64"/>
      <c r="AG22" s="80">
        <f t="shared" si="14"/>
        <v>0.00759675306607446</v>
      </c>
      <c r="AH22" s="80">
        <f t="shared" si="15"/>
        <v>0.158286023223852</v>
      </c>
      <c r="AI22" s="80">
        <f t="shared" si="16"/>
        <v>-0.0716592684828135</v>
      </c>
      <c r="AJ22" s="80">
        <f t="shared" si="17"/>
        <v>-0.0102787115625764</v>
      </c>
      <c r="AK22" s="80">
        <f t="shared" si="18"/>
        <v>0.00210955742183553</v>
      </c>
      <c r="AL22" s="80">
        <f t="shared" si="19"/>
        <v>0.00184123729071967</v>
      </c>
      <c r="AM22" s="80">
        <f t="shared" si="20"/>
        <v>0.038188964840618</v>
      </c>
      <c r="AN22" s="80">
        <f t="shared" si="21"/>
        <v>0.01158877386306</v>
      </c>
      <c r="AO22" s="80">
        <f t="shared" si="22"/>
        <v>0.0026369801939973</v>
      </c>
      <c r="AP22" s="80">
        <f t="shared" si="23"/>
        <v>0</v>
      </c>
      <c r="AQ22" s="80">
        <f t="shared" si="24"/>
        <v>0</v>
      </c>
      <c r="AR22" s="80">
        <f t="shared" si="25"/>
        <v>-0.00417214851117942</v>
      </c>
      <c r="AS22" s="80">
        <f t="shared" si="26"/>
        <v>0.00894746315930235</v>
      </c>
      <c r="AU22" s="80">
        <f t="shared" si="27"/>
        <v>0.0107124725468972</v>
      </c>
      <c r="AV22" s="80">
        <f t="shared" si="28"/>
        <v>0.0171608347964677</v>
      </c>
      <c r="AW22" s="80">
        <f t="shared" si="29"/>
        <v>-0.000987905839863065</v>
      </c>
      <c r="AX22" s="80">
        <f t="shared" si="30"/>
        <v>0.00764306298575336</v>
      </c>
    </row>
    <row r="23" spans="1:50">
      <c r="A23" s="65" t="s">
        <v>42</v>
      </c>
      <c r="B23" s="65" t="s">
        <v>363</v>
      </c>
      <c r="C23" s="65" t="s">
        <v>364</v>
      </c>
      <c r="D23" s="78" t="s">
        <v>371</v>
      </c>
      <c r="E23" s="79">
        <v>0</v>
      </c>
      <c r="F23" s="79">
        <v>0</v>
      </c>
      <c r="G23" s="79">
        <v>0</v>
      </c>
      <c r="H23" s="79">
        <v>0</v>
      </c>
      <c r="I23" s="79">
        <v>5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5</v>
      </c>
      <c r="R23" s="62"/>
      <c r="S23" s="73">
        <f t="shared" si="1"/>
        <v>0</v>
      </c>
      <c r="T23" s="73">
        <f t="shared" si="2"/>
        <v>0</v>
      </c>
      <c r="U23" s="73">
        <f t="shared" si="3"/>
        <v>0</v>
      </c>
      <c r="V23" s="73">
        <f t="shared" si="4"/>
        <v>0</v>
      </c>
      <c r="W23" s="73">
        <f t="shared" si="5"/>
        <v>0.143428809110598</v>
      </c>
      <c r="X23" s="73">
        <f t="shared" si="6"/>
        <v>0</v>
      </c>
      <c r="Y23" s="73">
        <f t="shared" si="7"/>
        <v>0</v>
      </c>
      <c r="Z23" s="73">
        <f t="shared" si="8"/>
        <v>0</v>
      </c>
      <c r="AA23" s="73">
        <f t="shared" si="9"/>
        <v>0</v>
      </c>
      <c r="AB23" s="73">
        <f t="shared" si="10"/>
        <v>0</v>
      </c>
      <c r="AC23" s="73">
        <f t="shared" si="11"/>
        <v>0</v>
      </c>
      <c r="AD23" s="73">
        <f t="shared" si="12"/>
        <v>0</v>
      </c>
      <c r="AE23" s="73">
        <f t="shared" si="13"/>
        <v>0.143428809110598</v>
      </c>
      <c r="AF23" s="64"/>
      <c r="AG23" s="80">
        <f t="shared" si="14"/>
        <v>0</v>
      </c>
      <c r="AH23" s="80">
        <f t="shared" si="15"/>
        <v>0</v>
      </c>
      <c r="AI23" s="80">
        <f t="shared" si="16"/>
        <v>0</v>
      </c>
      <c r="AJ23" s="80">
        <f t="shared" si="17"/>
        <v>0</v>
      </c>
      <c r="AK23" s="80">
        <f t="shared" si="18"/>
        <v>0.00351592903639256</v>
      </c>
      <c r="AL23" s="80">
        <f t="shared" si="19"/>
        <v>0</v>
      </c>
      <c r="AM23" s="80">
        <f t="shared" si="20"/>
        <v>0</v>
      </c>
      <c r="AN23" s="80">
        <f t="shared" si="21"/>
        <v>0</v>
      </c>
      <c r="AO23" s="80">
        <f t="shared" si="22"/>
        <v>0</v>
      </c>
      <c r="AP23" s="80">
        <f t="shared" si="23"/>
        <v>0</v>
      </c>
      <c r="AQ23" s="80">
        <f t="shared" si="24"/>
        <v>0</v>
      </c>
      <c r="AR23" s="80">
        <f t="shared" si="25"/>
        <v>0</v>
      </c>
      <c r="AS23" s="80">
        <f t="shared" si="26"/>
        <v>0.000391608080442636</v>
      </c>
      <c r="AU23" s="80">
        <f t="shared" si="27"/>
        <v>0.000921500633552834</v>
      </c>
      <c r="AV23" s="80">
        <f t="shared" si="28"/>
        <v>0</v>
      </c>
      <c r="AW23" s="80">
        <f t="shared" si="29"/>
        <v>0</v>
      </c>
      <c r="AX23" s="80">
        <f t="shared" si="30"/>
        <v>0</v>
      </c>
    </row>
    <row r="24" spans="1:50">
      <c r="A24" s="65" t="s">
        <v>42</v>
      </c>
      <c r="B24" s="65" t="s">
        <v>363</v>
      </c>
      <c r="C24" s="65" t="s">
        <v>368</v>
      </c>
      <c r="D24" s="78" t="s">
        <v>372</v>
      </c>
      <c r="E24" s="79">
        <v>551</v>
      </c>
      <c r="F24" s="79">
        <v>867</v>
      </c>
      <c r="G24" s="79">
        <v>806</v>
      </c>
      <c r="H24" s="79">
        <v>1016</v>
      </c>
      <c r="I24" s="79">
        <v>1205</v>
      </c>
      <c r="J24" s="79">
        <v>1068</v>
      </c>
      <c r="K24" s="79">
        <v>1199</v>
      </c>
      <c r="L24" s="79">
        <v>1156</v>
      </c>
      <c r="M24" s="79">
        <v>1237</v>
      </c>
      <c r="N24" s="79">
        <v>1240</v>
      </c>
      <c r="O24" s="79">
        <v>1173</v>
      </c>
      <c r="P24" s="79">
        <v>1230</v>
      </c>
      <c r="Q24" s="79">
        <v>12748</v>
      </c>
      <c r="R24" s="62"/>
      <c r="S24" s="73">
        <f t="shared" si="1"/>
        <v>16.7903341306965</v>
      </c>
      <c r="T24" s="73">
        <f t="shared" si="2"/>
        <v>26.0639001455009</v>
      </c>
      <c r="U24" s="73">
        <f t="shared" si="3"/>
        <v>23.145688612953</v>
      </c>
      <c r="V24" s="73">
        <f t="shared" si="4"/>
        <v>29.285784288292</v>
      </c>
      <c r="W24" s="73">
        <f t="shared" si="5"/>
        <v>34.5663429956541</v>
      </c>
      <c r="X24" s="73">
        <f t="shared" si="6"/>
        <v>30.4562448134555</v>
      </c>
      <c r="Y24" s="73">
        <f t="shared" si="7"/>
        <v>33.5883508091739</v>
      </c>
      <c r="Z24" s="73">
        <f t="shared" si="8"/>
        <v>31.150801136088</v>
      </c>
      <c r="AA24" s="73">
        <f t="shared" si="9"/>
        <v>32.704255556746</v>
      </c>
      <c r="AB24" s="73">
        <f t="shared" si="10"/>
        <v>33.2018569291006</v>
      </c>
      <c r="AC24" s="73">
        <f t="shared" si="11"/>
        <v>32.0284405999394</v>
      </c>
      <c r="AD24" s="73">
        <f t="shared" si="12"/>
        <v>33.5526165039592</v>
      </c>
      <c r="AE24" s="73">
        <f t="shared" si="13"/>
        <v>356.534616521559</v>
      </c>
      <c r="AF24" s="64"/>
      <c r="AG24" s="80">
        <f t="shared" si="14"/>
        <v>1.04645273485176</v>
      </c>
      <c r="AH24" s="80">
        <f t="shared" si="15"/>
        <v>1.31955752052961</v>
      </c>
      <c r="AI24" s="80">
        <f t="shared" si="16"/>
        <v>1.15514740794295</v>
      </c>
      <c r="AJ24" s="80">
        <f t="shared" si="17"/>
        <v>1.04431709475777</v>
      </c>
      <c r="AK24" s="80">
        <f t="shared" si="18"/>
        <v>0.847338897770606</v>
      </c>
      <c r="AL24" s="80">
        <f t="shared" si="19"/>
        <v>0.983220713244302</v>
      </c>
      <c r="AM24" s="80">
        <f t="shared" si="20"/>
        <v>0.974224869019169</v>
      </c>
      <c r="AN24" s="80">
        <f t="shared" si="21"/>
        <v>1.21787478051795</v>
      </c>
      <c r="AO24" s="80">
        <f t="shared" si="22"/>
        <v>0.815486124993666</v>
      </c>
      <c r="AP24" s="80">
        <f t="shared" si="23"/>
        <v>0.80612467354021</v>
      </c>
      <c r="AQ24" s="80">
        <f t="shared" si="24"/>
        <v>0.742946893990707</v>
      </c>
      <c r="AR24" s="80">
        <f t="shared" si="25"/>
        <v>1.28293566718767</v>
      </c>
      <c r="AS24" s="80">
        <f t="shared" si="26"/>
        <v>0.973457408265145</v>
      </c>
      <c r="AU24" s="80">
        <f t="shared" si="27"/>
        <v>1.02994786270569</v>
      </c>
      <c r="AV24" s="80">
        <f t="shared" si="28"/>
        <v>0.972887184396888</v>
      </c>
      <c r="AW24" s="80">
        <f t="shared" si="29"/>
        <v>0.894367714196462</v>
      </c>
      <c r="AX24" s="80">
        <f t="shared" si="30"/>
        <v>0.931709098542831</v>
      </c>
    </row>
    <row r="25" spans="1:50">
      <c r="A25" s="65" t="s">
        <v>42</v>
      </c>
      <c r="B25" s="65" t="s">
        <v>363</v>
      </c>
      <c r="C25" s="65" t="s">
        <v>368</v>
      </c>
      <c r="D25" s="78" t="s">
        <v>373</v>
      </c>
      <c r="E25" s="79">
        <v>383</v>
      </c>
      <c r="F25" s="79">
        <v>383</v>
      </c>
      <c r="G25" s="79">
        <v>574</v>
      </c>
      <c r="H25" s="79">
        <v>861</v>
      </c>
      <c r="I25" s="79">
        <v>388</v>
      </c>
      <c r="J25" s="79">
        <v>383</v>
      </c>
      <c r="K25" s="79">
        <v>400</v>
      </c>
      <c r="L25" s="79">
        <v>383</v>
      </c>
      <c r="M25" s="79">
        <v>389</v>
      </c>
      <c r="N25" s="79">
        <v>1734</v>
      </c>
      <c r="O25" s="79">
        <v>50</v>
      </c>
      <c r="P25" s="79">
        <v>24</v>
      </c>
      <c r="Q25" s="79">
        <v>5952</v>
      </c>
      <c r="R25" s="62"/>
      <c r="S25" s="73">
        <f t="shared" si="1"/>
        <v>11.6709582069995</v>
      </c>
      <c r="T25" s="73">
        <f t="shared" si="2"/>
        <v>11.5138105602386</v>
      </c>
      <c r="U25" s="73">
        <f t="shared" si="3"/>
        <v>16.4834060345347</v>
      </c>
      <c r="V25" s="73">
        <f t="shared" si="4"/>
        <v>24.8179727088774</v>
      </c>
      <c r="W25" s="73">
        <f t="shared" si="5"/>
        <v>11.1300755869824</v>
      </c>
      <c r="X25" s="73">
        <f t="shared" si="6"/>
        <v>10.9220428497692</v>
      </c>
      <c r="Y25" s="73">
        <f t="shared" si="7"/>
        <v>11.2054548154041</v>
      </c>
      <c r="Z25" s="73">
        <f t="shared" si="8"/>
        <v>10.3207239058146</v>
      </c>
      <c r="AA25" s="73">
        <f t="shared" si="9"/>
        <v>10.2845233723316</v>
      </c>
      <c r="AB25" s="73">
        <f t="shared" si="10"/>
        <v>46.4290483185972</v>
      </c>
      <c r="AC25" s="73">
        <f t="shared" si="11"/>
        <v>1.36523617220543</v>
      </c>
      <c r="AD25" s="73">
        <f t="shared" si="12"/>
        <v>0.654685200077253</v>
      </c>
      <c r="AE25" s="73">
        <f t="shared" si="13"/>
        <v>166.797937731832</v>
      </c>
      <c r="AF25" s="64"/>
      <c r="AG25" s="80">
        <f t="shared" si="14"/>
        <v>0.72738910607663</v>
      </c>
      <c r="AH25" s="80">
        <f t="shared" si="15"/>
        <v>0.582918720141686</v>
      </c>
      <c r="AI25" s="80">
        <f t="shared" si="16"/>
        <v>0.8226484021827</v>
      </c>
      <c r="AJ25" s="80">
        <f t="shared" si="17"/>
        <v>0.884997065537831</v>
      </c>
      <c r="AK25" s="80">
        <f t="shared" si="18"/>
        <v>0.272836093224062</v>
      </c>
      <c r="AL25" s="80">
        <f t="shared" si="19"/>
        <v>0.352596941172816</v>
      </c>
      <c r="AM25" s="80">
        <f t="shared" si="20"/>
        <v>0.325012466728664</v>
      </c>
      <c r="AN25" s="80">
        <f t="shared" si="21"/>
        <v>0.403500035413818</v>
      </c>
      <c r="AO25" s="80">
        <f t="shared" si="22"/>
        <v>0.256446323866238</v>
      </c>
      <c r="AP25" s="80">
        <f t="shared" si="23"/>
        <v>1.12727434186994</v>
      </c>
      <c r="AQ25" s="80">
        <f t="shared" si="24"/>
        <v>0.0316686655580012</v>
      </c>
      <c r="AR25" s="80">
        <f t="shared" si="25"/>
        <v>0.0250328910670765</v>
      </c>
      <c r="AS25" s="80">
        <f t="shared" si="26"/>
        <v>0.455413529694618</v>
      </c>
      <c r="AU25" s="80">
        <f t="shared" si="27"/>
        <v>0.555990580913232</v>
      </c>
      <c r="AV25" s="80">
        <f t="shared" si="28"/>
        <v>0.317602033701918</v>
      </c>
      <c r="AW25" s="80">
        <f t="shared" si="29"/>
        <v>0.438650698876232</v>
      </c>
      <c r="AX25" s="80">
        <f t="shared" si="30"/>
        <v>0.381083770325248</v>
      </c>
    </row>
    <row r="26" spans="1:50">
      <c r="A26" s="65" t="s">
        <v>42</v>
      </c>
      <c r="B26" s="65" t="s">
        <v>363</v>
      </c>
      <c r="C26" s="65" t="s">
        <v>364</v>
      </c>
      <c r="D26" s="78" t="s">
        <v>374</v>
      </c>
      <c r="E26" s="79">
        <v>19</v>
      </c>
      <c r="F26" s="79">
        <v>19</v>
      </c>
      <c r="G26" s="79">
        <v>20</v>
      </c>
      <c r="H26" s="79">
        <v>19</v>
      </c>
      <c r="I26" s="79">
        <v>19</v>
      </c>
      <c r="J26" s="79">
        <v>19</v>
      </c>
      <c r="K26" s="79">
        <v>19</v>
      </c>
      <c r="L26" s="79">
        <v>19</v>
      </c>
      <c r="M26" s="79">
        <v>19</v>
      </c>
      <c r="N26" s="79">
        <v>19</v>
      </c>
      <c r="O26" s="79">
        <v>19</v>
      </c>
      <c r="P26" s="79">
        <v>-209</v>
      </c>
      <c r="Q26" s="79">
        <v>1</v>
      </c>
      <c r="R26" s="62"/>
      <c r="S26" s="73">
        <f t="shared" si="1"/>
        <v>0.578977038989533</v>
      </c>
      <c r="T26" s="73">
        <f t="shared" si="2"/>
        <v>0.57118120272724</v>
      </c>
      <c r="U26" s="73">
        <f t="shared" si="3"/>
        <v>0.574334705036054</v>
      </c>
      <c r="V26" s="73">
        <f t="shared" si="4"/>
        <v>0.547667225863729</v>
      </c>
      <c r="W26" s="73">
        <f t="shared" si="5"/>
        <v>0.545029474620272</v>
      </c>
      <c r="X26" s="73">
        <f t="shared" si="6"/>
        <v>0.541824580014658</v>
      </c>
      <c r="Y26" s="73">
        <f t="shared" si="7"/>
        <v>0.532259103731697</v>
      </c>
      <c r="Z26" s="73">
        <f t="shared" si="8"/>
        <v>0.511994136319786</v>
      </c>
      <c r="AA26" s="73">
        <f t="shared" si="9"/>
        <v>0.502328905075322</v>
      </c>
      <c r="AB26" s="73">
        <f t="shared" si="10"/>
        <v>0.508738130365252</v>
      </c>
      <c r="AC26" s="73">
        <f t="shared" si="11"/>
        <v>0.518789745438063</v>
      </c>
      <c r="AD26" s="73">
        <f t="shared" si="12"/>
        <v>-5.70121695067274</v>
      </c>
      <c r="AE26" s="73">
        <f t="shared" si="13"/>
        <v>0.231907297508863</v>
      </c>
      <c r="AF26" s="64"/>
      <c r="AG26" s="80">
        <f t="shared" si="14"/>
        <v>0.0360845770638537</v>
      </c>
      <c r="AH26" s="80">
        <f t="shared" si="15"/>
        <v>0.0289176388582037</v>
      </c>
      <c r="AI26" s="80">
        <f t="shared" si="16"/>
        <v>0.0286637073931254</v>
      </c>
      <c r="AJ26" s="80">
        <f t="shared" si="17"/>
        <v>0.0195295519688952</v>
      </c>
      <c r="AK26" s="80">
        <f t="shared" si="18"/>
        <v>0.0133605303382917</v>
      </c>
      <c r="AL26" s="80">
        <f t="shared" si="19"/>
        <v>0.0174917542618368</v>
      </c>
      <c r="AM26" s="80">
        <f t="shared" si="20"/>
        <v>0.0154380921696115</v>
      </c>
      <c r="AN26" s="80">
        <f t="shared" si="21"/>
        <v>0.0200169730361946</v>
      </c>
      <c r="AO26" s="80">
        <f t="shared" si="22"/>
        <v>0.0125256559214872</v>
      </c>
      <c r="AP26" s="80">
        <f t="shared" si="23"/>
        <v>0.0123519103203742</v>
      </c>
      <c r="AQ26" s="80">
        <f t="shared" si="24"/>
        <v>0.0120340929120404</v>
      </c>
      <c r="AR26" s="80">
        <f t="shared" si="25"/>
        <v>-0.217994759709125</v>
      </c>
      <c r="AS26" s="80">
        <f t="shared" si="26"/>
        <v>0.000633183613398449</v>
      </c>
      <c r="AU26" s="80">
        <f t="shared" si="27"/>
        <v>0.0215809763583717</v>
      </c>
      <c r="AV26" s="80">
        <f t="shared" si="28"/>
        <v>0.0154412698322348</v>
      </c>
      <c r="AW26" s="80">
        <f t="shared" si="29"/>
        <v>-0.0423149757797142</v>
      </c>
      <c r="AX26" s="80">
        <f t="shared" si="30"/>
        <v>-0.0148479263931865</v>
      </c>
    </row>
    <row r="27" spans="1:50">
      <c r="A27" s="65" t="s">
        <v>42</v>
      </c>
      <c r="B27" s="65" t="s">
        <v>363</v>
      </c>
      <c r="C27" s="65" t="s">
        <v>368</v>
      </c>
      <c r="D27" s="78" t="s">
        <v>375</v>
      </c>
      <c r="E27" s="79">
        <v>0</v>
      </c>
      <c r="F27" s="79">
        <v>2</v>
      </c>
      <c r="G27" s="79">
        <v>0</v>
      </c>
      <c r="H27" s="79">
        <v>0</v>
      </c>
      <c r="I27" s="79">
        <v>0</v>
      </c>
      <c r="J27" s="79">
        <v>4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6</v>
      </c>
      <c r="R27" s="62"/>
      <c r="S27" s="73">
        <f t="shared" si="1"/>
        <v>0</v>
      </c>
      <c r="T27" s="73">
        <f t="shared" si="2"/>
        <v>0.0601243371291832</v>
      </c>
      <c r="U27" s="73">
        <f t="shared" si="3"/>
        <v>0</v>
      </c>
      <c r="V27" s="73">
        <f t="shared" si="4"/>
        <v>0</v>
      </c>
      <c r="W27" s="73">
        <f t="shared" si="5"/>
        <v>0</v>
      </c>
      <c r="X27" s="73">
        <f t="shared" si="6"/>
        <v>0.114068332634665</v>
      </c>
      <c r="Y27" s="73">
        <f t="shared" si="7"/>
        <v>0</v>
      </c>
      <c r="Z27" s="73">
        <f t="shared" si="8"/>
        <v>0</v>
      </c>
      <c r="AA27" s="73">
        <f t="shared" si="9"/>
        <v>0</v>
      </c>
      <c r="AB27" s="73">
        <f t="shared" si="10"/>
        <v>0</v>
      </c>
      <c r="AC27" s="73">
        <f t="shared" si="11"/>
        <v>0</v>
      </c>
      <c r="AD27" s="73">
        <f t="shared" si="12"/>
        <v>0</v>
      </c>
      <c r="AE27" s="73">
        <f t="shared" si="13"/>
        <v>0.174192669763848</v>
      </c>
      <c r="AF27" s="64"/>
      <c r="AG27" s="80">
        <f t="shared" si="14"/>
        <v>0</v>
      </c>
      <c r="AH27" s="80">
        <f t="shared" si="15"/>
        <v>0.00304396198507408</v>
      </c>
      <c r="AI27" s="80">
        <f t="shared" si="16"/>
        <v>0</v>
      </c>
      <c r="AJ27" s="80">
        <f t="shared" si="17"/>
        <v>0</v>
      </c>
      <c r="AK27" s="80">
        <f t="shared" si="18"/>
        <v>0</v>
      </c>
      <c r="AL27" s="80">
        <f t="shared" si="19"/>
        <v>0.00368247458143933</v>
      </c>
      <c r="AM27" s="80">
        <f t="shared" si="20"/>
        <v>0</v>
      </c>
      <c r="AN27" s="80">
        <f t="shared" si="21"/>
        <v>0</v>
      </c>
      <c r="AO27" s="80">
        <f t="shared" si="22"/>
        <v>0</v>
      </c>
      <c r="AP27" s="80">
        <f t="shared" si="23"/>
        <v>0</v>
      </c>
      <c r="AQ27" s="80">
        <f t="shared" si="24"/>
        <v>0</v>
      </c>
      <c r="AR27" s="80">
        <f t="shared" si="25"/>
        <v>0</v>
      </c>
      <c r="AS27" s="80">
        <f t="shared" si="26"/>
        <v>0.000475603593562557</v>
      </c>
      <c r="AU27" s="80">
        <f t="shared" si="27"/>
        <v>0.00111915211834374</v>
      </c>
      <c r="AV27" s="80">
        <f t="shared" si="28"/>
        <v>0</v>
      </c>
      <c r="AW27" s="80">
        <f t="shared" si="29"/>
        <v>0</v>
      </c>
      <c r="AX27" s="80">
        <f t="shared" si="30"/>
        <v>0</v>
      </c>
    </row>
    <row r="28" spans="1:50">
      <c r="A28" s="65" t="s">
        <v>42</v>
      </c>
      <c r="B28" s="65" t="s">
        <v>363</v>
      </c>
      <c r="C28" s="65" t="s">
        <v>364</v>
      </c>
      <c r="D28" s="78" t="s">
        <v>376</v>
      </c>
      <c r="E28" s="79">
        <v>242</v>
      </c>
      <c r="F28" s="79">
        <v>372</v>
      </c>
      <c r="G28" s="79">
        <v>235</v>
      </c>
      <c r="H28" s="79">
        <v>97</v>
      </c>
      <c r="I28" s="79">
        <v>242</v>
      </c>
      <c r="J28" s="79">
        <v>119</v>
      </c>
      <c r="K28" s="79">
        <v>129</v>
      </c>
      <c r="L28" s="79">
        <v>198</v>
      </c>
      <c r="M28" s="79">
        <v>158</v>
      </c>
      <c r="N28" s="79">
        <v>235</v>
      </c>
      <c r="O28" s="79">
        <v>145</v>
      </c>
      <c r="P28" s="79">
        <v>27</v>
      </c>
      <c r="Q28" s="79">
        <v>2199</v>
      </c>
      <c r="R28" s="62"/>
      <c r="S28" s="73">
        <f t="shared" si="1"/>
        <v>7.37433912818247</v>
      </c>
      <c r="T28" s="73">
        <f t="shared" si="2"/>
        <v>11.1831267060281</v>
      </c>
      <c r="U28" s="73">
        <f t="shared" si="3"/>
        <v>6.74843278417363</v>
      </c>
      <c r="V28" s="73">
        <f t="shared" si="4"/>
        <v>2.79598531098851</v>
      </c>
      <c r="W28" s="73">
        <f t="shared" si="5"/>
        <v>6.94195436095294</v>
      </c>
      <c r="X28" s="73">
        <f t="shared" si="6"/>
        <v>3.39353289588128</v>
      </c>
      <c r="Y28" s="73">
        <f t="shared" si="7"/>
        <v>3.61375917796783</v>
      </c>
      <c r="Z28" s="73">
        <f t="shared" si="8"/>
        <v>5.3355178416483</v>
      </c>
      <c r="AA28" s="73">
        <f t="shared" si="9"/>
        <v>4.17726142115268</v>
      </c>
      <c r="AB28" s="73">
        <f t="shared" si="10"/>
        <v>6.29228740188601</v>
      </c>
      <c r="AC28" s="73">
        <f t="shared" si="11"/>
        <v>3.95918489939575</v>
      </c>
      <c r="AD28" s="73">
        <f t="shared" si="12"/>
        <v>0.736520850086909</v>
      </c>
      <c r="AE28" s="73">
        <f t="shared" si="13"/>
        <v>62.5519027783444</v>
      </c>
      <c r="AF28" s="64"/>
      <c r="AG28" s="80">
        <f t="shared" si="14"/>
        <v>0.459603560497505</v>
      </c>
      <c r="AH28" s="80">
        <f t="shared" si="15"/>
        <v>0.566176929223778</v>
      </c>
      <c r="AI28" s="80">
        <f t="shared" si="16"/>
        <v>0.336798561869224</v>
      </c>
      <c r="AJ28" s="80">
        <f t="shared" si="17"/>
        <v>0.0997035021569914</v>
      </c>
      <c r="AK28" s="80">
        <f t="shared" si="18"/>
        <v>0.1701709653614</v>
      </c>
      <c r="AL28" s="80">
        <f t="shared" si="19"/>
        <v>0.10955361879782</v>
      </c>
      <c r="AM28" s="80">
        <f t="shared" si="20"/>
        <v>0.104816520519994</v>
      </c>
      <c r="AN28" s="80">
        <f t="shared" si="21"/>
        <v>0.208597929535081</v>
      </c>
      <c r="AO28" s="80">
        <f t="shared" si="22"/>
        <v>0.104160717662893</v>
      </c>
      <c r="AP28" s="80">
        <f t="shared" si="23"/>
        <v>0.152773627646733</v>
      </c>
      <c r="AQ28" s="80">
        <f t="shared" si="24"/>
        <v>0.0918391301182034</v>
      </c>
      <c r="AR28" s="80">
        <f t="shared" si="25"/>
        <v>0.0281620024504611</v>
      </c>
      <c r="AS28" s="80">
        <f t="shared" si="26"/>
        <v>0.170787380352388</v>
      </c>
      <c r="AU28" s="80">
        <f t="shared" si="27"/>
        <v>0.24695221357435</v>
      </c>
      <c r="AV28" s="80">
        <f t="shared" si="28"/>
        <v>0.131057003771691</v>
      </c>
      <c r="AW28" s="80">
        <f t="shared" si="29"/>
        <v>0.0994838673731884</v>
      </c>
      <c r="AX28" s="80">
        <f t="shared" si="30"/>
        <v>0.114499055558582</v>
      </c>
    </row>
    <row r="29" spans="1:50">
      <c r="A29" s="65" t="s">
        <v>42</v>
      </c>
      <c r="B29" s="65" t="s">
        <v>363</v>
      </c>
      <c r="C29" s="65" t="s">
        <v>364</v>
      </c>
      <c r="D29" s="78" t="s">
        <v>377</v>
      </c>
      <c r="E29" s="79">
        <v>81</v>
      </c>
      <c r="F29" s="79">
        <v>61</v>
      </c>
      <c r="G29" s="79">
        <v>62</v>
      </c>
      <c r="H29" s="79">
        <v>47</v>
      </c>
      <c r="I29" s="79">
        <v>87</v>
      </c>
      <c r="J29" s="79">
        <v>26</v>
      </c>
      <c r="K29" s="79">
        <v>51</v>
      </c>
      <c r="L29" s="79">
        <v>53</v>
      </c>
      <c r="M29" s="79">
        <v>42</v>
      </c>
      <c r="N29" s="79">
        <v>39</v>
      </c>
      <c r="O29" s="79">
        <v>41</v>
      </c>
      <c r="P29" s="79">
        <v>37</v>
      </c>
      <c r="Q29" s="79">
        <v>627</v>
      </c>
      <c r="R29" s="62"/>
      <c r="S29" s="73">
        <f t="shared" si="1"/>
        <v>2.46827053463959</v>
      </c>
      <c r="T29" s="73">
        <f t="shared" si="2"/>
        <v>1.83379228244009</v>
      </c>
      <c r="U29" s="73">
        <f t="shared" si="3"/>
        <v>1.78043758561177</v>
      </c>
      <c r="V29" s="73">
        <f t="shared" si="4"/>
        <v>1.35475576924186</v>
      </c>
      <c r="W29" s="73">
        <f t="shared" si="5"/>
        <v>2.4956612785244</v>
      </c>
      <c r="X29" s="73">
        <f t="shared" si="6"/>
        <v>0.741444162125321</v>
      </c>
      <c r="Y29" s="73">
        <f t="shared" si="7"/>
        <v>1.42869548896403</v>
      </c>
      <c r="Z29" s="73">
        <f t="shared" si="8"/>
        <v>1.42819416973414</v>
      </c>
      <c r="AA29" s="73">
        <f t="shared" si="9"/>
        <v>1.11041126385071</v>
      </c>
      <c r="AB29" s="73">
        <f t="shared" si="10"/>
        <v>1.04425195180236</v>
      </c>
      <c r="AC29" s="73">
        <f t="shared" si="11"/>
        <v>1.11949366120845</v>
      </c>
      <c r="AD29" s="73">
        <f t="shared" si="12"/>
        <v>1.0093063501191</v>
      </c>
      <c r="AE29" s="73">
        <f t="shared" si="13"/>
        <v>17.8147144982618</v>
      </c>
      <c r="AF29" s="64"/>
      <c r="AG29" s="80">
        <f t="shared" si="14"/>
        <v>0.153834249588008</v>
      </c>
      <c r="AH29" s="80">
        <f t="shared" si="15"/>
        <v>0.0928408405447593</v>
      </c>
      <c r="AI29" s="80">
        <f t="shared" si="16"/>
        <v>0.0888574929186888</v>
      </c>
      <c r="AJ29" s="80">
        <f t="shared" si="17"/>
        <v>0.0483099443441092</v>
      </c>
      <c r="AK29" s="80">
        <f t="shared" si="18"/>
        <v>0.0611771652332305</v>
      </c>
      <c r="AL29" s="80">
        <f t="shared" si="19"/>
        <v>0.0239360847793557</v>
      </c>
      <c r="AM29" s="80">
        <f t="shared" si="20"/>
        <v>0.0414390895079046</v>
      </c>
      <c r="AN29" s="80">
        <f t="shared" si="21"/>
        <v>0.0558368195220166</v>
      </c>
      <c r="AO29" s="80">
        <f t="shared" si="22"/>
        <v>0.0276882920369717</v>
      </c>
      <c r="AP29" s="80">
        <f t="shared" si="23"/>
        <v>0.025353921183926</v>
      </c>
      <c r="AQ29" s="80">
        <f t="shared" si="24"/>
        <v>0.0259683057575609</v>
      </c>
      <c r="AR29" s="80">
        <f t="shared" si="25"/>
        <v>0.0385923737284097</v>
      </c>
      <c r="AS29" s="80">
        <f t="shared" si="26"/>
        <v>0.0486400618645478</v>
      </c>
      <c r="AU29" s="80">
        <f t="shared" si="27"/>
        <v>0.0685805804967845</v>
      </c>
      <c r="AV29" s="80">
        <f t="shared" si="28"/>
        <v>0.0396100292789353</v>
      </c>
      <c r="AW29" s="80">
        <f t="shared" si="29"/>
        <v>0.0287284016580345</v>
      </c>
      <c r="AX29" s="80">
        <f t="shared" si="30"/>
        <v>0.0339033606620742</v>
      </c>
    </row>
    <row r="30" spans="1:50">
      <c r="A30" s="65" t="s">
        <v>42</v>
      </c>
      <c r="B30" s="65" t="s">
        <v>363</v>
      </c>
      <c r="C30" s="65" t="s">
        <v>368</v>
      </c>
      <c r="D30" s="78" t="s">
        <v>378</v>
      </c>
      <c r="E30" s="79">
        <v>1077</v>
      </c>
      <c r="F30" s="79">
        <v>978</v>
      </c>
      <c r="G30" s="79">
        <v>1176</v>
      </c>
      <c r="H30" s="79">
        <v>1077</v>
      </c>
      <c r="I30" s="79">
        <v>1077</v>
      </c>
      <c r="J30" s="79">
        <v>1077</v>
      </c>
      <c r="K30" s="79">
        <v>1077</v>
      </c>
      <c r="L30" s="79">
        <v>-242</v>
      </c>
      <c r="M30" s="79">
        <v>127</v>
      </c>
      <c r="N30" s="79">
        <v>1077</v>
      </c>
      <c r="O30" s="79">
        <v>1077</v>
      </c>
      <c r="P30" s="79">
        <v>1343</v>
      </c>
      <c r="Q30" s="79">
        <v>10921</v>
      </c>
      <c r="R30" s="62"/>
      <c r="S30" s="73">
        <f t="shared" si="1"/>
        <v>32.8188563679856</v>
      </c>
      <c r="T30" s="73">
        <f t="shared" si="2"/>
        <v>29.4008008561706</v>
      </c>
      <c r="U30" s="73">
        <f t="shared" si="3"/>
        <v>33.77088065612</v>
      </c>
      <c r="V30" s="73">
        <f t="shared" si="4"/>
        <v>31.0440843292229</v>
      </c>
      <c r="W30" s="73">
        <f t="shared" si="5"/>
        <v>30.8945654824228</v>
      </c>
      <c r="X30" s="73">
        <f t="shared" si="6"/>
        <v>30.7128985618835</v>
      </c>
      <c r="Y30" s="73">
        <f t="shared" si="7"/>
        <v>30.1706870904756</v>
      </c>
      <c r="Z30" s="73">
        <f t="shared" si="8"/>
        <v>-6.5211884731257</v>
      </c>
      <c r="AA30" s="73">
        <f t="shared" si="9"/>
        <v>3.35767215497715</v>
      </c>
      <c r="AB30" s="73">
        <f t="shared" si="10"/>
        <v>28.8374192843882</v>
      </c>
      <c r="AC30" s="73">
        <f t="shared" si="11"/>
        <v>29.407187149305</v>
      </c>
      <c r="AD30" s="73">
        <f t="shared" si="12"/>
        <v>36.6350926543229</v>
      </c>
      <c r="AE30" s="73">
        <f t="shared" si="13"/>
        <v>310.528956114149</v>
      </c>
      <c r="AF30" s="64"/>
      <c r="AG30" s="80">
        <f t="shared" si="14"/>
        <v>2.04542576304055</v>
      </c>
      <c r="AH30" s="80">
        <f t="shared" si="15"/>
        <v>1.48849741070122</v>
      </c>
      <c r="AI30" s="80">
        <f t="shared" si="16"/>
        <v>1.68542599471577</v>
      </c>
      <c r="AJ30" s="80">
        <f t="shared" si="17"/>
        <v>1.10701723528948</v>
      </c>
      <c r="AK30" s="80">
        <f t="shared" si="18"/>
        <v>0.757331114438957</v>
      </c>
      <c r="AL30" s="80">
        <f t="shared" si="19"/>
        <v>0.991506281052541</v>
      </c>
      <c r="AM30" s="80">
        <f t="shared" si="20"/>
        <v>0.875096066666927</v>
      </c>
      <c r="AN30" s="80">
        <f t="shared" si="21"/>
        <v>-0.254953024987321</v>
      </c>
      <c r="AO30" s="80">
        <f t="shared" si="22"/>
        <v>0.0837241211594144</v>
      </c>
      <c r="AP30" s="80">
        <f t="shared" si="23"/>
        <v>0.700158285002263</v>
      </c>
      <c r="AQ30" s="80">
        <f t="shared" si="24"/>
        <v>0.682143056119345</v>
      </c>
      <c r="AR30" s="80">
        <f t="shared" si="25"/>
        <v>1.40079886262849</v>
      </c>
      <c r="AS30" s="80">
        <f t="shared" si="26"/>
        <v>0.847846741388943</v>
      </c>
      <c r="AU30" s="80">
        <f t="shared" si="27"/>
        <v>1.21198665090754</v>
      </c>
      <c r="AV30" s="80">
        <f t="shared" si="28"/>
        <v>0.269642975392397</v>
      </c>
      <c r="AW30" s="80">
        <f t="shared" si="29"/>
        <v>0.859028511435184</v>
      </c>
      <c r="AX30" s="80">
        <f t="shared" si="30"/>
        <v>0.578735333534385</v>
      </c>
    </row>
    <row r="31" spans="1:50">
      <c r="A31" s="65" t="s">
        <v>42</v>
      </c>
      <c r="B31" s="65" t="s">
        <v>363</v>
      </c>
      <c r="C31" s="65" t="s">
        <v>368</v>
      </c>
      <c r="D31" s="78" t="s">
        <v>379</v>
      </c>
      <c r="E31" s="79">
        <v>688</v>
      </c>
      <c r="F31" s="79">
        <v>688</v>
      </c>
      <c r="G31" s="79">
        <v>633</v>
      </c>
      <c r="H31" s="79">
        <v>763</v>
      </c>
      <c r="I31" s="79">
        <v>688</v>
      </c>
      <c r="J31" s="79">
        <v>683</v>
      </c>
      <c r="K31" s="79">
        <v>700</v>
      </c>
      <c r="L31" s="79">
        <v>-470</v>
      </c>
      <c r="M31" s="79">
        <v>-72</v>
      </c>
      <c r="N31" s="79">
        <v>725</v>
      </c>
      <c r="O31" s="79">
        <v>688</v>
      </c>
      <c r="P31" s="79">
        <v>20</v>
      </c>
      <c r="Q31" s="79">
        <v>5734</v>
      </c>
      <c r="R31" s="62"/>
      <c r="S31" s="73">
        <f t="shared" si="1"/>
        <v>20.9650633065683</v>
      </c>
      <c r="T31" s="73">
        <f t="shared" si="2"/>
        <v>20.682771972439</v>
      </c>
      <c r="U31" s="73">
        <f t="shared" si="3"/>
        <v>18.1776934143911</v>
      </c>
      <c r="V31" s="73">
        <f t="shared" si="4"/>
        <v>21.993162807054</v>
      </c>
      <c r="W31" s="73">
        <f t="shared" si="5"/>
        <v>19.7358041336183</v>
      </c>
      <c r="X31" s="73">
        <f t="shared" si="6"/>
        <v>19.477167797369</v>
      </c>
      <c r="Y31" s="73">
        <f t="shared" si="7"/>
        <v>19.6095459269572</v>
      </c>
      <c r="Z31" s="73">
        <f t="shared" si="8"/>
        <v>-12.6651181089631</v>
      </c>
      <c r="AA31" s="73">
        <f t="shared" si="9"/>
        <v>-1.90356216660122</v>
      </c>
      <c r="AB31" s="73">
        <f t="shared" si="10"/>
        <v>19.4123760270951</v>
      </c>
      <c r="AC31" s="73">
        <f t="shared" si="11"/>
        <v>18.7856497295467</v>
      </c>
      <c r="AD31" s="73">
        <f t="shared" si="12"/>
        <v>0.545571000064377</v>
      </c>
      <c r="AE31" s="73">
        <f t="shared" si="13"/>
        <v>164.816125839539</v>
      </c>
      <c r="AF31" s="64"/>
      <c r="AG31" s="80">
        <f t="shared" si="14"/>
        <v>1.30664152736481</v>
      </c>
      <c r="AH31" s="80">
        <f t="shared" si="15"/>
        <v>1.04712292286548</v>
      </c>
      <c r="AI31" s="80">
        <f t="shared" si="16"/>
        <v>0.90720633899242</v>
      </c>
      <c r="AJ31" s="80">
        <f t="shared" si="17"/>
        <v>0.784265692224582</v>
      </c>
      <c r="AK31" s="80">
        <f t="shared" si="18"/>
        <v>0.483791835407616</v>
      </c>
      <c r="AL31" s="80">
        <f t="shared" si="19"/>
        <v>0.628782534780766</v>
      </c>
      <c r="AM31" s="80">
        <f t="shared" si="20"/>
        <v>0.568771816775161</v>
      </c>
      <c r="AN31" s="80">
        <f t="shared" si="21"/>
        <v>-0.495156701421657</v>
      </c>
      <c r="AO31" s="80">
        <f t="shared" si="22"/>
        <v>-0.0474656434919514</v>
      </c>
      <c r="AP31" s="80">
        <f t="shared" si="23"/>
        <v>0.471322893803752</v>
      </c>
      <c r="AQ31" s="80">
        <f t="shared" si="24"/>
        <v>0.435760838078096</v>
      </c>
      <c r="AR31" s="80">
        <f t="shared" si="25"/>
        <v>0.0208607425558971</v>
      </c>
      <c r="AS31" s="80">
        <f t="shared" si="26"/>
        <v>0.450002527848114</v>
      </c>
      <c r="AU31" s="80">
        <f t="shared" si="27"/>
        <v>0.777603573672732</v>
      </c>
      <c r="AV31" s="80">
        <f t="shared" si="28"/>
        <v>0.0503286339858913</v>
      </c>
      <c r="AW31" s="80">
        <f t="shared" si="29"/>
        <v>0.350779508888241</v>
      </c>
      <c r="AX31" s="80">
        <f t="shared" si="30"/>
        <v>0.207894545855586</v>
      </c>
    </row>
    <row r="32" spans="1:50">
      <c r="A32" s="65" t="s">
        <v>42</v>
      </c>
      <c r="B32" s="65" t="s">
        <v>363</v>
      </c>
      <c r="C32" s="65" t="s">
        <v>364</v>
      </c>
      <c r="D32" s="78" t="s">
        <v>380</v>
      </c>
      <c r="E32" s="79">
        <v>208</v>
      </c>
      <c r="F32" s="79">
        <v>237</v>
      </c>
      <c r="G32" s="79">
        <v>274</v>
      </c>
      <c r="H32" s="79">
        <v>316</v>
      </c>
      <c r="I32" s="79">
        <v>240</v>
      </c>
      <c r="J32" s="79">
        <v>198</v>
      </c>
      <c r="K32" s="79">
        <v>230</v>
      </c>
      <c r="L32" s="79">
        <v>260</v>
      </c>
      <c r="M32" s="79">
        <v>270</v>
      </c>
      <c r="N32" s="79">
        <v>304</v>
      </c>
      <c r="O32" s="79">
        <v>334</v>
      </c>
      <c r="P32" s="79">
        <v>342</v>
      </c>
      <c r="Q32" s="79">
        <v>3213</v>
      </c>
      <c r="R32" s="62"/>
      <c r="S32" s="73">
        <f t="shared" si="1"/>
        <v>6.33827495314857</v>
      </c>
      <c r="T32" s="73">
        <f t="shared" si="2"/>
        <v>7.1247339498082</v>
      </c>
      <c r="U32" s="73">
        <f t="shared" si="3"/>
        <v>7.86838545899394</v>
      </c>
      <c r="V32" s="73">
        <f t="shared" si="4"/>
        <v>9.10857070383886</v>
      </c>
      <c r="W32" s="73">
        <f t="shared" si="5"/>
        <v>6.8845828373087</v>
      </c>
      <c r="X32" s="73">
        <f t="shared" si="6"/>
        <v>5.64638246541591</v>
      </c>
      <c r="Y32" s="73">
        <f t="shared" si="7"/>
        <v>6.44313651885738</v>
      </c>
      <c r="Z32" s="73">
        <f t="shared" si="8"/>
        <v>7.00623554963918</v>
      </c>
      <c r="AA32" s="73">
        <f t="shared" si="9"/>
        <v>7.13835812475458</v>
      </c>
      <c r="AB32" s="73">
        <f t="shared" si="10"/>
        <v>8.13981008584403</v>
      </c>
      <c r="AC32" s="73">
        <f t="shared" si="11"/>
        <v>9.11977763033227</v>
      </c>
      <c r="AD32" s="73">
        <f t="shared" si="12"/>
        <v>9.32926410110085</v>
      </c>
      <c r="AE32" s="73">
        <f t="shared" si="13"/>
        <v>90.1475123790425</v>
      </c>
      <c r="AF32" s="64"/>
      <c r="AG32" s="80">
        <f t="shared" si="14"/>
        <v>0.395031159435872</v>
      </c>
      <c r="AH32" s="80">
        <f t="shared" si="15"/>
        <v>0.360709495231278</v>
      </c>
      <c r="AI32" s="80">
        <f t="shared" si="16"/>
        <v>0.392692791285818</v>
      </c>
      <c r="AJ32" s="80">
        <f t="shared" si="17"/>
        <v>0.324807285377415</v>
      </c>
      <c r="AK32" s="80">
        <f t="shared" si="18"/>
        <v>0.168764593746843</v>
      </c>
      <c r="AL32" s="80">
        <f t="shared" si="19"/>
        <v>0.182282491781247</v>
      </c>
      <c r="AM32" s="80">
        <f t="shared" si="20"/>
        <v>0.186882168368982</v>
      </c>
      <c r="AN32" s="80">
        <f t="shared" si="21"/>
        <v>0.273916473126874</v>
      </c>
      <c r="AO32" s="80">
        <f t="shared" si="22"/>
        <v>0.177996163094818</v>
      </c>
      <c r="AP32" s="80">
        <f t="shared" si="23"/>
        <v>0.197630565125987</v>
      </c>
      <c r="AQ32" s="80">
        <f t="shared" si="24"/>
        <v>0.211546685927448</v>
      </c>
      <c r="AR32" s="80">
        <f t="shared" si="25"/>
        <v>0.356718697705841</v>
      </c>
      <c r="AS32" s="80">
        <f t="shared" si="26"/>
        <v>0.246132520365653</v>
      </c>
      <c r="AU32" s="80">
        <f t="shared" si="27"/>
        <v>0.276079399978889</v>
      </c>
      <c r="AV32" s="80">
        <f t="shared" si="28"/>
        <v>0.205550476674599</v>
      </c>
      <c r="AW32" s="80">
        <f t="shared" si="29"/>
        <v>0.240732021885714</v>
      </c>
      <c r="AX32" s="80">
        <f t="shared" si="30"/>
        <v>0.224000788240428</v>
      </c>
    </row>
    <row r="33" spans="1:50">
      <c r="A33" s="65" t="s">
        <v>42</v>
      </c>
      <c r="B33" s="65" t="s">
        <v>363</v>
      </c>
      <c r="C33" s="65" t="s">
        <v>381</v>
      </c>
      <c r="D33" s="78" t="s">
        <v>382</v>
      </c>
      <c r="E33" s="79">
        <v>255</v>
      </c>
      <c r="F33" s="79">
        <v>149</v>
      </c>
      <c r="G33" s="79">
        <v>248</v>
      </c>
      <c r="H33" s="79">
        <v>266</v>
      </c>
      <c r="I33" s="79">
        <v>37</v>
      </c>
      <c r="J33" s="79">
        <v>-44</v>
      </c>
      <c r="K33" s="79">
        <v>-27</v>
      </c>
      <c r="L33" s="79">
        <v>63</v>
      </c>
      <c r="M33" s="79">
        <v>109</v>
      </c>
      <c r="N33" s="79">
        <v>279</v>
      </c>
      <c r="O33" s="79">
        <v>257</v>
      </c>
      <c r="P33" s="79">
        <v>302</v>
      </c>
      <c r="Q33" s="79">
        <v>1894</v>
      </c>
      <c r="R33" s="62"/>
      <c r="S33" s="73">
        <f t="shared" si="1"/>
        <v>7.77048131275426</v>
      </c>
      <c r="T33" s="73">
        <f t="shared" si="2"/>
        <v>4.47926311612414</v>
      </c>
      <c r="U33" s="73">
        <f t="shared" si="3"/>
        <v>7.12175034244707</v>
      </c>
      <c r="V33" s="73">
        <f t="shared" si="4"/>
        <v>7.6673411620922</v>
      </c>
      <c r="W33" s="73">
        <f t="shared" si="5"/>
        <v>1.06137318741842</v>
      </c>
      <c r="X33" s="73">
        <f t="shared" si="6"/>
        <v>-1.25475165898131</v>
      </c>
      <c r="Y33" s="73">
        <f t="shared" si="7"/>
        <v>-0.756368200039779</v>
      </c>
      <c r="Z33" s="73">
        <f t="shared" si="8"/>
        <v>1.69766476779719</v>
      </c>
      <c r="AA33" s="73">
        <f t="shared" si="9"/>
        <v>2.88178161332685</v>
      </c>
      <c r="AB33" s="73">
        <f t="shared" si="10"/>
        <v>7.47041780904764</v>
      </c>
      <c r="AC33" s="73">
        <f t="shared" si="11"/>
        <v>7.01731392513591</v>
      </c>
      <c r="AD33" s="73">
        <f t="shared" si="12"/>
        <v>8.2381221009721</v>
      </c>
      <c r="AE33" s="73">
        <f t="shared" si="13"/>
        <v>53.3943894780947</v>
      </c>
      <c r="AF33" s="64"/>
      <c r="AG33" s="80">
        <f t="shared" si="14"/>
        <v>0.484293007962247</v>
      </c>
      <c r="AH33" s="80">
        <f t="shared" si="15"/>
        <v>0.226775167888019</v>
      </c>
      <c r="AI33" s="80">
        <f t="shared" si="16"/>
        <v>0.355429971674755</v>
      </c>
      <c r="AJ33" s="80">
        <f t="shared" si="17"/>
        <v>0.273413727564533</v>
      </c>
      <c r="AK33" s="80">
        <f t="shared" si="18"/>
        <v>0.0260178748693049</v>
      </c>
      <c r="AL33" s="80">
        <f t="shared" si="19"/>
        <v>-0.0405072203958327</v>
      </c>
      <c r="AM33" s="80">
        <f t="shared" si="20"/>
        <v>-0.0219383415041848</v>
      </c>
      <c r="AN33" s="80">
        <f t="shared" si="21"/>
        <v>0.0663720684884348</v>
      </c>
      <c r="AO33" s="80">
        <f t="shared" si="22"/>
        <v>0.0718577102864265</v>
      </c>
      <c r="AP33" s="80">
        <f t="shared" si="23"/>
        <v>0.181378051546547</v>
      </c>
      <c r="AQ33" s="80">
        <f t="shared" si="24"/>
        <v>0.162776940968126</v>
      </c>
      <c r="AR33" s="80">
        <f t="shared" si="25"/>
        <v>0.314997212594047</v>
      </c>
      <c r="AS33" s="80">
        <f t="shared" si="26"/>
        <v>0.145784340674541</v>
      </c>
      <c r="AU33" s="80">
        <f t="shared" si="27"/>
        <v>0.172476549254755</v>
      </c>
      <c r="AV33" s="80">
        <f t="shared" si="28"/>
        <v>0.0381700913655713</v>
      </c>
      <c r="AW33" s="80">
        <f t="shared" si="29"/>
        <v>0.205756938299282</v>
      </c>
      <c r="AX33" s="80">
        <f t="shared" si="30"/>
        <v>0.126057917829912</v>
      </c>
    </row>
    <row r="34" spans="1:50">
      <c r="A34" s="65" t="s">
        <v>42</v>
      </c>
      <c r="B34" s="65" t="s">
        <v>363</v>
      </c>
      <c r="C34" s="65" t="s">
        <v>381</v>
      </c>
      <c r="D34" s="78" t="s">
        <v>383</v>
      </c>
      <c r="E34" s="79">
        <v>266</v>
      </c>
      <c r="F34" s="79">
        <v>-38</v>
      </c>
      <c r="G34" s="79">
        <v>197</v>
      </c>
      <c r="H34" s="79">
        <v>-135</v>
      </c>
      <c r="I34" s="79">
        <v>-24</v>
      </c>
      <c r="J34" s="79">
        <v>11</v>
      </c>
      <c r="K34" s="79">
        <v>9</v>
      </c>
      <c r="L34" s="79">
        <v>12</v>
      </c>
      <c r="M34" s="79">
        <v>6</v>
      </c>
      <c r="N34" s="79">
        <v>135</v>
      </c>
      <c r="O34" s="79">
        <v>65</v>
      </c>
      <c r="P34" s="79">
        <v>145</v>
      </c>
      <c r="Q34" s="79">
        <v>649</v>
      </c>
      <c r="R34" s="62"/>
      <c r="S34" s="73">
        <f t="shared" si="1"/>
        <v>8.10567854585346</v>
      </c>
      <c r="T34" s="73">
        <f t="shared" si="2"/>
        <v>-1.14236240545448</v>
      </c>
      <c r="U34" s="73">
        <f t="shared" si="3"/>
        <v>5.65719684460513</v>
      </c>
      <c r="V34" s="73">
        <f t="shared" si="4"/>
        <v>-3.89131976271597</v>
      </c>
      <c r="W34" s="73">
        <f t="shared" si="5"/>
        <v>-0.68845828373087</v>
      </c>
      <c r="X34" s="73">
        <f t="shared" si="6"/>
        <v>0.313687914745328</v>
      </c>
      <c r="Y34" s="73">
        <f t="shared" si="7"/>
        <v>0.252122733346593</v>
      </c>
      <c r="Z34" s="73">
        <f t="shared" si="8"/>
        <v>0.323364717675654</v>
      </c>
      <c r="AA34" s="73">
        <f t="shared" si="9"/>
        <v>0.158630180550102</v>
      </c>
      <c r="AB34" s="73">
        <f t="shared" si="10"/>
        <v>3.61471829470047</v>
      </c>
      <c r="AC34" s="73">
        <f t="shared" si="11"/>
        <v>1.77480702386706</v>
      </c>
      <c r="AD34" s="73">
        <f t="shared" si="12"/>
        <v>3.95538975046674</v>
      </c>
      <c r="AE34" s="73">
        <f t="shared" si="13"/>
        <v>18.4334555539092</v>
      </c>
      <c r="AF34" s="64"/>
      <c r="AG34" s="80">
        <f t="shared" si="14"/>
        <v>0.505184078893952</v>
      </c>
      <c r="AH34" s="80">
        <f t="shared" si="15"/>
        <v>-0.0578352777164074</v>
      </c>
      <c r="AI34" s="80">
        <f t="shared" si="16"/>
        <v>0.282337517822285</v>
      </c>
      <c r="AJ34" s="80">
        <f t="shared" si="17"/>
        <v>-0.138762606094782</v>
      </c>
      <c r="AK34" s="80">
        <f t="shared" si="18"/>
        <v>-0.0168764593746843</v>
      </c>
      <c r="AL34" s="80">
        <f t="shared" si="19"/>
        <v>0.0101268050989582</v>
      </c>
      <c r="AM34" s="80">
        <f t="shared" si="20"/>
        <v>0.00731278050139493</v>
      </c>
      <c r="AN34" s="80">
        <f t="shared" si="21"/>
        <v>0.0126422987597019</v>
      </c>
      <c r="AO34" s="80">
        <f t="shared" si="22"/>
        <v>0.00395547029099595</v>
      </c>
      <c r="AP34" s="80">
        <f t="shared" si="23"/>
        <v>0.0877635733289745</v>
      </c>
      <c r="AQ34" s="80">
        <f t="shared" si="24"/>
        <v>0.0411692652254015</v>
      </c>
      <c r="AR34" s="80">
        <f t="shared" si="25"/>
        <v>0.151240383530254</v>
      </c>
      <c r="AS34" s="80">
        <f t="shared" si="26"/>
        <v>0.0503294295626808</v>
      </c>
      <c r="AU34" s="80">
        <f t="shared" si="27"/>
        <v>0.0536754505599375</v>
      </c>
      <c r="AV34" s="80">
        <f t="shared" si="28"/>
        <v>0.00732952237514701</v>
      </c>
      <c r="AW34" s="80">
        <f t="shared" si="29"/>
        <v>0.0846076511456249</v>
      </c>
      <c r="AX34" s="80">
        <f t="shared" si="30"/>
        <v>0.0478566096444436</v>
      </c>
    </row>
    <row r="35" spans="1:50">
      <c r="A35" s="65" t="s">
        <v>42</v>
      </c>
      <c r="B35" s="65" t="s">
        <v>363</v>
      </c>
      <c r="C35" s="65" t="s">
        <v>381</v>
      </c>
      <c r="D35" s="78" t="s">
        <v>384</v>
      </c>
      <c r="E35" s="79">
        <v>0</v>
      </c>
      <c r="F35" s="79">
        <v>28</v>
      </c>
      <c r="G35" s="79">
        <v>16</v>
      </c>
      <c r="H35" s="79">
        <v>26</v>
      </c>
      <c r="I35" s="79">
        <v>24</v>
      </c>
      <c r="J35" s="79">
        <v>56</v>
      </c>
      <c r="K35" s="79">
        <v>37</v>
      </c>
      <c r="L35" s="79">
        <v>26</v>
      </c>
      <c r="M35" s="79">
        <v>25</v>
      </c>
      <c r="N35" s="79">
        <v>33</v>
      </c>
      <c r="O35" s="79">
        <v>47</v>
      </c>
      <c r="P35" s="79">
        <v>38</v>
      </c>
      <c r="Q35" s="79">
        <v>356</v>
      </c>
      <c r="R35" s="62"/>
      <c r="S35" s="73">
        <f t="shared" si="1"/>
        <v>0</v>
      </c>
      <c r="T35" s="73">
        <f t="shared" si="2"/>
        <v>0.841740719808564</v>
      </c>
      <c r="U35" s="73">
        <f t="shared" si="3"/>
        <v>0.459467764028843</v>
      </c>
      <c r="V35" s="73">
        <f t="shared" si="4"/>
        <v>0.749439361708261</v>
      </c>
      <c r="W35" s="73">
        <f t="shared" si="5"/>
        <v>0.68845828373087</v>
      </c>
      <c r="X35" s="73">
        <f t="shared" si="6"/>
        <v>1.59695665688531</v>
      </c>
      <c r="Y35" s="73">
        <f t="shared" si="7"/>
        <v>1.03650457042488</v>
      </c>
      <c r="Z35" s="73">
        <f t="shared" si="8"/>
        <v>0.700623554963918</v>
      </c>
      <c r="AA35" s="73">
        <f t="shared" si="9"/>
        <v>0.660959085625424</v>
      </c>
      <c r="AB35" s="73">
        <f t="shared" si="10"/>
        <v>0.883597805371227</v>
      </c>
      <c r="AC35" s="73">
        <f t="shared" si="11"/>
        <v>1.2833220018731</v>
      </c>
      <c r="AD35" s="73">
        <f t="shared" si="12"/>
        <v>1.03658490012232</v>
      </c>
      <c r="AE35" s="73">
        <f t="shared" si="13"/>
        <v>9.93765470454272</v>
      </c>
      <c r="AF35" s="64"/>
      <c r="AG35" s="80">
        <f t="shared" si="14"/>
        <v>0</v>
      </c>
      <c r="AH35" s="80">
        <f t="shared" si="15"/>
        <v>0.0426154677910371</v>
      </c>
      <c r="AI35" s="80">
        <f t="shared" si="16"/>
        <v>0.0229309659145003</v>
      </c>
      <c r="AJ35" s="80">
        <f t="shared" si="17"/>
        <v>0.0267246500626987</v>
      </c>
      <c r="AK35" s="80">
        <f t="shared" si="18"/>
        <v>0.0168764593746843</v>
      </c>
      <c r="AL35" s="80">
        <f t="shared" si="19"/>
        <v>0.0515546441401507</v>
      </c>
      <c r="AM35" s="80">
        <f t="shared" si="20"/>
        <v>0.0300636531724014</v>
      </c>
      <c r="AN35" s="80">
        <f t="shared" si="21"/>
        <v>0.0273916473126874</v>
      </c>
      <c r="AO35" s="80">
        <f t="shared" si="22"/>
        <v>0.0164811262124831</v>
      </c>
      <c r="AP35" s="80">
        <f t="shared" si="23"/>
        <v>0.0214533179248604</v>
      </c>
      <c r="AQ35" s="80">
        <f t="shared" si="24"/>
        <v>0.0297685456245211</v>
      </c>
      <c r="AR35" s="80">
        <f t="shared" si="25"/>
        <v>0.0396354108562045</v>
      </c>
      <c r="AS35" s="80">
        <f t="shared" si="26"/>
        <v>0.0271330837024997</v>
      </c>
      <c r="AU35" s="80">
        <f t="shared" si="27"/>
        <v>0.0278583126315435</v>
      </c>
      <c r="AV35" s="80">
        <f t="shared" si="28"/>
        <v>0.0239428030532875</v>
      </c>
      <c r="AW35" s="80">
        <f t="shared" si="29"/>
        <v>0.0290041168616265</v>
      </c>
      <c r="AX35" s="80">
        <f t="shared" si="30"/>
        <v>0.0265971155951591</v>
      </c>
    </row>
    <row r="36" spans="1:50">
      <c r="A36" s="65" t="s">
        <v>42</v>
      </c>
      <c r="B36" s="65" t="s">
        <v>363</v>
      </c>
      <c r="C36" s="65" t="s">
        <v>364</v>
      </c>
      <c r="D36" s="78" t="s">
        <v>385</v>
      </c>
      <c r="E36" s="79">
        <v>37</v>
      </c>
      <c r="F36" s="79">
        <v>40</v>
      </c>
      <c r="G36" s="79">
        <v>37</v>
      </c>
      <c r="H36" s="79">
        <v>70</v>
      </c>
      <c r="I36" s="79">
        <v>36</v>
      </c>
      <c r="J36" s="79">
        <v>43</v>
      </c>
      <c r="K36" s="79">
        <v>30</v>
      </c>
      <c r="L36" s="79">
        <v>41</v>
      </c>
      <c r="M36" s="79">
        <v>41</v>
      </c>
      <c r="N36" s="79">
        <v>43</v>
      </c>
      <c r="O36" s="79">
        <v>36</v>
      </c>
      <c r="P36" s="79">
        <v>39</v>
      </c>
      <c r="Q36" s="79">
        <v>493</v>
      </c>
      <c r="R36" s="62"/>
      <c r="S36" s="73">
        <f t="shared" si="1"/>
        <v>1.12748160224277</v>
      </c>
      <c r="T36" s="73">
        <f t="shared" si="2"/>
        <v>1.20248674258366</v>
      </c>
      <c r="U36" s="73">
        <f t="shared" si="3"/>
        <v>1.0625192043167</v>
      </c>
      <c r="V36" s="73">
        <f t="shared" si="4"/>
        <v>2.01772135844532</v>
      </c>
      <c r="W36" s="73">
        <f t="shared" si="5"/>
        <v>1.03268742559631</v>
      </c>
      <c r="X36" s="73">
        <f t="shared" si="6"/>
        <v>1.22623457582265</v>
      </c>
      <c r="Y36" s="73">
        <f t="shared" si="7"/>
        <v>0.84040911115531</v>
      </c>
      <c r="Z36" s="73">
        <f t="shared" si="8"/>
        <v>1.10482945205849</v>
      </c>
      <c r="AA36" s="73">
        <f t="shared" si="9"/>
        <v>1.0839729004257</v>
      </c>
      <c r="AB36" s="73">
        <f t="shared" si="10"/>
        <v>1.15135471608978</v>
      </c>
      <c r="AC36" s="73">
        <f t="shared" si="11"/>
        <v>0.982970043987909</v>
      </c>
      <c r="AD36" s="73">
        <f t="shared" si="12"/>
        <v>1.06386345012554</v>
      </c>
      <c r="AE36" s="73">
        <f t="shared" si="13"/>
        <v>13.8965305828501</v>
      </c>
      <c r="AF36" s="64"/>
      <c r="AG36" s="80">
        <f t="shared" si="14"/>
        <v>0.0702699658611888</v>
      </c>
      <c r="AH36" s="80">
        <f t="shared" si="15"/>
        <v>0.0608792397014815</v>
      </c>
      <c r="AI36" s="80">
        <f t="shared" si="16"/>
        <v>0.053027858677282</v>
      </c>
      <c r="AJ36" s="80">
        <f t="shared" si="17"/>
        <v>0.071950980938035</v>
      </c>
      <c r="AK36" s="80">
        <f t="shared" si="18"/>
        <v>0.0253146890620264</v>
      </c>
      <c r="AL36" s="80">
        <f t="shared" si="19"/>
        <v>0.0395866017504728</v>
      </c>
      <c r="AM36" s="80">
        <f t="shared" si="20"/>
        <v>0.0243759350046498</v>
      </c>
      <c r="AN36" s="80">
        <f t="shared" si="21"/>
        <v>0.0431945207623147</v>
      </c>
      <c r="AO36" s="80">
        <f t="shared" si="22"/>
        <v>0.0270290469884724</v>
      </c>
      <c r="AP36" s="80">
        <f t="shared" si="23"/>
        <v>0.0279543233566363</v>
      </c>
      <c r="AQ36" s="80">
        <f t="shared" si="24"/>
        <v>0.0228014392017608</v>
      </c>
      <c r="AR36" s="80">
        <f t="shared" si="25"/>
        <v>0.0406784479839994</v>
      </c>
      <c r="AS36" s="80">
        <f t="shared" si="26"/>
        <v>0.0379421240412447</v>
      </c>
      <c r="AU36" s="80">
        <f t="shared" si="27"/>
        <v>0.0492725905992882</v>
      </c>
      <c r="AV36" s="80">
        <f t="shared" si="28"/>
        <v>0.0302440266340468</v>
      </c>
      <c r="AW36" s="80">
        <f t="shared" si="29"/>
        <v>0.0289559819846376</v>
      </c>
      <c r="AX36" s="80">
        <f t="shared" si="30"/>
        <v>0.0295685354084712</v>
      </c>
    </row>
    <row r="37" spans="1:50">
      <c r="A37" s="65" t="s">
        <v>42</v>
      </c>
      <c r="B37" s="65" t="s">
        <v>363</v>
      </c>
      <c r="C37" s="65" t="s">
        <v>368</v>
      </c>
      <c r="D37" s="78" t="s">
        <v>386</v>
      </c>
      <c r="E37" s="79">
        <v>151</v>
      </c>
      <c r="F37" s="79">
        <v>233</v>
      </c>
      <c r="G37" s="79">
        <v>321</v>
      </c>
      <c r="H37" s="79">
        <v>235</v>
      </c>
      <c r="I37" s="79">
        <v>235</v>
      </c>
      <c r="J37" s="79">
        <v>235</v>
      </c>
      <c r="K37" s="79">
        <v>243</v>
      </c>
      <c r="L37" s="79">
        <v>235</v>
      </c>
      <c r="M37" s="79">
        <v>235</v>
      </c>
      <c r="N37" s="79">
        <v>235</v>
      </c>
      <c r="O37" s="79">
        <v>235</v>
      </c>
      <c r="P37" s="79">
        <v>-407</v>
      </c>
      <c r="Q37" s="79">
        <v>2186</v>
      </c>
      <c r="R37" s="62"/>
      <c r="S37" s="73">
        <f t="shared" si="1"/>
        <v>4.60134383617997</v>
      </c>
      <c r="T37" s="73">
        <f t="shared" si="2"/>
        <v>7.00448527554984</v>
      </c>
      <c r="U37" s="73">
        <f t="shared" si="3"/>
        <v>9.21807201582867</v>
      </c>
      <c r="V37" s="73">
        <f t="shared" si="4"/>
        <v>6.77377884620928</v>
      </c>
      <c r="W37" s="73">
        <f t="shared" si="5"/>
        <v>6.7411540281981</v>
      </c>
      <c r="X37" s="73">
        <f t="shared" si="6"/>
        <v>6.70151454228656</v>
      </c>
      <c r="Y37" s="73">
        <f t="shared" si="7"/>
        <v>6.80731380035801</v>
      </c>
      <c r="Z37" s="73">
        <f t="shared" si="8"/>
        <v>6.33255905448157</v>
      </c>
      <c r="AA37" s="73">
        <f t="shared" si="9"/>
        <v>6.21301540487898</v>
      </c>
      <c r="AB37" s="73">
        <f t="shared" si="10"/>
        <v>6.29228740188601</v>
      </c>
      <c r="AC37" s="73">
        <f t="shared" si="11"/>
        <v>6.41661000936552</v>
      </c>
      <c r="AD37" s="73">
        <f t="shared" si="12"/>
        <v>-11.1023698513101</v>
      </c>
      <c r="AE37" s="73">
        <f t="shared" si="13"/>
        <v>61.9997643639124</v>
      </c>
      <c r="AF37" s="64"/>
      <c r="AG37" s="80">
        <f t="shared" si="14"/>
        <v>0.286777428244311</v>
      </c>
      <c r="AH37" s="80">
        <f t="shared" si="15"/>
        <v>0.35462157126113</v>
      </c>
      <c r="AI37" s="80">
        <f t="shared" si="16"/>
        <v>0.460052503659663</v>
      </c>
      <c r="AJ37" s="80">
        <f t="shared" si="17"/>
        <v>0.241549721720546</v>
      </c>
      <c r="AK37" s="80">
        <f t="shared" si="18"/>
        <v>0.16524866471045</v>
      </c>
      <c r="AL37" s="80">
        <f t="shared" si="19"/>
        <v>0.216345381659561</v>
      </c>
      <c r="AM37" s="80">
        <f t="shared" si="20"/>
        <v>0.197445073537663</v>
      </c>
      <c r="AN37" s="80">
        <f t="shared" si="21"/>
        <v>0.247578350710828</v>
      </c>
      <c r="AO37" s="80">
        <f t="shared" si="22"/>
        <v>0.154922586397342</v>
      </c>
      <c r="AP37" s="80">
        <f t="shared" si="23"/>
        <v>0.152773627646733</v>
      </c>
      <c r="AQ37" s="80">
        <f t="shared" si="24"/>
        <v>0.148842728122605</v>
      </c>
      <c r="AR37" s="80">
        <f t="shared" si="25"/>
        <v>-0.424516111012506</v>
      </c>
      <c r="AS37" s="80">
        <f t="shared" si="26"/>
        <v>0.169279859890111</v>
      </c>
      <c r="AU37" s="80">
        <f t="shared" si="27"/>
        <v>0.263675808362849</v>
      </c>
      <c r="AV37" s="80">
        <f t="shared" si="28"/>
        <v>0.193221660157535</v>
      </c>
      <c r="AW37" s="80">
        <f t="shared" si="29"/>
        <v>0.0145452925300267</v>
      </c>
      <c r="AX37" s="80">
        <f t="shared" si="30"/>
        <v>0.099518139394138</v>
      </c>
    </row>
    <row r="38" spans="1:50">
      <c r="A38" s="65" t="s">
        <v>42</v>
      </c>
      <c r="B38" s="65" t="s">
        <v>363</v>
      </c>
      <c r="C38" s="65" t="s">
        <v>364</v>
      </c>
      <c r="D38" s="78" t="s">
        <v>387</v>
      </c>
      <c r="E38" s="79">
        <v>324</v>
      </c>
      <c r="F38" s="79">
        <v>323</v>
      </c>
      <c r="G38" s="79">
        <v>325</v>
      </c>
      <c r="H38" s="79">
        <v>323</v>
      </c>
      <c r="I38" s="79">
        <v>324</v>
      </c>
      <c r="J38" s="79">
        <v>324</v>
      </c>
      <c r="K38" s="79">
        <v>324</v>
      </c>
      <c r="L38" s="79">
        <v>324</v>
      </c>
      <c r="M38" s="79">
        <v>324</v>
      </c>
      <c r="N38" s="79">
        <v>-285</v>
      </c>
      <c r="O38" s="79">
        <v>-285</v>
      </c>
      <c r="P38" s="79">
        <v>-764</v>
      </c>
      <c r="Q38" s="79">
        <v>1581</v>
      </c>
      <c r="R38" s="62"/>
      <c r="S38" s="73">
        <f t="shared" si="1"/>
        <v>9.87308213855835</v>
      </c>
      <c r="T38" s="73">
        <f t="shared" si="2"/>
        <v>9.71008044636308</v>
      </c>
      <c r="U38" s="73">
        <f t="shared" si="3"/>
        <v>9.33293895683588</v>
      </c>
      <c r="V38" s="73">
        <f t="shared" si="4"/>
        <v>9.31034283968339</v>
      </c>
      <c r="W38" s="73">
        <f t="shared" si="5"/>
        <v>9.29418683036675</v>
      </c>
      <c r="X38" s="73">
        <f t="shared" si="6"/>
        <v>9.23953494340785</v>
      </c>
      <c r="Y38" s="73">
        <f t="shared" si="7"/>
        <v>9.07641840047735</v>
      </c>
      <c r="Z38" s="73">
        <f t="shared" si="8"/>
        <v>8.73084737724267</v>
      </c>
      <c r="AA38" s="73">
        <f t="shared" si="9"/>
        <v>8.56602974970549</v>
      </c>
      <c r="AB38" s="73">
        <f t="shared" si="10"/>
        <v>-7.63107195547878</v>
      </c>
      <c r="AC38" s="73">
        <f t="shared" si="11"/>
        <v>-7.78184618157095</v>
      </c>
      <c r="AD38" s="73">
        <f t="shared" si="12"/>
        <v>-20.8408122024592</v>
      </c>
      <c r="AE38" s="73">
        <f t="shared" si="13"/>
        <v>46.8797313431319</v>
      </c>
      <c r="AF38" s="64"/>
      <c r="AG38" s="80">
        <f t="shared" si="14"/>
        <v>0.615336998352032</v>
      </c>
      <c r="AH38" s="80">
        <f t="shared" si="15"/>
        <v>0.491599860589463</v>
      </c>
      <c r="AI38" s="80">
        <f t="shared" si="16"/>
        <v>0.465785245138288</v>
      </c>
      <c r="AJ38" s="80">
        <f t="shared" si="17"/>
        <v>0.332002383471219</v>
      </c>
      <c r="AK38" s="80">
        <f t="shared" si="18"/>
        <v>0.227832201558238</v>
      </c>
      <c r="AL38" s="80">
        <f t="shared" si="19"/>
        <v>0.298280441096586</v>
      </c>
      <c r="AM38" s="80">
        <f t="shared" si="20"/>
        <v>0.263260098050218</v>
      </c>
      <c r="AN38" s="80">
        <f t="shared" si="21"/>
        <v>0.34134206651195</v>
      </c>
      <c r="AO38" s="80">
        <f t="shared" si="22"/>
        <v>0.213595395713782</v>
      </c>
      <c r="AP38" s="80">
        <f t="shared" si="23"/>
        <v>-0.185278654805613</v>
      </c>
      <c r="AQ38" s="80">
        <f t="shared" si="24"/>
        <v>-0.180511393680607</v>
      </c>
      <c r="AR38" s="80">
        <f t="shared" si="25"/>
        <v>-0.79688036563527</v>
      </c>
      <c r="AS38" s="80">
        <f t="shared" si="26"/>
        <v>0.12799716958393</v>
      </c>
      <c r="AU38" s="80">
        <f t="shared" si="27"/>
        <v>0.36467240714704</v>
      </c>
      <c r="AV38" s="80">
        <f t="shared" si="28"/>
        <v>0.263314285560214</v>
      </c>
      <c r="AW38" s="80">
        <f t="shared" si="29"/>
        <v>-0.32823658071081</v>
      </c>
      <c r="AX38" s="80">
        <f t="shared" si="30"/>
        <v>-0.0469136400252763</v>
      </c>
    </row>
    <row r="39" spans="1:50">
      <c r="A39" s="65" t="s">
        <v>42</v>
      </c>
      <c r="B39" s="65" t="s">
        <v>363</v>
      </c>
      <c r="C39" s="65" t="s">
        <v>364</v>
      </c>
      <c r="D39" s="78" t="s">
        <v>388</v>
      </c>
      <c r="E39" s="79"/>
      <c r="F39" s="79"/>
      <c r="G39" s="79"/>
      <c r="H39" s="79"/>
      <c r="I39" s="79"/>
      <c r="J39" s="79"/>
      <c r="K39" s="79"/>
      <c r="L39" s="79">
        <v>147</v>
      </c>
      <c r="M39" s="79">
        <v>0</v>
      </c>
      <c r="N39" s="79">
        <v>93</v>
      </c>
      <c r="O39" s="79">
        <v>33</v>
      </c>
      <c r="P39" s="79">
        <v>32</v>
      </c>
      <c r="Q39" s="79">
        <v>305</v>
      </c>
      <c r="R39" s="62"/>
      <c r="S39" s="73"/>
      <c r="T39" s="73"/>
      <c r="U39" s="73"/>
      <c r="V39" s="73"/>
      <c r="W39" s="73"/>
      <c r="X39" s="73"/>
      <c r="Y39" s="73"/>
      <c r="Z39" s="73">
        <f t="shared" si="8"/>
        <v>3.96121779152677</v>
      </c>
      <c r="AA39" s="73">
        <f t="shared" si="9"/>
        <v>0</v>
      </c>
      <c r="AB39" s="73">
        <f t="shared" si="10"/>
        <v>2.49013926968255</v>
      </c>
      <c r="AC39" s="73">
        <f t="shared" si="11"/>
        <v>0.901055873655584</v>
      </c>
      <c r="AD39" s="73">
        <f t="shared" si="12"/>
        <v>0.872913600103004</v>
      </c>
      <c r="AE39" s="73">
        <f t="shared" si="13"/>
        <v>8.2253265349679</v>
      </c>
      <c r="AF39" s="64"/>
      <c r="AG39" s="80"/>
      <c r="AH39" s="80"/>
      <c r="AI39" s="80"/>
      <c r="AJ39" s="80"/>
      <c r="AK39" s="80"/>
      <c r="AL39" s="80"/>
      <c r="AM39" s="80"/>
      <c r="AN39" s="80">
        <f t="shared" si="21"/>
        <v>0.154868159806348</v>
      </c>
      <c r="AO39" s="80">
        <f t="shared" si="22"/>
        <v>0</v>
      </c>
      <c r="AP39" s="80">
        <f t="shared" si="23"/>
        <v>0.0604593505155158</v>
      </c>
      <c r="AQ39" s="80">
        <f t="shared" si="24"/>
        <v>0.0209013192682808</v>
      </c>
      <c r="AR39" s="80">
        <f t="shared" si="25"/>
        <v>0.0333771880894354</v>
      </c>
      <c r="AS39" s="80"/>
      <c r="AU39" s="80">
        <f t="shared" si="27"/>
        <v>0</v>
      </c>
      <c r="AV39" s="80">
        <f t="shared" si="28"/>
        <v>0.0395492945369539</v>
      </c>
      <c r="AW39" s="80">
        <f t="shared" si="29"/>
        <v>0.0386066884874707</v>
      </c>
      <c r="AX39" s="80">
        <f t="shared" si="30"/>
        <v>0.0390549622046916</v>
      </c>
    </row>
    <row r="40" spans="1:50">
      <c r="A40" s="65" t="s">
        <v>42</v>
      </c>
      <c r="B40" s="65" t="s">
        <v>363</v>
      </c>
      <c r="C40" s="65" t="s">
        <v>364</v>
      </c>
      <c r="D40" s="78" t="s">
        <v>389</v>
      </c>
      <c r="E40" s="79">
        <v>0</v>
      </c>
      <c r="F40" s="79">
        <v>-11</v>
      </c>
      <c r="G40" s="79">
        <v>1.00044417195022e-10</v>
      </c>
      <c r="H40" s="79">
        <v>0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-1.00044417195022e-10</v>
      </c>
      <c r="P40" s="79">
        <v>1.00044417195022e-10</v>
      </c>
      <c r="Q40" s="79">
        <v>-10.9999999999</v>
      </c>
      <c r="R40" s="62"/>
      <c r="S40" s="73">
        <f t="shared" si="1"/>
        <v>0</v>
      </c>
      <c r="T40" s="73">
        <f t="shared" si="2"/>
        <v>-0.330683854210507</v>
      </c>
      <c r="U40" s="73">
        <f t="shared" si="3"/>
        <v>2.87294904201035e-12</v>
      </c>
      <c r="V40" s="73">
        <f t="shared" si="4"/>
        <v>0</v>
      </c>
      <c r="W40" s="73">
        <f t="shared" si="5"/>
        <v>0</v>
      </c>
      <c r="X40" s="73">
        <f t="shared" si="6"/>
        <v>0</v>
      </c>
      <c r="Y40" s="73">
        <f t="shared" si="7"/>
        <v>0</v>
      </c>
      <c r="Z40" s="73">
        <f t="shared" si="8"/>
        <v>0</v>
      </c>
      <c r="AA40" s="73">
        <f t="shared" si="9"/>
        <v>0</v>
      </c>
      <c r="AB40" s="73">
        <f t="shared" si="10"/>
        <v>0</v>
      </c>
      <c r="AC40" s="73">
        <f t="shared" si="11"/>
        <v>-2.7316851436371e-12</v>
      </c>
      <c r="AD40" s="73">
        <f t="shared" si="12"/>
        <v>2.7290666369973e-12</v>
      </c>
      <c r="AE40" s="73">
        <f t="shared" si="13"/>
        <v>-0.330683854207637</v>
      </c>
      <c r="AF40" s="64"/>
      <c r="AG40" s="80">
        <f t="shared" si="14"/>
        <v>0</v>
      </c>
      <c r="AH40" s="80">
        <f t="shared" si="15"/>
        <v>-0.0167417909179074</v>
      </c>
      <c r="AI40" s="80">
        <f t="shared" si="16"/>
        <v>1.43382195039694e-13</v>
      </c>
      <c r="AJ40" s="80">
        <f t="shared" si="17"/>
        <v>0</v>
      </c>
      <c r="AK40" s="80">
        <f t="shared" si="18"/>
        <v>0</v>
      </c>
      <c r="AL40" s="80">
        <f t="shared" si="19"/>
        <v>0</v>
      </c>
      <c r="AM40" s="80">
        <f t="shared" si="20"/>
        <v>0</v>
      </c>
      <c r="AN40" s="80">
        <f t="shared" si="21"/>
        <v>0</v>
      </c>
      <c r="AO40" s="80">
        <f t="shared" si="22"/>
        <v>0</v>
      </c>
      <c r="AP40" s="80">
        <f t="shared" si="23"/>
        <v>0</v>
      </c>
      <c r="AQ40" s="80">
        <f t="shared" si="24"/>
        <v>-6.33654637818859e-14</v>
      </c>
      <c r="AR40" s="80">
        <f t="shared" si="25"/>
        <v>1.04350041563006e-13</v>
      </c>
      <c r="AS40" s="80">
        <f t="shared" si="26"/>
        <v>-0.000902876278361684</v>
      </c>
      <c r="AU40" s="80">
        <f t="shared" si="27"/>
        <v>-0.00212457582997189</v>
      </c>
      <c r="AV40" s="80">
        <f t="shared" si="28"/>
        <v>0</v>
      </c>
      <c r="AW40" s="80">
        <f t="shared" si="29"/>
        <v>-2.37076200977925e-17</v>
      </c>
      <c r="AX40" s="80">
        <f t="shared" si="30"/>
        <v>-1.24330234690881e-17</v>
      </c>
    </row>
    <row r="41" spans="1:50">
      <c r="A41" s="65" t="s">
        <v>194</v>
      </c>
      <c r="B41" s="65" t="s">
        <v>192</v>
      </c>
      <c r="C41" s="65" t="s">
        <v>194</v>
      </c>
      <c r="D41" s="78" t="s">
        <v>390</v>
      </c>
      <c r="E41" s="79">
        <v>257</v>
      </c>
      <c r="F41" s="79">
        <v>257</v>
      </c>
      <c r="G41" s="79">
        <v>257</v>
      </c>
      <c r="H41" s="79">
        <v>257</v>
      </c>
      <c r="I41" s="79">
        <v>257</v>
      </c>
      <c r="J41" s="79">
        <v>866</v>
      </c>
      <c r="K41" s="79">
        <v>358</v>
      </c>
      <c r="L41" s="79">
        <v>358</v>
      </c>
      <c r="M41" s="79">
        <v>358</v>
      </c>
      <c r="N41" s="79">
        <v>358</v>
      </c>
      <c r="O41" s="79">
        <v>358</v>
      </c>
      <c r="P41" s="79">
        <v>358</v>
      </c>
      <c r="Q41" s="79">
        <v>4299</v>
      </c>
      <c r="R41" s="62"/>
      <c r="S41" s="73">
        <f t="shared" si="1"/>
        <v>7.83142626422684</v>
      </c>
      <c r="T41" s="73">
        <f t="shared" si="2"/>
        <v>7.72597732110003</v>
      </c>
      <c r="U41" s="73">
        <f t="shared" si="3"/>
        <v>7.38020095971329</v>
      </c>
      <c r="V41" s="73">
        <f t="shared" si="4"/>
        <v>7.40791984457781</v>
      </c>
      <c r="W41" s="73">
        <f t="shared" si="5"/>
        <v>7.37224078828473</v>
      </c>
      <c r="X41" s="73">
        <f t="shared" si="6"/>
        <v>24.6957940154049</v>
      </c>
      <c r="Y41" s="73">
        <f t="shared" si="7"/>
        <v>10.0288820597867</v>
      </c>
      <c r="Z41" s="73">
        <f t="shared" si="8"/>
        <v>9.64704741065702</v>
      </c>
      <c r="AA41" s="73">
        <f t="shared" si="9"/>
        <v>9.46493410615607</v>
      </c>
      <c r="AB41" s="73">
        <f t="shared" si="10"/>
        <v>9.58569740372422</v>
      </c>
      <c r="AC41" s="73">
        <f t="shared" si="11"/>
        <v>9.77509099299088</v>
      </c>
      <c r="AD41" s="73">
        <f t="shared" si="12"/>
        <v>9.76572090115236</v>
      </c>
      <c r="AE41" s="73">
        <f t="shared" si="13"/>
        <v>120.680932067775</v>
      </c>
      <c r="AF41" s="64"/>
      <c r="AG41" s="80">
        <f t="shared" si="14"/>
        <v>0.488091384495284</v>
      </c>
      <c r="AH41" s="80">
        <f t="shared" si="15"/>
        <v>0.391149115082019</v>
      </c>
      <c r="AI41" s="80">
        <f t="shared" si="16"/>
        <v>0.368328640001662</v>
      </c>
      <c r="AJ41" s="80">
        <f t="shared" si="17"/>
        <v>0.264162887158214</v>
      </c>
      <c r="AK41" s="80">
        <f t="shared" si="18"/>
        <v>0.180718752470577</v>
      </c>
      <c r="AL41" s="80">
        <f t="shared" si="19"/>
        <v>0.797255746881616</v>
      </c>
      <c r="AM41" s="80">
        <f t="shared" si="20"/>
        <v>0.290886157722154</v>
      </c>
      <c r="AN41" s="80">
        <f t="shared" si="21"/>
        <v>0.377161912997772</v>
      </c>
      <c r="AO41" s="80">
        <f t="shared" si="22"/>
        <v>0.236009727362759</v>
      </c>
      <c r="AP41" s="80">
        <f t="shared" si="23"/>
        <v>0.232735994457577</v>
      </c>
      <c r="AQ41" s="80">
        <f t="shared" si="24"/>
        <v>0.226747645395288</v>
      </c>
      <c r="AR41" s="80">
        <f t="shared" si="25"/>
        <v>0.373407291750558</v>
      </c>
      <c r="AS41" s="80">
        <f t="shared" si="26"/>
        <v>0.329498853446155</v>
      </c>
      <c r="AU41" s="80">
        <f t="shared" si="27"/>
        <v>0.400994296024386</v>
      </c>
      <c r="AV41" s="80">
        <f t="shared" si="28"/>
        <v>0.290946031575792</v>
      </c>
      <c r="AW41" s="80">
        <f t="shared" si="29"/>
        <v>0.26370764416358</v>
      </c>
      <c r="AX41" s="80">
        <f t="shared" si="30"/>
        <v>0.276661362403635</v>
      </c>
    </row>
    <row r="42" spans="1:50">
      <c r="A42" s="65" t="s">
        <v>42</v>
      </c>
      <c r="B42" s="65" t="s">
        <v>363</v>
      </c>
      <c r="C42" s="65" t="s">
        <v>368</v>
      </c>
      <c r="D42" s="78" t="s">
        <v>391</v>
      </c>
      <c r="E42" s="79">
        <v>89</v>
      </c>
      <c r="F42" s="79">
        <v>180</v>
      </c>
      <c r="G42" s="79">
        <v>85</v>
      </c>
      <c r="H42" s="79">
        <v>85</v>
      </c>
      <c r="I42" s="79">
        <v>85</v>
      </c>
      <c r="J42" s="79">
        <v>85</v>
      </c>
      <c r="K42" s="79">
        <v>108</v>
      </c>
      <c r="L42" s="79">
        <v>130</v>
      </c>
      <c r="M42" s="79">
        <v>312</v>
      </c>
      <c r="N42" s="79">
        <v>91</v>
      </c>
      <c r="O42" s="79">
        <v>120</v>
      </c>
      <c r="P42" s="79">
        <v>143</v>
      </c>
      <c r="Q42" s="79">
        <v>1513</v>
      </c>
      <c r="R42" s="62"/>
      <c r="S42" s="73">
        <f t="shared" si="1"/>
        <v>2.71205034052992</v>
      </c>
      <c r="T42" s="73">
        <f t="shared" si="2"/>
        <v>5.41119034162648</v>
      </c>
      <c r="U42" s="73">
        <f t="shared" si="3"/>
        <v>2.44092249640323</v>
      </c>
      <c r="V42" s="73">
        <f t="shared" si="4"/>
        <v>2.45009022096931</v>
      </c>
      <c r="W42" s="73">
        <f t="shared" si="5"/>
        <v>2.43828975488017</v>
      </c>
      <c r="X42" s="73">
        <f t="shared" si="6"/>
        <v>2.42395206848663</v>
      </c>
      <c r="Y42" s="73">
        <f t="shared" si="7"/>
        <v>3.02547280015912</v>
      </c>
      <c r="Z42" s="73">
        <f t="shared" si="8"/>
        <v>3.50311777481959</v>
      </c>
      <c r="AA42" s="73">
        <f t="shared" si="9"/>
        <v>8.24876938860529</v>
      </c>
      <c r="AB42" s="73">
        <f t="shared" si="10"/>
        <v>2.43658788753884</v>
      </c>
      <c r="AC42" s="73">
        <f t="shared" si="11"/>
        <v>3.27656681329303</v>
      </c>
      <c r="AD42" s="73">
        <f t="shared" si="12"/>
        <v>3.9008326504603</v>
      </c>
      <c r="AE42" s="73">
        <f t="shared" si="13"/>
        <v>42.2678425377719</v>
      </c>
      <c r="AF42" s="64"/>
      <c r="AG42" s="80">
        <f t="shared" si="14"/>
        <v>0.169027755720157</v>
      </c>
      <c r="AH42" s="80">
        <f t="shared" si="15"/>
        <v>0.273956578656667</v>
      </c>
      <c r="AI42" s="80">
        <f t="shared" si="16"/>
        <v>0.121820756420783</v>
      </c>
      <c r="AJ42" s="80">
        <f t="shared" si="17"/>
        <v>0.0873690482818997</v>
      </c>
      <c r="AK42" s="80">
        <f t="shared" si="18"/>
        <v>0.0597707936186735</v>
      </c>
      <c r="AL42" s="80">
        <f t="shared" si="19"/>
        <v>0.0782525848555858</v>
      </c>
      <c r="AM42" s="80">
        <f t="shared" si="20"/>
        <v>0.0877533660167392</v>
      </c>
      <c r="AN42" s="80">
        <f t="shared" si="21"/>
        <v>0.136958236563437</v>
      </c>
      <c r="AO42" s="80">
        <f t="shared" si="22"/>
        <v>0.20568445513179</v>
      </c>
      <c r="AP42" s="80">
        <f t="shared" si="23"/>
        <v>0.0591591494291606</v>
      </c>
      <c r="AQ42" s="80">
        <f t="shared" si="24"/>
        <v>0.0760047973392028</v>
      </c>
      <c r="AR42" s="80">
        <f t="shared" si="25"/>
        <v>0.149154309274664</v>
      </c>
      <c r="AS42" s="80">
        <f t="shared" si="26"/>
        <v>0.115405188004488</v>
      </c>
      <c r="AU42" s="80">
        <f t="shared" si="27"/>
        <v>0.114852809388525</v>
      </c>
      <c r="AV42" s="80">
        <f t="shared" si="28"/>
        <v>0.147539012605797</v>
      </c>
      <c r="AW42" s="80">
        <f t="shared" si="29"/>
        <v>0.0870437967523057</v>
      </c>
      <c r="AX42" s="80">
        <f t="shared" si="30"/>
        <v>0.115813414027303</v>
      </c>
    </row>
    <row r="43" spans="1:50">
      <c r="A43" s="65" t="s">
        <v>42</v>
      </c>
      <c r="B43" s="65" t="s">
        <v>363</v>
      </c>
      <c r="C43" s="65" t="s">
        <v>364</v>
      </c>
      <c r="D43" s="78" t="s">
        <v>392</v>
      </c>
      <c r="E43" s="79">
        <v>0</v>
      </c>
      <c r="F43" s="79">
        <v>87</v>
      </c>
      <c r="G43" s="79">
        <v>88</v>
      </c>
      <c r="H43" s="79">
        <v>85</v>
      </c>
      <c r="I43" s="79">
        <v>87</v>
      </c>
      <c r="J43" s="79">
        <v>87</v>
      </c>
      <c r="K43" s="79">
        <v>87</v>
      </c>
      <c r="L43" s="79">
        <v>87</v>
      </c>
      <c r="M43" s="79">
        <v>87</v>
      </c>
      <c r="N43" s="79">
        <v>-52</v>
      </c>
      <c r="O43" s="79">
        <v>-52</v>
      </c>
      <c r="P43" s="79">
        <v>-571</v>
      </c>
      <c r="Q43" s="79">
        <v>20</v>
      </c>
      <c r="R43" s="62"/>
      <c r="S43" s="73">
        <f t="shared" si="1"/>
        <v>0</v>
      </c>
      <c r="T43" s="73">
        <f t="shared" si="2"/>
        <v>2.61540866511947</v>
      </c>
      <c r="U43" s="73">
        <f t="shared" si="3"/>
        <v>2.52707270215864</v>
      </c>
      <c r="V43" s="73">
        <f t="shared" si="4"/>
        <v>2.45009022096931</v>
      </c>
      <c r="W43" s="73">
        <f t="shared" si="5"/>
        <v>2.4956612785244</v>
      </c>
      <c r="X43" s="73">
        <f t="shared" si="6"/>
        <v>2.48098623480396</v>
      </c>
      <c r="Y43" s="73">
        <f t="shared" si="7"/>
        <v>2.4371864223504</v>
      </c>
      <c r="Z43" s="73">
        <f t="shared" si="8"/>
        <v>2.34439420314849</v>
      </c>
      <c r="AA43" s="73">
        <f t="shared" si="9"/>
        <v>2.30013761797648</v>
      </c>
      <c r="AB43" s="73">
        <f t="shared" si="10"/>
        <v>-1.39233593573648</v>
      </c>
      <c r="AC43" s="73">
        <f t="shared" si="11"/>
        <v>-1.41984561909365</v>
      </c>
      <c r="AD43" s="73">
        <f t="shared" si="12"/>
        <v>-15.576052051838</v>
      </c>
      <c r="AE43" s="73">
        <f t="shared" si="13"/>
        <v>1.26270373838305</v>
      </c>
      <c r="AF43" s="64"/>
      <c r="AG43" s="80">
        <f t="shared" si="14"/>
        <v>0</v>
      </c>
      <c r="AH43" s="80">
        <f t="shared" si="15"/>
        <v>0.132412346350722</v>
      </c>
      <c r="AI43" s="80">
        <f t="shared" si="16"/>
        <v>0.126120312529752</v>
      </c>
      <c r="AJ43" s="80">
        <f t="shared" si="17"/>
        <v>0.0873690482818997</v>
      </c>
      <c r="AK43" s="80">
        <f t="shared" si="18"/>
        <v>0.0611771652332305</v>
      </c>
      <c r="AL43" s="80">
        <f t="shared" si="19"/>
        <v>0.0800938221463055</v>
      </c>
      <c r="AM43" s="80">
        <f t="shared" si="20"/>
        <v>0.0706902115134844</v>
      </c>
      <c r="AN43" s="80">
        <f t="shared" si="21"/>
        <v>0.0916566660078385</v>
      </c>
      <c r="AO43" s="80">
        <f t="shared" si="22"/>
        <v>0.0573543192194413</v>
      </c>
      <c r="AP43" s="80">
        <f t="shared" si="23"/>
        <v>-0.0338052282452346</v>
      </c>
      <c r="AQ43" s="80">
        <f t="shared" si="24"/>
        <v>-0.0329354121803212</v>
      </c>
      <c r="AR43" s="80">
        <f t="shared" si="25"/>
        <v>-0.595574199970863</v>
      </c>
      <c r="AS43" s="80">
        <f t="shared" si="26"/>
        <v>0.00344759877894984</v>
      </c>
      <c r="AU43" s="80">
        <f t="shared" si="27"/>
        <v>0.0807546505976715</v>
      </c>
      <c r="AV43" s="80">
        <f t="shared" si="28"/>
        <v>0.0707047618633909</v>
      </c>
      <c r="AW43" s="80">
        <f t="shared" si="29"/>
        <v>-0.166484686343758</v>
      </c>
      <c r="AX43" s="80">
        <f t="shared" si="30"/>
        <v>-0.0536848632451259</v>
      </c>
    </row>
    <row r="44" spans="1:50">
      <c r="A44" s="65" t="s">
        <v>42</v>
      </c>
      <c r="B44" s="65" t="s">
        <v>363</v>
      </c>
      <c r="C44" s="65" t="s">
        <v>364</v>
      </c>
      <c r="D44" s="78" t="s">
        <v>393</v>
      </c>
      <c r="E44" s="79">
        <v>0</v>
      </c>
      <c r="F44" s="79">
        <v>1.01863406598568e-10</v>
      </c>
      <c r="G44" s="79">
        <v>-1.01863406598568e-10</v>
      </c>
      <c r="H44" s="79">
        <v>0</v>
      </c>
      <c r="I44" s="79">
        <v>-3.49970720806003e-10</v>
      </c>
      <c r="J44" s="79">
        <v>0</v>
      </c>
      <c r="K44" s="79">
        <v>4</v>
      </c>
      <c r="L44" s="79">
        <v>-4</v>
      </c>
      <c r="M44" s="79">
        <v>0</v>
      </c>
      <c r="N44" s="79">
        <v>23</v>
      </c>
      <c r="O44" s="79">
        <v>-2.00088834390044e-10</v>
      </c>
      <c r="P44" s="79">
        <v>22</v>
      </c>
      <c r="Q44" s="79">
        <v>44.9999999994499</v>
      </c>
      <c r="R44" s="62"/>
      <c r="S44" s="73">
        <f t="shared" si="1"/>
        <v>0</v>
      </c>
      <c r="T44" s="73">
        <f t="shared" si="2"/>
        <v>3.06223489972968e-12</v>
      </c>
      <c r="U44" s="73">
        <f t="shared" si="3"/>
        <v>-2.92518447913781e-12</v>
      </c>
      <c r="V44" s="73">
        <f t="shared" si="4"/>
        <v>0</v>
      </c>
      <c r="W44" s="73">
        <f t="shared" si="5"/>
        <v>-1.00391767417565e-11</v>
      </c>
      <c r="X44" s="73">
        <f t="shared" si="6"/>
        <v>0</v>
      </c>
      <c r="Y44" s="73">
        <f t="shared" si="7"/>
        <v>0.112054548154041</v>
      </c>
      <c r="Z44" s="73">
        <f t="shared" si="8"/>
        <v>-0.107788239225218</v>
      </c>
      <c r="AA44" s="73">
        <f t="shared" si="9"/>
        <v>0</v>
      </c>
      <c r="AB44" s="73">
        <f t="shared" si="10"/>
        <v>0.615840894652673</v>
      </c>
      <c r="AC44" s="73">
        <f t="shared" si="11"/>
        <v>-5.4633702872742e-12</v>
      </c>
      <c r="AD44" s="73">
        <f t="shared" si="12"/>
        <v>0.600128100070815</v>
      </c>
      <c r="AE44" s="73">
        <f t="shared" si="13"/>
        <v>1.22023530363695</v>
      </c>
      <c r="AF44" s="64"/>
      <c r="AG44" s="80">
        <f t="shared" si="14"/>
        <v>0</v>
      </c>
      <c r="AH44" s="80">
        <f t="shared" si="15"/>
        <v>1.55034168678092e-13</v>
      </c>
      <c r="AI44" s="80">
        <f t="shared" si="16"/>
        <v>-1.45989144040416e-13</v>
      </c>
      <c r="AJ44" s="80">
        <f t="shared" si="17"/>
        <v>0</v>
      </c>
      <c r="AK44" s="80">
        <f t="shared" si="18"/>
        <v>-2.46094443833812e-13</v>
      </c>
      <c r="AL44" s="80">
        <f t="shared" si="19"/>
        <v>0</v>
      </c>
      <c r="AM44" s="80">
        <f t="shared" si="20"/>
        <v>0.00325012466728664</v>
      </c>
      <c r="AN44" s="80">
        <f t="shared" si="21"/>
        <v>-0.00421409958656729</v>
      </c>
      <c r="AO44" s="80">
        <f t="shared" si="22"/>
        <v>0</v>
      </c>
      <c r="AP44" s="80">
        <f t="shared" si="23"/>
        <v>0.0149523124930845</v>
      </c>
      <c r="AQ44" s="80">
        <f t="shared" si="24"/>
        <v>-1.26730927563772e-13</v>
      </c>
      <c r="AR44" s="80">
        <f t="shared" si="25"/>
        <v>0.0229468168114868</v>
      </c>
      <c r="AS44" s="80">
        <f t="shared" si="26"/>
        <v>0.00333164590788122</v>
      </c>
      <c r="AU44" s="80">
        <f t="shared" si="27"/>
        <v>-6.36191273918845e-14</v>
      </c>
      <c r="AV44" s="80">
        <f t="shared" si="28"/>
        <v>4.25953626616007e-5</v>
      </c>
      <c r="AW44" s="80">
        <f t="shared" si="29"/>
        <v>0.0110092258462474</v>
      </c>
      <c r="AX44" s="80">
        <f t="shared" si="30"/>
        <v>0.00579384216081387</v>
      </c>
    </row>
    <row r="45" spans="1:50">
      <c r="A45" s="65" t="s">
        <v>194</v>
      </c>
      <c r="B45" s="65" t="s">
        <v>192</v>
      </c>
      <c r="C45" s="65" t="s">
        <v>194</v>
      </c>
      <c r="D45" s="78" t="s">
        <v>394</v>
      </c>
      <c r="E45" s="79">
        <v>110</v>
      </c>
      <c r="F45" s="79">
        <v>258</v>
      </c>
      <c r="G45" s="79">
        <v>64</v>
      </c>
      <c r="H45" s="79">
        <v>141</v>
      </c>
      <c r="I45" s="79">
        <v>156</v>
      </c>
      <c r="J45" s="79">
        <v>163</v>
      </c>
      <c r="K45" s="79">
        <v>151</v>
      </c>
      <c r="L45" s="79">
        <v>152</v>
      </c>
      <c r="M45" s="79">
        <v>135</v>
      </c>
      <c r="N45" s="79">
        <v>150</v>
      </c>
      <c r="O45" s="79">
        <v>0</v>
      </c>
      <c r="P45" s="79">
        <v>168</v>
      </c>
      <c r="Q45" s="79">
        <v>1648</v>
      </c>
      <c r="R45" s="62"/>
      <c r="S45" s="73">
        <f t="shared" si="1"/>
        <v>3.35197233099203</v>
      </c>
      <c r="T45" s="73">
        <f t="shared" si="2"/>
        <v>7.75603948966463</v>
      </c>
      <c r="U45" s="73">
        <f t="shared" si="3"/>
        <v>1.83787105611537</v>
      </c>
      <c r="V45" s="73">
        <f t="shared" si="4"/>
        <v>4.06426730772557</v>
      </c>
      <c r="W45" s="73">
        <f t="shared" si="5"/>
        <v>4.47497884425066</v>
      </c>
      <c r="X45" s="73">
        <f t="shared" si="6"/>
        <v>4.64828455486259</v>
      </c>
      <c r="Y45" s="73">
        <f t="shared" si="7"/>
        <v>4.23005919281506</v>
      </c>
      <c r="Z45" s="73">
        <f t="shared" si="8"/>
        <v>4.09595309055829</v>
      </c>
      <c r="AA45" s="73">
        <f t="shared" si="9"/>
        <v>3.56917906237729</v>
      </c>
      <c r="AB45" s="73">
        <f t="shared" si="10"/>
        <v>4.0163536607783</v>
      </c>
      <c r="AC45" s="73">
        <f t="shared" si="11"/>
        <v>0</v>
      </c>
      <c r="AD45" s="73">
        <f t="shared" si="12"/>
        <v>4.58279640054077</v>
      </c>
      <c r="AE45" s="73">
        <f t="shared" si="13"/>
        <v>46.6277549906806</v>
      </c>
      <c r="AF45" s="64"/>
      <c r="AG45" s="80">
        <f t="shared" si="14"/>
        <v>0.208910709317048</v>
      </c>
      <c r="AH45" s="80">
        <f t="shared" si="15"/>
        <v>0.392671096074556</v>
      </c>
      <c r="AI45" s="80">
        <f t="shared" si="16"/>
        <v>0.0917238636580013</v>
      </c>
      <c r="AJ45" s="80">
        <f t="shared" si="17"/>
        <v>0.144929833032328</v>
      </c>
      <c r="AK45" s="80">
        <f t="shared" si="18"/>
        <v>0.109696985935448</v>
      </c>
      <c r="AL45" s="80">
        <f t="shared" si="19"/>
        <v>0.150060839193653</v>
      </c>
      <c r="AM45" s="80">
        <f t="shared" si="20"/>
        <v>0.122692206190071</v>
      </c>
      <c r="AN45" s="80">
        <f t="shared" si="21"/>
        <v>0.160135784289557</v>
      </c>
      <c r="AO45" s="80">
        <f t="shared" si="22"/>
        <v>0.088998081547409</v>
      </c>
      <c r="AP45" s="80">
        <f t="shared" si="23"/>
        <v>0.0975150814766383</v>
      </c>
      <c r="AQ45" s="80">
        <f t="shared" si="24"/>
        <v>0</v>
      </c>
      <c r="AR45" s="80">
        <f t="shared" si="25"/>
        <v>0.175230237469536</v>
      </c>
      <c r="AS45" s="80">
        <f t="shared" si="26"/>
        <v>0.127309190813749</v>
      </c>
      <c r="AU45" s="80">
        <f t="shared" si="27"/>
        <v>0.167901813614209</v>
      </c>
      <c r="AV45" s="80">
        <f t="shared" si="28"/>
        <v>0.118763080160052</v>
      </c>
      <c r="AW45" s="80">
        <f t="shared" si="29"/>
        <v>0.077855591320227</v>
      </c>
      <c r="AX45" s="80">
        <f t="shared" si="30"/>
        <v>0.0973099032190918</v>
      </c>
    </row>
    <row r="46" spans="1:50">
      <c r="A46" s="65" t="s">
        <v>42</v>
      </c>
      <c r="B46" s="65" t="s">
        <v>363</v>
      </c>
      <c r="C46" s="65" t="s">
        <v>364</v>
      </c>
      <c r="D46" s="78" t="s">
        <v>395</v>
      </c>
      <c r="E46" s="79">
        <v>0</v>
      </c>
      <c r="F46" s="79">
        <v>27</v>
      </c>
      <c r="G46" s="79">
        <v>-18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-1.00044417195022e-9</v>
      </c>
      <c r="P46" s="79">
        <v>0</v>
      </c>
      <c r="Q46" s="79">
        <v>8.99999999899956</v>
      </c>
      <c r="R46" s="62"/>
      <c r="S46" s="73">
        <f t="shared" si="1"/>
        <v>0</v>
      </c>
      <c r="T46" s="73">
        <f t="shared" si="2"/>
        <v>0.811678551243972</v>
      </c>
      <c r="U46" s="73">
        <f t="shared" si="3"/>
        <v>-0.516901234532449</v>
      </c>
      <c r="V46" s="73">
        <f t="shared" si="4"/>
        <v>0</v>
      </c>
      <c r="W46" s="73">
        <f t="shared" si="5"/>
        <v>0</v>
      </c>
      <c r="X46" s="73">
        <f t="shared" si="6"/>
        <v>0</v>
      </c>
      <c r="Y46" s="73">
        <f t="shared" si="7"/>
        <v>0</v>
      </c>
      <c r="Z46" s="73">
        <f t="shared" si="8"/>
        <v>0</v>
      </c>
      <c r="AA46" s="73">
        <f t="shared" si="9"/>
        <v>0</v>
      </c>
      <c r="AB46" s="73">
        <f t="shared" si="10"/>
        <v>0</v>
      </c>
      <c r="AC46" s="73">
        <f t="shared" si="11"/>
        <v>-2.7316851436371e-11</v>
      </c>
      <c r="AD46" s="73">
        <f t="shared" si="12"/>
        <v>0</v>
      </c>
      <c r="AE46" s="73">
        <f t="shared" si="13"/>
        <v>0.294777316684207</v>
      </c>
      <c r="AF46" s="64"/>
      <c r="AG46" s="80">
        <f t="shared" si="14"/>
        <v>0</v>
      </c>
      <c r="AH46" s="80">
        <f t="shared" si="15"/>
        <v>0.0410934867985</v>
      </c>
      <c r="AI46" s="80">
        <f t="shared" si="16"/>
        <v>-0.0257973366538129</v>
      </c>
      <c r="AJ46" s="80">
        <f t="shared" si="17"/>
        <v>0</v>
      </c>
      <c r="AK46" s="80">
        <f t="shared" si="18"/>
        <v>0</v>
      </c>
      <c r="AL46" s="80">
        <f t="shared" si="19"/>
        <v>0</v>
      </c>
      <c r="AM46" s="80">
        <f t="shared" si="20"/>
        <v>0</v>
      </c>
      <c r="AN46" s="80">
        <f t="shared" si="21"/>
        <v>0</v>
      </c>
      <c r="AO46" s="80">
        <f t="shared" si="22"/>
        <v>0</v>
      </c>
      <c r="AP46" s="80">
        <f t="shared" si="23"/>
        <v>0</v>
      </c>
      <c r="AQ46" s="80">
        <f t="shared" si="24"/>
        <v>-6.33654637818859e-13</v>
      </c>
      <c r="AR46" s="80">
        <f t="shared" si="25"/>
        <v>0</v>
      </c>
      <c r="AS46" s="80">
        <f t="shared" si="26"/>
        <v>0.000804839556714995</v>
      </c>
      <c r="AU46" s="80">
        <f t="shared" si="27"/>
        <v>0.00189388370294014</v>
      </c>
      <c r="AV46" s="80">
        <f t="shared" si="28"/>
        <v>0</v>
      </c>
      <c r="AW46" s="80">
        <f t="shared" si="29"/>
        <v>-2.47323236182626e-13</v>
      </c>
      <c r="AX46" s="80">
        <f t="shared" si="30"/>
        <v>-1.29704103036295e-13</v>
      </c>
    </row>
    <row r="47" spans="1:50">
      <c r="A47" s="65" t="s">
        <v>42</v>
      </c>
      <c r="B47" s="65" t="s">
        <v>363</v>
      </c>
      <c r="C47" s="65" t="s">
        <v>364</v>
      </c>
      <c r="D47" s="78" t="s">
        <v>396</v>
      </c>
      <c r="E47" s="79">
        <v>0</v>
      </c>
      <c r="F47" s="79">
        <v>0</v>
      </c>
      <c r="G47" s="79">
        <v>0</v>
      </c>
      <c r="H47" s="79">
        <v>0</v>
      </c>
      <c r="I47" s="79">
        <v>0</v>
      </c>
      <c r="J47" s="79">
        <v>0</v>
      </c>
      <c r="K47" s="79">
        <v>0</v>
      </c>
      <c r="L47" s="79">
        <v>0</v>
      </c>
      <c r="M47" s="79">
        <v>0</v>
      </c>
      <c r="N47" s="79">
        <v>0</v>
      </c>
      <c r="O47" s="79">
        <v>0</v>
      </c>
      <c r="P47" s="79">
        <v>0</v>
      </c>
      <c r="Q47" s="79">
        <v>0</v>
      </c>
      <c r="R47" s="62"/>
      <c r="S47" s="73">
        <f t="shared" si="1"/>
        <v>0</v>
      </c>
      <c r="T47" s="73">
        <f t="shared" si="2"/>
        <v>0</v>
      </c>
      <c r="U47" s="73">
        <f t="shared" si="3"/>
        <v>0</v>
      </c>
      <c r="V47" s="73">
        <f t="shared" si="4"/>
        <v>0</v>
      </c>
      <c r="W47" s="73">
        <f t="shared" si="5"/>
        <v>0</v>
      </c>
      <c r="X47" s="73">
        <f t="shared" si="6"/>
        <v>0</v>
      </c>
      <c r="Y47" s="73">
        <f t="shared" si="7"/>
        <v>0</v>
      </c>
      <c r="Z47" s="73">
        <f t="shared" si="8"/>
        <v>0</v>
      </c>
      <c r="AA47" s="73">
        <f t="shared" si="9"/>
        <v>0</v>
      </c>
      <c r="AB47" s="73">
        <f t="shared" si="10"/>
        <v>0</v>
      </c>
      <c r="AC47" s="73">
        <f t="shared" si="11"/>
        <v>0</v>
      </c>
      <c r="AD47" s="73">
        <f t="shared" si="12"/>
        <v>0</v>
      </c>
      <c r="AE47" s="73">
        <f t="shared" si="13"/>
        <v>0</v>
      </c>
      <c r="AF47" s="64"/>
      <c r="AG47" s="80">
        <f t="shared" si="14"/>
        <v>0</v>
      </c>
      <c r="AH47" s="80">
        <f t="shared" si="15"/>
        <v>0</v>
      </c>
      <c r="AI47" s="80">
        <f t="shared" si="16"/>
        <v>0</v>
      </c>
      <c r="AJ47" s="80">
        <f t="shared" si="17"/>
        <v>0</v>
      </c>
      <c r="AK47" s="80">
        <f t="shared" si="18"/>
        <v>0</v>
      </c>
      <c r="AL47" s="80">
        <f t="shared" si="19"/>
        <v>0</v>
      </c>
      <c r="AM47" s="80">
        <f t="shared" si="20"/>
        <v>0</v>
      </c>
      <c r="AN47" s="80">
        <f t="shared" si="21"/>
        <v>0</v>
      </c>
      <c r="AO47" s="80">
        <f t="shared" si="22"/>
        <v>0</v>
      </c>
      <c r="AP47" s="80">
        <f t="shared" si="23"/>
        <v>0</v>
      </c>
      <c r="AQ47" s="80">
        <f t="shared" si="24"/>
        <v>0</v>
      </c>
      <c r="AR47" s="80">
        <f t="shared" si="25"/>
        <v>0</v>
      </c>
      <c r="AS47" s="80">
        <f t="shared" si="26"/>
        <v>0</v>
      </c>
      <c r="AU47" s="80">
        <f t="shared" si="27"/>
        <v>0</v>
      </c>
      <c r="AV47" s="80">
        <f t="shared" si="28"/>
        <v>0</v>
      </c>
      <c r="AW47" s="80">
        <f t="shared" si="29"/>
        <v>0</v>
      </c>
      <c r="AX47" s="80">
        <f t="shared" si="30"/>
        <v>0</v>
      </c>
    </row>
    <row r="48" spans="1:50">
      <c r="A48" s="65" t="s">
        <v>42</v>
      </c>
      <c r="B48" s="65" t="s">
        <v>363</v>
      </c>
      <c r="C48" s="65" t="s">
        <v>368</v>
      </c>
      <c r="D48" s="78" t="s">
        <v>397</v>
      </c>
      <c r="E48" s="79">
        <v>329</v>
      </c>
      <c r="F48" s="79">
        <v>277</v>
      </c>
      <c r="G48" s="79">
        <v>342</v>
      </c>
      <c r="H48" s="79">
        <v>329</v>
      </c>
      <c r="I48" s="79">
        <v>329</v>
      </c>
      <c r="J48" s="79">
        <v>294</v>
      </c>
      <c r="K48" s="79">
        <v>408</v>
      </c>
      <c r="L48" s="79">
        <v>255</v>
      </c>
      <c r="M48" s="79">
        <v>-241</v>
      </c>
      <c r="N48" s="79">
        <v>-56</v>
      </c>
      <c r="O48" s="79">
        <v>329</v>
      </c>
      <c r="P48" s="79">
        <v>-1056</v>
      </c>
      <c r="Q48" s="79">
        <v>1539</v>
      </c>
      <c r="R48" s="62"/>
      <c r="S48" s="73">
        <f t="shared" si="1"/>
        <v>10.0254445172398</v>
      </c>
      <c r="T48" s="73">
        <f t="shared" si="2"/>
        <v>8.32722069239187</v>
      </c>
      <c r="U48" s="73">
        <f t="shared" si="3"/>
        <v>9.82112345611652</v>
      </c>
      <c r="V48" s="73">
        <f t="shared" si="4"/>
        <v>9.48329038469299</v>
      </c>
      <c r="W48" s="73">
        <f t="shared" si="5"/>
        <v>9.43761563947734</v>
      </c>
      <c r="X48" s="73">
        <f t="shared" si="6"/>
        <v>8.38402244864786</v>
      </c>
      <c r="Y48" s="73">
        <f t="shared" si="7"/>
        <v>11.4295639117122</v>
      </c>
      <c r="Z48" s="73">
        <f t="shared" si="8"/>
        <v>6.87150025060766</v>
      </c>
      <c r="AA48" s="73">
        <f t="shared" si="9"/>
        <v>-6.37164558542909</v>
      </c>
      <c r="AB48" s="73">
        <f t="shared" si="10"/>
        <v>-1.4994387000239</v>
      </c>
      <c r="AC48" s="73">
        <f t="shared" si="11"/>
        <v>8.98325401311173</v>
      </c>
      <c r="AD48" s="73">
        <f t="shared" si="12"/>
        <v>-28.8061488033991</v>
      </c>
      <c r="AE48" s="73">
        <f t="shared" si="13"/>
        <v>46.0858022251459</v>
      </c>
      <c r="AF48" s="64"/>
      <c r="AG48" s="80">
        <f t="shared" si="14"/>
        <v>0.624832939684625</v>
      </c>
      <c r="AH48" s="80">
        <f t="shared" si="15"/>
        <v>0.42158873493276</v>
      </c>
      <c r="AI48" s="80">
        <f t="shared" si="16"/>
        <v>0.490149396422445</v>
      </c>
      <c r="AJ48" s="80">
        <f t="shared" si="17"/>
        <v>0.338169610408765</v>
      </c>
      <c r="AK48" s="80">
        <f t="shared" si="18"/>
        <v>0.23134813059463</v>
      </c>
      <c r="AL48" s="80">
        <f t="shared" si="19"/>
        <v>0.270661881735791</v>
      </c>
      <c r="AM48" s="80">
        <f t="shared" si="20"/>
        <v>0.331512716063237</v>
      </c>
      <c r="AN48" s="80">
        <f t="shared" si="21"/>
        <v>0.268648848643665</v>
      </c>
      <c r="AO48" s="80">
        <f t="shared" si="22"/>
        <v>-0.158878056688337</v>
      </c>
      <c r="AP48" s="80">
        <f t="shared" si="23"/>
        <v>-0.036405630417945</v>
      </c>
      <c r="AQ48" s="80">
        <f t="shared" si="24"/>
        <v>0.208379819371648</v>
      </c>
      <c r="AR48" s="80">
        <f t="shared" si="25"/>
        <v>-1.10144720695137</v>
      </c>
      <c r="AS48" s="80">
        <f t="shared" si="26"/>
        <v>0.125829480541331</v>
      </c>
      <c r="AU48" s="80">
        <f t="shared" si="27"/>
        <v>0.356439360466738</v>
      </c>
      <c r="AV48" s="80">
        <f t="shared" si="28"/>
        <v>0.119104809122403</v>
      </c>
      <c r="AW48" s="80">
        <f t="shared" si="29"/>
        <v>-0.193049646811329</v>
      </c>
      <c r="AX48" s="80">
        <f t="shared" si="30"/>
        <v>-0.044598829648403</v>
      </c>
    </row>
    <row r="49" spans="1:50">
      <c r="A49" s="65" t="s">
        <v>42</v>
      </c>
      <c r="B49" s="65" t="s">
        <v>363</v>
      </c>
      <c r="C49" s="65" t="s">
        <v>368</v>
      </c>
      <c r="D49" s="78" t="s">
        <v>398</v>
      </c>
      <c r="E49" s="79">
        <v>5</v>
      </c>
      <c r="F49" s="79">
        <v>11</v>
      </c>
      <c r="G49" s="79">
        <v>11</v>
      </c>
      <c r="H49" s="79">
        <v>16</v>
      </c>
      <c r="I49" s="79">
        <v>25</v>
      </c>
      <c r="J49" s="79">
        <v>14</v>
      </c>
      <c r="K49" s="79">
        <v>12</v>
      </c>
      <c r="L49" s="79">
        <v>5</v>
      </c>
      <c r="M49" s="79">
        <v>13</v>
      </c>
      <c r="N49" s="79">
        <v>13</v>
      </c>
      <c r="O49" s="79">
        <v>10</v>
      </c>
      <c r="P49" s="79">
        <v>58</v>
      </c>
      <c r="Q49" s="79">
        <v>193</v>
      </c>
      <c r="R49" s="62"/>
      <c r="S49" s="73">
        <f t="shared" si="1"/>
        <v>0.152362378681456</v>
      </c>
      <c r="T49" s="73">
        <f t="shared" si="2"/>
        <v>0.330683854210507</v>
      </c>
      <c r="U49" s="73">
        <f t="shared" si="3"/>
        <v>0.31588408776983</v>
      </c>
      <c r="V49" s="73">
        <f t="shared" si="4"/>
        <v>0.46119345335893</v>
      </c>
      <c r="W49" s="73">
        <f t="shared" si="5"/>
        <v>0.71714404555299</v>
      </c>
      <c r="X49" s="73">
        <f t="shared" si="6"/>
        <v>0.399239164221327</v>
      </c>
      <c r="Y49" s="73">
        <f t="shared" si="7"/>
        <v>0.336163644462124</v>
      </c>
      <c r="Z49" s="73">
        <f t="shared" si="8"/>
        <v>0.134735299031523</v>
      </c>
      <c r="AA49" s="73">
        <f t="shared" si="9"/>
        <v>0.34369872452522</v>
      </c>
      <c r="AB49" s="73">
        <f t="shared" si="10"/>
        <v>0.34808398393412</v>
      </c>
      <c r="AC49" s="73">
        <f t="shared" si="11"/>
        <v>0.273047234441086</v>
      </c>
      <c r="AD49" s="73">
        <f t="shared" si="12"/>
        <v>1.58215590018669</v>
      </c>
      <c r="AE49" s="73">
        <f t="shared" si="13"/>
        <v>5.39439177037581</v>
      </c>
      <c r="AF49" s="64"/>
      <c r="AG49" s="80">
        <f t="shared" si="14"/>
        <v>0.00949594133259308</v>
      </c>
      <c r="AH49" s="80">
        <f t="shared" si="15"/>
        <v>0.0167417909179074</v>
      </c>
      <c r="AI49" s="80">
        <f t="shared" si="16"/>
        <v>0.015765039066219</v>
      </c>
      <c r="AJ49" s="80">
        <f t="shared" si="17"/>
        <v>0.0164459385001223</v>
      </c>
      <c r="AK49" s="80">
        <f t="shared" si="18"/>
        <v>0.0175796451819628</v>
      </c>
      <c r="AL49" s="80">
        <f t="shared" si="19"/>
        <v>0.0128886610350377</v>
      </c>
      <c r="AM49" s="80">
        <f t="shared" si="20"/>
        <v>0.00975037400185991</v>
      </c>
      <c r="AN49" s="80">
        <f t="shared" si="21"/>
        <v>0.00526762448320911</v>
      </c>
      <c r="AO49" s="80">
        <f t="shared" si="22"/>
        <v>0.00857018563049123</v>
      </c>
      <c r="AP49" s="80">
        <f t="shared" si="23"/>
        <v>0.00845130706130866</v>
      </c>
      <c r="AQ49" s="80">
        <f t="shared" si="24"/>
        <v>0.00633373311160023</v>
      </c>
      <c r="AR49" s="80">
        <f t="shared" si="25"/>
        <v>0.0604961534121016</v>
      </c>
      <c r="AS49" s="80">
        <f t="shared" si="26"/>
        <v>0.0147284734458297</v>
      </c>
      <c r="AU49" s="80">
        <f t="shared" si="27"/>
        <v>0.0152685691583843</v>
      </c>
      <c r="AV49" s="80">
        <f t="shared" si="28"/>
        <v>0.00813304513841859</v>
      </c>
      <c r="AW49" s="80">
        <f t="shared" si="29"/>
        <v>0.0199482763111082</v>
      </c>
      <c r="AX49" s="80">
        <f t="shared" si="30"/>
        <v>0.0143293248939066</v>
      </c>
    </row>
    <row r="50" spans="1:50">
      <c r="A50" s="65" t="s">
        <v>52</v>
      </c>
      <c r="B50" s="65" t="s">
        <v>347</v>
      </c>
      <c r="C50" s="65" t="s">
        <v>351</v>
      </c>
      <c r="D50" s="78" t="s">
        <v>399</v>
      </c>
      <c r="E50" s="79">
        <v>142</v>
      </c>
      <c r="F50" s="79">
        <v>505</v>
      </c>
      <c r="G50" s="79">
        <v>601</v>
      </c>
      <c r="H50" s="79">
        <v>1280</v>
      </c>
      <c r="I50" s="79">
        <v>1108</v>
      </c>
      <c r="J50" s="79">
        <v>826</v>
      </c>
      <c r="K50" s="79">
        <v>915</v>
      </c>
      <c r="L50" s="79">
        <v>105</v>
      </c>
      <c r="M50" s="79">
        <v>294</v>
      </c>
      <c r="N50" s="79">
        <v>818</v>
      </c>
      <c r="O50" s="79">
        <v>1186</v>
      </c>
      <c r="P50" s="79">
        <v>957</v>
      </c>
      <c r="Q50" s="79">
        <v>8737</v>
      </c>
      <c r="R50" s="62"/>
      <c r="S50" s="73">
        <f t="shared" si="1"/>
        <v>4.32709155455335</v>
      </c>
      <c r="T50" s="73">
        <f t="shared" si="2"/>
        <v>15.1813951251187</v>
      </c>
      <c r="U50" s="73">
        <f t="shared" si="3"/>
        <v>17.2587578863334</v>
      </c>
      <c r="V50" s="73">
        <f t="shared" si="4"/>
        <v>36.8954762687144</v>
      </c>
      <c r="W50" s="73">
        <f t="shared" si="5"/>
        <v>31.7838240989085</v>
      </c>
      <c r="X50" s="73">
        <f t="shared" si="6"/>
        <v>23.5551106890583</v>
      </c>
      <c r="Y50" s="73">
        <f t="shared" si="7"/>
        <v>25.632477890237</v>
      </c>
      <c r="Z50" s="73">
        <f t="shared" si="8"/>
        <v>2.82944127966198</v>
      </c>
      <c r="AA50" s="73">
        <f t="shared" si="9"/>
        <v>7.77287884695499</v>
      </c>
      <c r="AB50" s="73">
        <f t="shared" si="10"/>
        <v>21.9025152967777</v>
      </c>
      <c r="AC50" s="73">
        <f t="shared" si="11"/>
        <v>32.3834020047128</v>
      </c>
      <c r="AD50" s="73">
        <f t="shared" si="12"/>
        <v>26.1055723530805</v>
      </c>
      <c r="AE50" s="73">
        <f t="shared" si="13"/>
        <v>245.627943294112</v>
      </c>
      <c r="AF50" s="64"/>
      <c r="AG50" s="80">
        <f t="shared" si="14"/>
        <v>0.269684733845644</v>
      </c>
      <c r="AH50" s="80">
        <f t="shared" si="15"/>
        <v>0.768600401231204</v>
      </c>
      <c r="AI50" s="80">
        <f t="shared" si="16"/>
        <v>0.861344407163419</v>
      </c>
      <c r="AJ50" s="80">
        <f t="shared" si="17"/>
        <v>1.31567508000978</v>
      </c>
      <c r="AK50" s="80">
        <f t="shared" si="18"/>
        <v>0.77912987446459</v>
      </c>
      <c r="AL50" s="80">
        <f t="shared" si="19"/>
        <v>0.760431001067222</v>
      </c>
      <c r="AM50" s="80">
        <f t="shared" si="20"/>
        <v>0.743466017641818</v>
      </c>
      <c r="AN50" s="80">
        <f t="shared" si="21"/>
        <v>0.110620114147391</v>
      </c>
      <c r="AO50" s="80">
        <f t="shared" si="22"/>
        <v>0.193818044258802</v>
      </c>
      <c r="AP50" s="80">
        <f t="shared" si="23"/>
        <v>0.531782244319268</v>
      </c>
      <c r="AQ50" s="80">
        <f t="shared" si="24"/>
        <v>0.751180747035787</v>
      </c>
      <c r="AR50" s="80">
        <f t="shared" si="25"/>
        <v>0.998186531299677</v>
      </c>
      <c r="AS50" s="80">
        <f t="shared" si="26"/>
        <v>0.670645513777553</v>
      </c>
      <c r="AU50" s="80">
        <f t="shared" si="27"/>
        <v>0.828809136203632</v>
      </c>
      <c r="AV50" s="80">
        <f t="shared" si="28"/>
        <v>0.36177276147779</v>
      </c>
      <c r="AW50" s="80">
        <f t="shared" si="29"/>
        <v>0.727854139018297</v>
      </c>
      <c r="AX50" s="80">
        <f t="shared" si="30"/>
        <v>0.553757378228969</v>
      </c>
    </row>
    <row r="51" spans="1:50">
      <c r="A51" s="65" t="s">
        <v>42</v>
      </c>
      <c r="B51" s="65" t="s">
        <v>363</v>
      </c>
      <c r="C51" s="65" t="s">
        <v>400</v>
      </c>
      <c r="D51" s="78" t="s">
        <v>401</v>
      </c>
      <c r="E51" s="79">
        <v>79</v>
      </c>
      <c r="F51" s="79">
        <v>79</v>
      </c>
      <c r="G51" s="79">
        <v>79</v>
      </c>
      <c r="H51" s="79">
        <v>79</v>
      </c>
      <c r="I51" s="79">
        <v>79</v>
      </c>
      <c r="J51" s="79">
        <v>79</v>
      </c>
      <c r="K51" s="79">
        <v>871</v>
      </c>
      <c r="L51" s="79">
        <v>871</v>
      </c>
      <c r="M51" s="79">
        <v>1303</v>
      </c>
      <c r="N51" s="79">
        <v>-112</v>
      </c>
      <c r="O51" s="79">
        <v>116</v>
      </c>
      <c r="P51" s="79">
        <v>-2583</v>
      </c>
      <c r="Q51" s="79">
        <v>940</v>
      </c>
      <c r="R51" s="62"/>
      <c r="S51" s="73">
        <f t="shared" si="1"/>
        <v>2.407325583167</v>
      </c>
      <c r="T51" s="73">
        <f t="shared" si="2"/>
        <v>2.37491131660273</v>
      </c>
      <c r="U51" s="73">
        <f t="shared" si="3"/>
        <v>2.26862208489241</v>
      </c>
      <c r="V51" s="73">
        <f t="shared" si="4"/>
        <v>2.27714267595971</v>
      </c>
      <c r="W51" s="73">
        <f t="shared" si="5"/>
        <v>2.26617518394745</v>
      </c>
      <c r="X51" s="73">
        <f t="shared" si="6"/>
        <v>2.25284956953463</v>
      </c>
      <c r="Y51" s="73">
        <f t="shared" si="7"/>
        <v>24.3998778605425</v>
      </c>
      <c r="Z51" s="73">
        <f t="shared" si="8"/>
        <v>23.4708890912912</v>
      </c>
      <c r="AA51" s="73">
        <f t="shared" si="9"/>
        <v>34.4491875427971</v>
      </c>
      <c r="AB51" s="73">
        <f t="shared" si="10"/>
        <v>-2.9988774000478</v>
      </c>
      <c r="AC51" s="73">
        <f t="shared" si="11"/>
        <v>3.1673479195166</v>
      </c>
      <c r="AD51" s="73">
        <f t="shared" si="12"/>
        <v>-70.4604946583143</v>
      </c>
      <c r="AE51" s="73">
        <f t="shared" si="13"/>
        <v>25.8749567698893</v>
      </c>
      <c r="AF51" s="64"/>
      <c r="AG51" s="80">
        <f t="shared" si="14"/>
        <v>0.150035873054971</v>
      </c>
      <c r="AH51" s="80">
        <f t="shared" si="15"/>
        <v>0.120236498410426</v>
      </c>
      <c r="AI51" s="80">
        <f t="shared" si="16"/>
        <v>0.113221644202845</v>
      </c>
      <c r="AJ51" s="80">
        <f t="shared" si="17"/>
        <v>0.0812018213443538</v>
      </c>
      <c r="AK51" s="80">
        <f t="shared" si="18"/>
        <v>0.0555516787750024</v>
      </c>
      <c r="AL51" s="80">
        <f t="shared" si="19"/>
        <v>0.0727288729834269</v>
      </c>
      <c r="AM51" s="80">
        <f t="shared" si="20"/>
        <v>0.707714646301665</v>
      </c>
      <c r="AN51" s="80">
        <f t="shared" si="21"/>
        <v>0.917620184975027</v>
      </c>
      <c r="AO51" s="80">
        <f t="shared" si="22"/>
        <v>0.858996298194621</v>
      </c>
      <c r="AP51" s="80">
        <f t="shared" si="23"/>
        <v>-0.07281126083589</v>
      </c>
      <c r="AQ51" s="80">
        <f t="shared" si="24"/>
        <v>0.0734713040945627</v>
      </c>
      <c r="AR51" s="80">
        <f t="shared" si="25"/>
        <v>-2.69416490109411</v>
      </c>
      <c r="AS51" s="80">
        <f t="shared" si="26"/>
        <v>0.0706471887693014</v>
      </c>
      <c r="AU51" s="80">
        <f t="shared" si="27"/>
        <v>0.0889643000771229</v>
      </c>
      <c r="AV51" s="80">
        <f t="shared" si="28"/>
        <v>0.821892735496868</v>
      </c>
      <c r="AW51" s="80">
        <f t="shared" si="29"/>
        <v>-0.63641488582024</v>
      </c>
      <c r="AX51" s="80">
        <f t="shared" si="30"/>
        <v>0.0571102391435565</v>
      </c>
    </row>
    <row r="52" spans="1:50">
      <c r="A52" s="65" t="s">
        <v>42</v>
      </c>
      <c r="B52" s="65" t="s">
        <v>363</v>
      </c>
      <c r="C52" s="65" t="s">
        <v>351</v>
      </c>
      <c r="D52" s="78" t="s">
        <v>402</v>
      </c>
      <c r="E52" s="79">
        <v>-38</v>
      </c>
      <c r="F52" s="79">
        <v>-457</v>
      </c>
      <c r="G52" s="79">
        <v>-208</v>
      </c>
      <c r="H52" s="79">
        <v>-190</v>
      </c>
      <c r="I52" s="79">
        <v>-137</v>
      </c>
      <c r="J52" s="79">
        <v>-83</v>
      </c>
      <c r="K52" s="79">
        <v>-222</v>
      </c>
      <c r="L52" s="79">
        <v>-1690</v>
      </c>
      <c r="M52" s="79">
        <v>-2552</v>
      </c>
      <c r="N52" s="79">
        <v>572</v>
      </c>
      <c r="O52" s="79">
        <v>44</v>
      </c>
      <c r="P52" s="79">
        <v>-448</v>
      </c>
      <c r="Q52" s="79">
        <v>-5409</v>
      </c>
      <c r="R52" s="62"/>
      <c r="S52" s="73">
        <f t="shared" si="1"/>
        <v>-1.15795407797907</v>
      </c>
      <c r="T52" s="73">
        <f t="shared" si="2"/>
        <v>-13.7384110340183</v>
      </c>
      <c r="U52" s="73">
        <f t="shared" si="3"/>
        <v>-5.97308093237496</v>
      </c>
      <c r="V52" s="73">
        <f t="shared" si="4"/>
        <v>-5.47667225863729</v>
      </c>
      <c r="W52" s="73">
        <f t="shared" si="5"/>
        <v>-3.92994936963038</v>
      </c>
      <c r="X52" s="73">
        <f t="shared" si="6"/>
        <v>-2.36691790216929</v>
      </c>
      <c r="Y52" s="73">
        <f t="shared" si="7"/>
        <v>-6.2190274225493</v>
      </c>
      <c r="Z52" s="73">
        <f t="shared" si="8"/>
        <v>-45.5405310726547</v>
      </c>
      <c r="AA52" s="73">
        <f t="shared" si="9"/>
        <v>-67.4707034606433</v>
      </c>
      <c r="AB52" s="73">
        <f t="shared" si="10"/>
        <v>15.3156952931013</v>
      </c>
      <c r="AC52" s="73">
        <f t="shared" si="11"/>
        <v>1.20140783154078</v>
      </c>
      <c r="AD52" s="73">
        <f t="shared" si="12"/>
        <v>-12.2207904014421</v>
      </c>
      <c r="AE52" s="73">
        <f t="shared" si="13"/>
        <v>-147.576934807457</v>
      </c>
      <c r="AF52" s="64"/>
      <c r="AG52" s="80">
        <f t="shared" si="14"/>
        <v>-0.0721691541277074</v>
      </c>
      <c r="AH52" s="80">
        <f t="shared" si="15"/>
        <v>-0.695545313589426</v>
      </c>
      <c r="AI52" s="80">
        <f t="shared" si="16"/>
        <v>-0.298102556888504</v>
      </c>
      <c r="AJ52" s="80">
        <f t="shared" si="17"/>
        <v>-0.195295519688952</v>
      </c>
      <c r="AK52" s="80">
        <f t="shared" si="18"/>
        <v>-0.096336455597156</v>
      </c>
      <c r="AL52" s="80">
        <f t="shared" si="19"/>
        <v>-0.0764113475648662</v>
      </c>
      <c r="AM52" s="80">
        <f t="shared" si="20"/>
        <v>-0.180381919034408</v>
      </c>
      <c r="AN52" s="80">
        <f t="shared" si="21"/>
        <v>-1.78045707532468</v>
      </c>
      <c r="AO52" s="80">
        <f t="shared" si="22"/>
        <v>-1.68239336377028</v>
      </c>
      <c r="AP52" s="80">
        <f t="shared" si="23"/>
        <v>0.371857510697581</v>
      </c>
      <c r="AQ52" s="80">
        <f t="shared" si="24"/>
        <v>0.027868425691041</v>
      </c>
      <c r="AR52" s="80">
        <f t="shared" si="25"/>
        <v>-0.467280633252096</v>
      </c>
      <c r="AS52" s="80">
        <f t="shared" si="26"/>
        <v>-0.402933835370497</v>
      </c>
      <c r="AU52" s="80">
        <f t="shared" si="27"/>
        <v>-0.209724476378018</v>
      </c>
      <c r="AV52" s="80">
        <f t="shared" si="28"/>
        <v>-1.19040986786856</v>
      </c>
      <c r="AW52" s="80">
        <f t="shared" si="29"/>
        <v>0.0388982591507468</v>
      </c>
      <c r="AX52" s="80">
        <f t="shared" si="30"/>
        <v>-0.545721926568415</v>
      </c>
    </row>
    <row r="53" spans="1:50">
      <c r="A53" s="65" t="s">
        <v>42</v>
      </c>
      <c r="B53" s="65" t="s">
        <v>363</v>
      </c>
      <c r="C53" s="65" t="s">
        <v>364</v>
      </c>
      <c r="D53" s="78" t="s">
        <v>403</v>
      </c>
      <c r="E53" s="79">
        <v>-131</v>
      </c>
      <c r="F53" s="79">
        <v>0</v>
      </c>
      <c r="G53" s="79">
        <v>0</v>
      </c>
      <c r="H53" s="79">
        <v>0</v>
      </c>
      <c r="I53" s="79">
        <v>0</v>
      </c>
      <c r="J53" s="79">
        <v>0</v>
      </c>
      <c r="K53" s="79">
        <v>0</v>
      </c>
      <c r="L53" s="79">
        <v>0</v>
      </c>
      <c r="M53" s="79">
        <v>0</v>
      </c>
      <c r="N53" s="79">
        <v>0</v>
      </c>
      <c r="O53" s="79">
        <v>0</v>
      </c>
      <c r="P53" s="79">
        <v>0</v>
      </c>
      <c r="Q53" s="79">
        <v>-131</v>
      </c>
      <c r="R53" s="62"/>
      <c r="S53" s="73">
        <f t="shared" si="1"/>
        <v>-3.99189432145415</v>
      </c>
      <c r="T53" s="73">
        <f t="shared" si="2"/>
        <v>0</v>
      </c>
      <c r="U53" s="73">
        <f t="shared" si="3"/>
        <v>0</v>
      </c>
      <c r="V53" s="73">
        <f t="shared" si="4"/>
        <v>0</v>
      </c>
      <c r="W53" s="73">
        <f t="shared" si="5"/>
        <v>0</v>
      </c>
      <c r="X53" s="73">
        <f t="shared" si="6"/>
        <v>0</v>
      </c>
      <c r="Y53" s="73">
        <f t="shared" si="7"/>
        <v>0</v>
      </c>
      <c r="Z53" s="73">
        <f t="shared" si="8"/>
        <v>0</v>
      </c>
      <c r="AA53" s="73">
        <f t="shared" si="9"/>
        <v>0</v>
      </c>
      <c r="AB53" s="73">
        <f t="shared" si="10"/>
        <v>0</v>
      </c>
      <c r="AC53" s="73">
        <f t="shared" si="11"/>
        <v>0</v>
      </c>
      <c r="AD53" s="73">
        <f t="shared" si="12"/>
        <v>0</v>
      </c>
      <c r="AE53" s="73">
        <f t="shared" si="13"/>
        <v>-3.99189432145415</v>
      </c>
      <c r="AF53" s="64"/>
      <c r="AG53" s="80">
        <f t="shared" si="14"/>
        <v>-0.248793662913939</v>
      </c>
      <c r="AH53" s="80">
        <f t="shared" si="15"/>
        <v>0</v>
      </c>
      <c r="AI53" s="80">
        <f t="shared" si="16"/>
        <v>0</v>
      </c>
      <c r="AJ53" s="80">
        <f t="shared" si="17"/>
        <v>0</v>
      </c>
      <c r="AK53" s="80">
        <f t="shared" si="18"/>
        <v>0</v>
      </c>
      <c r="AL53" s="80">
        <f t="shared" si="19"/>
        <v>0</v>
      </c>
      <c r="AM53" s="80">
        <f t="shared" si="20"/>
        <v>0</v>
      </c>
      <c r="AN53" s="80">
        <f t="shared" si="21"/>
        <v>0</v>
      </c>
      <c r="AO53" s="80">
        <f t="shared" si="22"/>
        <v>0</v>
      </c>
      <c r="AP53" s="80">
        <f t="shared" si="23"/>
        <v>0</v>
      </c>
      <c r="AQ53" s="80">
        <f t="shared" si="24"/>
        <v>0</v>
      </c>
      <c r="AR53" s="80">
        <f t="shared" si="25"/>
        <v>0</v>
      </c>
      <c r="AS53" s="80">
        <f t="shared" si="26"/>
        <v>-0.0108991916076573</v>
      </c>
      <c r="AU53" s="80">
        <f t="shared" si="27"/>
        <v>-0.02564710094929</v>
      </c>
      <c r="AV53" s="80">
        <f t="shared" si="28"/>
        <v>0</v>
      </c>
      <c r="AW53" s="80">
        <f t="shared" si="29"/>
        <v>0</v>
      </c>
      <c r="AX53" s="80">
        <f t="shared" si="30"/>
        <v>0</v>
      </c>
    </row>
    <row r="54" spans="1:50">
      <c r="A54" s="65" t="s">
        <v>42</v>
      </c>
      <c r="B54" s="65" t="s">
        <v>363</v>
      </c>
      <c r="C54" s="65" t="s">
        <v>364</v>
      </c>
      <c r="D54" s="78" t="s">
        <v>404</v>
      </c>
      <c r="E54" s="79">
        <v>386</v>
      </c>
      <c r="F54" s="79">
        <v>396</v>
      </c>
      <c r="G54" s="79">
        <v>427</v>
      </c>
      <c r="H54" s="79">
        <v>382</v>
      </c>
      <c r="I54" s="79">
        <v>373</v>
      </c>
      <c r="J54" s="79">
        <v>501</v>
      </c>
      <c r="K54" s="79">
        <v>502</v>
      </c>
      <c r="L54" s="79">
        <v>352</v>
      </c>
      <c r="M54" s="79">
        <v>352</v>
      </c>
      <c r="N54" s="79">
        <v>352</v>
      </c>
      <c r="O54" s="79">
        <v>352</v>
      </c>
      <c r="P54" s="79">
        <v>385</v>
      </c>
      <c r="Q54" s="79">
        <v>4760</v>
      </c>
      <c r="R54" s="62"/>
      <c r="S54" s="73">
        <f t="shared" si="1"/>
        <v>11.7623756342084</v>
      </c>
      <c r="T54" s="73">
        <f t="shared" si="2"/>
        <v>11.9046187515783</v>
      </c>
      <c r="U54" s="73">
        <f t="shared" si="3"/>
        <v>12.2620459525198</v>
      </c>
      <c r="V54" s="73">
        <f t="shared" si="4"/>
        <v>11.0109936989444</v>
      </c>
      <c r="W54" s="73">
        <f t="shared" si="5"/>
        <v>10.6997891596506</v>
      </c>
      <c r="X54" s="73">
        <f t="shared" si="6"/>
        <v>14.2870586624918</v>
      </c>
      <c r="Y54" s="73">
        <f t="shared" si="7"/>
        <v>14.0628457933322</v>
      </c>
      <c r="Z54" s="73">
        <f t="shared" si="8"/>
        <v>9.4853650518192</v>
      </c>
      <c r="AA54" s="73">
        <f t="shared" si="9"/>
        <v>9.30630392560597</v>
      </c>
      <c r="AB54" s="73">
        <f t="shared" si="10"/>
        <v>9.42504325729309</v>
      </c>
      <c r="AC54" s="73">
        <f t="shared" si="11"/>
        <v>9.61126265232623</v>
      </c>
      <c r="AD54" s="73">
        <f t="shared" si="12"/>
        <v>10.5022417512393</v>
      </c>
      <c r="AE54" s="73">
        <f t="shared" si="13"/>
        <v>134.319944291009</v>
      </c>
      <c r="AF54" s="64"/>
      <c r="AG54" s="80">
        <f t="shared" si="14"/>
        <v>0.733086670876186</v>
      </c>
      <c r="AH54" s="80">
        <f t="shared" si="15"/>
        <v>0.602704473044667</v>
      </c>
      <c r="AI54" s="80">
        <f t="shared" si="16"/>
        <v>0.611970152843228</v>
      </c>
      <c r="AJ54" s="80">
        <f t="shared" si="17"/>
        <v>0.39264678169042</v>
      </c>
      <c r="AK54" s="80">
        <f t="shared" si="18"/>
        <v>0.262288306114885</v>
      </c>
      <c r="AL54" s="80">
        <f t="shared" si="19"/>
        <v>0.461229941325277</v>
      </c>
      <c r="AM54" s="80">
        <f t="shared" si="20"/>
        <v>0.407890645744473</v>
      </c>
      <c r="AN54" s="80">
        <f t="shared" si="21"/>
        <v>0.370840763617921</v>
      </c>
      <c r="AO54" s="80">
        <f t="shared" si="22"/>
        <v>0.232054257071763</v>
      </c>
      <c r="AP54" s="80">
        <f t="shared" si="23"/>
        <v>0.228835391198511</v>
      </c>
      <c r="AQ54" s="80">
        <f t="shared" si="24"/>
        <v>0.222947405528328</v>
      </c>
      <c r="AR54" s="80">
        <f t="shared" si="25"/>
        <v>0.40156929420102</v>
      </c>
      <c r="AS54" s="80">
        <f t="shared" si="26"/>
        <v>0.366737867204931</v>
      </c>
      <c r="AU54" s="80">
        <f t="shared" si="27"/>
        <v>0.462115439805414</v>
      </c>
      <c r="AV54" s="80">
        <f t="shared" si="28"/>
        <v>0.328023590199157</v>
      </c>
      <c r="AW54" s="80">
        <f t="shared" si="29"/>
        <v>0.267438186155352</v>
      </c>
      <c r="AX54" s="80">
        <f t="shared" si="30"/>
        <v>0.296250694090072</v>
      </c>
    </row>
    <row r="55" spans="1:50">
      <c r="A55" s="65" t="s">
        <v>42</v>
      </c>
      <c r="B55" s="65" t="s">
        <v>363</v>
      </c>
      <c r="C55" s="65" t="s">
        <v>368</v>
      </c>
      <c r="D55" s="78" t="s">
        <v>405</v>
      </c>
      <c r="E55" s="79">
        <v>32</v>
      </c>
      <c r="F55" s="79">
        <v>34</v>
      </c>
      <c r="G55" s="79">
        <v>31</v>
      </c>
      <c r="H55" s="79">
        <v>34</v>
      </c>
      <c r="I55" s="79">
        <v>31</v>
      </c>
      <c r="J55" s="79">
        <v>32</v>
      </c>
      <c r="K55" s="79">
        <v>35</v>
      </c>
      <c r="L55" s="79">
        <v>32</v>
      </c>
      <c r="M55" s="79">
        <v>33</v>
      </c>
      <c r="N55" s="79">
        <v>-22</v>
      </c>
      <c r="O55" s="79">
        <v>36</v>
      </c>
      <c r="P55" s="79">
        <v>-104</v>
      </c>
      <c r="Q55" s="79">
        <v>204</v>
      </c>
      <c r="R55" s="62"/>
      <c r="S55" s="73">
        <f t="shared" si="1"/>
        <v>0.975119223561318</v>
      </c>
      <c r="T55" s="73">
        <f t="shared" si="2"/>
        <v>1.02211373119611</v>
      </c>
      <c r="U55" s="73">
        <f t="shared" si="3"/>
        <v>0.890218792805884</v>
      </c>
      <c r="V55" s="73">
        <f t="shared" si="4"/>
        <v>0.980036088387725</v>
      </c>
      <c r="W55" s="73">
        <f t="shared" si="5"/>
        <v>0.889258616485707</v>
      </c>
      <c r="X55" s="73">
        <f t="shared" si="6"/>
        <v>0.912546661077318</v>
      </c>
      <c r="Y55" s="73">
        <f t="shared" si="7"/>
        <v>0.980477296347862</v>
      </c>
      <c r="Z55" s="73">
        <f t="shared" si="8"/>
        <v>0.862305913801745</v>
      </c>
      <c r="AA55" s="73">
        <f t="shared" si="9"/>
        <v>0.87246599302556</v>
      </c>
      <c r="AB55" s="73">
        <f t="shared" si="10"/>
        <v>-0.589065203580818</v>
      </c>
      <c r="AC55" s="73">
        <f t="shared" si="11"/>
        <v>0.982970043987909</v>
      </c>
      <c r="AD55" s="73">
        <f t="shared" si="12"/>
        <v>-2.83696920033476</v>
      </c>
      <c r="AE55" s="73">
        <f t="shared" si="13"/>
        <v>5.94147795676156</v>
      </c>
      <c r="AF55" s="64"/>
      <c r="AG55" s="80">
        <f t="shared" si="14"/>
        <v>0.0607740245285957</v>
      </c>
      <c r="AH55" s="80">
        <f t="shared" si="15"/>
        <v>0.0517473537462593</v>
      </c>
      <c r="AI55" s="80">
        <f t="shared" si="16"/>
        <v>0.0444287464593444</v>
      </c>
      <c r="AJ55" s="80">
        <f t="shared" si="17"/>
        <v>0.0349476193127599</v>
      </c>
      <c r="AK55" s="80">
        <f t="shared" si="18"/>
        <v>0.0217987600256338</v>
      </c>
      <c r="AL55" s="80">
        <f t="shared" si="19"/>
        <v>0.0294597966515147</v>
      </c>
      <c r="AM55" s="80">
        <f t="shared" si="20"/>
        <v>0.0284385908387581</v>
      </c>
      <c r="AN55" s="80">
        <f t="shared" si="21"/>
        <v>0.0337127966925383</v>
      </c>
      <c r="AO55" s="80">
        <f t="shared" si="22"/>
        <v>0.0217550866004777</v>
      </c>
      <c r="AP55" s="80">
        <f t="shared" si="23"/>
        <v>-0.014302211949907</v>
      </c>
      <c r="AQ55" s="80">
        <f t="shared" si="24"/>
        <v>0.0228014392017608</v>
      </c>
      <c r="AR55" s="80">
        <f t="shared" si="25"/>
        <v>-0.108475861290665</v>
      </c>
      <c r="AS55" s="80">
        <f t="shared" si="26"/>
        <v>0.0162221996547812</v>
      </c>
      <c r="AU55" s="80">
        <f t="shared" si="27"/>
        <v>0.0364240435955339</v>
      </c>
      <c r="AV55" s="80">
        <f t="shared" si="28"/>
        <v>0.0271093881046653</v>
      </c>
      <c r="AW55" s="80">
        <f t="shared" si="29"/>
        <v>-0.0221191884103909</v>
      </c>
      <c r="AX55" s="80">
        <f t="shared" si="30"/>
        <v>0.00129237042694043</v>
      </c>
    </row>
    <row r="56" spans="1:50">
      <c r="A56" s="65" t="s">
        <v>42</v>
      </c>
      <c r="B56" s="65" t="s">
        <v>363</v>
      </c>
      <c r="C56" s="65" t="s">
        <v>364</v>
      </c>
      <c r="D56" s="78" t="s">
        <v>406</v>
      </c>
      <c r="E56" s="79">
        <v>0</v>
      </c>
      <c r="F56" s="79">
        <v>0</v>
      </c>
      <c r="G56" s="79">
        <v>0</v>
      </c>
      <c r="H56" s="79">
        <v>1</v>
      </c>
      <c r="I56" s="79">
        <v>-4.00177668780088e-11</v>
      </c>
      <c r="J56" s="79">
        <v>0</v>
      </c>
      <c r="K56" s="79">
        <v>0</v>
      </c>
      <c r="L56" s="79">
        <v>0</v>
      </c>
      <c r="M56" s="79">
        <v>0</v>
      </c>
      <c r="N56" s="79">
        <v>1</v>
      </c>
      <c r="O56" s="79">
        <v>151</v>
      </c>
      <c r="P56" s="79">
        <v>0</v>
      </c>
      <c r="Q56" s="79">
        <v>152.99999999996</v>
      </c>
      <c r="R56" s="62"/>
      <c r="S56" s="73">
        <f t="shared" si="1"/>
        <v>0</v>
      </c>
      <c r="T56" s="73">
        <f t="shared" si="2"/>
        <v>0</v>
      </c>
      <c r="U56" s="73">
        <f t="shared" si="3"/>
        <v>0</v>
      </c>
      <c r="V56" s="73">
        <f t="shared" si="4"/>
        <v>0.0288245908349331</v>
      </c>
      <c r="W56" s="73">
        <f t="shared" si="5"/>
        <v>-1.14794012931567e-12</v>
      </c>
      <c r="X56" s="73">
        <f t="shared" si="6"/>
        <v>0</v>
      </c>
      <c r="Y56" s="73">
        <f t="shared" si="7"/>
        <v>0</v>
      </c>
      <c r="Z56" s="73">
        <f t="shared" si="8"/>
        <v>0</v>
      </c>
      <c r="AA56" s="73">
        <f t="shared" si="9"/>
        <v>0</v>
      </c>
      <c r="AB56" s="73">
        <f t="shared" si="10"/>
        <v>0.0267756910718554</v>
      </c>
      <c r="AC56" s="73">
        <f t="shared" si="11"/>
        <v>4.1230132400604</v>
      </c>
      <c r="AD56" s="73">
        <f t="shared" si="12"/>
        <v>0</v>
      </c>
      <c r="AE56" s="73">
        <f t="shared" si="13"/>
        <v>4.17861352196604</v>
      </c>
      <c r="AF56" s="64"/>
      <c r="AG56" s="80">
        <f t="shared" si="14"/>
        <v>0</v>
      </c>
      <c r="AH56" s="80">
        <f t="shared" si="15"/>
        <v>0</v>
      </c>
      <c r="AI56" s="80">
        <f t="shared" si="16"/>
        <v>0</v>
      </c>
      <c r="AJ56" s="80">
        <f t="shared" si="17"/>
        <v>0.00102787115625764</v>
      </c>
      <c r="AK56" s="80">
        <f t="shared" si="18"/>
        <v>-2.81399257075959e-14</v>
      </c>
      <c r="AL56" s="80">
        <f t="shared" si="19"/>
        <v>0</v>
      </c>
      <c r="AM56" s="80">
        <f t="shared" si="20"/>
        <v>0</v>
      </c>
      <c r="AN56" s="80">
        <f t="shared" si="21"/>
        <v>0</v>
      </c>
      <c r="AO56" s="80">
        <f t="shared" si="22"/>
        <v>0</v>
      </c>
      <c r="AP56" s="80">
        <f t="shared" si="23"/>
        <v>0.000650100543177589</v>
      </c>
      <c r="AQ56" s="80">
        <f t="shared" si="24"/>
        <v>0.0956393699851635</v>
      </c>
      <c r="AR56" s="80">
        <f t="shared" si="25"/>
        <v>0</v>
      </c>
      <c r="AS56" s="80">
        <f t="shared" si="26"/>
        <v>0.0114089967726564</v>
      </c>
      <c r="AU56" s="80">
        <f t="shared" si="27"/>
        <v>0.000185192074590485</v>
      </c>
      <c r="AV56" s="80">
        <f t="shared" si="28"/>
        <v>0</v>
      </c>
      <c r="AW56" s="80">
        <f t="shared" si="29"/>
        <v>0.037571651707852</v>
      </c>
      <c r="AX56" s="80">
        <f t="shared" si="30"/>
        <v>0.0197037587716207</v>
      </c>
    </row>
    <row r="57" spans="1:50">
      <c r="A57" s="65" t="s">
        <v>194</v>
      </c>
      <c r="B57" s="65" t="s">
        <v>192</v>
      </c>
      <c r="C57" s="65" t="s">
        <v>194</v>
      </c>
      <c r="D57" s="78" t="s">
        <v>407</v>
      </c>
      <c r="E57" s="79">
        <v>0</v>
      </c>
      <c r="F57" s="79">
        <v>0</v>
      </c>
      <c r="G57" s="79">
        <v>-110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-39</v>
      </c>
      <c r="P57" s="79">
        <v>0</v>
      </c>
      <c r="Q57" s="79">
        <v>-149</v>
      </c>
      <c r="R57" s="62"/>
      <c r="S57" s="73">
        <f t="shared" si="1"/>
        <v>0</v>
      </c>
      <c r="T57" s="73">
        <f t="shared" si="2"/>
        <v>0</v>
      </c>
      <c r="U57" s="73">
        <f t="shared" si="3"/>
        <v>-3.1588408776983</v>
      </c>
      <c r="V57" s="73">
        <f t="shared" si="4"/>
        <v>0</v>
      </c>
      <c r="W57" s="73">
        <f t="shared" si="5"/>
        <v>0</v>
      </c>
      <c r="X57" s="73">
        <f t="shared" si="6"/>
        <v>0</v>
      </c>
      <c r="Y57" s="73">
        <f t="shared" si="7"/>
        <v>0</v>
      </c>
      <c r="Z57" s="73">
        <f t="shared" si="8"/>
        <v>0</v>
      </c>
      <c r="AA57" s="73">
        <f t="shared" si="9"/>
        <v>0</v>
      </c>
      <c r="AB57" s="73">
        <f t="shared" si="10"/>
        <v>0</v>
      </c>
      <c r="AC57" s="73">
        <f t="shared" si="11"/>
        <v>-1.06488421432024</v>
      </c>
      <c r="AD57" s="73">
        <f t="shared" si="12"/>
        <v>0</v>
      </c>
      <c r="AE57" s="73">
        <f t="shared" si="13"/>
        <v>-4.22372509201853</v>
      </c>
      <c r="AF57" s="64"/>
      <c r="AG57" s="80">
        <f t="shared" si="14"/>
        <v>0</v>
      </c>
      <c r="AH57" s="80">
        <f t="shared" si="15"/>
        <v>0</v>
      </c>
      <c r="AI57" s="80">
        <f t="shared" si="16"/>
        <v>-0.15765039066219</v>
      </c>
      <c r="AJ57" s="80">
        <f t="shared" si="17"/>
        <v>0</v>
      </c>
      <c r="AK57" s="80">
        <f t="shared" si="18"/>
        <v>0</v>
      </c>
      <c r="AL57" s="80">
        <f t="shared" si="19"/>
        <v>0</v>
      </c>
      <c r="AM57" s="80">
        <f t="shared" si="20"/>
        <v>0</v>
      </c>
      <c r="AN57" s="80">
        <f t="shared" si="21"/>
        <v>0</v>
      </c>
      <c r="AO57" s="80">
        <f t="shared" si="22"/>
        <v>0</v>
      </c>
      <c r="AP57" s="80">
        <f t="shared" si="23"/>
        <v>0</v>
      </c>
      <c r="AQ57" s="80">
        <f t="shared" si="24"/>
        <v>-0.0247015591352409</v>
      </c>
      <c r="AR57" s="80">
        <f t="shared" si="25"/>
        <v>0</v>
      </c>
      <c r="AS57" s="80">
        <f t="shared" si="26"/>
        <v>-0.0115321662771901</v>
      </c>
      <c r="AU57" s="80">
        <f t="shared" si="27"/>
        <v>-0.0202949037096654</v>
      </c>
      <c r="AV57" s="80">
        <f t="shared" si="28"/>
        <v>0</v>
      </c>
      <c r="AW57" s="80">
        <f t="shared" si="29"/>
        <v>-0.00964132380552499</v>
      </c>
      <c r="AX57" s="80">
        <f t="shared" si="30"/>
        <v>-0.00505621418989803</v>
      </c>
    </row>
    <row r="58" spans="1:50">
      <c r="A58" s="65" t="s">
        <v>194</v>
      </c>
      <c r="B58" s="65" t="s">
        <v>192</v>
      </c>
      <c r="C58" s="65" t="s">
        <v>194</v>
      </c>
      <c r="D58" s="78" t="s">
        <v>408</v>
      </c>
      <c r="E58" s="79">
        <v>0</v>
      </c>
      <c r="F58" s="79">
        <v>0</v>
      </c>
      <c r="G58" s="79">
        <v>0</v>
      </c>
      <c r="H58" s="79">
        <v>29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34</v>
      </c>
      <c r="P58" s="79">
        <v>1.96450855582952e-10</v>
      </c>
      <c r="Q58" s="79">
        <v>63.0000000001965</v>
      </c>
      <c r="R58" s="62"/>
      <c r="S58" s="73">
        <f t="shared" si="1"/>
        <v>0</v>
      </c>
      <c r="T58" s="73">
        <f t="shared" si="2"/>
        <v>0</v>
      </c>
      <c r="U58" s="73">
        <f t="shared" si="3"/>
        <v>0</v>
      </c>
      <c r="V58" s="73">
        <f t="shared" si="4"/>
        <v>0.83591313421306</v>
      </c>
      <c r="W58" s="73">
        <f t="shared" si="5"/>
        <v>0</v>
      </c>
      <c r="X58" s="73">
        <f t="shared" si="6"/>
        <v>0</v>
      </c>
      <c r="Y58" s="73">
        <f t="shared" si="7"/>
        <v>0</v>
      </c>
      <c r="Z58" s="73">
        <f t="shared" si="8"/>
        <v>0</v>
      </c>
      <c r="AA58" s="73">
        <f t="shared" si="9"/>
        <v>0</v>
      </c>
      <c r="AB58" s="73">
        <f t="shared" si="10"/>
        <v>0</v>
      </c>
      <c r="AC58" s="73">
        <f t="shared" si="11"/>
        <v>0.928360597099692</v>
      </c>
      <c r="AD58" s="73">
        <f t="shared" si="12"/>
        <v>5.3588944871947e-12</v>
      </c>
      <c r="AE58" s="73">
        <f t="shared" si="13"/>
        <v>1.76427373131811</v>
      </c>
      <c r="AF58" s="64"/>
      <c r="AG58" s="80">
        <f t="shared" si="14"/>
        <v>0</v>
      </c>
      <c r="AH58" s="80">
        <f t="shared" si="15"/>
        <v>0</v>
      </c>
      <c r="AI58" s="80">
        <f t="shared" si="16"/>
        <v>0</v>
      </c>
      <c r="AJ58" s="80">
        <f t="shared" si="17"/>
        <v>0.0298082635314717</v>
      </c>
      <c r="AK58" s="80">
        <f t="shared" si="18"/>
        <v>0</v>
      </c>
      <c r="AL58" s="80">
        <f t="shared" si="19"/>
        <v>0</v>
      </c>
      <c r="AM58" s="80">
        <f t="shared" si="20"/>
        <v>0</v>
      </c>
      <c r="AN58" s="80">
        <f t="shared" si="21"/>
        <v>0</v>
      </c>
      <c r="AO58" s="80">
        <f t="shared" si="22"/>
        <v>0</v>
      </c>
      <c r="AP58" s="80">
        <f t="shared" si="23"/>
        <v>0</v>
      </c>
      <c r="AQ58" s="80">
        <f t="shared" si="24"/>
        <v>0.0215346925794408</v>
      </c>
      <c r="AR58" s="80">
        <f t="shared" si="25"/>
        <v>2.04905536160085e-13</v>
      </c>
      <c r="AS58" s="80">
        <f t="shared" si="26"/>
        <v>0.00481705072768258</v>
      </c>
      <c r="AU58" s="80">
        <f t="shared" si="27"/>
        <v>0.00537057016333794</v>
      </c>
      <c r="AV58" s="80">
        <f t="shared" si="28"/>
        <v>0</v>
      </c>
      <c r="AW58" s="80">
        <f t="shared" si="29"/>
        <v>0.00840525665101902</v>
      </c>
      <c r="AX58" s="80">
        <f t="shared" si="30"/>
        <v>0.00440798160147501</v>
      </c>
    </row>
    <row r="59" spans="1:50">
      <c r="A59" s="65" t="s">
        <v>42</v>
      </c>
      <c r="B59" s="65" t="s">
        <v>363</v>
      </c>
      <c r="C59" s="65" t="s">
        <v>364</v>
      </c>
      <c r="D59" s="78" t="s">
        <v>409</v>
      </c>
      <c r="E59" s="79"/>
      <c r="F59" s="79"/>
      <c r="G59" s="79"/>
      <c r="H59" s="79"/>
      <c r="I59" s="79"/>
      <c r="J59" s="79"/>
      <c r="K59" s="79"/>
      <c r="L59" s="79"/>
      <c r="M59" s="79"/>
      <c r="N59" s="79">
        <v>-4</v>
      </c>
      <c r="O59" s="79">
        <v>0</v>
      </c>
      <c r="P59" s="79">
        <v>0</v>
      </c>
      <c r="Q59" s="79">
        <v>-4</v>
      </c>
      <c r="R59" s="62"/>
      <c r="S59" s="73"/>
      <c r="T59" s="73"/>
      <c r="U59" s="73"/>
      <c r="V59" s="73"/>
      <c r="W59" s="73"/>
      <c r="X59" s="73"/>
      <c r="Y59" s="73"/>
      <c r="Z59" s="73"/>
      <c r="AA59" s="73"/>
      <c r="AB59" s="73">
        <f t="shared" si="10"/>
        <v>-0.107102764287421</v>
      </c>
      <c r="AC59" s="73">
        <f t="shared" si="11"/>
        <v>0</v>
      </c>
      <c r="AD59" s="73">
        <f t="shared" si="12"/>
        <v>0</v>
      </c>
      <c r="AE59" s="73">
        <f t="shared" si="13"/>
        <v>-0.107102764287421</v>
      </c>
      <c r="AF59" s="64"/>
      <c r="AG59" s="80"/>
      <c r="AH59" s="80"/>
      <c r="AI59" s="80"/>
      <c r="AJ59" s="80"/>
      <c r="AK59" s="80"/>
      <c r="AL59" s="80"/>
      <c r="AM59" s="80"/>
      <c r="AN59" s="80"/>
      <c r="AO59" s="80"/>
      <c r="AP59" s="80">
        <f t="shared" si="23"/>
        <v>-0.00260040217271036</v>
      </c>
      <c r="AQ59" s="80">
        <f t="shared" si="24"/>
        <v>0</v>
      </c>
      <c r="AR59" s="80">
        <f t="shared" si="25"/>
        <v>0</v>
      </c>
      <c r="AS59" s="80"/>
      <c r="AU59" s="80"/>
      <c r="AV59" s="80"/>
      <c r="AW59" s="80">
        <f t="shared" si="29"/>
        <v>-0.000969694561226088</v>
      </c>
      <c r="AX59" s="80">
        <f t="shared" si="30"/>
        <v>-0.000508538401907902</v>
      </c>
    </row>
    <row r="60" spans="1:50">
      <c r="A60" s="65"/>
      <c r="B60" s="65"/>
      <c r="C60" s="65"/>
      <c r="D60" s="81" t="s">
        <v>410</v>
      </c>
      <c r="E60" s="82">
        <v>6122</v>
      </c>
      <c r="F60" s="82">
        <v>6874</v>
      </c>
      <c r="G60" s="82">
        <v>7320</v>
      </c>
      <c r="H60" s="82">
        <v>8417</v>
      </c>
      <c r="I60" s="82">
        <v>8291</v>
      </c>
      <c r="J60" s="82">
        <v>8121</v>
      </c>
      <c r="K60" s="82">
        <v>9034</v>
      </c>
      <c r="L60" s="82">
        <v>3967</v>
      </c>
      <c r="M60" s="82">
        <v>4608</v>
      </c>
      <c r="N60" s="82">
        <v>9566</v>
      </c>
      <c r="O60" s="82">
        <v>7979.9999999987</v>
      </c>
      <c r="P60" s="82">
        <v>853.000000000296</v>
      </c>
      <c r="Q60" s="82">
        <v>81152.999999999</v>
      </c>
      <c r="R60" s="62"/>
      <c r="S60" s="83">
        <f t="shared" si="1"/>
        <v>186.552496457575</v>
      </c>
      <c r="T60" s="83">
        <f t="shared" si="2"/>
        <v>206.647346713002</v>
      </c>
      <c r="U60" s="83">
        <f t="shared" si="3"/>
        <v>210.206502043196</v>
      </c>
      <c r="V60" s="83">
        <f t="shared" si="4"/>
        <v>242.616581057632</v>
      </c>
      <c r="W60" s="83">
        <f t="shared" si="5"/>
        <v>237.833651267194</v>
      </c>
      <c r="X60" s="83">
        <f t="shared" si="6"/>
        <v>231.587232331528</v>
      </c>
      <c r="Y60" s="83">
        <f t="shared" si="7"/>
        <v>253.075197005902</v>
      </c>
      <c r="Z60" s="83">
        <f t="shared" si="8"/>
        <v>106.89898625161</v>
      </c>
      <c r="AA60" s="83">
        <f t="shared" si="9"/>
        <v>121.827978662478</v>
      </c>
      <c r="AB60" s="83">
        <f t="shared" si="10"/>
        <v>256.136260793368</v>
      </c>
      <c r="AC60" s="83">
        <f t="shared" si="11"/>
        <v>217.891693083951</v>
      </c>
      <c r="AD60" s="83">
        <f t="shared" si="12"/>
        <v>23.2686031527538</v>
      </c>
      <c r="AE60" s="83">
        <f t="shared" si="13"/>
        <v>2294.54252882019</v>
      </c>
      <c r="AF60" s="64"/>
      <c r="AG60" s="84">
        <f t="shared" si="14"/>
        <v>11.626830567627</v>
      </c>
      <c r="AH60" s="84">
        <f t="shared" si="15"/>
        <v>10.4620973426996</v>
      </c>
      <c r="AI60" s="84">
        <f t="shared" si="16"/>
        <v>10.4909169058839</v>
      </c>
      <c r="AJ60" s="84">
        <f t="shared" si="17"/>
        <v>8.65159152222058</v>
      </c>
      <c r="AK60" s="84">
        <f t="shared" si="18"/>
        <v>5.83011352814614</v>
      </c>
      <c r="AL60" s="84">
        <f t="shared" si="19"/>
        <v>7.47634401896721</v>
      </c>
      <c r="AM60" s="84">
        <f t="shared" si="20"/>
        <v>7.34040656106687</v>
      </c>
      <c r="AN60" s="84">
        <f t="shared" si="21"/>
        <v>4.17933326497811</v>
      </c>
      <c r="AO60" s="84">
        <f t="shared" si="22"/>
        <v>3.03780118348489</v>
      </c>
      <c r="AP60" s="84">
        <f t="shared" si="23"/>
        <v>6.21886179603681</v>
      </c>
      <c r="AQ60" s="84">
        <f t="shared" si="24"/>
        <v>5.05431902305616</v>
      </c>
      <c r="AR60" s="84">
        <f t="shared" si="25"/>
        <v>0.889710670009321</v>
      </c>
      <c r="AS60" s="84">
        <f t="shared" si="26"/>
        <v>6.26485990351063</v>
      </c>
      <c r="AU60" s="84">
        <f t="shared" si="27"/>
        <v>8.45145624310219</v>
      </c>
      <c r="AV60" s="84">
        <f t="shared" si="28"/>
        <v>4.81037312592968</v>
      </c>
      <c r="AW60" s="84">
        <f t="shared" si="29"/>
        <v>4.5024586421917</v>
      </c>
      <c r="AX60" s="84">
        <f t="shared" si="30"/>
        <v>4.6488930622626</v>
      </c>
    </row>
    <row r="61" spans="1:50">
      <c r="A61" s="65" t="s">
        <v>42</v>
      </c>
      <c r="B61" s="65" t="s">
        <v>191</v>
      </c>
      <c r="C61" s="65" t="s">
        <v>191</v>
      </c>
      <c r="D61" s="78" t="s">
        <v>411</v>
      </c>
      <c r="E61" s="79">
        <v>4035</v>
      </c>
      <c r="F61" s="79">
        <v>4707</v>
      </c>
      <c r="G61" s="79">
        <v>5244</v>
      </c>
      <c r="H61" s="79">
        <v>5916</v>
      </c>
      <c r="I61" s="79">
        <v>5897</v>
      </c>
      <c r="J61" s="79">
        <v>6240</v>
      </c>
      <c r="K61" s="79">
        <v>6428</v>
      </c>
      <c r="L61" s="79">
        <v>6676</v>
      </c>
      <c r="M61" s="79">
        <v>6498</v>
      </c>
      <c r="N61" s="79">
        <v>7082</v>
      </c>
      <c r="O61" s="79">
        <v>7214</v>
      </c>
      <c r="P61" s="79">
        <v>7304</v>
      </c>
      <c r="Q61" s="79">
        <v>73241</v>
      </c>
      <c r="R61" s="62"/>
      <c r="S61" s="73">
        <f t="shared" si="1"/>
        <v>122.956439595935</v>
      </c>
      <c r="T61" s="73">
        <f t="shared" si="2"/>
        <v>141.502627433533</v>
      </c>
      <c r="U61" s="73">
        <f t="shared" si="3"/>
        <v>150.590559660453</v>
      </c>
      <c r="V61" s="73">
        <f t="shared" si="4"/>
        <v>170.526279379464</v>
      </c>
      <c r="W61" s="73">
        <f t="shared" si="5"/>
        <v>169.159937465039</v>
      </c>
      <c r="X61" s="73">
        <f t="shared" si="6"/>
        <v>177.946598910077</v>
      </c>
      <c r="Y61" s="73">
        <f t="shared" si="7"/>
        <v>180.071658883545</v>
      </c>
      <c r="Z61" s="73">
        <f t="shared" si="8"/>
        <v>179.898571266889</v>
      </c>
      <c r="AA61" s="73">
        <f t="shared" si="9"/>
        <v>171.79648553576</v>
      </c>
      <c r="AB61" s="73">
        <f t="shared" si="10"/>
        <v>189.62544417088</v>
      </c>
      <c r="AC61" s="73">
        <f t="shared" si="11"/>
        <v>196.976274925799</v>
      </c>
      <c r="AD61" s="73">
        <f t="shared" si="12"/>
        <v>199.242529223511</v>
      </c>
      <c r="AE61" s="73">
        <f t="shared" si="13"/>
        <v>2050.29340645088</v>
      </c>
      <c r="AF61" s="64"/>
      <c r="AG61" s="80">
        <f t="shared" si="14"/>
        <v>7.66322465540262</v>
      </c>
      <c r="AH61" s="80">
        <f t="shared" si="15"/>
        <v>7.16396453187184</v>
      </c>
      <c r="AI61" s="80">
        <f t="shared" si="16"/>
        <v>7.51562407847748</v>
      </c>
      <c r="AJ61" s="80">
        <f t="shared" si="17"/>
        <v>6.08088576042022</v>
      </c>
      <c r="AK61" s="80">
        <f t="shared" si="18"/>
        <v>4.14668670552138</v>
      </c>
      <c r="AL61" s="80">
        <f t="shared" si="19"/>
        <v>5.74466034704536</v>
      </c>
      <c r="AM61" s="80">
        <f t="shared" si="20"/>
        <v>5.22295034032963</v>
      </c>
      <c r="AN61" s="80">
        <f t="shared" si="21"/>
        <v>7.03333220998081</v>
      </c>
      <c r="AO61" s="80">
        <f t="shared" si="22"/>
        <v>4.28377432514862</v>
      </c>
      <c r="AP61" s="80">
        <f t="shared" si="23"/>
        <v>4.60401204678369</v>
      </c>
      <c r="AQ61" s="80">
        <f t="shared" si="24"/>
        <v>4.56915506670841</v>
      </c>
      <c r="AR61" s="80">
        <f t="shared" si="25"/>
        <v>7.61834318141363</v>
      </c>
      <c r="AS61" s="80">
        <f t="shared" si="26"/>
        <v>5.59797902683065</v>
      </c>
      <c r="AU61" s="80">
        <f t="shared" si="27"/>
        <v>5.9922930891344</v>
      </c>
      <c r="AV61" s="80">
        <f t="shared" si="28"/>
        <v>5.30922548833548</v>
      </c>
      <c r="AW61" s="80">
        <f t="shared" si="29"/>
        <v>5.30415797483196</v>
      </c>
      <c r="AX61" s="80">
        <f t="shared" si="30"/>
        <v>5.30656792447798</v>
      </c>
    </row>
    <row r="62" spans="1:50">
      <c r="A62" s="65" t="s">
        <v>42</v>
      </c>
      <c r="B62" s="65" t="s">
        <v>191</v>
      </c>
      <c r="C62" s="65" t="s">
        <v>191</v>
      </c>
      <c r="D62" s="78" t="s">
        <v>412</v>
      </c>
      <c r="E62" s="79">
        <v>162</v>
      </c>
      <c r="F62" s="79">
        <v>344</v>
      </c>
      <c r="G62" s="79">
        <v>262</v>
      </c>
      <c r="H62" s="79">
        <v>253</v>
      </c>
      <c r="I62" s="79">
        <v>297</v>
      </c>
      <c r="J62" s="79">
        <v>297</v>
      </c>
      <c r="K62" s="79">
        <v>306</v>
      </c>
      <c r="L62" s="79">
        <v>306</v>
      </c>
      <c r="M62" s="79">
        <v>-759</v>
      </c>
      <c r="N62" s="79">
        <v>186</v>
      </c>
      <c r="O62" s="79">
        <v>197</v>
      </c>
      <c r="P62" s="79">
        <v>201</v>
      </c>
      <c r="Q62" s="79">
        <v>2052</v>
      </c>
      <c r="R62" s="62"/>
      <c r="S62" s="73">
        <f t="shared" si="1"/>
        <v>4.93654106927917</v>
      </c>
      <c r="T62" s="73">
        <f t="shared" si="2"/>
        <v>10.3413859862195</v>
      </c>
      <c r="U62" s="73">
        <f t="shared" si="3"/>
        <v>7.52378463597231</v>
      </c>
      <c r="V62" s="73">
        <f t="shared" si="4"/>
        <v>7.29262148123807</v>
      </c>
      <c r="W62" s="73">
        <f t="shared" si="5"/>
        <v>8.51967126116952</v>
      </c>
      <c r="X62" s="73">
        <f t="shared" si="6"/>
        <v>8.46957369812386</v>
      </c>
      <c r="Y62" s="73">
        <f t="shared" si="7"/>
        <v>8.57217293378417</v>
      </c>
      <c r="Z62" s="73">
        <f t="shared" si="8"/>
        <v>8.24580030072919</v>
      </c>
      <c r="AA62" s="73">
        <f t="shared" si="9"/>
        <v>-20.0667178395879</v>
      </c>
      <c r="AB62" s="73">
        <f t="shared" si="10"/>
        <v>4.9802785393651</v>
      </c>
      <c r="AC62" s="73">
        <f t="shared" si="11"/>
        <v>5.37903051848939</v>
      </c>
      <c r="AD62" s="73">
        <f t="shared" si="12"/>
        <v>5.48298855064699</v>
      </c>
      <c r="AE62" s="73">
        <f t="shared" si="13"/>
        <v>59.6771311354294</v>
      </c>
      <c r="AF62" s="64"/>
      <c r="AG62" s="80">
        <f t="shared" si="14"/>
        <v>0.307668499176016</v>
      </c>
      <c r="AH62" s="80">
        <f t="shared" si="15"/>
        <v>0.523561461432741</v>
      </c>
      <c r="AI62" s="80">
        <f t="shared" si="16"/>
        <v>0.375494566849943</v>
      </c>
      <c r="AJ62" s="80">
        <f t="shared" si="17"/>
        <v>0.260051402533184</v>
      </c>
      <c r="AK62" s="80">
        <f t="shared" si="18"/>
        <v>0.208846184761718</v>
      </c>
      <c r="AL62" s="80">
        <f t="shared" si="19"/>
        <v>0.273423737671871</v>
      </c>
      <c r="AM62" s="80">
        <f t="shared" si="20"/>
        <v>0.248634537047428</v>
      </c>
      <c r="AN62" s="80">
        <f t="shared" si="21"/>
        <v>0.322378618372398</v>
      </c>
      <c r="AO62" s="80">
        <f t="shared" si="22"/>
        <v>-0.500366991810988</v>
      </c>
      <c r="AP62" s="80">
        <f t="shared" si="23"/>
        <v>0.120918701031032</v>
      </c>
      <c r="AQ62" s="80">
        <f t="shared" si="24"/>
        <v>0.124774542298525</v>
      </c>
      <c r="AR62" s="80">
        <f t="shared" si="25"/>
        <v>0.209650462686766</v>
      </c>
      <c r="AS62" s="80">
        <f t="shared" si="26"/>
        <v>0.162938303086992</v>
      </c>
      <c r="AU62" s="80">
        <f t="shared" si="27"/>
        <v>0.30250231698653</v>
      </c>
      <c r="AV62" s="80">
        <f t="shared" si="28"/>
        <v>-0.032435873012655</v>
      </c>
      <c r="AW62" s="80">
        <f t="shared" si="29"/>
        <v>0.143434111439579</v>
      </c>
      <c r="AX62" s="80">
        <f t="shared" si="30"/>
        <v>0.0597958919297227</v>
      </c>
    </row>
    <row r="63" spans="1:50">
      <c r="A63" s="65"/>
      <c r="B63" s="65"/>
      <c r="C63" s="65"/>
      <c r="D63" s="81" t="s">
        <v>413</v>
      </c>
      <c r="E63" s="82">
        <v>4198</v>
      </c>
      <c r="F63" s="82">
        <v>5050</v>
      </c>
      <c r="G63" s="82">
        <v>5506</v>
      </c>
      <c r="H63" s="82">
        <v>6169</v>
      </c>
      <c r="I63" s="82">
        <v>6194</v>
      </c>
      <c r="J63" s="82">
        <v>6538</v>
      </c>
      <c r="K63" s="82">
        <v>6734</v>
      </c>
      <c r="L63" s="82">
        <v>6982</v>
      </c>
      <c r="M63" s="82">
        <v>5739</v>
      </c>
      <c r="N63" s="82">
        <v>7269</v>
      </c>
      <c r="O63" s="82">
        <v>7411</v>
      </c>
      <c r="P63" s="82">
        <v>7505</v>
      </c>
      <c r="Q63" s="82">
        <v>75295</v>
      </c>
      <c r="R63" s="62"/>
      <c r="S63" s="83">
        <f t="shared" si="1"/>
        <v>127.92345314095</v>
      </c>
      <c r="T63" s="83">
        <f t="shared" si="2"/>
        <v>151.813951251187</v>
      </c>
      <c r="U63" s="83">
        <f t="shared" si="3"/>
        <v>158.114344296426</v>
      </c>
      <c r="V63" s="83">
        <f t="shared" si="4"/>
        <v>177.818900860702</v>
      </c>
      <c r="W63" s="83">
        <f t="shared" si="5"/>
        <v>177.679608726209</v>
      </c>
      <c r="X63" s="83">
        <f t="shared" si="6"/>
        <v>186.44468969136</v>
      </c>
      <c r="Y63" s="83">
        <f t="shared" si="7"/>
        <v>188.643831817329</v>
      </c>
      <c r="Z63" s="83">
        <f t="shared" si="8"/>
        <v>188.144371567618</v>
      </c>
      <c r="AA63" s="83">
        <f t="shared" si="9"/>
        <v>151.729767696172</v>
      </c>
      <c r="AB63" s="83">
        <f t="shared" si="10"/>
        <v>194.632498401317</v>
      </c>
      <c r="AC63" s="83">
        <f t="shared" si="11"/>
        <v>202.355305444289</v>
      </c>
      <c r="AD63" s="83">
        <f t="shared" si="12"/>
        <v>204.725517774158</v>
      </c>
      <c r="AE63" s="83">
        <f t="shared" si="13"/>
        <v>2110.02624066772</v>
      </c>
      <c r="AF63" s="64"/>
      <c r="AG63" s="84">
        <f t="shared" si="14"/>
        <v>7.97279234284515</v>
      </c>
      <c r="AH63" s="84">
        <f t="shared" si="15"/>
        <v>7.68600401231204</v>
      </c>
      <c r="AI63" s="84">
        <f t="shared" si="16"/>
        <v>7.89111864532743</v>
      </c>
      <c r="AJ63" s="84">
        <f t="shared" si="17"/>
        <v>6.3409371629534</v>
      </c>
      <c r="AK63" s="84">
        <f t="shared" si="18"/>
        <v>4.3555328902831</v>
      </c>
      <c r="AL63" s="84">
        <f t="shared" si="19"/>
        <v>6.01900470336259</v>
      </c>
      <c r="AM63" s="84">
        <f t="shared" si="20"/>
        <v>5.47158487737705</v>
      </c>
      <c r="AN63" s="84">
        <f t="shared" si="21"/>
        <v>7.3557108283532</v>
      </c>
      <c r="AO63" s="84">
        <f t="shared" si="22"/>
        <v>3.78340733333763</v>
      </c>
      <c r="AP63" s="84">
        <f t="shared" si="23"/>
        <v>4.72558084835789</v>
      </c>
      <c r="AQ63" s="84">
        <f t="shared" si="24"/>
        <v>4.69392960900693</v>
      </c>
      <c r="AR63" s="84">
        <f t="shared" si="25"/>
        <v>7.8279936441004</v>
      </c>
      <c r="AS63" s="84">
        <f t="shared" si="26"/>
        <v>5.76106941775074</v>
      </c>
      <c r="AU63" s="84">
        <f t="shared" si="27"/>
        <v>6.29498125866116</v>
      </c>
      <c r="AV63" s="84">
        <f t="shared" si="28"/>
        <v>5.27678961532283</v>
      </c>
      <c r="AW63" s="84">
        <f t="shared" si="29"/>
        <v>5.44783450991184</v>
      </c>
      <c r="AX63" s="84">
        <f t="shared" si="30"/>
        <v>5.36649095100818</v>
      </c>
    </row>
    <row r="64" spans="1:50">
      <c r="A64" s="65"/>
      <c r="B64" s="65"/>
      <c r="C64" s="65"/>
      <c r="D64" s="93" t="s">
        <v>414</v>
      </c>
      <c r="E64" s="94">
        <v>18452</v>
      </c>
      <c r="F64" s="94">
        <v>19967</v>
      </c>
      <c r="G64" s="94">
        <v>24490</v>
      </c>
      <c r="H64" s="94">
        <v>24497</v>
      </c>
      <c r="I64" s="94">
        <v>24360</v>
      </c>
      <c r="J64" s="94">
        <v>25386</v>
      </c>
      <c r="K64" s="94">
        <v>26886</v>
      </c>
      <c r="L64" s="94">
        <v>21707</v>
      </c>
      <c r="M64" s="94">
        <v>21767</v>
      </c>
      <c r="N64" s="94">
        <v>28678</v>
      </c>
      <c r="O64" s="94">
        <v>26014.9999999987</v>
      </c>
      <c r="P64" s="94">
        <v>19358.0000000003</v>
      </c>
      <c r="Q64" s="94">
        <v>281562.999999999</v>
      </c>
      <c r="R64" s="62"/>
      <c r="S64" s="95">
        <f t="shared" si="1"/>
        <v>562.278122286045</v>
      </c>
      <c r="T64" s="95">
        <f t="shared" si="2"/>
        <v>600.2513197292</v>
      </c>
      <c r="U64" s="95">
        <f t="shared" si="3"/>
        <v>703.272846316648</v>
      </c>
      <c r="V64" s="95">
        <f t="shared" si="4"/>
        <v>706.116001683356</v>
      </c>
      <c r="W64" s="95">
        <f t="shared" si="5"/>
        <v>698.785157986833</v>
      </c>
      <c r="X64" s="95">
        <f t="shared" si="6"/>
        <v>723.9346730659</v>
      </c>
      <c r="Y64" s="95">
        <f t="shared" si="7"/>
        <v>753.174645417389</v>
      </c>
      <c r="Z64" s="95">
        <f t="shared" si="8"/>
        <v>584.939827215453</v>
      </c>
      <c r="AA64" s="95">
        <f t="shared" si="9"/>
        <v>575.483856672344</v>
      </c>
      <c r="AB64" s="95">
        <f t="shared" si="10"/>
        <v>767.873268558668</v>
      </c>
      <c r="AC64" s="95">
        <f t="shared" si="11"/>
        <v>710.33238039845</v>
      </c>
      <c r="AD64" s="95">
        <f t="shared" si="12"/>
        <v>528.058170962319</v>
      </c>
      <c r="AE64" s="95">
        <f t="shared" si="13"/>
        <v>7914.5002702926</v>
      </c>
      <c r="AF64" s="64"/>
      <c r="AG64" s="96">
        <f t="shared" si="14"/>
        <v>35.0438218938015</v>
      </c>
      <c r="AH64" s="96">
        <f t="shared" si="15"/>
        <v>30.389394477987</v>
      </c>
      <c r="AI64" s="96">
        <f t="shared" si="16"/>
        <v>35.0987097028821</v>
      </c>
      <c r="AJ64" s="96">
        <f t="shared" si="17"/>
        <v>25.1797597148435</v>
      </c>
      <c r="AK64" s="96">
        <f t="shared" si="18"/>
        <v>17.1296062653045</v>
      </c>
      <c r="AL64" s="96">
        <f t="shared" si="19"/>
        <v>23.3708249311047</v>
      </c>
      <c r="AM64" s="96">
        <f t="shared" si="20"/>
        <v>21.8457129511671</v>
      </c>
      <c r="AN64" s="96">
        <f t="shared" si="21"/>
        <v>22.868864931404</v>
      </c>
      <c r="AO64" s="96">
        <f t="shared" si="22"/>
        <v>14.3497869706848</v>
      </c>
      <c r="AP64" s="96">
        <f t="shared" si="23"/>
        <v>18.6435833772469</v>
      </c>
      <c r="AQ64" s="96">
        <f t="shared" si="24"/>
        <v>16.4772066898272</v>
      </c>
      <c r="AR64" s="96">
        <f t="shared" si="25"/>
        <v>20.1911127198531</v>
      </c>
      <c r="AS64" s="96">
        <f t="shared" si="26"/>
        <v>21.6092030445716</v>
      </c>
      <c r="AU64" s="96">
        <f t="shared" si="27"/>
        <v>25.6647292981425</v>
      </c>
      <c r="AV64" s="96">
        <f t="shared" si="28"/>
        <v>19.1056053804969</v>
      </c>
      <c r="AW64" s="96">
        <f t="shared" si="29"/>
        <v>18.1644528738745</v>
      </c>
      <c r="AX64" s="96">
        <f t="shared" si="30"/>
        <v>18.6120353319403</v>
      </c>
    </row>
    <row r="65" spans="1:50">
      <c r="A65" s="65" t="s">
        <v>194</v>
      </c>
      <c r="B65" s="65" t="s">
        <v>192</v>
      </c>
      <c r="C65" s="65" t="s">
        <v>194</v>
      </c>
      <c r="D65" s="78" t="s">
        <v>415</v>
      </c>
      <c r="E65" s="79">
        <v>6421</v>
      </c>
      <c r="F65" s="79">
        <v>5639</v>
      </c>
      <c r="G65" s="79">
        <v>6789</v>
      </c>
      <c r="H65" s="79">
        <v>5973</v>
      </c>
      <c r="I65" s="79">
        <v>5993</v>
      </c>
      <c r="J65" s="79">
        <v>5973</v>
      </c>
      <c r="K65" s="79">
        <v>6975</v>
      </c>
      <c r="L65" s="79">
        <v>7003</v>
      </c>
      <c r="M65" s="79">
        <v>6553</v>
      </c>
      <c r="N65" s="79">
        <v>7053</v>
      </c>
      <c r="O65" s="79">
        <v>7548</v>
      </c>
      <c r="P65" s="79">
        <v>4210</v>
      </c>
      <c r="Q65" s="79">
        <v>76130</v>
      </c>
      <c r="R65" s="62"/>
      <c r="S65" s="73">
        <f t="shared" si="1"/>
        <v>195.663766702726</v>
      </c>
      <c r="T65" s="73">
        <f t="shared" si="2"/>
        <v>169.520568535732</v>
      </c>
      <c r="U65" s="73">
        <f t="shared" si="3"/>
        <v>194.957915624488</v>
      </c>
      <c r="V65" s="73">
        <f t="shared" si="4"/>
        <v>172.169281057055</v>
      </c>
      <c r="W65" s="73">
        <f t="shared" si="5"/>
        <v>171.913770599963</v>
      </c>
      <c r="X65" s="73">
        <f t="shared" si="6"/>
        <v>170.332537706713</v>
      </c>
      <c r="Y65" s="73">
        <f t="shared" si="7"/>
        <v>195.39511834361</v>
      </c>
      <c r="Z65" s="73">
        <f t="shared" si="8"/>
        <v>188.710259823551</v>
      </c>
      <c r="AA65" s="73">
        <f t="shared" si="9"/>
        <v>173.250595524136</v>
      </c>
      <c r="AB65" s="73">
        <f t="shared" si="10"/>
        <v>188.848949129796</v>
      </c>
      <c r="AC65" s="73">
        <f t="shared" si="11"/>
        <v>206.096052556132</v>
      </c>
      <c r="AD65" s="73">
        <f t="shared" si="12"/>
        <v>114.842695513551</v>
      </c>
      <c r="AE65" s="73">
        <f t="shared" si="13"/>
        <v>2141.70151111745</v>
      </c>
      <c r="AF65" s="64"/>
      <c r="AG65" s="80">
        <f t="shared" si="14"/>
        <v>12.194687859316</v>
      </c>
      <c r="AH65" s="80">
        <f t="shared" si="15"/>
        <v>8.58245081691636</v>
      </c>
      <c r="AI65" s="80">
        <f t="shared" si="16"/>
        <v>9.72989547459642</v>
      </c>
      <c r="AJ65" s="80">
        <f t="shared" si="17"/>
        <v>6.13947441632691</v>
      </c>
      <c r="AK65" s="80">
        <f t="shared" si="18"/>
        <v>4.21419254302012</v>
      </c>
      <c r="AL65" s="80">
        <f t="shared" si="19"/>
        <v>5.49885516873429</v>
      </c>
      <c r="AM65" s="80">
        <f t="shared" si="20"/>
        <v>5.66740488858107</v>
      </c>
      <c r="AN65" s="80">
        <f t="shared" si="21"/>
        <v>7.37783485118268</v>
      </c>
      <c r="AO65" s="80">
        <f t="shared" si="22"/>
        <v>4.32003280281608</v>
      </c>
      <c r="AP65" s="80">
        <f t="shared" si="23"/>
        <v>4.58515913103153</v>
      </c>
      <c r="AQ65" s="80">
        <f t="shared" si="24"/>
        <v>4.78070175263585</v>
      </c>
      <c r="AR65" s="80">
        <f t="shared" si="25"/>
        <v>4.39118630801634</v>
      </c>
      <c r="AS65" s="80">
        <f t="shared" si="26"/>
        <v>5.84755338101616</v>
      </c>
      <c r="AU65" s="80">
        <f t="shared" si="27"/>
        <v>6.90381337402377</v>
      </c>
      <c r="AV65" s="80">
        <f t="shared" si="28"/>
        <v>5.56471184507929</v>
      </c>
      <c r="AW65" s="80">
        <f t="shared" si="29"/>
        <v>4.61555180805323</v>
      </c>
      <c r="AX65" s="80">
        <f t="shared" si="30"/>
        <v>5.0669423951055</v>
      </c>
    </row>
    <row r="66" spans="1:50">
      <c r="A66" s="65"/>
      <c r="B66" s="65"/>
      <c r="C66" s="65"/>
      <c r="D66" s="81" t="s">
        <v>416</v>
      </c>
      <c r="E66" s="82">
        <v>6421</v>
      </c>
      <c r="F66" s="82">
        <v>5639</v>
      </c>
      <c r="G66" s="82">
        <v>6789</v>
      </c>
      <c r="H66" s="82">
        <v>5973</v>
      </c>
      <c r="I66" s="82">
        <v>5993</v>
      </c>
      <c r="J66" s="82">
        <v>5973</v>
      </c>
      <c r="K66" s="82">
        <v>6975</v>
      </c>
      <c r="L66" s="82">
        <v>7003</v>
      </c>
      <c r="M66" s="82">
        <v>6553</v>
      </c>
      <c r="N66" s="82">
        <v>7053</v>
      </c>
      <c r="O66" s="82">
        <v>7548</v>
      </c>
      <c r="P66" s="82">
        <v>4210</v>
      </c>
      <c r="Q66" s="82">
        <v>76130</v>
      </c>
      <c r="R66" s="62"/>
      <c r="S66" s="83">
        <f t="shared" si="1"/>
        <v>195.663766702726</v>
      </c>
      <c r="T66" s="83">
        <f t="shared" si="2"/>
        <v>169.520568535732</v>
      </c>
      <c r="U66" s="83">
        <f t="shared" si="3"/>
        <v>194.957915624488</v>
      </c>
      <c r="V66" s="83">
        <f t="shared" si="4"/>
        <v>172.169281057055</v>
      </c>
      <c r="W66" s="83">
        <f t="shared" si="5"/>
        <v>171.913770599963</v>
      </c>
      <c r="X66" s="83">
        <f t="shared" si="6"/>
        <v>170.332537706713</v>
      </c>
      <c r="Y66" s="83">
        <f t="shared" si="7"/>
        <v>195.39511834361</v>
      </c>
      <c r="Z66" s="83">
        <f t="shared" si="8"/>
        <v>188.710259823551</v>
      </c>
      <c r="AA66" s="83">
        <f t="shared" si="9"/>
        <v>173.250595524136</v>
      </c>
      <c r="AB66" s="83">
        <f t="shared" si="10"/>
        <v>188.848949129796</v>
      </c>
      <c r="AC66" s="83">
        <f t="shared" si="11"/>
        <v>206.096052556132</v>
      </c>
      <c r="AD66" s="83">
        <f t="shared" si="12"/>
        <v>114.842695513551</v>
      </c>
      <c r="AE66" s="83">
        <f t="shared" si="13"/>
        <v>2141.70151111745</v>
      </c>
      <c r="AF66" s="64"/>
      <c r="AG66" s="84">
        <f t="shared" si="14"/>
        <v>12.194687859316</v>
      </c>
      <c r="AH66" s="84">
        <f t="shared" si="15"/>
        <v>8.58245081691636</v>
      </c>
      <c r="AI66" s="84">
        <f t="shared" si="16"/>
        <v>9.72989547459642</v>
      </c>
      <c r="AJ66" s="84">
        <f t="shared" si="17"/>
        <v>6.13947441632691</v>
      </c>
      <c r="AK66" s="84">
        <f t="shared" si="18"/>
        <v>4.21419254302012</v>
      </c>
      <c r="AL66" s="84">
        <f t="shared" si="19"/>
        <v>5.49885516873429</v>
      </c>
      <c r="AM66" s="84">
        <f t="shared" si="20"/>
        <v>5.66740488858107</v>
      </c>
      <c r="AN66" s="84">
        <f t="shared" si="21"/>
        <v>7.37783485118268</v>
      </c>
      <c r="AO66" s="84">
        <f t="shared" si="22"/>
        <v>4.32003280281608</v>
      </c>
      <c r="AP66" s="84">
        <f t="shared" si="23"/>
        <v>4.58515913103153</v>
      </c>
      <c r="AQ66" s="84">
        <f t="shared" si="24"/>
        <v>4.78070175263585</v>
      </c>
      <c r="AR66" s="84">
        <f t="shared" si="25"/>
        <v>4.39118630801634</v>
      </c>
      <c r="AS66" s="84">
        <f t="shared" si="26"/>
        <v>5.84755338101616</v>
      </c>
      <c r="AU66" s="84">
        <f t="shared" si="27"/>
        <v>6.90381337402377</v>
      </c>
      <c r="AV66" s="84">
        <f t="shared" si="28"/>
        <v>5.56471184507929</v>
      </c>
      <c r="AW66" s="84">
        <f t="shared" si="29"/>
        <v>4.61555180805323</v>
      </c>
      <c r="AX66" s="84">
        <f t="shared" si="30"/>
        <v>5.0669423951055</v>
      </c>
    </row>
    <row r="67" spans="1:50">
      <c r="A67" s="65"/>
      <c r="B67" s="65"/>
      <c r="C67" s="65"/>
      <c r="D67" s="81" t="s">
        <v>417</v>
      </c>
      <c r="E67" s="82">
        <v>6421</v>
      </c>
      <c r="F67" s="82">
        <v>5639</v>
      </c>
      <c r="G67" s="82">
        <v>6789</v>
      </c>
      <c r="H67" s="82">
        <v>5973</v>
      </c>
      <c r="I67" s="82">
        <v>5993</v>
      </c>
      <c r="J67" s="82">
        <v>5973</v>
      </c>
      <c r="K67" s="82">
        <v>6975</v>
      </c>
      <c r="L67" s="82">
        <v>7003</v>
      </c>
      <c r="M67" s="82">
        <v>6553</v>
      </c>
      <c r="N67" s="82">
        <v>7053</v>
      </c>
      <c r="O67" s="82">
        <v>7548</v>
      </c>
      <c r="P67" s="82">
        <v>4210</v>
      </c>
      <c r="Q67" s="82">
        <v>76130</v>
      </c>
      <c r="R67" s="62"/>
      <c r="S67" s="83">
        <f t="shared" si="1"/>
        <v>195.663766702726</v>
      </c>
      <c r="T67" s="83">
        <f t="shared" si="2"/>
        <v>169.520568535732</v>
      </c>
      <c r="U67" s="83">
        <f t="shared" si="3"/>
        <v>194.957915624488</v>
      </c>
      <c r="V67" s="83">
        <f t="shared" si="4"/>
        <v>172.169281057055</v>
      </c>
      <c r="W67" s="83">
        <f t="shared" si="5"/>
        <v>171.913770599963</v>
      </c>
      <c r="X67" s="83">
        <f t="shared" si="6"/>
        <v>170.332537706713</v>
      </c>
      <c r="Y67" s="83">
        <f t="shared" si="7"/>
        <v>195.39511834361</v>
      </c>
      <c r="Z67" s="83">
        <f t="shared" si="8"/>
        <v>188.710259823551</v>
      </c>
      <c r="AA67" s="83">
        <f t="shared" si="9"/>
        <v>173.250595524136</v>
      </c>
      <c r="AB67" s="83">
        <f t="shared" si="10"/>
        <v>188.848949129796</v>
      </c>
      <c r="AC67" s="83">
        <f t="shared" si="11"/>
        <v>206.096052556132</v>
      </c>
      <c r="AD67" s="83">
        <f t="shared" si="12"/>
        <v>114.842695513551</v>
      </c>
      <c r="AE67" s="83">
        <f t="shared" si="13"/>
        <v>2141.70151111745</v>
      </c>
      <c r="AF67" s="64"/>
      <c r="AG67" s="84">
        <f t="shared" si="14"/>
        <v>12.194687859316</v>
      </c>
      <c r="AH67" s="84">
        <f t="shared" si="15"/>
        <v>8.58245081691636</v>
      </c>
      <c r="AI67" s="84">
        <f t="shared" si="16"/>
        <v>9.72989547459642</v>
      </c>
      <c r="AJ67" s="84">
        <f t="shared" si="17"/>
        <v>6.13947441632691</v>
      </c>
      <c r="AK67" s="84">
        <f t="shared" si="18"/>
        <v>4.21419254302012</v>
      </c>
      <c r="AL67" s="84">
        <f t="shared" si="19"/>
        <v>5.49885516873429</v>
      </c>
      <c r="AM67" s="84">
        <f t="shared" si="20"/>
        <v>5.66740488858107</v>
      </c>
      <c r="AN67" s="84">
        <f t="shared" si="21"/>
        <v>7.37783485118268</v>
      </c>
      <c r="AO67" s="84">
        <f t="shared" si="22"/>
        <v>4.32003280281608</v>
      </c>
      <c r="AP67" s="84">
        <f t="shared" si="23"/>
        <v>4.58515913103153</v>
      </c>
      <c r="AQ67" s="84">
        <f t="shared" si="24"/>
        <v>4.78070175263585</v>
      </c>
      <c r="AR67" s="84">
        <f t="shared" si="25"/>
        <v>4.39118630801634</v>
      </c>
      <c r="AS67" s="84">
        <f t="shared" si="26"/>
        <v>5.84755338101616</v>
      </c>
      <c r="AU67" s="84">
        <f t="shared" si="27"/>
        <v>6.90381337402377</v>
      </c>
      <c r="AV67" s="84">
        <f t="shared" si="28"/>
        <v>5.56471184507929</v>
      </c>
      <c r="AW67" s="84">
        <f t="shared" si="29"/>
        <v>4.61555180805323</v>
      </c>
      <c r="AX67" s="84">
        <f t="shared" si="30"/>
        <v>5.0669423951055</v>
      </c>
    </row>
    <row r="68" spans="1:50">
      <c r="A68" s="65"/>
      <c r="B68" s="65"/>
      <c r="C68" s="65"/>
      <c r="D68" s="89" t="s">
        <v>418</v>
      </c>
      <c r="E68" s="90">
        <v>24873</v>
      </c>
      <c r="F68" s="90">
        <v>25606</v>
      </c>
      <c r="G68" s="90">
        <v>31279</v>
      </c>
      <c r="H68" s="90">
        <v>30470</v>
      </c>
      <c r="I68" s="90">
        <v>30353</v>
      </c>
      <c r="J68" s="90">
        <v>31359</v>
      </c>
      <c r="K68" s="90">
        <v>33861</v>
      </c>
      <c r="L68" s="90">
        <v>28710</v>
      </c>
      <c r="M68" s="90">
        <v>28320</v>
      </c>
      <c r="N68" s="90">
        <v>35731</v>
      </c>
      <c r="O68" s="90">
        <v>33562.9999999987</v>
      </c>
      <c r="P68" s="90">
        <v>23568.0000000003</v>
      </c>
      <c r="Q68" s="90">
        <v>357692.999999999</v>
      </c>
      <c r="R68" s="62"/>
      <c r="S68" s="91">
        <f t="shared" si="1"/>
        <v>757.941888988771</v>
      </c>
      <c r="T68" s="91">
        <f t="shared" si="2"/>
        <v>769.771888264932</v>
      </c>
      <c r="U68" s="91">
        <f t="shared" si="3"/>
        <v>898.230761941137</v>
      </c>
      <c r="V68" s="91">
        <f t="shared" si="4"/>
        <v>878.285282740412</v>
      </c>
      <c r="W68" s="91">
        <f t="shared" si="5"/>
        <v>870.698928586796</v>
      </c>
      <c r="X68" s="91">
        <f t="shared" si="6"/>
        <v>894.267210772613</v>
      </c>
      <c r="Y68" s="91">
        <f t="shared" si="7"/>
        <v>948.569763760999</v>
      </c>
      <c r="Z68" s="91">
        <f t="shared" si="8"/>
        <v>773.650087039003</v>
      </c>
      <c r="AA68" s="91">
        <f t="shared" si="9"/>
        <v>748.73445219648</v>
      </c>
      <c r="AB68" s="91">
        <f t="shared" si="10"/>
        <v>956.722217688464</v>
      </c>
      <c r="AC68" s="91">
        <f t="shared" si="11"/>
        <v>916.428432954581</v>
      </c>
      <c r="AD68" s="91">
        <f t="shared" si="12"/>
        <v>642.90086647587</v>
      </c>
      <c r="AE68" s="91">
        <f t="shared" si="13"/>
        <v>10056.2017814101</v>
      </c>
      <c r="AF68" s="64"/>
      <c r="AG68" s="92">
        <f t="shared" si="14"/>
        <v>47.2385097531175</v>
      </c>
      <c r="AH68" s="92">
        <f t="shared" si="15"/>
        <v>38.9718452949034</v>
      </c>
      <c r="AI68" s="92">
        <f t="shared" si="16"/>
        <v>44.8286051774785</v>
      </c>
      <c r="AJ68" s="92">
        <f t="shared" si="17"/>
        <v>31.3192341311704</v>
      </c>
      <c r="AK68" s="92">
        <f t="shared" si="18"/>
        <v>21.3437988083247</v>
      </c>
      <c r="AL68" s="92">
        <f t="shared" si="19"/>
        <v>28.869680099839</v>
      </c>
      <c r="AM68" s="92">
        <f t="shared" si="20"/>
        <v>27.5131178397482</v>
      </c>
      <c r="AN68" s="92">
        <f t="shared" si="21"/>
        <v>30.2466997825867</v>
      </c>
      <c r="AO68" s="92">
        <f t="shared" si="22"/>
        <v>18.6698197735009</v>
      </c>
      <c r="AP68" s="92">
        <f t="shared" si="23"/>
        <v>23.2287425082784</v>
      </c>
      <c r="AQ68" s="92">
        <f t="shared" si="24"/>
        <v>21.257908442463</v>
      </c>
      <c r="AR68" s="92">
        <f t="shared" si="25"/>
        <v>24.5822990278695</v>
      </c>
      <c r="AS68" s="92">
        <f t="shared" si="26"/>
        <v>27.4567564255877</v>
      </c>
      <c r="AU68" s="92">
        <f t="shared" si="27"/>
        <v>32.5685426721662</v>
      </c>
      <c r="AV68" s="92">
        <f t="shared" si="28"/>
        <v>24.6703172255762</v>
      </c>
      <c r="AW68" s="92">
        <f t="shared" si="29"/>
        <v>22.7800046819277</v>
      </c>
      <c r="AX68" s="92">
        <f t="shared" si="30"/>
        <v>23.6789777270458</v>
      </c>
    </row>
    <row r="69" spans="1:50">
      <c r="A69" s="65"/>
      <c r="B69" s="65"/>
      <c r="C69" s="65"/>
      <c r="D69" s="89" t="s">
        <v>419</v>
      </c>
      <c r="E69" s="90">
        <v>30891</v>
      </c>
      <c r="F69" s="90">
        <v>31759</v>
      </c>
      <c r="G69" s="90">
        <v>37098</v>
      </c>
      <c r="H69" s="90">
        <v>44359</v>
      </c>
      <c r="I69" s="90">
        <v>43388</v>
      </c>
      <c r="J69" s="90">
        <v>46604</v>
      </c>
      <c r="K69" s="90">
        <v>46314</v>
      </c>
      <c r="L69" s="90">
        <v>41841</v>
      </c>
      <c r="M69" s="90">
        <v>43707</v>
      </c>
      <c r="N69" s="90">
        <v>51686</v>
      </c>
      <c r="O69" s="90">
        <v>48732.9999999987</v>
      </c>
      <c r="P69" s="90">
        <v>37302.0000000003</v>
      </c>
      <c r="Q69" s="90">
        <v>503681.999999999</v>
      </c>
      <c r="R69" s="62"/>
      <c r="S69" s="91">
        <f t="shared" si="1"/>
        <v>941.325247969771</v>
      </c>
      <c r="T69" s="91">
        <f t="shared" si="2"/>
        <v>954.744411442864</v>
      </c>
      <c r="U69" s="91">
        <f t="shared" si="3"/>
        <v>1065.33344437138</v>
      </c>
      <c r="V69" s="91">
        <f t="shared" si="4"/>
        <v>1278.6300248468</v>
      </c>
      <c r="W69" s="91">
        <f t="shared" si="5"/>
        <v>1244.61783393812</v>
      </c>
      <c r="X69" s="91">
        <f t="shared" si="6"/>
        <v>1329.01014352648</v>
      </c>
      <c r="Y69" s="91">
        <f t="shared" si="7"/>
        <v>1297.42358580157</v>
      </c>
      <c r="Z69" s="91">
        <f t="shared" si="8"/>
        <v>1127.49192935559</v>
      </c>
      <c r="AA69" s="91">
        <f t="shared" si="9"/>
        <v>1155.54155021722</v>
      </c>
      <c r="AB69" s="91">
        <f t="shared" si="10"/>
        <v>1383.92836873992</v>
      </c>
      <c r="AC69" s="91">
        <f t="shared" si="11"/>
        <v>1330.64108760171</v>
      </c>
      <c r="AD69" s="91">
        <f t="shared" si="12"/>
        <v>1017.54447222008</v>
      </c>
      <c r="AE69" s="91">
        <f t="shared" si="13"/>
        <v>14126.2321000315</v>
      </c>
      <c r="AF69" s="64"/>
      <c r="AG69" s="92">
        <f t="shared" si="14"/>
        <v>58.6678247410266</v>
      </c>
      <c r="AH69" s="92">
        <f t="shared" si="15"/>
        <v>48.3365943419838</v>
      </c>
      <c r="AI69" s="92">
        <f t="shared" si="16"/>
        <v>53.1683108435083</v>
      </c>
      <c r="AJ69" s="92">
        <f t="shared" si="17"/>
        <v>45.5953366204328</v>
      </c>
      <c r="AK69" s="92">
        <f t="shared" si="18"/>
        <v>30.5098258062</v>
      </c>
      <c r="AL69" s="92">
        <f t="shared" si="19"/>
        <v>42.9045113483497</v>
      </c>
      <c r="AM69" s="92">
        <f t="shared" si="20"/>
        <v>37.6315684601783</v>
      </c>
      <c r="AN69" s="92">
        <f t="shared" si="21"/>
        <v>44.0805352003905</v>
      </c>
      <c r="AO69" s="92">
        <f t="shared" si="22"/>
        <v>28.81362333476</v>
      </c>
      <c r="AP69" s="92">
        <f t="shared" si="23"/>
        <v>33.6010966746769</v>
      </c>
      <c r="AQ69" s="92">
        <f t="shared" si="24"/>
        <v>30.8661815727606</v>
      </c>
      <c r="AR69" s="92">
        <f t="shared" si="25"/>
        <v>38.907370941004</v>
      </c>
      <c r="AS69" s="92">
        <f t="shared" si="26"/>
        <v>38.5692851449027</v>
      </c>
      <c r="AU69" s="92">
        <f t="shared" si="27"/>
        <v>43.7763728571409</v>
      </c>
      <c r="AV69" s="92">
        <f t="shared" si="28"/>
        <v>35.7477317602449</v>
      </c>
      <c r="AW69" s="92">
        <f t="shared" si="29"/>
        <v>33.7900763111064</v>
      </c>
      <c r="AX69" s="92">
        <f t="shared" si="30"/>
        <v>34.7210755187863</v>
      </c>
    </row>
    <row r="70" spans="1:50">
      <c r="R70" s="62"/>
      <c r="AE70" s="97"/>
      <c r="AF70" s="64"/>
    </row>
    <row r="71" spans="1:50">
      <c r="R71" s="62"/>
      <c r="AF71" s="64"/>
    </row>
    <row r="72" spans="1:50">
      <c r="R72" s="62"/>
      <c r="AF72" s="64"/>
    </row>
    <row r="73" spans="1:50">
      <c r="D73" s="98" t="s">
        <v>52</v>
      </c>
      <c r="E73" s="99">
        <f t="shared" ref="E73:Q73" si="31">SUMIF($A$2:$A$69,$D$73,E2:E69)</f>
        <v>6159</v>
      </c>
      <c r="F73" s="99">
        <f t="shared" si="31"/>
        <v>6658</v>
      </c>
      <c r="G73" s="99">
        <f t="shared" si="31"/>
        <v>6420</v>
      </c>
      <c r="H73" s="99">
        <f t="shared" si="31"/>
        <v>15170</v>
      </c>
      <c r="I73" s="99">
        <f t="shared" si="31"/>
        <v>14142</v>
      </c>
      <c r="J73" s="99">
        <f t="shared" si="31"/>
        <v>16072</v>
      </c>
      <c r="K73" s="99">
        <f t="shared" si="31"/>
        <v>13368</v>
      </c>
      <c r="L73" s="99">
        <f t="shared" si="31"/>
        <v>13237</v>
      </c>
      <c r="M73" s="99">
        <f t="shared" si="31"/>
        <v>15681</v>
      </c>
      <c r="N73" s="99">
        <f t="shared" si="31"/>
        <v>16772</v>
      </c>
      <c r="O73" s="99">
        <f t="shared" si="31"/>
        <v>16356</v>
      </c>
      <c r="P73" s="99">
        <f t="shared" si="31"/>
        <v>14691</v>
      </c>
      <c r="Q73" s="99">
        <f t="shared" si="31"/>
        <v>154726</v>
      </c>
      <c r="R73" s="62"/>
      <c r="S73" s="100">
        <f t="shared" ref="S73:AE73" si="32">SUMIF($A$2:$A$69,$D$73,S2:S69)</f>
        <v>187.679978059818</v>
      </c>
      <c r="T73" s="100">
        <f t="shared" si="32"/>
        <v>200.153918303051</v>
      </c>
      <c r="U73" s="100">
        <f t="shared" si="32"/>
        <v>184.361440316573</v>
      </c>
      <c r="V73" s="100">
        <f t="shared" si="32"/>
        <v>437.269042965935</v>
      </c>
      <c r="W73" s="100">
        <f t="shared" si="32"/>
        <v>405.674043688415</v>
      </c>
      <c r="X73" s="100">
        <f t="shared" si="32"/>
        <v>458.326560526083</v>
      </c>
      <c r="Y73" s="100">
        <f t="shared" si="32"/>
        <v>374.486299930806</v>
      </c>
      <c r="Z73" s="100">
        <f t="shared" si="32"/>
        <v>356.698230656053</v>
      </c>
      <c r="AA73" s="100">
        <f t="shared" si="32"/>
        <v>414.579976867691</v>
      </c>
      <c r="AB73" s="100">
        <f t="shared" si="32"/>
        <v>449.081890657158</v>
      </c>
      <c r="AC73" s="100">
        <f t="shared" si="32"/>
        <v>446.59605665184</v>
      </c>
      <c r="AD73" s="100">
        <f t="shared" si="32"/>
        <v>400.749178097288</v>
      </c>
      <c r="AE73" s="100">
        <f t="shared" si="32"/>
        <v>4315.65661672071</v>
      </c>
      <c r="AF73" s="64"/>
      <c r="AG73" s="101">
        <f>+S73*1000/$E$3</f>
        <v>11.6971005334882</v>
      </c>
      <c r="AH73" s="101">
        <f>+T73*1000/$F$3</f>
        <v>10.1333494483116</v>
      </c>
      <c r="AI73" s="101">
        <f>+U73*1000/$G$3</f>
        <v>9.20105007319326</v>
      </c>
      <c r="AJ73" s="101">
        <f>+V73*1000/$H$3</f>
        <v>15.5928054404285</v>
      </c>
      <c r="AK73" s="101">
        <f>+W73*1000/$I$3</f>
        <v>9.94445368653271</v>
      </c>
      <c r="AL73" s="101">
        <f>+X73*1000/$J$3</f>
        <v>14.7961828682232</v>
      </c>
      <c r="AM73" s="101">
        <f>+Y73*1000/$K$3</f>
        <v>10.8619166380719</v>
      </c>
      <c r="AN73" s="101">
        <f>+Z73*1000/$L$3</f>
        <v>13.9455090568478</v>
      </c>
      <c r="AO73" s="101">
        <f>+AA73*1000/$M$3</f>
        <v>10.3376216055179</v>
      </c>
      <c r="AP73" s="101">
        <f>+AB73*1000/$N$3</f>
        <v>10.9034863101745</v>
      </c>
      <c r="AQ73" s="101">
        <f>+AC73*1000/$O$3</f>
        <v>10.3594538773333</v>
      </c>
      <c r="AR73" s="101">
        <f>+AD73*1000/$P$3</f>
        <v>15.3232584444342</v>
      </c>
      <c r="AS73" s="101">
        <f>+AE73*1000/$Q$3</f>
        <v>11.7831697411666</v>
      </c>
      <c r="AU73" s="101">
        <f>SUM(S73:X73)/SUM($E$3:$J$3)*1000</f>
        <v>12.0366276501306</v>
      </c>
      <c r="AV73" s="101">
        <f>SUM(Y73:AA73)/SUM($K$3:$M$3)*1000</f>
        <v>11.4394563389665</v>
      </c>
      <c r="AW73" s="101">
        <f>SUM(AB73:AD73)/SUM($N$3:$P$3)*1000</f>
        <v>11.7376833445567</v>
      </c>
      <c r="AX73" s="101">
        <f>SUM(Y73:AD73)/SUM($K$3:$P$3)*1000</f>
        <v>11.5958559836514</v>
      </c>
    </row>
    <row r="74" spans="1:50">
      <c r="D74" s="102" t="s">
        <v>42</v>
      </c>
      <c r="E74" s="103">
        <f t="shared" ref="E74:Q74" si="33">SUMIF($A$2:$A$69,$D$74,E2:E69)</f>
        <v>17944</v>
      </c>
      <c r="F74" s="103">
        <f t="shared" si="33"/>
        <v>18951.0000000001</v>
      </c>
      <c r="G74" s="103">
        <f t="shared" si="33"/>
        <v>23677</v>
      </c>
      <c r="H74" s="103">
        <f t="shared" si="33"/>
        <v>22788</v>
      </c>
      <c r="I74" s="103">
        <f t="shared" si="33"/>
        <v>22840.9999999996</v>
      </c>
      <c r="J74" s="103">
        <f t="shared" si="33"/>
        <v>23531</v>
      </c>
      <c r="K74" s="103">
        <f t="shared" si="33"/>
        <v>25463</v>
      </c>
      <c r="L74" s="103">
        <f t="shared" si="33"/>
        <v>21092</v>
      </c>
      <c r="M74" s="103">
        <f t="shared" si="33"/>
        <v>20982</v>
      </c>
      <c r="N74" s="103">
        <f t="shared" si="33"/>
        <v>27352</v>
      </c>
      <c r="O74" s="103">
        <f t="shared" si="33"/>
        <v>24475.9999999987</v>
      </c>
      <c r="P74" s="103">
        <f t="shared" si="33"/>
        <v>17875.0000000001</v>
      </c>
      <c r="Q74" s="103">
        <f t="shared" si="33"/>
        <v>266971.999999998</v>
      </c>
      <c r="R74" s="62"/>
      <c r="S74" s="104">
        <f t="shared" ref="S74:AE74" si="34">SUMIF($A$2:$A$69,$D$74,S2:S69)</f>
        <v>546.798104612009</v>
      </c>
      <c r="T74" s="104">
        <f t="shared" si="34"/>
        <v>569.708156467578</v>
      </c>
      <c r="U74" s="104">
        <f t="shared" si="34"/>
        <v>679.926140556933</v>
      </c>
      <c r="V74" s="104">
        <f t="shared" si="34"/>
        <v>656.854775946455</v>
      </c>
      <c r="W74" s="104">
        <f t="shared" si="34"/>
        <v>655.211485779022</v>
      </c>
      <c r="X74" s="104">
        <f t="shared" si="34"/>
        <v>671.035483806574</v>
      </c>
      <c r="Y74" s="104">
        <f t="shared" si="34"/>
        <v>713.311239911589</v>
      </c>
      <c r="Z74" s="104">
        <f t="shared" si="34"/>
        <v>568.367385434575</v>
      </c>
      <c r="AA74" s="104">
        <f t="shared" si="34"/>
        <v>554.729741383706</v>
      </c>
      <c r="AB74" s="104">
        <f t="shared" si="34"/>
        <v>732.368702197388</v>
      </c>
      <c r="AC74" s="104">
        <f t="shared" si="34"/>
        <v>668.310411017967</v>
      </c>
      <c r="AD74" s="104">
        <f t="shared" si="34"/>
        <v>487.60408130754</v>
      </c>
      <c r="AE74" s="104">
        <f t="shared" si="34"/>
        <v>7504.22570842134</v>
      </c>
      <c r="AF74" s="64"/>
      <c r="AG74" s="105">
        <f t="shared" ref="AG74:AG75" si="35">+S74*1000/$E$3</f>
        <v>34.07903425441</v>
      </c>
      <c r="AH74" s="105">
        <f t="shared" ref="AH74:AH75" si="36">+T74*1000/$F$3</f>
        <v>28.8430617895696</v>
      </c>
      <c r="AI74" s="105">
        <f t="shared" ref="AI74:AI75" si="37">+U74*1000/$G$3</f>
        <v>33.9335299973515</v>
      </c>
      <c r="AJ74" s="105">
        <f t="shared" ref="AJ74:AJ75" si="38">+V74*1000/$H$3</f>
        <v>23.4231279087992</v>
      </c>
      <c r="AK74" s="105">
        <f t="shared" ref="AK74:AK75" si="39">+W74*1000/$I$3</f>
        <v>16.0614670240482</v>
      </c>
      <c r="AL74" s="105">
        <f t="shared" ref="AL74:AL75" si="40">+X74*1000/$J$3</f>
        <v>21.6630773439622</v>
      </c>
      <c r="AM74" s="105">
        <f t="shared" ref="AM74:AM75" si="41">+Y74*1000/$K$3</f>
        <v>20.6894811007799</v>
      </c>
      <c r="AN74" s="105">
        <f>+Z74*1000/$L$3</f>
        <v>22.2209471199693</v>
      </c>
      <c r="AO74" s="105">
        <f>+AA74*1000/$M$3</f>
        <v>13.8322796076129</v>
      </c>
      <c r="AP74" s="105">
        <f t="shared" ref="AP74:AP76" si="42">+AB74*1000/$N$3</f>
        <v>17.7815500569934</v>
      </c>
      <c r="AQ74" s="105">
        <f t="shared" ref="AQ74:AQ76" si="43">+AC74*1000/$O$3</f>
        <v>15.5024451639519</v>
      </c>
      <c r="AR74" s="105">
        <f t="shared" ref="AR74:AR76" si="44">+AD74*1000/$P$3</f>
        <v>18.6442886593332</v>
      </c>
      <c r="AS74" s="105">
        <f t="shared" ref="AS74:AS75" si="45">+AE74*1000/$Q$3</f>
        <v>20.4890178138279</v>
      </c>
      <c r="AU74" s="105">
        <f t="shared" ref="AU74:AU75" si="46">SUM(S74:X74)/SUM($E$3:$J$3)*1000</f>
        <v>24.2827304552518</v>
      </c>
      <c r="AV74" s="105">
        <f t="shared" ref="AV74:AV75" si="47">SUM(Y74:AA74)/SUM($K$3:$M$3)*1000</f>
        <v>18.3349311268071</v>
      </c>
      <c r="AW74" s="105">
        <f t="shared" ref="AW74:AW76" si="48">SUM(AB74:AD74)/SUM($N$3:$P$3)*1000</f>
        <v>17.0962715665269</v>
      </c>
      <c r="AX74" s="105">
        <f t="shared" ref="AX74:AX76" si="49">SUM(Y74:AD74)/SUM($K$3:$P$3)*1000</f>
        <v>17.6853389990588</v>
      </c>
    </row>
    <row r="75" spans="1:50">
      <c r="D75" s="106" t="s">
        <v>194</v>
      </c>
      <c r="E75" s="107">
        <f t="shared" ref="E75:Q75" si="50">SUMIF($A$2:$A$69,$D$75,E2:E69)</f>
        <v>6788</v>
      </c>
      <c r="F75" s="107">
        <f t="shared" si="50"/>
        <v>6154</v>
      </c>
      <c r="G75" s="107">
        <f t="shared" si="50"/>
        <v>7000</v>
      </c>
      <c r="H75" s="107">
        <f t="shared" si="50"/>
        <v>6400</v>
      </c>
      <c r="I75" s="107">
        <f t="shared" si="50"/>
        <v>6406</v>
      </c>
      <c r="J75" s="107">
        <f t="shared" si="50"/>
        <v>7002</v>
      </c>
      <c r="K75" s="107">
        <f t="shared" si="50"/>
        <v>7484</v>
      </c>
      <c r="L75" s="107">
        <f t="shared" si="50"/>
        <v>7513</v>
      </c>
      <c r="M75" s="107">
        <f t="shared" si="50"/>
        <v>7046</v>
      </c>
      <c r="N75" s="107">
        <f t="shared" si="50"/>
        <v>7561</v>
      </c>
      <c r="O75" s="107">
        <f t="shared" si="50"/>
        <v>7901</v>
      </c>
      <c r="P75" s="107">
        <f t="shared" si="50"/>
        <v>4736.0000000002</v>
      </c>
      <c r="Q75" s="107">
        <f t="shared" si="50"/>
        <v>81991.0000000002</v>
      </c>
      <c r="R75" s="62"/>
      <c r="S75" s="108">
        <f t="shared" ref="S75:AE75" si="51">SUMIF($A$2:$A$69,$D$75,S2:S69)</f>
        <v>206.847165297945</v>
      </c>
      <c r="T75" s="108">
        <f t="shared" si="51"/>
        <v>185.002585346497</v>
      </c>
      <c r="U75" s="108">
        <f t="shared" si="51"/>
        <v>201.017146762619</v>
      </c>
      <c r="V75" s="108">
        <f t="shared" si="51"/>
        <v>184.477381343572</v>
      </c>
      <c r="W75" s="108">
        <f t="shared" si="51"/>
        <v>183.760990232498</v>
      </c>
      <c r="X75" s="108">
        <f t="shared" si="51"/>
        <v>199.676616276981</v>
      </c>
      <c r="Y75" s="108">
        <f t="shared" si="51"/>
        <v>209.654059596211</v>
      </c>
      <c r="Z75" s="108">
        <f t="shared" si="51"/>
        <v>202.453260324766</v>
      </c>
      <c r="AA75" s="108">
        <f t="shared" si="51"/>
        <v>186.284708692669</v>
      </c>
      <c r="AB75" s="108">
        <f t="shared" si="51"/>
        <v>202.451000194298</v>
      </c>
      <c r="AC75" s="108">
        <f t="shared" si="51"/>
        <v>215.734619931902</v>
      </c>
      <c r="AD75" s="108">
        <f t="shared" si="51"/>
        <v>129.19121281525</v>
      </c>
      <c r="AE75" s="108">
        <f t="shared" si="51"/>
        <v>2306.55074681521</v>
      </c>
      <c r="AF75" s="64"/>
      <c r="AG75" s="109">
        <f t="shared" si="35"/>
        <v>12.8916899531284</v>
      </c>
      <c r="AH75" s="109">
        <f t="shared" si="36"/>
        <v>9.36627102807293</v>
      </c>
      <c r="AI75" s="109">
        <f t="shared" si="37"/>
        <v>10.0322975875939</v>
      </c>
      <c r="AJ75" s="109">
        <f t="shared" si="38"/>
        <v>6.57837540004892</v>
      </c>
      <c r="AK75" s="109">
        <f t="shared" si="39"/>
        <v>4.50460828142614</v>
      </c>
      <c r="AL75" s="109">
        <f t="shared" si="40"/>
        <v>6.44617175480955</v>
      </c>
      <c r="AM75" s="109">
        <f t="shared" si="41"/>
        <v>6.0809832524933</v>
      </c>
      <c r="AN75" s="109">
        <f>+Z75*1000/$L$3</f>
        <v>7.91513254847001</v>
      </c>
      <c r="AO75" s="109">
        <f>+AA75*1000/$M$3</f>
        <v>4.64504061172625</v>
      </c>
      <c r="AP75" s="109">
        <f t="shared" si="42"/>
        <v>4.91541020696575</v>
      </c>
      <c r="AQ75" s="109">
        <f t="shared" si="43"/>
        <v>5.00428253147534</v>
      </c>
      <c r="AR75" s="109">
        <f t="shared" si="44"/>
        <v>4.93982383723664</v>
      </c>
      <c r="AS75" s="109">
        <f t="shared" si="45"/>
        <v>6.29764630972655</v>
      </c>
      <c r="AU75" s="109">
        <f t="shared" si="46"/>
        <v>7.45778515011604</v>
      </c>
      <c r="AV75" s="109">
        <f t="shared" si="47"/>
        <v>5.97442095681513</v>
      </c>
      <c r="AW75" s="109">
        <f t="shared" si="48"/>
        <v>4.95587897638253</v>
      </c>
      <c r="AX75" s="109">
        <f t="shared" si="49"/>
        <v>5.44026542813981</v>
      </c>
    </row>
    <row r="76" spans="1:50">
      <c r="E76" s="110">
        <f>SUM(E73:E75)</f>
        <v>30891</v>
      </c>
      <c r="F76" s="110">
        <f t="shared" ref="F76:Q76" si="52">SUM(F73:F75)</f>
        <v>31763.0000000001</v>
      </c>
      <c r="G76" s="110">
        <f t="shared" si="52"/>
        <v>37097</v>
      </c>
      <c r="H76" s="110">
        <f t="shared" si="52"/>
        <v>44358</v>
      </c>
      <c r="I76" s="110">
        <f t="shared" si="52"/>
        <v>43388.9999999996</v>
      </c>
      <c r="J76" s="110">
        <f t="shared" si="52"/>
        <v>46605</v>
      </c>
      <c r="K76" s="110">
        <f t="shared" si="52"/>
        <v>46315</v>
      </c>
      <c r="L76" s="110">
        <f t="shared" si="52"/>
        <v>41842</v>
      </c>
      <c r="M76" s="110">
        <f t="shared" si="52"/>
        <v>43709</v>
      </c>
      <c r="N76" s="110">
        <f t="shared" si="52"/>
        <v>51685</v>
      </c>
      <c r="O76" s="110">
        <f t="shared" si="52"/>
        <v>48732.9999999987</v>
      </c>
      <c r="P76" s="110">
        <f t="shared" si="52"/>
        <v>37302.0000000003</v>
      </c>
      <c r="Q76" s="110">
        <f t="shared" si="52"/>
        <v>503688.999999999</v>
      </c>
      <c r="R76" s="62"/>
      <c r="S76" s="58">
        <f t="shared" ref="S76:AE76" si="53">SUM(S73:S75)</f>
        <v>941.325247969771</v>
      </c>
      <c r="T76" s="58">
        <f t="shared" si="53"/>
        <v>954.864660117125</v>
      </c>
      <c r="U76" s="58">
        <f t="shared" si="53"/>
        <v>1065.30472763612</v>
      </c>
      <c r="V76" s="58">
        <f t="shared" si="53"/>
        <v>1278.60120025596</v>
      </c>
      <c r="W76" s="58">
        <f t="shared" si="53"/>
        <v>1244.64651969994</v>
      </c>
      <c r="X76" s="58">
        <f t="shared" si="53"/>
        <v>1329.03866060964</v>
      </c>
      <c r="Y76" s="58">
        <f t="shared" si="53"/>
        <v>1297.45159943861</v>
      </c>
      <c r="Z76" s="58">
        <f t="shared" si="53"/>
        <v>1127.51887641539</v>
      </c>
      <c r="AA76" s="58">
        <f t="shared" si="53"/>
        <v>1155.59442694407</v>
      </c>
      <c r="AB76" s="58">
        <f t="shared" si="53"/>
        <v>1383.90159304884</v>
      </c>
      <c r="AC76" s="58">
        <f t="shared" si="53"/>
        <v>1330.64108760171</v>
      </c>
      <c r="AD76" s="58">
        <f t="shared" si="53"/>
        <v>1017.54447222008</v>
      </c>
      <c r="AE76" s="58">
        <f t="shared" si="53"/>
        <v>14126.4330719573</v>
      </c>
      <c r="AF76" s="64"/>
      <c r="AG76" s="111">
        <f t="shared" ref="AG76:AS76" si="54">SUM(AG73:AG75)</f>
        <v>58.6678247410266</v>
      </c>
      <c r="AH76" s="111">
        <f t="shared" si="54"/>
        <v>48.3426822659541</v>
      </c>
      <c r="AI76" s="111">
        <f t="shared" si="54"/>
        <v>53.1668776581387</v>
      </c>
      <c r="AJ76" s="111">
        <f t="shared" si="54"/>
        <v>45.5943087492765</v>
      </c>
      <c r="AK76" s="111">
        <f t="shared" si="54"/>
        <v>30.510528992007</v>
      </c>
      <c r="AL76" s="111">
        <f t="shared" si="54"/>
        <v>42.905431966995</v>
      </c>
      <c r="AM76" s="111">
        <f t="shared" si="54"/>
        <v>37.6323809913452</v>
      </c>
      <c r="AN76" s="111">
        <f t="shared" si="54"/>
        <v>44.0815887252871</v>
      </c>
      <c r="AO76" s="111">
        <f t="shared" si="54"/>
        <v>28.814941824857</v>
      </c>
      <c r="AP76" s="111">
        <f t="shared" si="42"/>
        <v>33.6004465741337</v>
      </c>
      <c r="AQ76" s="111">
        <f t="shared" si="43"/>
        <v>30.8661815727606</v>
      </c>
      <c r="AR76" s="111">
        <f t="shared" si="44"/>
        <v>38.907370941004</v>
      </c>
      <c r="AS76" s="97">
        <f t="shared" si="54"/>
        <v>38.569833864721</v>
      </c>
      <c r="AU76" s="97">
        <f>SUM(AU73:AU75)</f>
        <v>43.7771432554984</v>
      </c>
      <c r="AV76" s="97">
        <f>SUM(AV73:AV75)</f>
        <v>35.7488084225888</v>
      </c>
      <c r="AW76" s="97">
        <f t="shared" si="48"/>
        <v>33.7898338874661</v>
      </c>
      <c r="AX76" s="97">
        <f t="shared" si="49"/>
        <v>34.72146041085</v>
      </c>
    </row>
    <row r="77" spans="1:50">
      <c r="R77" s="62"/>
      <c r="AF77" s="64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U77" s="111"/>
      <c r="AV77" s="111"/>
      <c r="AW77" s="111"/>
      <c r="AX77" s="111"/>
    </row>
    <row r="78" spans="1:50">
      <c r="D78" s="112" t="s">
        <v>186</v>
      </c>
      <c r="E78" s="113">
        <f>+SUMIF($B$5:$B$69,$D$78,E5:E69)</f>
        <v>5783</v>
      </c>
      <c r="F78" s="113">
        <f t="shared" ref="F78:Q78" si="55">+SUMIF($B$5:$B$69,$D$78,F5:F69)</f>
        <v>6235</v>
      </c>
      <c r="G78" s="113">
        <f t="shared" si="55"/>
        <v>5637</v>
      </c>
      <c r="H78" s="113">
        <f t="shared" si="55"/>
        <v>13247</v>
      </c>
      <c r="I78" s="113">
        <f t="shared" si="55"/>
        <v>13229</v>
      </c>
      <c r="J78" s="113">
        <f t="shared" si="55"/>
        <v>14828</v>
      </c>
      <c r="K78" s="113">
        <f t="shared" si="55"/>
        <v>12074</v>
      </c>
      <c r="L78" s="113">
        <f t="shared" si="55"/>
        <v>12946</v>
      </c>
      <c r="M78" s="113">
        <f t="shared" si="55"/>
        <v>15872</v>
      </c>
      <c r="N78" s="113">
        <f t="shared" si="55"/>
        <v>16293</v>
      </c>
      <c r="O78" s="113">
        <f t="shared" si="55"/>
        <v>15305</v>
      </c>
      <c r="P78" s="113">
        <f t="shared" si="55"/>
        <v>13304</v>
      </c>
      <c r="Q78" s="113">
        <f t="shared" si="55"/>
        <v>144753</v>
      </c>
      <c r="R78" s="62"/>
      <c r="S78" s="113">
        <f t="shared" ref="S78:AE78" si="56">+SUMIF($B$5:$B$69,$D$78,S5:S69)</f>
        <v>176.222327182972</v>
      </c>
      <c r="T78" s="113">
        <f t="shared" si="56"/>
        <v>187.437621000228</v>
      </c>
      <c r="U78" s="113">
        <f t="shared" si="56"/>
        <v>161.876236614412</v>
      </c>
      <c r="V78" s="113">
        <f t="shared" si="56"/>
        <v>381.839354790359</v>
      </c>
      <c r="W78" s="113">
        <f t="shared" si="56"/>
        <v>379.48394314482</v>
      </c>
      <c r="X78" s="113">
        <f t="shared" si="56"/>
        <v>422.851309076702</v>
      </c>
      <c r="Y78" s="113">
        <f t="shared" si="56"/>
        <v>338.236653602974</v>
      </c>
      <c r="Z78" s="113">
        <f t="shared" si="56"/>
        <v>348.856636252419</v>
      </c>
      <c r="AA78" s="113">
        <f t="shared" si="56"/>
        <v>419.629704281869</v>
      </c>
      <c r="AB78" s="113">
        <f t="shared" si="56"/>
        <v>436.256334633739</v>
      </c>
      <c r="AC78" s="113">
        <f t="shared" si="56"/>
        <v>417.898792312082</v>
      </c>
      <c r="AD78" s="113">
        <f t="shared" si="56"/>
        <v>362.913829242824</v>
      </c>
      <c r="AE78" s="113">
        <f t="shared" si="56"/>
        <v>4033.5027421354</v>
      </c>
      <c r="AF78" s="64"/>
      <c r="AG78" s="114">
        <f t="shared" ref="AG78:AS78" si="57">+SUMIF($B$5:$B$69,$D$78,AG5:AG69)</f>
        <v>10.9830057452772</v>
      </c>
      <c r="AH78" s="114">
        <f t="shared" si="57"/>
        <v>9.48955148846843</v>
      </c>
      <c r="AI78" s="114">
        <f t="shared" si="57"/>
        <v>8.0788659287524</v>
      </c>
      <c r="AJ78" s="114">
        <f t="shared" si="57"/>
        <v>13.616209206945</v>
      </c>
      <c r="AK78" s="114">
        <f t="shared" si="57"/>
        <v>9.30244504448743</v>
      </c>
      <c r="AL78" s="114">
        <f t="shared" si="57"/>
        <v>13.6509332733956</v>
      </c>
      <c r="AM78" s="114">
        <f t="shared" si="57"/>
        <v>9.81050130820472</v>
      </c>
      <c r="AN78" s="114">
        <f t="shared" si="57"/>
        <v>13.638933311925</v>
      </c>
      <c r="AO78" s="114">
        <f t="shared" si="57"/>
        <v>10.4635374097813</v>
      </c>
      <c r="AP78" s="114">
        <f t="shared" si="57"/>
        <v>10.5920881499925</v>
      </c>
      <c r="AQ78" s="114">
        <f t="shared" si="57"/>
        <v>9.69377852730415</v>
      </c>
      <c r="AR78" s="114">
        <f t="shared" ref="AR78:AR84" si="58">+AD78*1000/$P$3</f>
        <v>13.8765659481828</v>
      </c>
      <c r="AS78" s="114">
        <f t="shared" si="57"/>
        <v>11.0127963559243</v>
      </c>
      <c r="AU78" s="114">
        <f t="shared" ref="AU78:AU83" si="59">SUM(S78:X78)/SUM($E$3:$J$3)*1000</f>
        <v>10.9845406066901</v>
      </c>
      <c r="AV78" s="114">
        <f t="shared" ref="AV78:AV83" si="60">SUM(Y78:AA78)/SUM($K$3:$M$3)*1000</f>
        <v>11.0496609804138</v>
      </c>
      <c r="AW78" s="114">
        <f t="shared" ref="AW78:AW84" si="61">SUM(AB78:AD78)/SUM($N$3:$P$3)*1000</f>
        <v>11.01918475499</v>
      </c>
      <c r="AX78" s="114">
        <f t="shared" ref="AX78:AX84" si="62">SUM(Y78:AD78)/SUM($K$3:$P$3)*1000</f>
        <v>11.0336782869009</v>
      </c>
    </row>
    <row r="79" spans="1:50">
      <c r="D79" s="112" t="s">
        <v>347</v>
      </c>
      <c r="E79" s="113">
        <f>+SUMIF($B$5:$B$69,$D$79,E5:E69)</f>
        <v>376</v>
      </c>
      <c r="F79" s="113">
        <f t="shared" ref="F79:Q79" si="63">+SUMIF($B$5:$B$69,$D$79,F5:F69)</f>
        <v>423</v>
      </c>
      <c r="G79" s="113">
        <f t="shared" si="63"/>
        <v>783</v>
      </c>
      <c r="H79" s="113">
        <f t="shared" si="63"/>
        <v>1923</v>
      </c>
      <c r="I79" s="113">
        <f t="shared" si="63"/>
        <v>913</v>
      </c>
      <c r="J79" s="113">
        <f t="shared" si="63"/>
        <v>1244</v>
      </c>
      <c r="K79" s="113">
        <f t="shared" si="63"/>
        <v>1294</v>
      </c>
      <c r="L79" s="113">
        <f t="shared" si="63"/>
        <v>291</v>
      </c>
      <c r="M79" s="113">
        <f t="shared" si="63"/>
        <v>-191</v>
      </c>
      <c r="N79" s="113">
        <f t="shared" si="63"/>
        <v>479</v>
      </c>
      <c r="O79" s="113">
        <f t="shared" si="63"/>
        <v>1051</v>
      </c>
      <c r="P79" s="113">
        <f t="shared" si="63"/>
        <v>1387</v>
      </c>
      <c r="Q79" s="113">
        <f t="shared" si="63"/>
        <v>9973</v>
      </c>
      <c r="R79" s="62"/>
      <c r="S79" s="113">
        <f t="shared" ref="S79:AE79" si="64">+SUMIF($B$5:$B$69,$D$79,S5:S69)</f>
        <v>11.4576508768455</v>
      </c>
      <c r="T79" s="113">
        <f t="shared" si="64"/>
        <v>12.7162973028222</v>
      </c>
      <c r="U79" s="113">
        <f t="shared" si="64"/>
        <v>22.4852037021615</v>
      </c>
      <c r="V79" s="113">
        <f t="shared" si="64"/>
        <v>55.4296881755763</v>
      </c>
      <c r="W79" s="113">
        <f t="shared" si="64"/>
        <v>26.1901005435952</v>
      </c>
      <c r="X79" s="113">
        <f t="shared" si="64"/>
        <v>35.4752514493808</v>
      </c>
      <c r="Y79" s="113">
        <f t="shared" si="64"/>
        <v>36.2496463278324</v>
      </c>
      <c r="Z79" s="113">
        <f t="shared" si="64"/>
        <v>7.84159440363462</v>
      </c>
      <c r="AA79" s="113">
        <f t="shared" si="64"/>
        <v>-5.04972741417824</v>
      </c>
      <c r="AB79" s="113">
        <f t="shared" si="64"/>
        <v>12.8255560234187</v>
      </c>
      <c r="AC79" s="113">
        <f t="shared" si="64"/>
        <v>28.6972643397581</v>
      </c>
      <c r="AD79" s="113">
        <f t="shared" si="64"/>
        <v>37.8353488544646</v>
      </c>
      <c r="AE79" s="113">
        <f t="shared" si="64"/>
        <v>282.153874585312</v>
      </c>
      <c r="AF79" s="64"/>
      <c r="AG79" s="114">
        <f t="shared" ref="AG79:AS79" si="65">+SUMIF($B$5:$B$69,$D$79,AG5:AG69)</f>
        <v>0.714094788211</v>
      </c>
      <c r="AH79" s="114">
        <f t="shared" si="65"/>
        <v>0.643797959843167</v>
      </c>
      <c r="AI79" s="114">
        <f t="shared" si="65"/>
        <v>1.12218414444086</v>
      </c>
      <c r="AJ79" s="114">
        <f t="shared" si="65"/>
        <v>1.97659623348345</v>
      </c>
      <c r="AK79" s="114">
        <f t="shared" si="65"/>
        <v>0.642008642045281</v>
      </c>
      <c r="AL79" s="114">
        <f t="shared" si="65"/>
        <v>1.14524959482763</v>
      </c>
      <c r="AM79" s="114">
        <f t="shared" si="65"/>
        <v>1.05141532986723</v>
      </c>
      <c r="AN79" s="114">
        <f t="shared" si="65"/>
        <v>0.30657574492277</v>
      </c>
      <c r="AO79" s="114">
        <f t="shared" si="65"/>
        <v>-0.125915804263371</v>
      </c>
      <c r="AP79" s="114">
        <f t="shared" si="65"/>
        <v>0.311398160182065</v>
      </c>
      <c r="AQ79" s="114">
        <f t="shared" si="65"/>
        <v>0.665675350029184</v>
      </c>
      <c r="AR79" s="114">
        <f t="shared" si="58"/>
        <v>1.44669249625147</v>
      </c>
      <c r="AS79" s="114">
        <f t="shared" si="65"/>
        <v>0.770373385242321</v>
      </c>
      <c r="AU79" s="114">
        <f t="shared" si="59"/>
        <v>1.05208704344049</v>
      </c>
      <c r="AV79" s="114">
        <f t="shared" si="60"/>
        <v>0.389795358552789</v>
      </c>
      <c r="AW79" s="114">
        <f t="shared" si="61"/>
        <v>0.718498589566695</v>
      </c>
      <c r="AX79" s="114">
        <f t="shared" si="62"/>
        <v>0.56217769675052</v>
      </c>
    </row>
    <row r="80" spans="1:50">
      <c r="D80" s="115" t="s">
        <v>189</v>
      </c>
      <c r="E80" s="103">
        <f>+SUMIF($B$5:$B$69,$D$80,E5:E70)</f>
        <v>8133</v>
      </c>
      <c r="F80" s="103">
        <f t="shared" ref="F80:Q80" si="66">+SUMIF($B$5:$B$69,$D$80,F5:F70)</f>
        <v>8043</v>
      </c>
      <c r="G80" s="103">
        <f t="shared" si="66"/>
        <v>11665</v>
      </c>
      <c r="H80" s="103">
        <f t="shared" si="66"/>
        <v>9911</v>
      </c>
      <c r="I80" s="103">
        <f t="shared" si="66"/>
        <v>9875</v>
      </c>
      <c r="J80" s="103">
        <f t="shared" si="66"/>
        <v>10728</v>
      </c>
      <c r="K80" s="103">
        <f t="shared" si="66"/>
        <v>11119</v>
      </c>
      <c r="L80" s="103">
        <f t="shared" si="66"/>
        <v>10758</v>
      </c>
      <c r="M80" s="103">
        <f t="shared" si="66"/>
        <v>11419</v>
      </c>
      <c r="N80" s="103">
        <f t="shared" si="66"/>
        <v>11843</v>
      </c>
      <c r="O80" s="103">
        <f t="shared" si="66"/>
        <v>10624</v>
      </c>
      <c r="P80" s="103">
        <f t="shared" si="66"/>
        <v>11000</v>
      </c>
      <c r="Q80" s="103">
        <f t="shared" si="66"/>
        <v>125118</v>
      </c>
      <c r="R80" s="62"/>
      <c r="S80" s="103">
        <f t="shared" ref="S80:AE80" si="67">+SUMIF($B$5:$B$69,$D$80,S5:S70)</f>
        <v>247.832645163256</v>
      </c>
      <c r="T80" s="103">
        <f t="shared" si="67"/>
        <v>241.79002176501</v>
      </c>
      <c r="U80" s="103">
        <f t="shared" si="67"/>
        <v>334.980716712278</v>
      </c>
      <c r="V80" s="103">
        <f t="shared" si="67"/>
        <v>285.680519765022</v>
      </c>
      <c r="W80" s="103">
        <f t="shared" si="67"/>
        <v>283.271897993431</v>
      </c>
      <c r="X80" s="103">
        <f t="shared" si="67"/>
        <v>305.931268126171</v>
      </c>
      <c r="Y80" s="103">
        <f t="shared" si="67"/>
        <v>311.483630231197</v>
      </c>
      <c r="Z80" s="103">
        <f t="shared" si="67"/>
        <v>289.896469396224</v>
      </c>
      <c r="AA80" s="103">
        <f t="shared" si="67"/>
        <v>301.899671950269</v>
      </c>
      <c r="AB80" s="103">
        <f t="shared" si="67"/>
        <v>317.104509363983</v>
      </c>
      <c r="AC80" s="103">
        <f t="shared" si="67"/>
        <v>290.08538187021</v>
      </c>
      <c r="AD80" s="103">
        <f t="shared" si="67"/>
        <v>300.064050035408</v>
      </c>
      <c r="AE80" s="103">
        <f t="shared" si="67"/>
        <v>3510.02078237246</v>
      </c>
      <c r="AF80" s="64"/>
      <c r="AG80" s="105">
        <f t="shared" ref="AG80:AS80" si="68">+SUMIF($B$5:$B$69,$D$80,AG5:AG70)</f>
        <v>15.4460981715959</v>
      </c>
      <c r="AH80" s="105">
        <f t="shared" si="68"/>
        <v>12.2412931229754</v>
      </c>
      <c r="AI80" s="105">
        <f t="shared" si="68"/>
        <v>16.7181073370404</v>
      </c>
      <c r="AJ80" s="105">
        <f t="shared" si="68"/>
        <v>10.1872310296695</v>
      </c>
      <c r="AK80" s="105">
        <f t="shared" si="68"/>
        <v>6.9439598468753</v>
      </c>
      <c r="AL80" s="105">
        <f t="shared" si="68"/>
        <v>9.87639682742029</v>
      </c>
      <c r="AM80" s="105">
        <f t="shared" si="68"/>
        <v>9.03453404389003</v>
      </c>
      <c r="AN80" s="105">
        <f t="shared" si="68"/>
        <v>11.3338208380727</v>
      </c>
      <c r="AO80" s="105">
        <f t="shared" si="68"/>
        <v>7.5279192088138</v>
      </c>
      <c r="AP80" s="105">
        <f t="shared" si="68"/>
        <v>7.69914073285219</v>
      </c>
      <c r="AQ80" s="105">
        <f t="shared" si="68"/>
        <v>6.72895805776409</v>
      </c>
      <c r="AR80" s="105">
        <f t="shared" si="58"/>
        <v>11.4734084057434</v>
      </c>
      <c r="AS80" s="105">
        <f t="shared" si="68"/>
        <v>9.58351749151538</v>
      </c>
      <c r="AU80" s="105">
        <f t="shared" si="59"/>
        <v>10.9188552913013</v>
      </c>
      <c r="AV80" s="105">
        <f t="shared" si="60"/>
        <v>9.01845836697341</v>
      </c>
      <c r="AW80" s="105">
        <f t="shared" si="61"/>
        <v>8.21415972177094</v>
      </c>
      <c r="AX80" s="105">
        <f t="shared" si="62"/>
        <v>8.5966587982816</v>
      </c>
    </row>
    <row r="81" spans="4:50">
      <c r="D81" s="115" t="s">
        <v>363</v>
      </c>
      <c r="E81" s="103">
        <f>+SUMIF($B$5:$B$69,$D$81,E5:E69)</f>
        <v>5614</v>
      </c>
      <c r="F81" s="103">
        <f t="shared" ref="F81:Q81" si="69">+SUMIF($B$5:$B$69,$D$81,F5:F69)</f>
        <v>5857.0000000001</v>
      </c>
      <c r="G81" s="103">
        <f t="shared" si="69"/>
        <v>6506</v>
      </c>
      <c r="H81" s="103">
        <f t="shared" si="69"/>
        <v>6708</v>
      </c>
      <c r="I81" s="103">
        <f t="shared" si="69"/>
        <v>6771.99999999961</v>
      </c>
      <c r="J81" s="103">
        <f t="shared" si="69"/>
        <v>6266</v>
      </c>
      <c r="K81" s="103">
        <f t="shared" si="69"/>
        <v>7610</v>
      </c>
      <c r="L81" s="103">
        <f t="shared" si="69"/>
        <v>3352</v>
      </c>
      <c r="M81" s="103">
        <f t="shared" si="69"/>
        <v>3824</v>
      </c>
      <c r="N81" s="103">
        <f t="shared" si="69"/>
        <v>8241</v>
      </c>
      <c r="O81" s="103">
        <f t="shared" si="69"/>
        <v>6440.9999999987</v>
      </c>
      <c r="P81" s="103">
        <f t="shared" si="69"/>
        <v>-629.9999999999</v>
      </c>
      <c r="Q81" s="103">
        <f t="shared" si="69"/>
        <v>66560.9999999985</v>
      </c>
      <c r="R81" s="62"/>
      <c r="S81" s="103">
        <f t="shared" ref="S81:AE81" si="70">+SUMIF($B$5:$B$69,$D$81,S5:S69)</f>
        <v>171.072478783539</v>
      </c>
      <c r="T81" s="103">
        <f t="shared" si="70"/>
        <v>176.074121282816</v>
      </c>
      <c r="U81" s="103">
        <f t="shared" si="70"/>
        <v>186.831079548228</v>
      </c>
      <c r="V81" s="103">
        <f t="shared" si="70"/>
        <v>193.355355320731</v>
      </c>
      <c r="W81" s="103">
        <f t="shared" si="70"/>
        <v>194.259979059383</v>
      </c>
      <c r="X81" s="103">
        <f t="shared" si="70"/>
        <v>178.688043072202</v>
      </c>
      <c r="Y81" s="103">
        <f t="shared" si="70"/>
        <v>213.183777863064</v>
      </c>
      <c r="Z81" s="103">
        <f t="shared" si="70"/>
        <v>90.3265444707328</v>
      </c>
      <c r="AA81" s="103">
        <f t="shared" si="70"/>
        <v>101.100301737265</v>
      </c>
      <c r="AB81" s="103">
        <f t="shared" si="70"/>
        <v>220.65847012316</v>
      </c>
      <c r="AC81" s="103">
        <f t="shared" si="70"/>
        <v>175.869723703468</v>
      </c>
      <c r="AD81" s="103">
        <f t="shared" si="70"/>
        <v>-17.1854865020251</v>
      </c>
      <c r="AE81" s="103">
        <f t="shared" si="70"/>
        <v>1884.23438846256</v>
      </c>
      <c r="AF81" s="64"/>
      <c r="AG81" s="105">
        <f t="shared" ref="AG81:AS81" si="71">+SUMIF($B$5:$B$69,$D$81,AG5:AG69)</f>
        <v>10.6620429282355</v>
      </c>
      <c r="AH81" s="105">
        <f t="shared" si="71"/>
        <v>8.91424267328959</v>
      </c>
      <c r="AI81" s="105">
        <f t="shared" si="71"/>
        <v>9.32430401498369</v>
      </c>
      <c r="AJ81" s="105">
        <f t="shared" si="71"/>
        <v>6.89495971617627</v>
      </c>
      <c r="AK81" s="105">
        <f t="shared" si="71"/>
        <v>4.7619742868898</v>
      </c>
      <c r="AL81" s="105">
        <f t="shared" si="71"/>
        <v>5.76859643182471</v>
      </c>
      <c r="AM81" s="105">
        <f t="shared" si="71"/>
        <v>6.18336217951283</v>
      </c>
      <c r="AN81" s="105">
        <f t="shared" si="71"/>
        <v>3.53141545354339</v>
      </c>
      <c r="AO81" s="105">
        <f t="shared" si="71"/>
        <v>2.52095306546142</v>
      </c>
      <c r="AP81" s="105">
        <f t="shared" si="71"/>
        <v>5.35747857632651</v>
      </c>
      <c r="AQ81" s="105">
        <f t="shared" si="71"/>
        <v>4.07955749718089</v>
      </c>
      <c r="AR81" s="105">
        <f t="shared" si="58"/>
        <v>-0.657113390510654</v>
      </c>
      <c r="AS81" s="105">
        <f t="shared" si="71"/>
        <v>5.12241755682332</v>
      </c>
      <c r="AU81" s="105">
        <f t="shared" si="59"/>
        <v>7.06907975782957</v>
      </c>
      <c r="AV81" s="105">
        <f t="shared" si="60"/>
        <v>4.03968314451084</v>
      </c>
      <c r="AW81" s="105">
        <f t="shared" si="61"/>
        <v>3.43451975848441</v>
      </c>
      <c r="AX81" s="105">
        <f t="shared" si="62"/>
        <v>3.72231638436944</v>
      </c>
    </row>
    <row r="82" spans="4:50">
      <c r="D82" s="115" t="s">
        <v>191</v>
      </c>
      <c r="E82" s="103">
        <f>+SUMIF($B$5:$B$69,$D$82,E5:E69)</f>
        <v>4197</v>
      </c>
      <c r="F82" s="103">
        <f t="shared" ref="F82:Q82" si="72">+SUMIF($B$5:$B$69,$D$82,F5:F69)</f>
        <v>5051</v>
      </c>
      <c r="G82" s="103">
        <f t="shared" si="72"/>
        <v>5506</v>
      </c>
      <c r="H82" s="103">
        <f t="shared" si="72"/>
        <v>6169</v>
      </c>
      <c r="I82" s="103">
        <f t="shared" si="72"/>
        <v>6194</v>
      </c>
      <c r="J82" s="103">
        <f t="shared" si="72"/>
        <v>6537</v>
      </c>
      <c r="K82" s="103">
        <f t="shared" si="72"/>
        <v>6734</v>
      </c>
      <c r="L82" s="103">
        <f t="shared" si="72"/>
        <v>6982</v>
      </c>
      <c r="M82" s="103">
        <f t="shared" si="72"/>
        <v>5739</v>
      </c>
      <c r="N82" s="103">
        <f t="shared" si="72"/>
        <v>7268</v>
      </c>
      <c r="O82" s="103">
        <f t="shared" si="72"/>
        <v>7411</v>
      </c>
      <c r="P82" s="103">
        <f t="shared" si="72"/>
        <v>7505</v>
      </c>
      <c r="Q82" s="103">
        <f t="shared" si="72"/>
        <v>75293</v>
      </c>
      <c r="R82" s="62"/>
      <c r="S82" s="103">
        <f t="shared" ref="S82:AE82" si="73">+SUMIF($B$5:$B$69,$D$82,S5:S69)</f>
        <v>127.892980665214</v>
      </c>
      <c r="T82" s="103">
        <f t="shared" si="73"/>
        <v>151.844013419752</v>
      </c>
      <c r="U82" s="103">
        <f t="shared" si="73"/>
        <v>158.114344296426</v>
      </c>
      <c r="V82" s="103">
        <f t="shared" si="73"/>
        <v>177.818900860702</v>
      </c>
      <c r="W82" s="103">
        <f t="shared" si="73"/>
        <v>177.679608726209</v>
      </c>
      <c r="X82" s="103">
        <f t="shared" si="73"/>
        <v>186.416172608201</v>
      </c>
      <c r="Y82" s="103">
        <f t="shared" si="73"/>
        <v>188.643831817329</v>
      </c>
      <c r="Z82" s="103">
        <f t="shared" si="73"/>
        <v>188.144371567618</v>
      </c>
      <c r="AA82" s="103">
        <f t="shared" si="73"/>
        <v>151.729767696172</v>
      </c>
      <c r="AB82" s="103">
        <f t="shared" si="73"/>
        <v>194.605722710245</v>
      </c>
      <c r="AC82" s="103">
        <f t="shared" si="73"/>
        <v>202.355305444289</v>
      </c>
      <c r="AD82" s="103">
        <f t="shared" si="73"/>
        <v>204.725517774158</v>
      </c>
      <c r="AE82" s="103">
        <f t="shared" si="73"/>
        <v>2109.97053758631</v>
      </c>
      <c r="AF82" s="64"/>
      <c r="AG82" s="105">
        <f t="shared" ref="AG82:AS82" si="74">+SUMIF($B$5:$B$69,$D$82,AG5:AG69)</f>
        <v>7.97089315457863</v>
      </c>
      <c r="AH82" s="105">
        <f t="shared" si="74"/>
        <v>7.68752599330458</v>
      </c>
      <c r="AI82" s="105">
        <f t="shared" si="74"/>
        <v>7.89111864532743</v>
      </c>
      <c r="AJ82" s="105">
        <f t="shared" si="74"/>
        <v>6.3409371629534</v>
      </c>
      <c r="AK82" s="105">
        <f t="shared" si="74"/>
        <v>4.3555328902831</v>
      </c>
      <c r="AL82" s="105">
        <f t="shared" si="74"/>
        <v>6.01808408471723</v>
      </c>
      <c r="AM82" s="105">
        <f t="shared" si="74"/>
        <v>5.47158487737705</v>
      </c>
      <c r="AN82" s="105">
        <f t="shared" si="74"/>
        <v>7.3557108283532</v>
      </c>
      <c r="AO82" s="105">
        <f t="shared" si="74"/>
        <v>3.78340733333763</v>
      </c>
      <c r="AP82" s="105">
        <f t="shared" si="74"/>
        <v>4.72493074781472</v>
      </c>
      <c r="AQ82" s="105">
        <f t="shared" si="74"/>
        <v>4.69392960900693</v>
      </c>
      <c r="AR82" s="105">
        <f t="shared" si="58"/>
        <v>7.8279936441004</v>
      </c>
      <c r="AS82" s="105">
        <f t="shared" si="74"/>
        <v>5.76091732991764</v>
      </c>
      <c r="AU82" s="105">
        <f t="shared" si="59"/>
        <v>6.29479540612093</v>
      </c>
      <c r="AV82" s="105">
        <f t="shared" si="60"/>
        <v>5.27678961532283</v>
      </c>
      <c r="AW82" s="105">
        <f t="shared" si="61"/>
        <v>5.44759208627154</v>
      </c>
      <c r="AX82" s="105">
        <f t="shared" si="62"/>
        <v>5.3663638164077</v>
      </c>
    </row>
    <row r="83" spans="4:50">
      <c r="D83" s="116" t="s">
        <v>192</v>
      </c>
      <c r="E83" s="107">
        <f>+SUMIF($B$5:$B$69,$D$83,E5:E69)</f>
        <v>6788</v>
      </c>
      <c r="F83" s="107">
        <f t="shared" ref="F83:Q83" si="75">+SUMIF($B$5:$B$69,$D$83,F5:F69)</f>
        <v>6154</v>
      </c>
      <c r="G83" s="107">
        <f t="shared" si="75"/>
        <v>7000</v>
      </c>
      <c r="H83" s="107">
        <f t="shared" si="75"/>
        <v>6400</v>
      </c>
      <c r="I83" s="107">
        <f t="shared" si="75"/>
        <v>6406</v>
      </c>
      <c r="J83" s="107">
        <f t="shared" si="75"/>
        <v>7002</v>
      </c>
      <c r="K83" s="107">
        <f t="shared" si="75"/>
        <v>7484</v>
      </c>
      <c r="L83" s="107">
        <f t="shared" si="75"/>
        <v>7513</v>
      </c>
      <c r="M83" s="107">
        <f t="shared" si="75"/>
        <v>7046</v>
      </c>
      <c r="N83" s="107">
        <f t="shared" si="75"/>
        <v>7561</v>
      </c>
      <c r="O83" s="107">
        <f t="shared" si="75"/>
        <v>7901</v>
      </c>
      <c r="P83" s="107">
        <f t="shared" si="75"/>
        <v>4736.0000000002</v>
      </c>
      <c r="Q83" s="107">
        <f t="shared" si="75"/>
        <v>81991.0000000002</v>
      </c>
      <c r="R83" s="62"/>
      <c r="S83" s="107">
        <f t="shared" ref="S83:AE83" si="76">+SUMIF($B$5:$B$69,$D$83,S5:S69)</f>
        <v>206.847165297945</v>
      </c>
      <c r="T83" s="107">
        <f t="shared" si="76"/>
        <v>185.002585346497</v>
      </c>
      <c r="U83" s="107">
        <f t="shared" si="76"/>
        <v>201.017146762619</v>
      </c>
      <c r="V83" s="107">
        <f t="shared" si="76"/>
        <v>184.477381343572</v>
      </c>
      <c r="W83" s="107">
        <f t="shared" si="76"/>
        <v>183.760990232498</v>
      </c>
      <c r="X83" s="107">
        <f t="shared" si="76"/>
        <v>199.676616276981</v>
      </c>
      <c r="Y83" s="107">
        <f t="shared" si="76"/>
        <v>209.654059596211</v>
      </c>
      <c r="Z83" s="107">
        <f t="shared" si="76"/>
        <v>202.453260324766</v>
      </c>
      <c r="AA83" s="107">
        <f t="shared" si="76"/>
        <v>186.284708692669</v>
      </c>
      <c r="AB83" s="107">
        <f t="shared" si="76"/>
        <v>202.451000194298</v>
      </c>
      <c r="AC83" s="107">
        <f t="shared" si="76"/>
        <v>215.734619931902</v>
      </c>
      <c r="AD83" s="107">
        <f t="shared" si="76"/>
        <v>129.19121281525</v>
      </c>
      <c r="AE83" s="107">
        <f t="shared" si="76"/>
        <v>2306.55074681521</v>
      </c>
      <c r="AF83" s="64"/>
      <c r="AG83" s="109">
        <f t="shared" ref="AG83:AS83" si="77">+SUMIF($B$5:$B$69,$D$83,AG5:AG69)</f>
        <v>12.8916899531284</v>
      </c>
      <c r="AH83" s="109">
        <f t="shared" si="77"/>
        <v>9.36627102807293</v>
      </c>
      <c r="AI83" s="109">
        <f t="shared" si="77"/>
        <v>10.0322975875939</v>
      </c>
      <c r="AJ83" s="109">
        <f t="shared" si="77"/>
        <v>6.57837540004892</v>
      </c>
      <c r="AK83" s="109">
        <f t="shared" si="77"/>
        <v>4.50460828142614</v>
      </c>
      <c r="AL83" s="109">
        <f t="shared" si="77"/>
        <v>6.44617175480955</v>
      </c>
      <c r="AM83" s="109">
        <f t="shared" si="77"/>
        <v>6.0809832524933</v>
      </c>
      <c r="AN83" s="109">
        <f t="shared" si="77"/>
        <v>7.91513254847001</v>
      </c>
      <c r="AO83" s="109">
        <f t="shared" si="77"/>
        <v>4.64504061172625</v>
      </c>
      <c r="AP83" s="109">
        <f t="shared" si="77"/>
        <v>4.91541020696575</v>
      </c>
      <c r="AQ83" s="109">
        <f t="shared" si="77"/>
        <v>5.00428253147534</v>
      </c>
      <c r="AR83" s="109">
        <f t="shared" si="58"/>
        <v>4.93982383723664</v>
      </c>
      <c r="AS83" s="109">
        <f t="shared" si="77"/>
        <v>6.29764630972655</v>
      </c>
      <c r="AU83" s="109">
        <f t="shared" si="59"/>
        <v>7.45778515011604</v>
      </c>
      <c r="AV83" s="109">
        <f t="shared" si="60"/>
        <v>5.97442095681513</v>
      </c>
      <c r="AW83" s="109">
        <f t="shared" si="61"/>
        <v>4.95587897638253</v>
      </c>
      <c r="AX83" s="109">
        <f t="shared" si="62"/>
        <v>5.44026542813981</v>
      </c>
    </row>
    <row r="84" spans="4:50">
      <c r="E84" s="110">
        <f>SUM(E78:E83)</f>
        <v>30891</v>
      </c>
      <c r="F84" s="110">
        <f t="shared" ref="F84:Q84" si="78">SUM(F78:F83)</f>
        <v>31763.0000000001</v>
      </c>
      <c r="G84" s="110">
        <f t="shared" si="78"/>
        <v>37097</v>
      </c>
      <c r="H84" s="110">
        <f t="shared" si="78"/>
        <v>44358</v>
      </c>
      <c r="I84" s="110">
        <f t="shared" si="78"/>
        <v>43388.9999999996</v>
      </c>
      <c r="J84" s="110">
        <f t="shared" si="78"/>
        <v>46605</v>
      </c>
      <c r="K84" s="110">
        <f t="shared" si="78"/>
        <v>46315</v>
      </c>
      <c r="L84" s="110">
        <f t="shared" si="78"/>
        <v>41842</v>
      </c>
      <c r="M84" s="110">
        <f t="shared" si="78"/>
        <v>43709</v>
      </c>
      <c r="N84" s="110">
        <f t="shared" si="78"/>
        <v>51685</v>
      </c>
      <c r="O84" s="110">
        <f t="shared" si="78"/>
        <v>48732.9999999987</v>
      </c>
      <c r="P84" s="110">
        <f t="shared" si="78"/>
        <v>37302.0000000003</v>
      </c>
      <c r="Q84" s="110">
        <f t="shared" si="78"/>
        <v>503688.999999999</v>
      </c>
      <c r="R84" s="62"/>
      <c r="S84" s="110">
        <f t="shared" ref="S84:AD84" si="79">SUM(S78:S83)</f>
        <v>941.325247969771</v>
      </c>
      <c r="T84" s="110">
        <f t="shared" si="79"/>
        <v>954.864660117125</v>
      </c>
      <c r="U84" s="110">
        <f t="shared" si="79"/>
        <v>1065.30472763612</v>
      </c>
      <c r="V84" s="110">
        <f t="shared" si="79"/>
        <v>1278.60120025596</v>
      </c>
      <c r="W84" s="110">
        <f t="shared" si="79"/>
        <v>1244.64651969994</v>
      </c>
      <c r="X84" s="110">
        <f t="shared" si="79"/>
        <v>1329.03866060964</v>
      </c>
      <c r="Y84" s="110">
        <f t="shared" si="79"/>
        <v>1297.45159943861</v>
      </c>
      <c r="Z84" s="110">
        <f t="shared" si="79"/>
        <v>1127.51887641539</v>
      </c>
      <c r="AA84" s="110">
        <f t="shared" si="79"/>
        <v>1155.59442694407</v>
      </c>
      <c r="AB84" s="110">
        <f t="shared" si="79"/>
        <v>1383.90159304884</v>
      </c>
      <c r="AC84" s="110">
        <f t="shared" si="79"/>
        <v>1330.64108760171</v>
      </c>
      <c r="AD84" s="110">
        <f t="shared" si="79"/>
        <v>1017.54447222008</v>
      </c>
      <c r="AE84" s="110">
        <f t="shared" ref="AE84" si="80">SUM(AE78:AE83)</f>
        <v>14126.4330719573</v>
      </c>
      <c r="AF84" s="64"/>
      <c r="AG84" s="111">
        <f t="shared" ref="AG84:AQ84" si="81">SUM(AG78:AG83)</f>
        <v>58.6678247410266</v>
      </c>
      <c r="AH84" s="111">
        <f t="shared" si="81"/>
        <v>48.3426822659541</v>
      </c>
      <c r="AI84" s="111">
        <f t="shared" si="81"/>
        <v>53.1668776581387</v>
      </c>
      <c r="AJ84" s="111">
        <f t="shared" si="81"/>
        <v>45.5943087492766</v>
      </c>
      <c r="AK84" s="111">
        <f t="shared" si="81"/>
        <v>30.5105289920071</v>
      </c>
      <c r="AL84" s="111">
        <f t="shared" si="81"/>
        <v>42.905431966995</v>
      </c>
      <c r="AM84" s="111">
        <f t="shared" si="81"/>
        <v>37.6323809913452</v>
      </c>
      <c r="AN84" s="111">
        <f t="shared" si="81"/>
        <v>44.0815887252871</v>
      </c>
      <c r="AO84" s="111">
        <f t="shared" si="81"/>
        <v>28.814941824857</v>
      </c>
      <c r="AP84" s="111">
        <f t="shared" si="81"/>
        <v>33.6004465741337</v>
      </c>
      <c r="AQ84" s="111">
        <f t="shared" si="81"/>
        <v>30.8661815727606</v>
      </c>
      <c r="AR84" s="111">
        <f t="shared" si="58"/>
        <v>38.907370941004</v>
      </c>
      <c r="AS84" s="97">
        <f t="shared" ref="AS84" si="82">SUM(AS78:AS83)</f>
        <v>38.5476684291495</v>
      </c>
      <c r="AU84" s="97">
        <f>SUM(AU78:AU83)</f>
        <v>43.7771432554984</v>
      </c>
      <c r="AV84" s="97">
        <f>SUM(AV78:AV83)</f>
        <v>35.7488084225888</v>
      </c>
      <c r="AW84" s="97">
        <f t="shared" si="61"/>
        <v>33.7898338874661</v>
      </c>
      <c r="AX84" s="97">
        <f t="shared" si="62"/>
        <v>34.72146041085</v>
      </c>
    </row>
  </sheetData>
  <autoFilter xmlns:etc="http://www.wps.cn/officeDocument/2017/etCustomData" ref="A1:AS9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C248" sqref="C248"/>
    </sheetView>
  </sheetViews>
  <sheetFormatPr defaultColWidth="9" defaultRowHeight="9.6" outlineLevelCol="7"/>
  <cols>
    <col min="1" max="1" width="10.1111111111111" style="45" customWidth="1"/>
    <col min="2" max="2" width="27.8888888888889" style="45" customWidth="1"/>
    <col min="3" max="3" width="15.1111111111111" style="45" customWidth="1"/>
    <col min="4" max="4" width="11.5555555555556" style="46" customWidth="1"/>
    <col min="5" max="5" width="9" style="47" customWidth="1"/>
    <col min="6" max="6" width="8.88888888888889" style="45"/>
    <col min="7" max="7" width="11" style="45" customWidth="1"/>
    <col min="8" max="8" width="9.66666666666667" style="45" customWidth="1"/>
    <col min="9" max="16384" width="8.88888888888889" style="45"/>
  </cols>
  <sheetData>
    <row r="1" spans="1:5">
      <c r="A1" s="44" t="s">
        <v>420</v>
      </c>
      <c r="B1" s="48" t="s">
        <v>421</v>
      </c>
      <c r="C1" s="49" t="s">
        <v>422</v>
      </c>
      <c r="D1" s="50" t="s">
        <v>423</v>
      </c>
      <c r="E1" s="51" t="s">
        <v>424</v>
      </c>
    </row>
    <row r="2" spans="1:5">
      <c r="A2" s="45">
        <v>5001010206</v>
      </c>
      <c r="B2" s="45" t="s">
        <v>425</v>
      </c>
      <c r="C2" s="52">
        <v>0.00032</v>
      </c>
      <c r="D2" s="46">
        <v>0.00051</v>
      </c>
      <c r="E2" s="47">
        <v>0.00044</v>
      </c>
    </row>
    <row r="3" spans="1:5">
      <c r="A3" s="45">
        <v>5102040000</v>
      </c>
      <c r="B3" s="45" t="s">
        <v>426</v>
      </c>
      <c r="C3" s="52">
        <v>-0.00132</v>
      </c>
      <c r="D3" s="46">
        <v>0</v>
      </c>
    </row>
    <row r="4" spans="1:5">
      <c r="A4" s="45">
        <v>5102040406</v>
      </c>
      <c r="B4" s="45" t="s">
        <v>427</v>
      </c>
      <c r="C4" s="52">
        <v>-3.26972</v>
      </c>
      <c r="D4" s="46">
        <v>-1.70578</v>
      </c>
      <c r="E4" s="47">
        <v>-1.70578</v>
      </c>
    </row>
    <row r="5" spans="1:5">
      <c r="A5" s="45">
        <v>5102040898</v>
      </c>
      <c r="B5" s="45" t="s">
        <v>428</v>
      </c>
      <c r="C5" s="52">
        <v>-6.83659</v>
      </c>
      <c r="D5" s="46">
        <v>-4.90636</v>
      </c>
      <c r="E5" s="47">
        <v>-4.84515</v>
      </c>
    </row>
    <row r="6" spans="1:5">
      <c r="A6" s="45">
        <v>5301060000</v>
      </c>
      <c r="B6" s="53" t="s">
        <v>429</v>
      </c>
      <c r="C6" s="52"/>
      <c r="E6" s="47">
        <v>-0.259</v>
      </c>
    </row>
    <row r="7" spans="1:5">
      <c r="A7" s="45">
        <v>5301999999</v>
      </c>
      <c r="B7" s="53" t="s">
        <v>430</v>
      </c>
      <c r="C7" s="52"/>
      <c r="E7" s="47">
        <v>-29.49912</v>
      </c>
    </row>
    <row r="8" spans="1:5">
      <c r="A8" s="45">
        <v>5405030000</v>
      </c>
      <c r="B8" s="45" t="s">
        <v>431</v>
      </c>
      <c r="C8" s="52">
        <v>0</v>
      </c>
      <c r="D8" s="46">
        <v>0</v>
      </c>
      <c r="E8" s="47">
        <v>0</v>
      </c>
    </row>
    <row r="9" spans="1:5">
      <c r="A9" s="45">
        <v>5601050100</v>
      </c>
      <c r="B9" s="45" t="s">
        <v>432</v>
      </c>
      <c r="C9" s="52">
        <v>0.08115</v>
      </c>
      <c r="D9" s="46">
        <v>0.03196</v>
      </c>
      <c r="E9" s="47">
        <v>0.00082</v>
      </c>
    </row>
    <row r="10" spans="1:5">
      <c r="A10" s="45">
        <v>5601080000</v>
      </c>
      <c r="B10" s="45" t="s">
        <v>433</v>
      </c>
      <c r="C10" s="52">
        <v>0.00192</v>
      </c>
      <c r="D10" s="46">
        <v>0</v>
      </c>
    </row>
    <row r="11" spans="1:5">
      <c r="A11" s="45">
        <v>5801000041</v>
      </c>
      <c r="B11" s="45" t="s">
        <v>434</v>
      </c>
      <c r="C11" s="52">
        <v>0.0003</v>
      </c>
      <c r="D11" s="46">
        <v>0</v>
      </c>
    </row>
    <row r="12" spans="1:5">
      <c r="A12" s="45">
        <v>6666010012</v>
      </c>
      <c r="B12" s="45" t="s">
        <v>435</v>
      </c>
      <c r="C12" s="52">
        <v>0.01229</v>
      </c>
      <c r="D12" s="46">
        <v>0.02021</v>
      </c>
      <c r="E12" s="47">
        <v>0.01464</v>
      </c>
    </row>
    <row r="13" spans="1:5">
      <c r="A13" s="45">
        <v>6666010101</v>
      </c>
      <c r="B13" s="45" t="s">
        <v>436</v>
      </c>
      <c r="C13" s="52">
        <v>17.66985</v>
      </c>
      <c r="D13" s="46">
        <v>20.60954</v>
      </c>
      <c r="E13" s="47">
        <v>17.64474</v>
      </c>
    </row>
    <row r="14" spans="1:5">
      <c r="A14" s="45">
        <v>6666010102</v>
      </c>
      <c r="B14" s="45" t="s">
        <v>437</v>
      </c>
      <c r="C14" s="52">
        <v>0.10948</v>
      </c>
      <c r="D14" s="46">
        <v>0.13946</v>
      </c>
      <c r="E14" s="47">
        <v>0.11056</v>
      </c>
    </row>
    <row r="15" spans="1:5">
      <c r="A15" s="45">
        <v>6666010196</v>
      </c>
      <c r="B15" s="45" t="s">
        <v>438</v>
      </c>
      <c r="C15" s="52">
        <v>3.26206</v>
      </c>
      <c r="D15" s="46">
        <v>2.84814</v>
      </c>
      <c r="E15" s="47">
        <v>3.30722</v>
      </c>
    </row>
    <row r="16" spans="1:5">
      <c r="A16" s="45">
        <v>6666010199</v>
      </c>
      <c r="B16" s="45" t="s">
        <v>439</v>
      </c>
      <c r="C16" s="52">
        <v>14.37947</v>
      </c>
      <c r="D16" s="46">
        <v>3.44713</v>
      </c>
      <c r="E16" s="47">
        <v>2.49656</v>
      </c>
    </row>
    <row r="17" spans="1:7">
      <c r="A17" s="45">
        <v>6666010207</v>
      </c>
      <c r="B17" s="45" t="s">
        <v>440</v>
      </c>
      <c r="C17" s="52">
        <v>0.27156</v>
      </c>
      <c r="D17" s="46">
        <v>0.22877</v>
      </c>
      <c r="E17" s="47">
        <v>0.26934</v>
      </c>
      <c r="G17" s="54"/>
    </row>
    <row r="18" spans="1:7">
      <c r="A18" s="45">
        <v>6666010227</v>
      </c>
      <c r="B18" s="45" t="s">
        <v>441</v>
      </c>
      <c r="C18" s="52">
        <v>0.28814</v>
      </c>
      <c r="D18" s="46">
        <v>0.22493</v>
      </c>
      <c r="E18" s="47">
        <v>0.23419</v>
      </c>
      <c r="G18" s="54"/>
    </row>
    <row r="19" spans="1:7">
      <c r="A19" s="45">
        <v>6666010314</v>
      </c>
      <c r="B19" s="45" t="s">
        <v>442</v>
      </c>
      <c r="C19" s="52">
        <v>0.02448</v>
      </c>
      <c r="D19" s="46">
        <v>1.47906</v>
      </c>
      <c r="E19" s="47">
        <v>-0.00566</v>
      </c>
    </row>
    <row r="20" spans="1:7">
      <c r="A20" s="45">
        <v>6666010315</v>
      </c>
      <c r="B20" s="53" t="s">
        <v>443</v>
      </c>
      <c r="C20" s="52"/>
      <c r="E20" s="47">
        <v>0.05818</v>
      </c>
    </row>
    <row r="21" spans="1:7">
      <c r="A21" s="45">
        <v>6666010322</v>
      </c>
      <c r="B21" s="45" t="s">
        <v>444</v>
      </c>
      <c r="C21" s="52">
        <v>0.40045</v>
      </c>
      <c r="D21" s="46">
        <v>0.49397</v>
      </c>
      <c r="E21" s="47">
        <v>0.44881</v>
      </c>
    </row>
    <row r="22" spans="1:7">
      <c r="A22" s="45">
        <v>6666020101</v>
      </c>
      <c r="B22" s="45" t="s">
        <v>445</v>
      </c>
      <c r="C22" s="52"/>
      <c r="D22" s="55">
        <v>0.7269</v>
      </c>
      <c r="E22" s="47">
        <v>0.17451</v>
      </c>
    </row>
    <row r="23" spans="1:7">
      <c r="A23" s="45">
        <v>6666020201</v>
      </c>
      <c r="B23" s="45" t="s">
        <v>446</v>
      </c>
      <c r="C23" s="52">
        <v>0.01579</v>
      </c>
      <c r="D23" s="46">
        <v>0.10604</v>
      </c>
      <c r="E23" s="47">
        <v>0.07914</v>
      </c>
    </row>
    <row r="24" spans="1:7">
      <c r="A24" s="45">
        <v>6666020202</v>
      </c>
      <c r="B24" s="53" t="s">
        <v>447</v>
      </c>
      <c r="C24" s="52"/>
      <c r="E24" s="47">
        <v>0.20982</v>
      </c>
    </row>
    <row r="25" spans="1:7">
      <c r="A25" s="45">
        <v>6666020204</v>
      </c>
      <c r="B25" s="45" t="s">
        <v>448</v>
      </c>
      <c r="C25" s="52">
        <v>0.36923</v>
      </c>
      <c r="D25" s="46">
        <v>0.55758</v>
      </c>
      <c r="E25" s="47">
        <v>3.99017</v>
      </c>
    </row>
    <row r="26" spans="1:7">
      <c r="A26" s="45">
        <v>6666020301</v>
      </c>
      <c r="B26" s="45" t="s">
        <v>449</v>
      </c>
      <c r="C26" s="52">
        <v>0.13953</v>
      </c>
      <c r="D26" s="46">
        <v>0.01277</v>
      </c>
      <c r="E26" s="47">
        <v>0.29497</v>
      </c>
    </row>
    <row r="27" spans="1:7">
      <c r="A27" s="45">
        <v>6666020401</v>
      </c>
      <c r="B27" s="45" t="s">
        <v>450</v>
      </c>
      <c r="C27" s="52">
        <v>1.04231</v>
      </c>
      <c r="D27" s="46">
        <v>1.75512</v>
      </c>
      <c r="E27" s="47">
        <v>1.26173</v>
      </c>
    </row>
    <row r="28" spans="1:7">
      <c r="A28" s="45">
        <v>6666020495</v>
      </c>
      <c r="B28" s="45" t="s">
        <v>451</v>
      </c>
      <c r="C28" s="52">
        <v>0.04945</v>
      </c>
      <c r="D28" s="46">
        <v>0.16685</v>
      </c>
      <c r="E28" s="47">
        <v>0.46396</v>
      </c>
    </row>
    <row r="29" spans="1:7">
      <c r="A29" s="45">
        <v>6666020502</v>
      </c>
      <c r="B29" s="45" t="s">
        <v>452</v>
      </c>
      <c r="C29" s="52">
        <v>0.72683</v>
      </c>
      <c r="D29" s="46">
        <v>2.13294</v>
      </c>
      <c r="E29" s="47">
        <v>-0.78859</v>
      </c>
    </row>
    <row r="30" spans="1:7">
      <c r="A30" s="45">
        <v>6666020503</v>
      </c>
      <c r="B30" s="45" t="s">
        <v>453</v>
      </c>
      <c r="C30" s="52">
        <v>-0.06503</v>
      </c>
      <c r="D30" s="46">
        <v>0.03458</v>
      </c>
      <c r="E30" s="47">
        <v>0.19721</v>
      </c>
    </row>
    <row r="31" spans="1:7">
      <c r="A31" s="45">
        <v>6666020508</v>
      </c>
      <c r="B31" s="45" t="s">
        <v>454</v>
      </c>
      <c r="C31" s="52">
        <v>0.0818</v>
      </c>
      <c r="D31" s="46">
        <v>0.08047</v>
      </c>
      <c r="E31" s="47">
        <v>-0.00211</v>
      </c>
    </row>
    <row r="32" spans="1:7">
      <c r="A32" s="45">
        <v>6666020701</v>
      </c>
      <c r="B32" s="45" t="s">
        <v>455</v>
      </c>
      <c r="C32" s="52">
        <v>7.76949</v>
      </c>
      <c r="D32" s="46">
        <v>0</v>
      </c>
    </row>
    <row r="33" spans="1:5">
      <c r="A33" s="45">
        <v>6666020704</v>
      </c>
      <c r="B33" s="45" t="s">
        <v>456</v>
      </c>
      <c r="C33" s="52">
        <v>0</v>
      </c>
      <c r="D33" s="46">
        <v>0</v>
      </c>
    </row>
    <row r="34" spans="1:5">
      <c r="A34" s="45">
        <v>6666020801</v>
      </c>
      <c r="B34" s="45" t="s">
        <v>457</v>
      </c>
      <c r="C34" s="52">
        <v>1.41364</v>
      </c>
      <c r="D34" s="46">
        <v>0</v>
      </c>
    </row>
    <row r="35" spans="1:5">
      <c r="A35" s="45">
        <v>6666020803</v>
      </c>
      <c r="B35" s="45" t="s">
        <v>458</v>
      </c>
      <c r="C35" s="52">
        <v>8.03755</v>
      </c>
      <c r="D35" s="46">
        <v>6.1692</v>
      </c>
      <c r="E35" s="47">
        <v>5.93584</v>
      </c>
    </row>
    <row r="36" spans="1:5">
      <c r="A36" s="45">
        <v>6666020806</v>
      </c>
      <c r="B36" s="45" t="s">
        <v>459</v>
      </c>
      <c r="C36" s="52"/>
      <c r="D36" s="55">
        <v>-23.55274</v>
      </c>
      <c r="E36" s="47">
        <v>-2.81062</v>
      </c>
    </row>
    <row r="37" spans="1:5">
      <c r="A37" s="45">
        <v>6666021100</v>
      </c>
      <c r="B37" s="45" t="s">
        <v>460</v>
      </c>
      <c r="C37" s="52">
        <v>1.50925</v>
      </c>
      <c r="D37" s="46">
        <v>0</v>
      </c>
    </row>
    <row r="38" spans="1:5">
      <c r="A38" s="45">
        <v>6666021102</v>
      </c>
      <c r="B38" s="45" t="s">
        <v>461</v>
      </c>
      <c r="C38" s="52">
        <v>0.54822</v>
      </c>
      <c r="D38" s="46">
        <v>0</v>
      </c>
    </row>
    <row r="39" spans="1:5">
      <c r="A39" s="45">
        <v>6666021300</v>
      </c>
      <c r="B39" s="45" t="s">
        <v>462</v>
      </c>
      <c r="C39" s="52">
        <v>0.03259</v>
      </c>
      <c r="D39" s="46">
        <v>1e-5</v>
      </c>
      <c r="E39" s="47">
        <v>0.04671</v>
      </c>
    </row>
    <row r="40" spans="1:5">
      <c r="A40" s="45">
        <v>6666021400</v>
      </c>
      <c r="B40" s="53" t="s">
        <v>463</v>
      </c>
      <c r="C40" s="52"/>
      <c r="E40" s="47">
        <v>2.13845</v>
      </c>
    </row>
    <row r="41" spans="1:5">
      <c r="A41" s="45">
        <v>6666021502</v>
      </c>
      <c r="B41" s="45" t="s">
        <v>464</v>
      </c>
      <c r="C41" s="52">
        <v>-8e-5</v>
      </c>
      <c r="D41" s="46">
        <v>0</v>
      </c>
    </row>
    <row r="42" spans="1:5">
      <c r="A42" s="45">
        <v>6666021503</v>
      </c>
      <c r="B42" s="45" t="s">
        <v>465</v>
      </c>
      <c r="C42" s="52"/>
      <c r="D42" s="55">
        <v>0.0629</v>
      </c>
      <c r="E42" s="47">
        <v>0</v>
      </c>
    </row>
    <row r="43" spans="1:5">
      <c r="A43" s="45">
        <v>6666021505</v>
      </c>
      <c r="B43" s="53" t="s">
        <v>466</v>
      </c>
      <c r="C43" s="52"/>
      <c r="D43" s="55"/>
      <c r="E43" s="47">
        <v>0.00204</v>
      </c>
    </row>
    <row r="44" spans="1:5">
      <c r="A44" s="45">
        <v>6666021602</v>
      </c>
      <c r="B44" s="45" t="s">
        <v>467</v>
      </c>
      <c r="C44" s="52"/>
      <c r="D44" s="55">
        <v>0.19158</v>
      </c>
      <c r="E44" s="47">
        <v>0.12247</v>
      </c>
    </row>
    <row r="45" spans="1:5">
      <c r="A45" s="45">
        <v>6666021902</v>
      </c>
      <c r="B45" s="45" t="s">
        <v>468</v>
      </c>
      <c r="C45" s="52">
        <v>3.13819</v>
      </c>
      <c r="D45" s="46">
        <v>5.16973</v>
      </c>
      <c r="E45" s="47">
        <v>5.26155</v>
      </c>
    </row>
    <row r="46" spans="1:5">
      <c r="A46" s="45">
        <v>6666022100</v>
      </c>
      <c r="B46" s="45" t="s">
        <v>469</v>
      </c>
      <c r="C46" s="52">
        <v>0.19174</v>
      </c>
      <c r="D46" s="46">
        <v>0.34555</v>
      </c>
      <c r="E46" s="47">
        <v>0.28331</v>
      </c>
    </row>
    <row r="47" spans="1:5">
      <c r="A47" s="45">
        <v>6666022300</v>
      </c>
      <c r="B47" s="45" t="s">
        <v>470</v>
      </c>
      <c r="C47" s="52">
        <v>-0.00031</v>
      </c>
      <c r="D47" s="46">
        <v>0.63451</v>
      </c>
      <c r="E47" s="47">
        <v>0.69686</v>
      </c>
    </row>
    <row r="48" spans="1:5">
      <c r="A48" s="45">
        <v>6666029700</v>
      </c>
      <c r="B48" s="45" t="s">
        <v>471</v>
      </c>
      <c r="C48" s="52">
        <v>2.62157</v>
      </c>
      <c r="D48" s="46">
        <v>-4.73033</v>
      </c>
      <c r="E48" s="47">
        <v>3.67485</v>
      </c>
    </row>
    <row r="49" spans="1:8">
      <c r="A49" s="45">
        <v>6666029996</v>
      </c>
      <c r="B49" s="45" t="s">
        <v>451</v>
      </c>
      <c r="C49" s="52">
        <v>0.01312</v>
      </c>
      <c r="D49" s="46">
        <v>0.05018</v>
      </c>
      <c r="E49" s="47">
        <v>0.02309</v>
      </c>
    </row>
    <row r="50" spans="1:8">
      <c r="A50" s="45">
        <v>6666079999</v>
      </c>
      <c r="B50" s="45" t="s">
        <v>472</v>
      </c>
      <c r="C50" s="52">
        <v>17.24377</v>
      </c>
      <c r="D50" s="55">
        <v>-17.243775132</v>
      </c>
    </row>
    <row r="51" spans="1:8">
      <c r="A51" s="45">
        <v>6666093800</v>
      </c>
      <c r="B51" s="45" t="s">
        <v>473</v>
      </c>
      <c r="C51" s="52">
        <v>0.15149</v>
      </c>
      <c r="D51" s="46">
        <v>0.05103</v>
      </c>
      <c r="E51" s="47">
        <v>0.02845</v>
      </c>
    </row>
    <row r="52" spans="1:8">
      <c r="A52" s="45">
        <v>6666110101</v>
      </c>
      <c r="B52" s="45" t="s">
        <v>474</v>
      </c>
      <c r="C52" s="52">
        <v>0.05464</v>
      </c>
      <c r="D52" s="46">
        <v>0</v>
      </c>
    </row>
    <row r="53" spans="1:8">
      <c r="A53" s="45">
        <v>6666110110</v>
      </c>
      <c r="B53" s="45" t="s">
        <v>475</v>
      </c>
      <c r="C53" s="52">
        <v>0.01259</v>
      </c>
      <c r="D53" s="46">
        <v>0</v>
      </c>
    </row>
    <row r="54" spans="1:8">
      <c r="A54" s="45">
        <v>6666110112</v>
      </c>
      <c r="B54" s="45" t="s">
        <v>476</v>
      </c>
      <c r="C54" s="52">
        <v>0.14903</v>
      </c>
      <c r="D54" s="46">
        <v>0</v>
      </c>
    </row>
    <row r="55" spans="1:8">
      <c r="A55" s="45">
        <v>6666110207</v>
      </c>
      <c r="B55" s="45" t="s">
        <v>477</v>
      </c>
      <c r="C55" s="52">
        <v>0.00102</v>
      </c>
      <c r="D55" s="46">
        <v>0</v>
      </c>
    </row>
    <row r="56" spans="1:8">
      <c r="A56" s="45">
        <v>6666110404</v>
      </c>
      <c r="B56" s="45" t="s">
        <v>478</v>
      </c>
      <c r="C56" s="52"/>
      <c r="D56" s="55">
        <v>18.68627</v>
      </c>
      <c r="E56" s="47">
        <v>9.34313</v>
      </c>
      <c r="H56" s="54"/>
    </row>
    <row r="57" s="44" customFormat="1" spans="1:8">
      <c r="A57" s="45">
        <v>6666110506</v>
      </c>
      <c r="B57" s="45" t="s">
        <v>479</v>
      </c>
      <c r="C57" s="52">
        <v>0.05947</v>
      </c>
      <c r="D57" s="46"/>
      <c r="E57" s="47"/>
    </row>
    <row r="58" spans="1:8">
      <c r="B58" s="44" t="s">
        <v>480</v>
      </c>
      <c r="C58" s="56">
        <f>SUM(C2:C57)</f>
        <v>71.70073</v>
      </c>
      <c r="D58" s="50">
        <f>SUM(D2:D57)</f>
        <v>14.318904868</v>
      </c>
      <c r="E58" s="51">
        <f>SUM(E2:E57)</f>
        <v>18.89773</v>
      </c>
    </row>
  </sheetData>
  <autoFilter xmlns:etc="http://www.wps.cn/officeDocument/2017/etCustomData" ref="A1:D58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pane ySplit="1" topLeftCell="A2" activePane="bottomLeft" state="frozen"/>
      <selection/>
      <selection pane="bottomLeft" activeCell="C248" sqref="C248"/>
    </sheetView>
  </sheetViews>
  <sheetFormatPr defaultColWidth="9" defaultRowHeight="10.8"/>
  <cols>
    <col min="1" max="1" width="8.55555555555556" style="37" customWidth="1"/>
    <col min="2" max="2" width="27.5555555555556" style="37" customWidth="1"/>
    <col min="3" max="3" width="12.2222222222222" style="37" customWidth="1"/>
    <col min="4" max="4" width="13.2222222222222" style="37" customWidth="1"/>
    <col min="5" max="5" width="11.3333333333333" style="37" customWidth="1"/>
    <col min="6" max="6" width="10.3333333333333" style="37" customWidth="1"/>
    <col min="7" max="7" width="10" style="37" customWidth="1"/>
    <col min="8" max="8" width="10.2222222222222" style="37" customWidth="1"/>
    <col min="9" max="10" width="9.66666666666667" style="37" customWidth="1"/>
    <col min="11" max="11" width="10.1111111111111" style="37" customWidth="1"/>
    <col min="12" max="12" width="9" style="37" customWidth="1"/>
    <col min="13" max="13" width="9.44444444444444" style="37" customWidth="1"/>
    <col min="14" max="14" width="9.22222222222222" style="37" customWidth="1"/>
    <col min="15" max="16384" width="8.88888888888889" style="37"/>
  </cols>
  <sheetData>
    <row r="1" spans="1:14">
      <c r="A1" s="38" t="s">
        <v>420</v>
      </c>
      <c r="B1" s="38" t="s">
        <v>421</v>
      </c>
      <c r="C1" s="39" t="s">
        <v>422</v>
      </c>
      <c r="D1" s="39" t="s">
        <v>481</v>
      </c>
      <c r="E1" s="39" t="s">
        <v>482</v>
      </c>
      <c r="F1" s="39" t="s">
        <v>483</v>
      </c>
      <c r="G1" s="39" t="s">
        <v>484</v>
      </c>
      <c r="H1" s="39" t="s">
        <v>485</v>
      </c>
      <c r="I1" s="39" t="s">
        <v>486</v>
      </c>
      <c r="J1" s="39" t="s">
        <v>487</v>
      </c>
      <c r="K1" s="39" t="s">
        <v>488</v>
      </c>
      <c r="L1" s="39" t="s">
        <v>489</v>
      </c>
      <c r="M1" s="39" t="s">
        <v>490</v>
      </c>
      <c r="N1" s="39" t="s">
        <v>491</v>
      </c>
    </row>
    <row r="2" spans="1:14">
      <c r="A2" s="37">
        <v>5102020000</v>
      </c>
      <c r="B2" s="37" t="s">
        <v>492</v>
      </c>
      <c r="C2" s="40">
        <v>0</v>
      </c>
      <c r="D2" s="40">
        <v>0</v>
      </c>
      <c r="E2" s="40">
        <v>-0.4132711249352</v>
      </c>
      <c r="F2" s="40">
        <v>0</v>
      </c>
      <c r="G2" s="40">
        <v>-0.19248485450841</v>
      </c>
      <c r="H2" s="40">
        <v>-0.111974411740698</v>
      </c>
      <c r="I2" s="40">
        <v>0</v>
      </c>
      <c r="J2" s="40">
        <v>-0.0022</v>
      </c>
      <c r="K2" s="40">
        <v>-2.36463</v>
      </c>
      <c r="L2" s="40">
        <v>2.15857</v>
      </c>
      <c r="M2" s="40">
        <v>-0.09647</v>
      </c>
      <c r="N2" s="40">
        <v>-0.09115</v>
      </c>
    </row>
    <row r="3" spans="1:14">
      <c r="A3" s="37">
        <v>5102040000</v>
      </c>
      <c r="B3" s="37" t="s">
        <v>426</v>
      </c>
      <c r="C3" s="40">
        <v>-0.144664429169222</v>
      </c>
      <c r="D3" s="40">
        <v>0</v>
      </c>
      <c r="E3" s="40">
        <v>-4.29267503482638</v>
      </c>
      <c r="F3" s="40">
        <v>-4.97336846297882</v>
      </c>
      <c r="G3" s="40">
        <v>-0.00405799785862401</v>
      </c>
      <c r="H3" s="40">
        <v>-4.6245769301822</v>
      </c>
      <c r="I3" s="40">
        <v>-1.806</v>
      </c>
      <c r="J3" s="40">
        <v>-3.18186</v>
      </c>
      <c r="K3" s="40">
        <v>-0.07853</v>
      </c>
      <c r="L3" s="40">
        <v>-2.184</v>
      </c>
      <c r="M3" s="40">
        <v>-0.0055</v>
      </c>
      <c r="N3" s="40">
        <v>-5.18759</v>
      </c>
    </row>
    <row r="4" spans="1:14">
      <c r="A4" s="37">
        <v>5102040406</v>
      </c>
      <c r="B4" s="37" t="s">
        <v>427</v>
      </c>
      <c r="C4" s="40">
        <v>-4.53676138380611</v>
      </c>
      <c r="D4" s="40">
        <v>-4.53676123241654</v>
      </c>
      <c r="E4" s="40">
        <v>-4.53676142882765</v>
      </c>
      <c r="F4" s="40">
        <v>-32.7456713623191</v>
      </c>
      <c r="G4" s="40">
        <v>-5.61421688434311</v>
      </c>
      <c r="H4" s="40">
        <v>-4.53676164166985</v>
      </c>
      <c r="I4" s="40">
        <v>-7.51952</v>
      </c>
      <c r="J4" s="40">
        <v>-4.53676</v>
      </c>
      <c r="K4" s="40">
        <v>-4.53676</v>
      </c>
      <c r="L4" s="40">
        <v>-2.53944</v>
      </c>
      <c r="M4" s="40">
        <v>-4.53676</v>
      </c>
      <c r="N4" s="40">
        <v>-2.30535</v>
      </c>
    </row>
    <row r="5" spans="1:14">
      <c r="A5" s="37">
        <v>5102040897</v>
      </c>
      <c r="B5" s="37" t="s">
        <v>493</v>
      </c>
      <c r="C5" s="40">
        <v>-8.1384508019492</v>
      </c>
      <c r="D5" s="40">
        <v>0</v>
      </c>
      <c r="E5" s="40">
        <v>-0.0460732791343893</v>
      </c>
      <c r="F5" s="40">
        <v>-7.17653516703368</v>
      </c>
      <c r="G5" s="40">
        <v>-7.28159884889746</v>
      </c>
      <c r="H5" s="40">
        <v>-0.153895808182572</v>
      </c>
      <c r="I5" s="40">
        <v>0.28998</v>
      </c>
      <c r="J5" s="40">
        <v>0</v>
      </c>
      <c r="K5" s="40">
        <v>0</v>
      </c>
      <c r="L5" s="40">
        <v>0</v>
      </c>
      <c r="M5" s="40">
        <v>0</v>
      </c>
      <c r="N5" s="40">
        <v>-4.08025</v>
      </c>
    </row>
    <row r="6" spans="1:14">
      <c r="A6" s="37">
        <v>5102040898</v>
      </c>
      <c r="B6" s="37" t="s">
        <v>428</v>
      </c>
      <c r="C6" s="40">
        <v>0</v>
      </c>
      <c r="D6" s="40">
        <v>0</v>
      </c>
      <c r="E6" s="40">
        <v>0</v>
      </c>
      <c r="F6" s="40">
        <v>-8.83962271493254</v>
      </c>
      <c r="G6" s="40">
        <v>0</v>
      </c>
      <c r="H6" s="40">
        <v>-12.9348992322663</v>
      </c>
      <c r="I6" s="40">
        <v>-7.76323</v>
      </c>
      <c r="J6" s="40">
        <v>-3.93096</v>
      </c>
      <c r="K6" s="40">
        <v>-19.59987</v>
      </c>
      <c r="L6" s="40">
        <v>-1.63988</v>
      </c>
      <c r="M6" s="40">
        <v>-2.15149</v>
      </c>
      <c r="N6" s="40">
        <v>-14.30028</v>
      </c>
    </row>
    <row r="7" spans="1:14">
      <c r="A7" s="37">
        <v>5301060000</v>
      </c>
      <c r="B7" s="41" t="s">
        <v>429</v>
      </c>
      <c r="C7" s="40">
        <v>0</v>
      </c>
      <c r="D7" s="40">
        <v>0</v>
      </c>
      <c r="E7" s="40">
        <v>-0.0494045732508802</v>
      </c>
      <c r="F7" s="40">
        <v>-2.09010914301672</v>
      </c>
      <c r="G7" s="40">
        <v>0</v>
      </c>
      <c r="H7" s="40">
        <v>-2.17800079909608</v>
      </c>
      <c r="I7" s="40">
        <v>0</v>
      </c>
      <c r="J7" s="40">
        <v>0</v>
      </c>
      <c r="K7" s="40">
        <v>0</v>
      </c>
      <c r="L7" s="40">
        <v>0</v>
      </c>
      <c r="M7" s="40">
        <v>-2.03372</v>
      </c>
      <c r="N7" s="40">
        <v>0</v>
      </c>
    </row>
    <row r="8" spans="1:14">
      <c r="A8" s="37">
        <v>5601050000</v>
      </c>
      <c r="B8" s="37" t="s">
        <v>494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</row>
    <row r="9" spans="1:14">
      <c r="A9" s="37">
        <v>5601050099</v>
      </c>
      <c r="B9" s="37" t="s">
        <v>451</v>
      </c>
      <c r="C9" s="40">
        <v>0</v>
      </c>
      <c r="D9" s="40">
        <v>4.0275897543565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0.0086</v>
      </c>
      <c r="L9" s="40">
        <v>0</v>
      </c>
      <c r="M9" s="40">
        <v>0</v>
      </c>
      <c r="N9" s="40">
        <v>0</v>
      </c>
    </row>
    <row r="10" spans="1:14">
      <c r="A10" s="37">
        <v>5601050100</v>
      </c>
      <c r="B10" s="37" t="s">
        <v>432</v>
      </c>
      <c r="C10" s="40">
        <v>0</v>
      </c>
      <c r="D10" s="40">
        <v>0</v>
      </c>
      <c r="E10" s="40">
        <v>0.000289667067139419</v>
      </c>
      <c r="F10" s="40">
        <v>0.00477134446433395</v>
      </c>
      <c r="G10" s="40">
        <v>0.00255406522613202</v>
      </c>
      <c r="H10" s="40">
        <v>0</v>
      </c>
      <c r="I10" s="40">
        <v>0.04526</v>
      </c>
      <c r="J10" s="40">
        <v>0.06842</v>
      </c>
      <c r="K10" s="40">
        <v>0.10896</v>
      </c>
      <c r="L10" s="40">
        <v>0.01963</v>
      </c>
      <c r="M10" s="40">
        <v>0.04752</v>
      </c>
      <c r="N10" s="40">
        <v>0.17723</v>
      </c>
    </row>
    <row r="11" spans="1:14">
      <c r="A11" s="37">
        <v>5601080000</v>
      </c>
      <c r="B11" s="37" t="s">
        <v>433</v>
      </c>
      <c r="C11" s="40">
        <v>0</v>
      </c>
      <c r="D11" s="40">
        <v>8.88016612429141</v>
      </c>
      <c r="E11" s="40">
        <v>-8.31336743493547</v>
      </c>
      <c r="F11" s="40">
        <v>0.118408498871487</v>
      </c>
      <c r="G11" s="40">
        <v>0</v>
      </c>
      <c r="H11" s="40">
        <v>0.0501712041862323</v>
      </c>
      <c r="I11" s="40">
        <v>-0.00397</v>
      </c>
      <c r="J11" s="40">
        <v>0.26688</v>
      </c>
      <c r="K11" s="40">
        <v>0</v>
      </c>
      <c r="L11" s="40">
        <v>0.09954</v>
      </c>
      <c r="M11" s="40">
        <v>0.20324</v>
      </c>
      <c r="N11" s="40">
        <v>0</v>
      </c>
    </row>
    <row r="12" spans="1:14">
      <c r="A12" s="37">
        <v>5801000041</v>
      </c>
      <c r="B12" s="37" t="s">
        <v>434</v>
      </c>
      <c r="C12" s="40">
        <v>0.0727270037972913</v>
      </c>
      <c r="D12" s="40">
        <v>0</v>
      </c>
      <c r="E12" s="40">
        <v>0.180595746144529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0.16995</v>
      </c>
    </row>
    <row r="13" spans="1:14">
      <c r="A13" s="37">
        <v>6666010012</v>
      </c>
      <c r="B13" s="37" t="s">
        <v>435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0.00971</v>
      </c>
      <c r="J13" s="40">
        <v>0.00942</v>
      </c>
      <c r="K13" s="40">
        <v>0.00924</v>
      </c>
      <c r="L13" s="40">
        <v>0.01432</v>
      </c>
      <c r="M13" s="40">
        <v>0.01187</v>
      </c>
      <c r="N13" s="40">
        <v>0.01156</v>
      </c>
    </row>
    <row r="14" spans="1:14">
      <c r="A14" s="37">
        <v>6666010101</v>
      </c>
      <c r="B14" s="37" t="s">
        <v>436</v>
      </c>
      <c r="C14" s="40">
        <v>25.7764610965889</v>
      </c>
      <c r="D14" s="40">
        <v>26.4866762019736</v>
      </c>
      <c r="E14" s="40">
        <v>26.7516155265479</v>
      </c>
      <c r="F14" s="40">
        <v>64.9009804101104</v>
      </c>
      <c r="G14" s="40">
        <v>20.2845192972311</v>
      </c>
      <c r="H14" s="40">
        <v>18.233099117987</v>
      </c>
      <c r="I14" s="40">
        <v>17.45008</v>
      </c>
      <c r="J14" s="40">
        <v>16.85311</v>
      </c>
      <c r="K14" s="40">
        <v>16.84056</v>
      </c>
      <c r="L14" s="40">
        <v>18.01175</v>
      </c>
      <c r="M14" s="40">
        <v>15.37965</v>
      </c>
      <c r="N14" s="40">
        <v>15.07566</v>
      </c>
    </row>
    <row r="15" spans="1:14">
      <c r="A15" s="37">
        <v>6666010102</v>
      </c>
      <c r="B15" s="37" t="s">
        <v>437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0.03924</v>
      </c>
      <c r="J15" s="40">
        <v>0.03802</v>
      </c>
      <c r="K15" s="40">
        <v>0.12268</v>
      </c>
      <c r="L15" s="40">
        <v>0.20314</v>
      </c>
      <c r="M15" s="40">
        <v>0.16952</v>
      </c>
      <c r="N15" s="40">
        <v>0.135</v>
      </c>
    </row>
    <row r="16" spans="1:14">
      <c r="A16" s="37">
        <v>6666010185</v>
      </c>
      <c r="B16" s="41" t="s">
        <v>495</v>
      </c>
      <c r="C16" s="40">
        <v>0</v>
      </c>
      <c r="D16" s="40">
        <v>0</v>
      </c>
      <c r="E16" s="40">
        <v>0</v>
      </c>
      <c r="F16" s="40">
        <v>0</v>
      </c>
      <c r="G16" s="40">
        <v>4.51767086960647e-7</v>
      </c>
      <c r="H16" s="40">
        <v>0.00525942697078144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</row>
    <row r="17" spans="1:14">
      <c r="A17" s="37">
        <v>6666010196</v>
      </c>
      <c r="B17" s="37" t="s">
        <v>438</v>
      </c>
      <c r="C17" s="40">
        <v>3.9563265778122</v>
      </c>
      <c r="D17" s="40">
        <v>4.16967483728742</v>
      </c>
      <c r="E17" s="40">
        <v>4.14453723290559</v>
      </c>
      <c r="F17" s="40">
        <v>3.43823897010012</v>
      </c>
      <c r="G17" s="40">
        <v>3.33279467637665</v>
      </c>
      <c r="H17" s="40">
        <v>2.9964369337051</v>
      </c>
      <c r="I17" s="40">
        <v>2.87736</v>
      </c>
      <c r="J17" s="40">
        <v>2.77879</v>
      </c>
      <c r="K17" s="40">
        <v>2.77072</v>
      </c>
      <c r="L17" s="40">
        <v>2.72707</v>
      </c>
      <c r="M17" s="40">
        <v>2.55543</v>
      </c>
      <c r="N17" s="40">
        <v>2.50311</v>
      </c>
    </row>
    <row r="18" spans="1:14">
      <c r="A18" s="37">
        <v>6666010199</v>
      </c>
      <c r="B18" s="37" t="s">
        <v>439</v>
      </c>
      <c r="C18" s="40">
        <v>8.06127246909995</v>
      </c>
      <c r="D18" s="40">
        <v>2.04450057736721</v>
      </c>
      <c r="E18" s="40">
        <v>2.23792648500439</v>
      </c>
      <c r="F18" s="40">
        <v>-17.0899841596125</v>
      </c>
      <c r="G18" s="40">
        <v>1.56282882996842</v>
      </c>
      <c r="H18" s="40">
        <v>0.79504775243488</v>
      </c>
      <c r="I18" s="40">
        <v>2.30754</v>
      </c>
      <c r="J18" s="40">
        <v>0.8438</v>
      </c>
      <c r="K18" s="40">
        <v>1.47994</v>
      </c>
      <c r="L18" s="40">
        <v>1.869</v>
      </c>
      <c r="M18" s="40">
        <v>0.99828</v>
      </c>
      <c r="N18" s="40">
        <v>1.35222</v>
      </c>
    </row>
    <row r="19" spans="1:14">
      <c r="A19" s="37">
        <v>6666010207</v>
      </c>
      <c r="B19" s="37" t="s">
        <v>440</v>
      </c>
      <c r="C19" s="40">
        <v>0.31226213143146</v>
      </c>
      <c r="D19" s="40">
        <v>0.324227115263489</v>
      </c>
      <c r="E19" s="40">
        <v>0.327759637756468</v>
      </c>
      <c r="F19" s="40">
        <v>0.286973341451913</v>
      </c>
      <c r="G19" s="40">
        <v>0.298745668683054</v>
      </c>
      <c r="H19" s="40">
        <v>0.267554980817398</v>
      </c>
      <c r="I19" s="40">
        <v>0.25678</v>
      </c>
      <c r="J19" s="40">
        <v>0.24858</v>
      </c>
      <c r="K19" s="40">
        <v>0.24725</v>
      </c>
      <c r="L19" s="40">
        <v>0.24328</v>
      </c>
      <c r="M19" s="40">
        <v>0.22397</v>
      </c>
      <c r="N19" s="40">
        <v>0.21982</v>
      </c>
    </row>
    <row r="20" spans="1:14">
      <c r="A20" s="37">
        <v>6666010227</v>
      </c>
      <c r="B20" s="37" t="s">
        <v>441</v>
      </c>
      <c r="C20" s="40">
        <v>0.363747162788696</v>
      </c>
      <c r="D20" s="40">
        <v>0.267086657568759</v>
      </c>
      <c r="E20" s="40">
        <v>1.97861033514406</v>
      </c>
      <c r="F20" s="40">
        <v>0.261705863232446</v>
      </c>
      <c r="G20" s="40">
        <v>0.266250965652148</v>
      </c>
      <c r="H20" s="40">
        <v>0.257086607407535</v>
      </c>
      <c r="I20" s="40">
        <v>9.04376</v>
      </c>
      <c r="J20" s="40">
        <v>0.29949</v>
      </c>
      <c r="K20" s="40">
        <v>0.29972</v>
      </c>
      <c r="L20" s="40">
        <v>0.30948</v>
      </c>
      <c r="M20" s="40">
        <v>0.28936</v>
      </c>
      <c r="N20" s="40">
        <v>0.28933</v>
      </c>
    </row>
    <row r="21" spans="1:14">
      <c r="A21" s="37">
        <v>6666010302</v>
      </c>
      <c r="B21" s="41" t="s">
        <v>496</v>
      </c>
      <c r="C21" s="40">
        <v>-1.29086391067222e-5</v>
      </c>
      <c r="D21" s="40">
        <v>-6.03611169431031e-6</v>
      </c>
      <c r="E21" s="40">
        <v>-0.000417916608315582</v>
      </c>
      <c r="F21" s="40">
        <v>-0.000136199863571229</v>
      </c>
      <c r="G21" s="40">
        <v>-3.54637163264108e-5</v>
      </c>
      <c r="H21" s="40">
        <v>2.34143742776988e-5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</row>
    <row r="22" spans="1:14">
      <c r="A22" s="37">
        <v>6666010314</v>
      </c>
      <c r="B22" s="37" t="s">
        <v>442</v>
      </c>
      <c r="C22" s="40">
        <v>0.205388550037112</v>
      </c>
      <c r="D22" s="40">
        <v>2.7185056686962</v>
      </c>
      <c r="E22" s="40">
        <v>-1.9382731518676</v>
      </c>
      <c r="F22" s="40">
        <v>0</v>
      </c>
      <c r="G22" s="40">
        <v>0</v>
      </c>
      <c r="H22" s="40">
        <v>0</v>
      </c>
      <c r="I22" s="40">
        <v>-0.0025</v>
      </c>
      <c r="J22" s="40">
        <v>0</v>
      </c>
      <c r="K22" s="40">
        <v>0.78185</v>
      </c>
      <c r="L22" s="40">
        <v>0</v>
      </c>
      <c r="M22" s="40">
        <v>-9.99999999999994e-5</v>
      </c>
      <c r="N22" s="40">
        <v>0</v>
      </c>
    </row>
    <row r="23" spans="1:14">
      <c r="A23" s="37">
        <v>6666010321</v>
      </c>
      <c r="B23" s="37" t="s">
        <v>497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0.176724608292555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</row>
    <row r="24" spans="1:14">
      <c r="A24" s="37">
        <v>6666010322</v>
      </c>
      <c r="B24" s="37" t="s">
        <v>444</v>
      </c>
      <c r="C24" s="40">
        <v>0.00564752960919095</v>
      </c>
      <c r="D24" s="40">
        <v>0.0215273986982994</v>
      </c>
      <c r="E24" s="40">
        <v>0.128851232989123</v>
      </c>
      <c r="F24" s="40">
        <v>0.0713408018166086</v>
      </c>
      <c r="G24" s="40">
        <v>0.461103531463319</v>
      </c>
      <c r="H24" s="40">
        <v>0.701393907107229</v>
      </c>
      <c r="I24" s="40">
        <v>0.40839</v>
      </c>
      <c r="J24" s="40">
        <v>0.43485</v>
      </c>
      <c r="K24" s="40">
        <v>0.38077</v>
      </c>
      <c r="L24" s="40">
        <v>0.29868</v>
      </c>
      <c r="M24" s="40">
        <v>0.47263</v>
      </c>
      <c r="N24" s="40">
        <v>0.67638</v>
      </c>
    </row>
    <row r="25" spans="1:14">
      <c r="A25" s="37">
        <v>6666020101</v>
      </c>
      <c r="B25" s="37" t="s">
        <v>445</v>
      </c>
      <c r="C25" s="40">
        <v>0</v>
      </c>
      <c r="D25" s="40">
        <v>0</v>
      </c>
      <c r="E25" s="40">
        <v>1.0395841471774</v>
      </c>
      <c r="F25" s="40">
        <v>0.103391948871258</v>
      </c>
      <c r="G25" s="40">
        <v>0.0220561727195927</v>
      </c>
      <c r="H25" s="40">
        <v>0.0207163509664337</v>
      </c>
      <c r="I25" s="40">
        <v>0.12424</v>
      </c>
      <c r="J25" s="40">
        <v>0</v>
      </c>
      <c r="K25" s="40">
        <v>0</v>
      </c>
      <c r="L25" s="40">
        <v>0</v>
      </c>
      <c r="M25" s="40">
        <v>0.06871</v>
      </c>
      <c r="N25" s="40">
        <v>0.000449999999999978</v>
      </c>
    </row>
    <row r="26" spans="1:14">
      <c r="A26" s="37">
        <v>6666020201</v>
      </c>
      <c r="B26" s="37" t="s">
        <v>446</v>
      </c>
      <c r="C26" s="40">
        <v>0.00409687933649595</v>
      </c>
      <c r="D26" s="40">
        <v>0.142657726222969</v>
      </c>
      <c r="E26" s="40">
        <v>0.171115107648537</v>
      </c>
      <c r="F26" s="40">
        <v>0.118396137875465</v>
      </c>
      <c r="G26" s="40">
        <v>0.146126774879943</v>
      </c>
      <c r="H26" s="40">
        <v>0.0171283666218428</v>
      </c>
      <c r="I26" s="40">
        <v>0.00456000000000001</v>
      </c>
      <c r="J26" s="40">
        <v>0.20416</v>
      </c>
      <c r="K26" s="40">
        <v>0.2091</v>
      </c>
      <c r="L26" s="40">
        <v>0.23436</v>
      </c>
      <c r="M26" s="40">
        <v>0.03201</v>
      </c>
      <c r="N26" s="40">
        <v>0.16649</v>
      </c>
    </row>
    <row r="27" spans="1:14">
      <c r="A27" s="37">
        <v>6666020202</v>
      </c>
      <c r="B27" s="37" t="s">
        <v>447</v>
      </c>
      <c r="C27" s="40">
        <v>0</v>
      </c>
      <c r="D27" s="40">
        <v>0.113277083770733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0.14355</v>
      </c>
      <c r="K27" s="40">
        <v>0</v>
      </c>
      <c r="L27" s="40">
        <v>0</v>
      </c>
      <c r="M27" s="40">
        <v>0</v>
      </c>
      <c r="N27" s="40">
        <v>0.00056</v>
      </c>
    </row>
    <row r="28" spans="1:14">
      <c r="A28" s="37">
        <v>6666020204</v>
      </c>
      <c r="B28" s="37" t="s">
        <v>448</v>
      </c>
      <c r="C28" s="40">
        <v>0.304549757425157</v>
      </c>
      <c r="D28" s="40">
        <v>5.36068995381062</v>
      </c>
      <c r="E28" s="40">
        <v>4.13598087558566</v>
      </c>
      <c r="F28" s="40">
        <v>4.39954081188853</v>
      </c>
      <c r="G28" s="40">
        <v>-0.257746902007201</v>
      </c>
      <c r="H28" s="40">
        <v>5.06495405197562</v>
      </c>
      <c r="I28" s="40">
        <v>0.09786</v>
      </c>
      <c r="J28" s="40">
        <v>1.16384</v>
      </c>
      <c r="K28" s="40">
        <v>6.43552</v>
      </c>
      <c r="L28" s="40">
        <v>0.57278</v>
      </c>
      <c r="M28" s="40">
        <v>4.21837</v>
      </c>
      <c r="N28" s="40">
        <v>6.52275</v>
      </c>
    </row>
    <row r="29" spans="1:14">
      <c r="A29" s="37">
        <v>6666020301</v>
      </c>
      <c r="B29" s="37" t="s">
        <v>449</v>
      </c>
      <c r="C29" s="40">
        <v>0</v>
      </c>
      <c r="D29" s="40">
        <v>0.000809888725593112</v>
      </c>
      <c r="E29" s="40">
        <v>0.663290411504131</v>
      </c>
      <c r="F29" s="40">
        <v>0.596280255826836</v>
      </c>
      <c r="G29" s="40">
        <v>0.335504375364237</v>
      </c>
      <c r="H29" s="40">
        <v>0.31647426781748</v>
      </c>
      <c r="I29" s="40">
        <v>0.25074</v>
      </c>
      <c r="J29" s="40">
        <v>-0.00783</v>
      </c>
      <c r="K29" s="40">
        <v>2.15857</v>
      </c>
      <c r="L29" s="40">
        <v>0.2072</v>
      </c>
      <c r="M29" s="40">
        <v>-0.18356</v>
      </c>
      <c r="N29" s="40">
        <v>-0.10595</v>
      </c>
    </row>
    <row r="30" spans="1:14">
      <c r="A30" s="37">
        <v>6666020401</v>
      </c>
      <c r="B30" s="37" t="s">
        <v>450</v>
      </c>
      <c r="C30" s="40">
        <v>1.5458872537946</v>
      </c>
      <c r="D30" s="40">
        <v>0</v>
      </c>
      <c r="E30" s="40">
        <v>2.74024504998538</v>
      </c>
      <c r="F30" s="40">
        <v>1.22765727078364</v>
      </c>
      <c r="G30" s="40">
        <v>0.832161298920728</v>
      </c>
      <c r="H30" s="40">
        <v>0.973512327990273</v>
      </c>
      <c r="I30" s="40">
        <v>1.01695</v>
      </c>
      <c r="J30" s="40">
        <v>1.22669</v>
      </c>
      <c r="K30" s="40">
        <v>1.31416</v>
      </c>
      <c r="L30" s="40">
        <v>-3.92339</v>
      </c>
      <c r="M30" s="40">
        <v>1.21213</v>
      </c>
      <c r="N30" s="40">
        <v>1.3905</v>
      </c>
    </row>
    <row r="31" spans="1:14">
      <c r="A31" s="37">
        <v>6666020403</v>
      </c>
      <c r="B31" s="37" t="s">
        <v>498</v>
      </c>
      <c r="C31" s="40">
        <v>0.32010520540872</v>
      </c>
      <c r="D31" s="40">
        <v>0.614712103716145</v>
      </c>
      <c r="E31" s="40">
        <v>0.460051742056268</v>
      </c>
      <c r="F31" s="40">
        <v>0.561753475957863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</row>
    <row r="32" spans="1:14">
      <c r="A32" s="37">
        <v>6666020405</v>
      </c>
      <c r="B32" s="37" t="s">
        <v>499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0.03287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</row>
    <row r="33" spans="1:14">
      <c r="A33" s="37">
        <v>6666020495</v>
      </c>
      <c r="B33" s="37" t="s">
        <v>451</v>
      </c>
      <c r="C33" s="40">
        <v>0.0303872053872054</v>
      </c>
      <c r="D33" s="40">
        <v>-3.93031938904052</v>
      </c>
      <c r="E33" s="40">
        <v>0.0281026192880431</v>
      </c>
      <c r="F33" s="40">
        <v>0.119297574955706</v>
      </c>
      <c r="G33" s="40">
        <v>0.0305118972862351</v>
      </c>
      <c r="H33" s="40">
        <v>7.90503645338821e-5</v>
      </c>
      <c r="I33" s="40">
        <v>0.03034</v>
      </c>
      <c r="J33" s="40">
        <v>0.0119</v>
      </c>
      <c r="K33" s="40">
        <v>-0.00318</v>
      </c>
      <c r="L33" s="40">
        <v>0.42549</v>
      </c>
      <c r="M33" s="40">
        <v>-0.05763</v>
      </c>
      <c r="N33" s="40">
        <v>0.17656</v>
      </c>
    </row>
    <row r="34" spans="1:14">
      <c r="A34" s="37">
        <v>6666020502</v>
      </c>
      <c r="B34" s="37" t="s">
        <v>452</v>
      </c>
      <c r="C34" s="40">
        <v>3.03723496950334</v>
      </c>
      <c r="D34" s="40">
        <v>-1.0119215830359</v>
      </c>
      <c r="E34" s="40">
        <v>3.8278522624251</v>
      </c>
      <c r="F34" s="40">
        <v>1.32278131566779</v>
      </c>
      <c r="G34" s="40">
        <v>1.78163092436064</v>
      </c>
      <c r="H34" s="40">
        <v>1.06315565618247</v>
      </c>
      <c r="I34" s="40">
        <v>1.50432</v>
      </c>
      <c r="J34" s="40">
        <v>1.28134</v>
      </c>
      <c r="K34" s="40">
        <v>1.6095</v>
      </c>
      <c r="L34" s="40">
        <v>1.0606</v>
      </c>
      <c r="M34" s="40">
        <v>1.98597</v>
      </c>
      <c r="N34" s="40">
        <v>1.83215</v>
      </c>
    </row>
    <row r="35" spans="1:14">
      <c r="A35" s="37">
        <v>6666020503</v>
      </c>
      <c r="B35" s="37" t="s">
        <v>453</v>
      </c>
      <c r="C35" s="40">
        <v>0.055369724938415</v>
      </c>
      <c r="D35" s="40">
        <v>-0.026465462943523</v>
      </c>
      <c r="E35" s="40">
        <v>0.0884860411921802</v>
      </c>
      <c r="F35" s="40">
        <v>0.023918298394444</v>
      </c>
      <c r="G35" s="40">
        <v>0</v>
      </c>
      <c r="H35" s="40">
        <v>0.0915877953111104</v>
      </c>
      <c r="I35" s="40">
        <v>0.13065</v>
      </c>
      <c r="J35" s="40">
        <v>0.0963</v>
      </c>
      <c r="K35" s="40">
        <v>-0.00048</v>
      </c>
      <c r="L35" s="40">
        <v>0.05666</v>
      </c>
      <c r="M35" s="40">
        <v>0.01143</v>
      </c>
      <c r="N35" s="40">
        <v>1.37076</v>
      </c>
    </row>
    <row r="36" spans="1:14">
      <c r="A36" s="37">
        <v>6666020504</v>
      </c>
      <c r="B36" s="37" t="s">
        <v>500</v>
      </c>
      <c r="C36" s="40">
        <v>0.189524639364895</v>
      </c>
      <c r="D36" s="40">
        <v>-0.18495066134789</v>
      </c>
      <c r="E36" s="40">
        <v>0</v>
      </c>
      <c r="F36" s="40">
        <v>0</v>
      </c>
      <c r="G36" s="40">
        <v>0</v>
      </c>
      <c r="H36" s="40">
        <v>0</v>
      </c>
      <c r="I36" s="40">
        <v>0.04948</v>
      </c>
      <c r="J36" s="40">
        <v>0</v>
      </c>
      <c r="K36" s="40">
        <v>0</v>
      </c>
      <c r="L36" s="40">
        <v>0</v>
      </c>
      <c r="M36" s="40">
        <v>0</v>
      </c>
      <c r="N36" s="40">
        <v>-0.00174000000000001</v>
      </c>
    </row>
    <row r="37" spans="1:14">
      <c r="A37" s="37">
        <v>6666020508</v>
      </c>
      <c r="B37" s="37" t="s">
        <v>454</v>
      </c>
      <c r="C37" s="40">
        <v>0</v>
      </c>
      <c r="D37" s="40">
        <v>0.00693601721604031</v>
      </c>
      <c r="E37" s="40">
        <v>0</v>
      </c>
      <c r="F37" s="40">
        <v>0</v>
      </c>
      <c r="G37" s="40">
        <v>0.00206818972410584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0.22281</v>
      </c>
      <c r="N37" s="40">
        <v>0.06657</v>
      </c>
    </row>
    <row r="38" spans="1:14">
      <c r="A38" s="37">
        <v>6666020602</v>
      </c>
      <c r="B38" s="37" t="s">
        <v>501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-0.000389999999999998</v>
      </c>
    </row>
    <row r="39" spans="1:14">
      <c r="A39" s="37">
        <v>6666020701</v>
      </c>
      <c r="B39" s="37" t="s">
        <v>455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</row>
    <row r="40" spans="1:14">
      <c r="A40" s="37">
        <v>6666020801</v>
      </c>
      <c r="B40" s="37" t="s">
        <v>457</v>
      </c>
      <c r="C40" s="40">
        <v>0.697498682243091</v>
      </c>
      <c r="D40" s="40">
        <v>0.173428249002729</v>
      </c>
      <c r="E40" s="40">
        <v>1.05374687668143</v>
      </c>
      <c r="F40" s="40">
        <v>1.13148208342299</v>
      </c>
      <c r="G40" s="40">
        <v>1.44400550252312</v>
      </c>
      <c r="H40" s="40">
        <v>0.698875895223897</v>
      </c>
      <c r="I40" s="40">
        <v>1.3912</v>
      </c>
      <c r="J40" s="40">
        <v>0.33704</v>
      </c>
      <c r="K40" s="40">
        <v>0.39047</v>
      </c>
      <c r="L40" s="40">
        <v>0.55547</v>
      </c>
      <c r="M40" s="40">
        <v>0.70324</v>
      </c>
      <c r="N40" s="40">
        <v>1.01993</v>
      </c>
    </row>
    <row r="41" spans="1:14">
      <c r="A41" s="37">
        <v>6666020803</v>
      </c>
      <c r="B41" s="37" t="s">
        <v>458</v>
      </c>
      <c r="C41" s="40">
        <v>2.40616495089339</v>
      </c>
      <c r="D41" s="40">
        <v>13.547887360907</v>
      </c>
      <c r="E41" s="40">
        <v>16.1279795292112</v>
      </c>
      <c r="F41" s="40">
        <v>4.27262977901286</v>
      </c>
      <c r="G41" s="40">
        <v>9.7126858456854</v>
      </c>
      <c r="H41" s="40">
        <v>14.2147501965519</v>
      </c>
      <c r="I41" s="40">
        <v>9.12709</v>
      </c>
      <c r="J41" s="40">
        <v>5.01848</v>
      </c>
      <c r="K41" s="40">
        <v>20.97722</v>
      </c>
      <c r="L41" s="40">
        <v>5.15364</v>
      </c>
      <c r="M41" s="40">
        <v>7.58452</v>
      </c>
      <c r="N41" s="40">
        <v>6.15438</v>
      </c>
    </row>
    <row r="42" spans="1:14">
      <c r="A42" s="37">
        <v>6666020809</v>
      </c>
      <c r="B42" s="37" t="s">
        <v>502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0.88942</v>
      </c>
      <c r="K42" s="40">
        <v>0.23373</v>
      </c>
      <c r="L42" s="40">
        <v>0.05529</v>
      </c>
      <c r="M42" s="40">
        <v>0.01799</v>
      </c>
      <c r="N42" s="40">
        <v>0</v>
      </c>
    </row>
    <row r="43" spans="1:14">
      <c r="A43" s="37">
        <v>6666021100</v>
      </c>
      <c r="B43" s="37" t="s">
        <v>460</v>
      </c>
      <c r="C43" s="40">
        <v>1.64117022192102</v>
      </c>
      <c r="D43" s="40">
        <v>3.23103217509973</v>
      </c>
      <c r="E43" s="40">
        <v>2.6068141782079</v>
      </c>
      <c r="F43" s="40">
        <v>2.31399768345778</v>
      </c>
      <c r="G43" s="40">
        <v>13.2495093809436</v>
      </c>
      <c r="H43" s="40">
        <v>9.92116122407771</v>
      </c>
      <c r="I43" s="40">
        <v>3.0033</v>
      </c>
      <c r="J43" s="40">
        <v>4.70113</v>
      </c>
      <c r="K43" s="40">
        <v>3.09158</v>
      </c>
      <c r="L43" s="40">
        <v>22.98844</v>
      </c>
      <c r="M43" s="40">
        <v>6.96003</v>
      </c>
      <c r="N43" s="40">
        <v>8.1009</v>
      </c>
    </row>
    <row r="44" spans="1:14">
      <c r="A44" s="37">
        <v>6666021102</v>
      </c>
      <c r="B44" s="37" t="s">
        <v>461</v>
      </c>
      <c r="C44" s="40">
        <v>0</v>
      </c>
      <c r="D44" s="40">
        <v>12.3953485198404</v>
      </c>
      <c r="E44" s="40">
        <v>3.64580424992445</v>
      </c>
      <c r="F44" s="40">
        <v>3.35781924561299</v>
      </c>
      <c r="G44" s="40">
        <v>5.69960470379891</v>
      </c>
      <c r="H44" s="40">
        <v>4.50423091298875</v>
      </c>
      <c r="I44" s="40">
        <v>2.38932</v>
      </c>
      <c r="J44" s="40">
        <v>1.2323</v>
      </c>
      <c r="K44" s="40">
        <v>2.3352</v>
      </c>
      <c r="L44" s="40">
        <v>1.30652</v>
      </c>
      <c r="M44" s="40">
        <v>4.14519</v>
      </c>
      <c r="N44" s="40">
        <v>4.18182</v>
      </c>
    </row>
    <row r="45" spans="1:14">
      <c r="A45" s="37">
        <v>6666021104</v>
      </c>
      <c r="B45" s="37" t="s">
        <v>503</v>
      </c>
      <c r="C45" s="40">
        <v>0</v>
      </c>
      <c r="D45" s="40">
        <v>0</v>
      </c>
      <c r="E45" s="40">
        <v>0</v>
      </c>
      <c r="F45" s="40">
        <v>0.171772978862697</v>
      </c>
      <c r="G45" s="40">
        <v>1.27505184027323</v>
      </c>
      <c r="H45" s="40">
        <v>0.324013696334899</v>
      </c>
      <c r="I45" s="40">
        <v>0</v>
      </c>
      <c r="J45" s="40">
        <v>0.01358</v>
      </c>
      <c r="K45" s="40">
        <v>-0.000299999999999997</v>
      </c>
      <c r="L45" s="40">
        <v>0</v>
      </c>
      <c r="M45" s="40">
        <v>1.00000000000031e-5</v>
      </c>
      <c r="N45" s="40">
        <v>0</v>
      </c>
    </row>
    <row r="46" spans="1:14">
      <c r="A46" s="37">
        <v>6666021200</v>
      </c>
      <c r="B46" s="37" t="s">
        <v>504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0.56678</v>
      </c>
      <c r="J46" s="40">
        <v>0.75753</v>
      </c>
      <c r="K46" s="40">
        <v>0.66603</v>
      </c>
      <c r="L46" s="40">
        <v>-0.66603</v>
      </c>
      <c r="M46" s="40">
        <v>0</v>
      </c>
      <c r="N46" s="40">
        <v>0</v>
      </c>
    </row>
    <row r="47" spans="1:14">
      <c r="A47" s="37">
        <v>6666021300</v>
      </c>
      <c r="B47" s="37" t="s">
        <v>462</v>
      </c>
      <c r="C47" s="40">
        <v>2.26339970525274</v>
      </c>
      <c r="D47" s="40">
        <v>2.48015956330044</v>
      </c>
      <c r="E47" s="40">
        <v>2.55250049751977</v>
      </c>
      <c r="F47" s="40">
        <v>2.03258266988358</v>
      </c>
      <c r="G47" s="40">
        <v>1.88634601744724</v>
      </c>
      <c r="H47" s="40">
        <v>0.0754421879766114</v>
      </c>
      <c r="I47" s="40">
        <v>3.62488</v>
      </c>
      <c r="J47" s="40">
        <v>1.17045</v>
      </c>
      <c r="K47" s="40">
        <v>0.83771</v>
      </c>
      <c r="L47" s="40">
        <v>3.43537</v>
      </c>
      <c r="M47" s="40">
        <v>0.0594600000000001</v>
      </c>
      <c r="N47" s="40">
        <v>0</v>
      </c>
    </row>
    <row r="48" spans="1:14">
      <c r="A48" s="37">
        <v>6666021400</v>
      </c>
      <c r="B48" s="37" t="s">
        <v>463</v>
      </c>
      <c r="C48" s="40">
        <v>0</v>
      </c>
      <c r="D48" s="40">
        <v>0</v>
      </c>
      <c r="E48" s="40">
        <v>0</v>
      </c>
      <c r="F48" s="40">
        <v>0</v>
      </c>
      <c r="G48" s="40">
        <v>0.699042253775643</v>
      </c>
      <c r="H48" s="40">
        <v>0</v>
      </c>
      <c r="I48" s="40">
        <v>0.17939</v>
      </c>
      <c r="J48" s="40">
        <v>6e-5</v>
      </c>
      <c r="K48" s="40">
        <v>0</v>
      </c>
      <c r="L48" s="40">
        <v>0</v>
      </c>
      <c r="M48" s="40">
        <v>1.088</v>
      </c>
      <c r="N48" s="40">
        <v>0.00124</v>
      </c>
    </row>
    <row r="49" spans="1:14">
      <c r="A49" s="37">
        <v>6666021502</v>
      </c>
      <c r="B49" s="37" t="s">
        <v>464</v>
      </c>
      <c r="C49" s="40">
        <v>0.221061251492561</v>
      </c>
      <c r="D49" s="40">
        <v>0.0738914549653581</v>
      </c>
      <c r="E49" s="40">
        <v>0.00199376441886</v>
      </c>
      <c r="F49" s="40">
        <v>0.0116319261636504</v>
      </c>
      <c r="G49" s="40">
        <v>1.07946470117866</v>
      </c>
      <c r="H49" s="40">
        <v>0.0424320016497467</v>
      </c>
      <c r="I49" s="40">
        <v>0.02973</v>
      </c>
      <c r="J49" s="40">
        <v>0.11185</v>
      </c>
      <c r="K49" s="40">
        <v>0</v>
      </c>
      <c r="L49" s="40">
        <v>0</v>
      </c>
      <c r="M49" s="40">
        <v>5e-5</v>
      </c>
      <c r="N49" s="40">
        <v>0.21638</v>
      </c>
    </row>
    <row r="50" spans="1:14">
      <c r="A50" s="37">
        <v>6666021505</v>
      </c>
      <c r="B50" s="41" t="s">
        <v>466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</row>
    <row r="51" spans="1:14">
      <c r="A51" s="37">
        <v>6666021600</v>
      </c>
      <c r="B51" s="37" t="s">
        <v>505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0.00830999999999937</v>
      </c>
    </row>
    <row r="52" spans="1:14">
      <c r="A52" s="37">
        <v>6666021604</v>
      </c>
      <c r="B52" s="37" t="s">
        <v>506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0.000219999999999998</v>
      </c>
    </row>
    <row r="53" spans="1:14">
      <c r="A53" s="37">
        <v>6666021902</v>
      </c>
      <c r="B53" s="37" t="s">
        <v>468</v>
      </c>
      <c r="C53" s="40">
        <v>0.0335915061154678</v>
      </c>
      <c r="D53" s="40">
        <v>2.43877152005039</v>
      </c>
      <c r="E53" s="40">
        <v>2.61389763131451</v>
      </c>
      <c r="F53" s="40">
        <v>4.37823983994799</v>
      </c>
      <c r="G53" s="40">
        <v>-5.44046839211576</v>
      </c>
      <c r="H53" s="40">
        <v>3.69165825324472</v>
      </c>
      <c r="I53" s="40">
        <v>1.9762</v>
      </c>
      <c r="J53" s="40">
        <v>2.30754</v>
      </c>
      <c r="K53" s="40">
        <v>5.89274</v>
      </c>
      <c r="L53" s="40">
        <v>2.06492</v>
      </c>
      <c r="M53" s="40">
        <v>1.40064</v>
      </c>
      <c r="N53" s="40">
        <v>0.50722</v>
      </c>
    </row>
    <row r="54" spans="1:14">
      <c r="A54" s="37">
        <v>6666022100</v>
      </c>
      <c r="B54" s="37" t="s">
        <v>469</v>
      </c>
      <c r="C54" s="40">
        <v>0</v>
      </c>
      <c r="D54" s="40">
        <v>0.286009867730422</v>
      </c>
      <c r="E54" s="40">
        <v>0.267754576567679</v>
      </c>
      <c r="F54" s="40">
        <v>0.492266365729825</v>
      </c>
      <c r="G54" s="40">
        <v>0.246171048054465</v>
      </c>
      <c r="H54" s="40">
        <v>0.21958343894863</v>
      </c>
      <c r="I54" s="40">
        <v>0.204079999999999</v>
      </c>
      <c r="J54" s="40">
        <v>0.22864</v>
      </c>
      <c r="K54" s="40">
        <v>0.22359</v>
      </c>
      <c r="L54" s="40">
        <v>0.217</v>
      </c>
      <c r="M54" s="40">
        <v>0.36405</v>
      </c>
      <c r="N54" s="40">
        <v>-0.16526</v>
      </c>
    </row>
    <row r="55" spans="1:14">
      <c r="A55" s="37">
        <v>6666022300</v>
      </c>
      <c r="B55" s="37" t="s">
        <v>470</v>
      </c>
      <c r="C55" s="40">
        <v>0.0240154473381308</v>
      </c>
      <c r="D55" s="40">
        <v>0.378957852193996</v>
      </c>
      <c r="E55" s="40">
        <v>0.713272107690304</v>
      </c>
      <c r="F55" s="40">
        <v>1.07604278735882</v>
      </c>
      <c r="G55" s="40">
        <v>0.0868881379515979</v>
      </c>
      <c r="H55" s="40">
        <v>0.101811499250311</v>
      </c>
      <c r="I55" s="40">
        <v>0.65442</v>
      </c>
      <c r="J55" s="40">
        <v>0.21184</v>
      </c>
      <c r="K55" s="40">
        <v>0.0700500000000002</v>
      </c>
      <c r="L55" s="40">
        <v>0.0684300000000011</v>
      </c>
      <c r="M55" s="40">
        <v>-12.85584</v>
      </c>
      <c r="N55" s="40">
        <v>0.336849999999999</v>
      </c>
    </row>
    <row r="56" spans="1:14">
      <c r="A56" s="37">
        <v>6666029700</v>
      </c>
      <c r="B56" s="37" t="s">
        <v>471</v>
      </c>
      <c r="C56" s="40">
        <v>0.400439431589591</v>
      </c>
      <c r="D56" s="40">
        <v>22.9694307684233</v>
      </c>
      <c r="E56" s="40">
        <v>0.103898098123183</v>
      </c>
      <c r="F56" s="40">
        <v>0.0390506755055418</v>
      </c>
      <c r="G56" s="40">
        <v>0</v>
      </c>
      <c r="H56" s="40">
        <v>0.532134187993796</v>
      </c>
      <c r="I56" s="40">
        <v>3.05039</v>
      </c>
      <c r="J56" s="40">
        <v>3.39759</v>
      </c>
      <c r="K56" s="40">
        <v>3.32814</v>
      </c>
      <c r="L56" s="40">
        <v>3.33266</v>
      </c>
      <c r="M56" s="40">
        <v>2.46352</v>
      </c>
      <c r="N56" s="40">
        <v>3.48118</v>
      </c>
    </row>
    <row r="57" spans="1:14">
      <c r="A57" s="37">
        <v>6666029900</v>
      </c>
      <c r="B57" s="37" t="s">
        <v>507</v>
      </c>
      <c r="C57" s="40">
        <v>-0.0727270037972913</v>
      </c>
      <c r="D57" s="40">
        <v>0.0556495381062356</v>
      </c>
      <c r="E57" s="40">
        <v>0</v>
      </c>
      <c r="F57" s="40">
        <v>0.0061862206941386</v>
      </c>
      <c r="G57" s="40">
        <v>0</v>
      </c>
      <c r="H57" s="40">
        <v>0.0583290729196651</v>
      </c>
      <c r="I57" s="40">
        <v>0.000289999999999999</v>
      </c>
      <c r="J57" s="40">
        <v>0</v>
      </c>
      <c r="K57" s="40">
        <v>0</v>
      </c>
      <c r="L57" s="40">
        <v>0.00607000000000001</v>
      </c>
      <c r="M57" s="40">
        <v>0</v>
      </c>
      <c r="N57" s="40">
        <v>0.05341</v>
      </c>
    </row>
    <row r="58" spans="1:14">
      <c r="A58" s="37">
        <v>6666029996</v>
      </c>
      <c r="B58" s="37" t="s">
        <v>451</v>
      </c>
      <c r="C58" s="40">
        <v>0.0303624638289175</v>
      </c>
      <c r="D58" s="40">
        <v>0.0308492546714256</v>
      </c>
      <c r="E58" s="40">
        <v>0.00123949987592717</v>
      </c>
      <c r="F58" s="40">
        <v>0.220516735415169</v>
      </c>
      <c r="G58" s="40">
        <v>0.00166905350277611</v>
      </c>
      <c r="H58" s="40">
        <v>6.85246366475765e-5</v>
      </c>
      <c r="I58" s="40">
        <v>0.00105</v>
      </c>
      <c r="J58" s="40">
        <v>0</v>
      </c>
      <c r="K58" s="40">
        <v>0.00016</v>
      </c>
      <c r="L58" s="40">
        <v>0.13734</v>
      </c>
      <c r="M58" s="40">
        <v>0.15251</v>
      </c>
      <c r="N58" s="40">
        <v>0.01622</v>
      </c>
    </row>
    <row r="59" spans="1:14">
      <c r="A59" s="37">
        <v>6666029997</v>
      </c>
      <c r="B59" s="41" t="s">
        <v>508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</row>
    <row r="60" spans="1:14">
      <c r="A60" s="37">
        <v>6666050107</v>
      </c>
      <c r="B60" s="41" t="s">
        <v>509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</row>
    <row r="61" spans="1:14">
      <c r="A61" s="37">
        <v>6666079999</v>
      </c>
      <c r="B61" s="37" t="s">
        <v>472</v>
      </c>
      <c r="C61" s="40">
        <v>0</v>
      </c>
      <c r="D61" s="40">
        <v>-19.1092697777778</v>
      </c>
      <c r="E61" s="40">
        <v>1.45519152283669e-14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</row>
    <row r="62" spans="1:14">
      <c r="A62" s="37">
        <v>6666091600</v>
      </c>
      <c r="B62" s="37" t="s">
        <v>510</v>
      </c>
      <c r="C62" s="40">
        <v>0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</row>
    <row r="63" spans="1:14">
      <c r="A63" s="37">
        <v>6666093800</v>
      </c>
      <c r="B63" s="37" t="s">
        <v>473</v>
      </c>
      <c r="C63" s="40">
        <v>0.0341982121534837</v>
      </c>
      <c r="D63" s="40">
        <v>0.12296530547974</v>
      </c>
      <c r="E63" s="40">
        <v>0.0927836292654643</v>
      </c>
      <c r="F63" s="40">
        <v>0.051845222017223</v>
      </c>
      <c r="G63" s="40">
        <v>0.0374544279951029</v>
      </c>
      <c r="H63" s="40">
        <v>0.0432650378281772</v>
      </c>
      <c r="I63" s="40">
        <v>0.03072</v>
      </c>
      <c r="J63" s="40">
        <v>0.03675</v>
      </c>
      <c r="K63" s="40">
        <v>0.01861</v>
      </c>
      <c r="L63" s="40">
        <v>0.04181</v>
      </c>
      <c r="M63" s="40">
        <v>0.06523</v>
      </c>
      <c r="N63" s="40">
        <v>0</v>
      </c>
    </row>
    <row r="64" spans="1:14">
      <c r="A64" s="37">
        <v>6666110110</v>
      </c>
      <c r="B64" s="37" t="s">
        <v>475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-0.04685</v>
      </c>
    </row>
    <row r="65" spans="1:14">
      <c r="A65" s="37">
        <v>6666110112</v>
      </c>
      <c r="B65" s="37" t="s">
        <v>476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-0.27543</v>
      </c>
      <c r="M65" s="40">
        <v>0</v>
      </c>
      <c r="N65" s="40">
        <v>-0.02645</v>
      </c>
    </row>
    <row r="66" spans="1:14">
      <c r="A66" s="37">
        <v>6666010380</v>
      </c>
      <c r="B66" s="8" t="s">
        <v>511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-0.00154</v>
      </c>
    </row>
    <row r="67" spans="1:14">
      <c r="A67" s="37">
        <v>6666031100</v>
      </c>
      <c r="B67" s="8" t="s">
        <v>512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</row>
    <row r="68" spans="1:14">
      <c r="A68" s="37">
        <v>6666090100</v>
      </c>
      <c r="B68" s="37" t="s">
        <v>513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</row>
    <row r="69" spans="1:14">
      <c r="A69" s="37">
        <v>6666110207</v>
      </c>
      <c r="B69" s="37" t="s">
        <v>477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-0.00105</v>
      </c>
    </row>
    <row r="70" spans="1:14">
      <c r="A70" s="37">
        <v>5001010206</v>
      </c>
      <c r="B70" s="37" t="s">
        <v>425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0.00031</v>
      </c>
    </row>
    <row r="71" spans="1:14">
      <c r="A71" s="37">
        <v>6666070400</v>
      </c>
      <c r="B71" s="41" t="s">
        <v>514</v>
      </c>
      <c r="C71" s="40">
        <v>0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</row>
    <row r="72" spans="1:14">
      <c r="A72" s="37">
        <v>6666110506</v>
      </c>
      <c r="B72" s="37" t="s">
        <v>479</v>
      </c>
      <c r="C72" s="40">
        <v>0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-0.05491</v>
      </c>
    </row>
    <row r="73" spans="1:14">
      <c r="B73" s="42" t="s">
        <v>193</v>
      </c>
      <c r="C73" s="43">
        <f>SUM(C2:C72)</f>
        <v>39.1002735017911</v>
      </c>
      <c r="D73" s="43">
        <f t="shared" ref="D73:N73" si="0">SUM(D2:D72)</f>
        <v>84.5637243960623</v>
      </c>
      <c r="E73" s="43">
        <f t="shared" si="0"/>
        <v>59.0963348148367</v>
      </c>
      <c r="F73" s="43">
        <f t="shared" si="0"/>
        <v>24.1960733235971</v>
      </c>
      <c r="G73" s="43">
        <f t="shared" si="0"/>
        <v>45.9861406893062</v>
      </c>
      <c r="H73" s="43">
        <f t="shared" si="0"/>
        <v>40.9180531270004</v>
      </c>
      <c r="I73" s="43">
        <f t="shared" si="0"/>
        <v>45.10373</v>
      </c>
      <c r="J73" s="43">
        <f t="shared" si="0"/>
        <v>34.72373</v>
      </c>
      <c r="K73" s="43">
        <f t="shared" si="0"/>
        <v>46.25862</v>
      </c>
      <c r="L73" s="43">
        <f t="shared" si="0"/>
        <v>56.64634</v>
      </c>
      <c r="M73" s="43">
        <f t="shared" si="0"/>
        <v>31.18627</v>
      </c>
      <c r="N73" s="43">
        <f t="shared" si="0"/>
        <v>29.84666</v>
      </c>
    </row>
  </sheetData>
  <autoFilter xmlns:etc="http://www.wps.cn/officeDocument/2017/etCustomData" ref="A1:N73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Z80"/>
  <sheetViews>
    <sheetView workbookViewId="0">
      <selection activeCell="X24" sqref="X24:AM38"/>
    </sheetView>
  </sheetViews>
  <sheetFormatPr defaultColWidth="9" defaultRowHeight="9.6"/>
  <cols>
    <col min="1" max="1" width="9.77777777777778" style="9" customWidth="1"/>
    <col min="2" max="2" width="5.33333333333333" style="9" customWidth="1"/>
    <col min="3" max="3" width="2.22222222222222" style="9" customWidth="1"/>
    <col min="4" max="4" width="14.6666666666667" style="9" customWidth="1"/>
    <col min="5" max="5" width="12.3333333333333" style="6" hidden="1" customWidth="1"/>
    <col min="6" max="6" width="11.8888888888889" style="9" hidden="1" customWidth="1"/>
    <col min="7" max="7" width="13.7777777777778" style="9" hidden="1" customWidth="1"/>
    <col min="8" max="8" width="14.1111111111111" style="9" hidden="1" customWidth="1"/>
    <col min="9" max="9" width="21" style="9" customWidth="1"/>
    <col min="10" max="10" width="12.6666666666667" style="9" hidden="1" customWidth="1"/>
    <col min="11" max="13" width="13.1111111111111" style="9" hidden="1" customWidth="1"/>
    <col min="14" max="14" width="21" style="9" customWidth="1"/>
    <col min="15" max="15" width="13.4444444444444" style="9" hidden="1" customWidth="1"/>
    <col min="16" max="18" width="13.1111111111111" style="9" hidden="1" customWidth="1"/>
    <col min="19" max="19" width="21" style="9" customWidth="1"/>
    <col min="20" max="20" width="12.3333333333333" style="9" hidden="1" customWidth="1"/>
    <col min="21" max="21" width="10.7777777777778" style="9" hidden="1" customWidth="1"/>
    <col min="22" max="22" width="11.6666666666667" style="9" hidden="1" customWidth="1"/>
    <col min="23" max="23" width="10.7777777777778" style="9" hidden="1" customWidth="1"/>
    <col min="24" max="24" width="21" style="9" customWidth="1"/>
    <col min="25" max="25" width="12.3333333333333" style="9" hidden="1" customWidth="1"/>
    <col min="26" max="26" width="10.7777777777778" style="9" hidden="1" customWidth="1"/>
    <col min="27" max="27" width="11.6666666666667" style="9" hidden="1" customWidth="1"/>
    <col min="28" max="28" width="10.7777777777778" style="9" hidden="1" customWidth="1"/>
    <col min="29" max="29" width="21" style="9" customWidth="1"/>
    <col min="30" max="30" width="12.3333333333333" style="9" hidden="1" customWidth="1"/>
    <col min="31" max="31" width="10.7777777777778" style="9" hidden="1" customWidth="1"/>
    <col min="32" max="32" width="11.6666666666667" style="9" hidden="1" customWidth="1"/>
    <col min="33" max="33" width="10.7777777777778" style="9" hidden="1" customWidth="1"/>
    <col min="34" max="34" width="21" style="9" customWidth="1"/>
    <col min="35" max="35" width="10.7777777777778" style="9" hidden="1" customWidth="1"/>
    <col min="36" max="36" width="8.44444444444444" style="9" hidden="1" customWidth="1"/>
    <col min="37" max="37" width="18.7777777777778" style="9" customWidth="1"/>
    <col min="38" max="38" width="8.88888888888889" style="9" hidden="1" customWidth="1"/>
    <col min="39" max="39" width="10.1111111111111" style="9" hidden="1" customWidth="1"/>
    <col min="40" max="40" width="18.7777777777778" style="9" customWidth="1"/>
    <col min="41" max="42" width="10.1111111111111" style="9" hidden="1" customWidth="1"/>
    <col min="43" max="43" width="18.7777777777778" style="9" customWidth="1"/>
    <col min="44" max="45" width="8.33333333333333" style="9" hidden="1" customWidth="1"/>
    <col min="46" max="46" width="18.7777777777778" style="9" customWidth="1"/>
    <col min="47" max="48" width="8.88888888888889" style="9" hidden="1" customWidth="1"/>
    <col min="49" max="49" width="18.7777777777778" style="9" customWidth="1"/>
    <col min="50" max="50" width="8.44444444444444" style="9" hidden="1" customWidth="1"/>
    <col min="51" max="51" width="8.88888888888889" style="9" hidden="1" customWidth="1"/>
    <col min="52" max="52" width="18.4444444444444" style="9" customWidth="1"/>
    <col min="53" max="16384" width="8.88888888888889" style="9"/>
  </cols>
  <sheetData>
    <row r="1" s="5" customFormat="1" ht="10.2" spans="1:52">
      <c r="A1" s="5">
        <v>6666020701</v>
      </c>
      <c r="E1" s="10"/>
      <c r="I1" s="11" t="s">
        <v>515</v>
      </c>
      <c r="J1" s="12"/>
      <c r="K1" s="12"/>
      <c r="L1" s="12"/>
      <c r="M1" s="12"/>
      <c r="N1" s="11" t="s">
        <v>516</v>
      </c>
      <c r="O1" s="12"/>
      <c r="P1" s="12"/>
      <c r="Q1" s="12"/>
      <c r="R1" s="12"/>
      <c r="S1" s="11" t="s">
        <v>517</v>
      </c>
      <c r="T1" s="12"/>
      <c r="U1" s="12"/>
      <c r="V1" s="12"/>
      <c r="W1" s="12"/>
      <c r="X1" s="11" t="s">
        <v>518</v>
      </c>
      <c r="Y1" s="12"/>
      <c r="Z1" s="12"/>
      <c r="AA1" s="12"/>
      <c r="AB1" s="12"/>
      <c r="AC1" s="11" t="s">
        <v>519</v>
      </c>
      <c r="AD1" s="12"/>
      <c r="AE1" s="12"/>
      <c r="AF1" s="12"/>
      <c r="AG1" s="12"/>
      <c r="AH1" s="11" t="s">
        <v>520</v>
      </c>
      <c r="AI1" s="13"/>
      <c r="AJ1" s="13"/>
      <c r="AK1" s="11" t="s">
        <v>521</v>
      </c>
      <c r="AL1" s="13"/>
      <c r="AM1" s="13"/>
      <c r="AN1" s="11" t="s">
        <v>522</v>
      </c>
      <c r="AQ1" s="11" t="s">
        <v>523</v>
      </c>
      <c r="AT1" s="11" t="s">
        <v>524</v>
      </c>
      <c r="AW1" s="11" t="s">
        <v>525</v>
      </c>
      <c r="AZ1" s="11" t="s">
        <v>526</v>
      </c>
    </row>
    <row r="2" spans="1:52">
      <c r="A2" s="9">
        <v>6666079999</v>
      </c>
      <c r="E2" s="14" t="s">
        <v>527</v>
      </c>
      <c r="F2" s="14"/>
      <c r="G2" s="15" t="s">
        <v>528</v>
      </c>
      <c r="H2" s="15"/>
      <c r="I2" s="16" t="s">
        <v>529</v>
      </c>
      <c r="J2" s="14" t="s">
        <v>527</v>
      </c>
      <c r="K2" s="14"/>
      <c r="L2" s="15" t="s">
        <v>528</v>
      </c>
      <c r="M2" s="15"/>
      <c r="N2" s="16" t="s">
        <v>529</v>
      </c>
      <c r="O2" s="14" t="s">
        <v>527</v>
      </c>
      <c r="P2" s="14"/>
      <c r="Q2" s="15" t="s">
        <v>528</v>
      </c>
      <c r="R2" s="15"/>
      <c r="S2" s="16" t="s">
        <v>529</v>
      </c>
      <c r="T2" s="14" t="s">
        <v>527</v>
      </c>
      <c r="U2" s="14"/>
      <c r="V2" s="15" t="s">
        <v>528</v>
      </c>
      <c r="W2" s="15"/>
      <c r="X2" s="16" t="s">
        <v>529</v>
      </c>
      <c r="Y2" s="14" t="s">
        <v>527</v>
      </c>
      <c r="Z2" s="14"/>
      <c r="AA2" s="15" t="s">
        <v>528</v>
      </c>
      <c r="AB2" s="15"/>
      <c r="AC2" s="16" t="s">
        <v>529</v>
      </c>
      <c r="AD2" s="14" t="s">
        <v>527</v>
      </c>
      <c r="AE2" s="14"/>
      <c r="AF2" s="15" t="s">
        <v>528</v>
      </c>
      <c r="AG2" s="15"/>
      <c r="AH2" s="16" t="s">
        <v>529</v>
      </c>
      <c r="AI2" s="14" t="s">
        <v>527</v>
      </c>
      <c r="AJ2" s="15" t="s">
        <v>530</v>
      </c>
      <c r="AK2" s="16" t="s">
        <v>529</v>
      </c>
      <c r="AL2" s="14" t="s">
        <v>527</v>
      </c>
      <c r="AM2" s="15" t="s">
        <v>530</v>
      </c>
      <c r="AN2" s="16" t="s">
        <v>529</v>
      </c>
      <c r="AO2" s="14" t="s">
        <v>527</v>
      </c>
      <c r="AP2" s="15" t="s">
        <v>530</v>
      </c>
      <c r="AQ2" s="16" t="s">
        <v>529</v>
      </c>
      <c r="AR2" s="14" t="s">
        <v>527</v>
      </c>
      <c r="AS2" s="15" t="s">
        <v>530</v>
      </c>
      <c r="AT2" s="16" t="s">
        <v>529</v>
      </c>
      <c r="AU2" s="14" t="s">
        <v>527</v>
      </c>
      <c r="AV2" s="15" t="s">
        <v>530</v>
      </c>
      <c r="AW2" s="16" t="s">
        <v>529</v>
      </c>
      <c r="AX2" s="14" t="s">
        <v>527</v>
      </c>
      <c r="AY2" s="15" t="s">
        <v>530</v>
      </c>
      <c r="AZ2" s="16" t="s">
        <v>529</v>
      </c>
    </row>
    <row r="3" spans="1:52">
      <c r="A3" s="9" t="s">
        <v>531</v>
      </c>
      <c r="B3" s="6">
        <v>37.1844</v>
      </c>
      <c r="D3" s="17" t="s">
        <v>532</v>
      </c>
      <c r="E3" s="17" t="s">
        <v>533</v>
      </c>
      <c r="F3" s="17" t="s">
        <v>515</v>
      </c>
      <c r="G3" s="17" t="s">
        <v>533</v>
      </c>
      <c r="H3" s="17" t="s">
        <v>515</v>
      </c>
      <c r="I3" s="17" t="s">
        <v>534</v>
      </c>
      <c r="J3" s="17" t="s">
        <v>535</v>
      </c>
      <c r="K3" s="17" t="s">
        <v>516</v>
      </c>
      <c r="L3" s="17" t="s">
        <v>535</v>
      </c>
      <c r="M3" s="17" t="s">
        <v>516</v>
      </c>
      <c r="N3" s="17" t="s">
        <v>534</v>
      </c>
      <c r="O3" s="17" t="s">
        <v>536</v>
      </c>
      <c r="P3" s="17" t="s">
        <v>517</v>
      </c>
      <c r="Q3" s="17" t="s">
        <v>536</v>
      </c>
      <c r="R3" s="17" t="s">
        <v>517</v>
      </c>
      <c r="S3" s="17" t="s">
        <v>534</v>
      </c>
      <c r="T3" s="17" t="s">
        <v>537</v>
      </c>
      <c r="U3" s="17" t="s">
        <v>518</v>
      </c>
      <c r="V3" s="17" t="s">
        <v>537</v>
      </c>
      <c r="W3" s="17" t="s">
        <v>518</v>
      </c>
      <c r="X3" s="17" t="s">
        <v>534</v>
      </c>
      <c r="Y3" s="17" t="s">
        <v>538</v>
      </c>
      <c r="Z3" s="17" t="s">
        <v>519</v>
      </c>
      <c r="AA3" s="17" t="s">
        <v>538</v>
      </c>
      <c r="AB3" s="17" t="s">
        <v>519</v>
      </c>
      <c r="AC3" s="17" t="s">
        <v>534</v>
      </c>
      <c r="AD3" s="17" t="s">
        <v>539</v>
      </c>
      <c r="AE3" s="17" t="s">
        <v>520</v>
      </c>
      <c r="AF3" s="17" t="s">
        <v>539</v>
      </c>
      <c r="AG3" s="17" t="s">
        <v>520</v>
      </c>
      <c r="AH3" s="17" t="s">
        <v>534</v>
      </c>
      <c r="AI3" s="17" t="s">
        <v>540</v>
      </c>
      <c r="AJ3" s="17" t="s">
        <v>540</v>
      </c>
      <c r="AK3" s="17" t="s">
        <v>534</v>
      </c>
      <c r="AL3" s="17" t="s">
        <v>541</v>
      </c>
      <c r="AM3" s="17" t="s">
        <v>541</v>
      </c>
      <c r="AN3" s="17" t="s">
        <v>534</v>
      </c>
      <c r="AO3" s="17" t="s">
        <v>542</v>
      </c>
      <c r="AP3" s="17" t="s">
        <v>542</v>
      </c>
      <c r="AQ3" s="17" t="s">
        <v>534</v>
      </c>
      <c r="AR3" s="17" t="s">
        <v>524</v>
      </c>
      <c r="AS3" s="17" t="s">
        <v>524</v>
      </c>
      <c r="AT3" s="17" t="s">
        <v>534</v>
      </c>
      <c r="AU3" s="17" t="s">
        <v>525</v>
      </c>
      <c r="AV3" s="17" t="s">
        <v>525</v>
      </c>
      <c r="AW3" s="17" t="s">
        <v>534</v>
      </c>
      <c r="AX3" s="17" t="s">
        <v>526</v>
      </c>
      <c r="AY3" s="17" t="s">
        <v>543</v>
      </c>
      <c r="AZ3" s="17" t="s">
        <v>534</v>
      </c>
    </row>
    <row r="4" spans="1:52">
      <c r="A4" s="9" t="s">
        <v>544</v>
      </c>
      <c r="B4" s="6">
        <v>38.104</v>
      </c>
      <c r="D4" s="18">
        <v>5102020000</v>
      </c>
      <c r="E4" s="6">
        <v>0</v>
      </c>
      <c r="F4" s="6">
        <v>0</v>
      </c>
      <c r="G4" s="6">
        <v>0</v>
      </c>
      <c r="H4" s="6">
        <f>G4/$B$3</f>
        <v>0</v>
      </c>
      <c r="I4" s="6">
        <f>(F4*-1-H4)/1000</f>
        <v>0</v>
      </c>
      <c r="J4" s="6">
        <v>0</v>
      </c>
      <c r="K4" s="6">
        <f>J4/$B$4</f>
        <v>0</v>
      </c>
      <c r="L4" s="6">
        <v>0</v>
      </c>
      <c r="M4" s="6">
        <f>L4/$B$4</f>
        <v>0</v>
      </c>
      <c r="N4" s="6">
        <f>(K4*-1-M4)/1000</f>
        <v>0</v>
      </c>
      <c r="O4" s="6">
        <v>16820.92</v>
      </c>
      <c r="P4" s="6">
        <f>O4/$B$5</f>
        <v>413.2711249352</v>
      </c>
      <c r="Q4" s="6">
        <v>0</v>
      </c>
      <c r="R4" s="6">
        <f>Q4/$B$5</f>
        <v>0</v>
      </c>
      <c r="S4" s="6">
        <f>(P4*-1-R4)/1000</f>
        <v>-0.4132711249352</v>
      </c>
      <c r="T4" s="6">
        <v>0</v>
      </c>
      <c r="U4" s="6">
        <f>T4/$B$6</f>
        <v>0</v>
      </c>
      <c r="V4" s="6">
        <v>0</v>
      </c>
      <c r="W4" s="6">
        <f>V4/$B$6</f>
        <v>0</v>
      </c>
      <c r="X4" s="6">
        <f>(U4*-1-W4)/1000</f>
        <v>0</v>
      </c>
      <c r="Y4" s="6">
        <v>8521.42</v>
      </c>
      <c r="Z4" s="6">
        <f>Y4/$B$7</f>
        <v>192.48485450841</v>
      </c>
      <c r="AA4" s="6">
        <v>0</v>
      </c>
      <c r="AB4" s="6">
        <f>AA4/$B$7</f>
        <v>0</v>
      </c>
      <c r="AC4" s="6">
        <f>(Z4*-1-AB4)/1000</f>
        <v>-0.19248485450841</v>
      </c>
      <c r="AD4" s="6">
        <v>5212.7</v>
      </c>
      <c r="AE4" s="6">
        <f>AD4/$B$8</f>
        <v>111.974411740698</v>
      </c>
      <c r="AF4" s="6">
        <v>0</v>
      </c>
      <c r="AG4" s="6">
        <f>AF4/$B$8</f>
        <v>0</v>
      </c>
      <c r="AH4" s="6">
        <f>(AE4*-1-AG4)/1000</f>
        <v>-0.111974411740698</v>
      </c>
      <c r="AI4" s="6">
        <v>0</v>
      </c>
      <c r="AJ4" s="6">
        <v>0</v>
      </c>
      <c r="AK4" s="6">
        <f>AI4*-1/1000-AJ4</f>
        <v>0</v>
      </c>
      <c r="AL4" s="6">
        <v>-0.0022</v>
      </c>
      <c r="AM4" s="6">
        <v>0</v>
      </c>
      <c r="AN4" s="6">
        <f>AL4-AM4/1000</f>
        <v>-0.0022</v>
      </c>
      <c r="AO4" s="6">
        <v>-2364.63</v>
      </c>
      <c r="AP4" s="6">
        <v>0</v>
      </c>
      <c r="AQ4" s="6">
        <f>(AO4-AP4)/1000</f>
        <v>-2.36463</v>
      </c>
      <c r="AR4" s="19">
        <v>2.15857</v>
      </c>
      <c r="AS4" s="6">
        <v>0</v>
      </c>
      <c r="AT4" s="19">
        <f>AR4-AS4</f>
        <v>2.15857</v>
      </c>
      <c r="AU4" s="19">
        <v>-0.09647</v>
      </c>
      <c r="AV4" s="6">
        <v>0</v>
      </c>
      <c r="AW4" s="19">
        <f>AU4-AV4</f>
        <v>-0.09647</v>
      </c>
      <c r="AX4" s="19">
        <v>-0.09115</v>
      </c>
      <c r="AY4" s="6">
        <v>0</v>
      </c>
      <c r="AZ4" s="19">
        <f>AX4-AY4</f>
        <v>-0.09115</v>
      </c>
    </row>
    <row r="5" spans="1:52">
      <c r="A5" s="9" t="s">
        <v>545</v>
      </c>
      <c r="B5" s="6">
        <v>40.7019</v>
      </c>
      <c r="D5" s="18">
        <v>5102040000</v>
      </c>
      <c r="E5" s="6">
        <v>6223.06</v>
      </c>
      <c r="F5" s="6">
        <v>167.356740998914</v>
      </c>
      <c r="G5" s="6">
        <v>-843.8</v>
      </c>
      <c r="H5" s="6">
        <f t="shared" ref="H5:H74" si="0">G5/$B$3</f>
        <v>-22.692311829692</v>
      </c>
      <c r="I5" s="6">
        <f t="shared" ref="I5:I74" si="1">(F5*-1-H5)/1000</f>
        <v>-0.144664429169222</v>
      </c>
      <c r="J5" s="6">
        <v>0</v>
      </c>
      <c r="K5" s="6">
        <f t="shared" ref="K5:K74" si="2">J5/$B$4</f>
        <v>0</v>
      </c>
      <c r="L5" s="6">
        <v>0</v>
      </c>
      <c r="M5" s="6">
        <f t="shared" ref="M5:M74" si="3">L5/$B$4</f>
        <v>0</v>
      </c>
      <c r="N5" s="6">
        <f t="shared" ref="N5:N74" si="4">(K5*-1-M5)/1000</f>
        <v>0</v>
      </c>
      <c r="O5" s="6">
        <v>181989.08</v>
      </c>
      <c r="P5" s="6">
        <f t="shared" ref="P5:P74" si="5">O5/$B$5</f>
        <v>4471.26743468978</v>
      </c>
      <c r="Q5" s="6">
        <v>-7269.05</v>
      </c>
      <c r="R5" s="6">
        <f t="shared" ref="R5:R74" si="6">Q5/$B$5</f>
        <v>-178.592399863397</v>
      </c>
      <c r="S5" s="6">
        <f t="shared" ref="S5:S74" si="7">(P5*-1-R5)/1000</f>
        <v>-4.29267503482638</v>
      </c>
      <c r="T5" s="6">
        <v>217265.58</v>
      </c>
      <c r="U5" s="6">
        <f t="shared" ref="U5:U74" si="8">T5/$B$6</f>
        <v>4973.36846297882</v>
      </c>
      <c r="V5" s="6">
        <v>0</v>
      </c>
      <c r="W5" s="6">
        <f t="shared" ref="W5:W74" si="9">V5/$B$6</f>
        <v>0</v>
      </c>
      <c r="X5" s="6">
        <f t="shared" ref="X5:X74" si="10">(U5*-1-W5)/1000</f>
        <v>-4.97336846297882</v>
      </c>
      <c r="Y5" s="6">
        <v>179.65</v>
      </c>
      <c r="Z5" s="6">
        <f t="shared" ref="Z5:Z74" si="11">Y5/$B$7</f>
        <v>4.05799785862401</v>
      </c>
      <c r="AA5" s="6">
        <v>0</v>
      </c>
      <c r="AB5" s="6">
        <f t="shared" ref="AB5:AB74" si="12">AA5/$B$7</f>
        <v>0</v>
      </c>
      <c r="AC5" s="6">
        <f t="shared" ref="AC5:AC74" si="13">(Z5*-1-AB5)/1000</f>
        <v>-0.00405799785862401</v>
      </c>
      <c r="AD5" s="6">
        <v>215286.08</v>
      </c>
      <c r="AE5" s="6">
        <f t="shared" ref="AE5:AE74" si="14">AD5/$B$8</f>
        <v>4624.5769301822</v>
      </c>
      <c r="AF5" s="6">
        <v>0</v>
      </c>
      <c r="AG5" s="6">
        <f t="shared" ref="AG5:AG74" si="15">AF5/$B$8</f>
        <v>0</v>
      </c>
      <c r="AH5" s="6">
        <f t="shared" ref="AH5:AH74" si="16">(AE5*-1-AG5)/1000</f>
        <v>-4.6245769301822</v>
      </c>
      <c r="AI5" s="6">
        <v>1806</v>
      </c>
      <c r="AJ5" s="6">
        <v>0</v>
      </c>
      <c r="AK5" s="6">
        <f t="shared" ref="AK5:AK74" si="17">AI5*-1/1000-AJ5</f>
        <v>-1.806</v>
      </c>
      <c r="AL5" s="6">
        <v>-3.18186</v>
      </c>
      <c r="AM5" s="6">
        <v>0</v>
      </c>
      <c r="AN5" s="6">
        <f t="shared" ref="AN5:AN71" si="18">AL5-AM5/1000</f>
        <v>-3.18186</v>
      </c>
      <c r="AO5" s="6">
        <v>-78.53</v>
      </c>
      <c r="AP5" s="6">
        <v>0</v>
      </c>
      <c r="AQ5" s="6">
        <f t="shared" ref="AQ5:AQ68" si="19">(AO5-AP5)/1000</f>
        <v>-0.07853</v>
      </c>
      <c r="AR5" s="19">
        <v>-2.184</v>
      </c>
      <c r="AS5" s="6">
        <v>0</v>
      </c>
      <c r="AT5" s="19">
        <f t="shared" ref="AT5:AT68" si="20">AR5-AS5</f>
        <v>-2.184</v>
      </c>
      <c r="AU5" s="19">
        <v>-0.0055</v>
      </c>
      <c r="AV5" s="6">
        <v>0</v>
      </c>
      <c r="AW5" s="19">
        <f t="shared" ref="AW5:AW57" si="21">AU5-AV5</f>
        <v>-0.0055</v>
      </c>
      <c r="AX5" s="19">
        <v>-5.52827</v>
      </c>
      <c r="AY5" s="6">
        <v>-0.34068</v>
      </c>
      <c r="AZ5" s="19">
        <f t="shared" ref="AZ5:AZ68" si="22">AX5-AY5</f>
        <v>-5.18759</v>
      </c>
    </row>
    <row r="6" spans="1:52">
      <c r="A6" s="9" t="s">
        <v>546</v>
      </c>
      <c r="B6" s="6">
        <v>43.6858</v>
      </c>
      <c r="D6" s="18">
        <v>5102040406</v>
      </c>
      <c r="E6" s="6">
        <v>168696.75</v>
      </c>
      <c r="F6" s="6">
        <v>4536.76138380611</v>
      </c>
      <c r="G6" s="6">
        <v>0</v>
      </c>
      <c r="H6" s="6">
        <f t="shared" si="0"/>
        <v>0</v>
      </c>
      <c r="I6" s="6">
        <f t="shared" si="1"/>
        <v>-4.53676138380611</v>
      </c>
      <c r="J6" s="6">
        <v>172868.75</v>
      </c>
      <c r="K6" s="6">
        <f t="shared" si="2"/>
        <v>4536.76123241654</v>
      </c>
      <c r="L6" s="6">
        <v>0</v>
      </c>
      <c r="M6" s="6">
        <f t="shared" si="3"/>
        <v>0</v>
      </c>
      <c r="N6" s="6">
        <f t="shared" si="4"/>
        <v>-4.53676123241654</v>
      </c>
      <c r="O6" s="6">
        <v>184654.81</v>
      </c>
      <c r="P6" s="6">
        <f t="shared" si="5"/>
        <v>4536.76142882765</v>
      </c>
      <c r="Q6" s="6">
        <v>0</v>
      </c>
      <c r="R6" s="6">
        <f t="shared" si="6"/>
        <v>0</v>
      </c>
      <c r="S6" s="6">
        <f t="shared" si="7"/>
        <v>-4.53676142882765</v>
      </c>
      <c r="T6" s="6">
        <v>1430520.85</v>
      </c>
      <c r="U6" s="6">
        <f t="shared" si="8"/>
        <v>32745.6713623191</v>
      </c>
      <c r="V6" s="6">
        <v>0</v>
      </c>
      <c r="W6" s="6">
        <f t="shared" si="9"/>
        <v>0</v>
      </c>
      <c r="X6" s="6">
        <f t="shared" si="10"/>
        <v>-32.7456713623191</v>
      </c>
      <c r="Y6" s="6">
        <v>248544.75</v>
      </c>
      <c r="Z6" s="6">
        <f t="shared" si="11"/>
        <v>5614.21688434311</v>
      </c>
      <c r="AA6" s="6">
        <v>0</v>
      </c>
      <c r="AB6" s="6">
        <f t="shared" si="12"/>
        <v>0</v>
      </c>
      <c r="AC6" s="6">
        <f t="shared" si="13"/>
        <v>-5.61421688434311</v>
      </c>
      <c r="AD6" s="6">
        <v>211198.05</v>
      </c>
      <c r="AE6" s="6">
        <f t="shared" si="14"/>
        <v>4536.76164166985</v>
      </c>
      <c r="AF6" s="6">
        <v>0</v>
      </c>
      <c r="AG6" s="6">
        <f t="shared" si="15"/>
        <v>0</v>
      </c>
      <c r="AH6" s="6">
        <f t="shared" si="16"/>
        <v>-4.53676164166985</v>
      </c>
      <c r="AI6" s="6">
        <v>7519.52</v>
      </c>
      <c r="AJ6" s="6">
        <v>0</v>
      </c>
      <c r="AK6" s="6">
        <f t="shared" si="17"/>
        <v>-7.51952</v>
      </c>
      <c r="AL6" s="6">
        <v>-4.53676</v>
      </c>
      <c r="AM6" s="6">
        <v>0</v>
      </c>
      <c r="AN6" s="6">
        <f t="shared" si="18"/>
        <v>-4.53676</v>
      </c>
      <c r="AO6" s="6">
        <v>-4536.76</v>
      </c>
      <c r="AP6" s="6">
        <v>0</v>
      </c>
      <c r="AQ6" s="6">
        <f t="shared" si="19"/>
        <v>-4.53676</v>
      </c>
      <c r="AR6" s="19">
        <v>-2.53944</v>
      </c>
      <c r="AS6" s="6">
        <v>0</v>
      </c>
      <c r="AT6" s="19">
        <f t="shared" si="20"/>
        <v>-2.53944</v>
      </c>
      <c r="AU6" s="19">
        <v>-4.53676</v>
      </c>
      <c r="AV6" s="6">
        <v>0</v>
      </c>
      <c r="AW6" s="19">
        <f t="shared" si="21"/>
        <v>-4.53676</v>
      </c>
      <c r="AX6" s="19">
        <v>-2.30535</v>
      </c>
      <c r="AY6" s="6">
        <v>0</v>
      </c>
      <c r="AZ6" s="19">
        <f t="shared" si="22"/>
        <v>-2.30535</v>
      </c>
    </row>
    <row r="7" spans="1:52">
      <c r="A7" s="9" t="s">
        <v>547</v>
      </c>
      <c r="B7" s="6">
        <v>44.2706</v>
      </c>
      <c r="D7" s="18">
        <v>5102040897</v>
      </c>
      <c r="E7" s="6">
        <v>302623.41</v>
      </c>
      <c r="F7" s="6">
        <v>8138.45080194921</v>
      </c>
      <c r="G7" s="6">
        <v>0</v>
      </c>
      <c r="H7" s="6">
        <f t="shared" si="0"/>
        <v>0</v>
      </c>
      <c r="I7" s="6">
        <f t="shared" si="1"/>
        <v>-8.1384508019492</v>
      </c>
      <c r="J7" s="6">
        <v>0</v>
      </c>
      <c r="K7" s="6">
        <f t="shared" si="2"/>
        <v>0</v>
      </c>
      <c r="L7" s="6">
        <v>0</v>
      </c>
      <c r="M7" s="6">
        <f t="shared" si="3"/>
        <v>0</v>
      </c>
      <c r="N7" s="6">
        <f t="shared" si="4"/>
        <v>0</v>
      </c>
      <c r="O7" s="6">
        <v>1875.27</v>
      </c>
      <c r="P7" s="6">
        <f t="shared" si="5"/>
        <v>46.0732791343893</v>
      </c>
      <c r="Q7" s="6">
        <v>0</v>
      </c>
      <c r="R7" s="6">
        <f t="shared" si="6"/>
        <v>0</v>
      </c>
      <c r="S7" s="6">
        <f t="shared" si="7"/>
        <v>-0.0460732791343893</v>
      </c>
      <c r="T7" s="6">
        <v>313512.68</v>
      </c>
      <c r="U7" s="6">
        <f t="shared" si="8"/>
        <v>7176.53516703368</v>
      </c>
      <c r="V7" s="6">
        <v>0</v>
      </c>
      <c r="W7" s="6">
        <f t="shared" si="9"/>
        <v>0</v>
      </c>
      <c r="X7" s="6">
        <f t="shared" si="10"/>
        <v>-7.17653516703368</v>
      </c>
      <c r="Y7" s="6">
        <v>322360.75</v>
      </c>
      <c r="Z7" s="6">
        <f t="shared" si="11"/>
        <v>7281.59884889746</v>
      </c>
      <c r="AA7" s="6">
        <v>0</v>
      </c>
      <c r="AB7" s="6">
        <f t="shared" si="12"/>
        <v>0</v>
      </c>
      <c r="AC7" s="6">
        <f t="shared" si="13"/>
        <v>-7.28159884889746</v>
      </c>
      <c r="AD7" s="6">
        <v>7164.25</v>
      </c>
      <c r="AE7" s="6">
        <f t="shared" si="14"/>
        <v>153.895808182572</v>
      </c>
      <c r="AF7" s="6">
        <v>0</v>
      </c>
      <c r="AG7" s="6">
        <f t="shared" si="15"/>
        <v>0</v>
      </c>
      <c r="AH7" s="6">
        <f t="shared" si="16"/>
        <v>-0.153895808182572</v>
      </c>
      <c r="AI7" s="6">
        <v>-289.98</v>
      </c>
      <c r="AJ7" s="6">
        <v>0</v>
      </c>
      <c r="AK7" s="6">
        <f t="shared" si="17"/>
        <v>0.28998</v>
      </c>
      <c r="AL7" s="6">
        <v>0</v>
      </c>
      <c r="AM7" s="6">
        <v>0</v>
      </c>
      <c r="AN7" s="6">
        <f t="shared" si="18"/>
        <v>0</v>
      </c>
      <c r="AO7" s="6">
        <v>0</v>
      </c>
      <c r="AP7" s="6">
        <v>0</v>
      </c>
      <c r="AQ7" s="6">
        <f t="shared" si="19"/>
        <v>0</v>
      </c>
      <c r="AR7" s="19">
        <v>0</v>
      </c>
      <c r="AS7" s="6">
        <v>0</v>
      </c>
      <c r="AT7" s="19">
        <f t="shared" si="20"/>
        <v>0</v>
      </c>
      <c r="AU7" s="19">
        <v>0</v>
      </c>
      <c r="AV7" s="6">
        <v>0</v>
      </c>
      <c r="AW7" s="19">
        <f t="shared" si="21"/>
        <v>0</v>
      </c>
      <c r="AX7" s="19">
        <v>-4.08025</v>
      </c>
      <c r="AY7" s="6">
        <v>0</v>
      </c>
      <c r="AZ7" s="19">
        <f t="shared" si="22"/>
        <v>-4.08025</v>
      </c>
    </row>
    <row r="8" spans="1:52">
      <c r="A8" s="9" t="s">
        <v>548</v>
      </c>
      <c r="B8" s="6">
        <v>46.5526</v>
      </c>
      <c r="D8" s="18">
        <v>5102040898</v>
      </c>
      <c r="E8" s="6">
        <v>0</v>
      </c>
      <c r="F8" s="6">
        <v>0</v>
      </c>
      <c r="G8" s="6">
        <v>0</v>
      </c>
      <c r="H8" s="6">
        <f t="shared" si="0"/>
        <v>0</v>
      </c>
      <c r="I8" s="6">
        <f t="shared" si="1"/>
        <v>0</v>
      </c>
      <c r="J8" s="6">
        <v>0</v>
      </c>
      <c r="K8" s="6">
        <f t="shared" si="2"/>
        <v>0</v>
      </c>
      <c r="L8" s="6">
        <v>0</v>
      </c>
      <c r="M8" s="6">
        <f t="shared" si="3"/>
        <v>0</v>
      </c>
      <c r="N8" s="6">
        <f t="shared" si="4"/>
        <v>0</v>
      </c>
      <c r="O8" s="6">
        <v>0</v>
      </c>
      <c r="P8" s="6">
        <f t="shared" si="5"/>
        <v>0</v>
      </c>
      <c r="Q8" s="6">
        <v>0</v>
      </c>
      <c r="R8" s="6">
        <f t="shared" si="6"/>
        <v>0</v>
      </c>
      <c r="S8" s="6">
        <f t="shared" si="7"/>
        <v>0</v>
      </c>
      <c r="T8" s="6">
        <v>386165.99</v>
      </c>
      <c r="U8" s="6">
        <f t="shared" si="8"/>
        <v>8839.62271493254</v>
      </c>
      <c r="V8" s="6">
        <v>0</v>
      </c>
      <c r="W8" s="6">
        <f t="shared" si="9"/>
        <v>0</v>
      </c>
      <c r="X8" s="6">
        <f t="shared" si="10"/>
        <v>-8.83962271493254</v>
      </c>
      <c r="Y8" s="6">
        <v>0</v>
      </c>
      <c r="Z8" s="6">
        <f t="shared" si="11"/>
        <v>0</v>
      </c>
      <c r="AA8" s="6">
        <v>0</v>
      </c>
      <c r="AB8" s="6">
        <f t="shared" si="12"/>
        <v>0</v>
      </c>
      <c r="AC8" s="6">
        <f t="shared" si="13"/>
        <v>0</v>
      </c>
      <c r="AD8" s="6">
        <v>602153.19</v>
      </c>
      <c r="AE8" s="6">
        <f t="shared" si="14"/>
        <v>12934.8992322663</v>
      </c>
      <c r="AF8" s="6">
        <v>0</v>
      </c>
      <c r="AG8" s="6">
        <f t="shared" si="15"/>
        <v>0</v>
      </c>
      <c r="AH8" s="6">
        <f t="shared" si="16"/>
        <v>-12.9348992322663</v>
      </c>
      <c r="AI8" s="6">
        <v>7763.23</v>
      </c>
      <c r="AJ8" s="6">
        <v>0</v>
      </c>
      <c r="AK8" s="6">
        <f t="shared" si="17"/>
        <v>-7.76323</v>
      </c>
      <c r="AL8" s="6">
        <v>-3.93096</v>
      </c>
      <c r="AM8" s="6">
        <v>0</v>
      </c>
      <c r="AN8" s="6">
        <f t="shared" si="18"/>
        <v>-3.93096</v>
      </c>
      <c r="AO8" s="6">
        <v>-19599.87</v>
      </c>
      <c r="AP8" s="6">
        <v>0</v>
      </c>
      <c r="AQ8" s="6">
        <f t="shared" si="19"/>
        <v>-19.59987</v>
      </c>
      <c r="AR8" s="19">
        <v>-1.63988</v>
      </c>
      <c r="AS8" s="6">
        <v>0</v>
      </c>
      <c r="AT8" s="19">
        <f t="shared" si="20"/>
        <v>-1.63988</v>
      </c>
      <c r="AU8" s="19">
        <v>-2.15149</v>
      </c>
      <c r="AV8" s="6">
        <v>0</v>
      </c>
      <c r="AW8" s="19">
        <f t="shared" si="21"/>
        <v>-2.15149</v>
      </c>
      <c r="AX8" s="19">
        <v>-14.30028</v>
      </c>
      <c r="AY8" s="6">
        <v>0</v>
      </c>
      <c r="AZ8" s="19">
        <f t="shared" si="22"/>
        <v>-14.30028</v>
      </c>
    </row>
    <row r="9" spans="1:52">
      <c r="D9" s="18">
        <v>5301060000</v>
      </c>
      <c r="E9" s="6">
        <v>1247.02</v>
      </c>
      <c r="F9" s="6">
        <v>33.5361065393014</v>
      </c>
      <c r="G9" s="6">
        <v>-1247.02</v>
      </c>
      <c r="H9" s="6">
        <f t="shared" si="0"/>
        <v>-33.5361065393014</v>
      </c>
      <c r="I9" s="6">
        <f t="shared" si="1"/>
        <v>0</v>
      </c>
      <c r="J9" s="6">
        <v>0</v>
      </c>
      <c r="K9" s="6">
        <f t="shared" si="2"/>
        <v>0</v>
      </c>
      <c r="L9" s="6">
        <v>0</v>
      </c>
      <c r="M9" s="6">
        <f t="shared" si="3"/>
        <v>0</v>
      </c>
      <c r="N9" s="6">
        <f t="shared" si="4"/>
        <v>0</v>
      </c>
      <c r="O9" s="6">
        <v>2010.86</v>
      </c>
      <c r="P9" s="6">
        <f t="shared" si="5"/>
        <v>49.4045732508802</v>
      </c>
      <c r="Q9" s="6">
        <v>0</v>
      </c>
      <c r="R9" s="6">
        <f t="shared" si="6"/>
        <v>0</v>
      </c>
      <c r="S9" s="6">
        <f t="shared" si="7"/>
        <v>-0.0494045732508802</v>
      </c>
      <c r="T9" s="6">
        <v>91308.09</v>
      </c>
      <c r="U9" s="6">
        <f t="shared" si="8"/>
        <v>2090.10914301672</v>
      </c>
      <c r="V9" s="6">
        <v>0</v>
      </c>
      <c r="W9" s="6">
        <f t="shared" si="9"/>
        <v>0</v>
      </c>
      <c r="X9" s="6">
        <f t="shared" si="10"/>
        <v>-2.09010914301672</v>
      </c>
      <c r="Y9" s="6">
        <v>0</v>
      </c>
      <c r="Z9" s="6">
        <f t="shared" si="11"/>
        <v>0</v>
      </c>
      <c r="AA9" s="6">
        <v>0</v>
      </c>
      <c r="AB9" s="6">
        <f t="shared" si="12"/>
        <v>0</v>
      </c>
      <c r="AC9" s="6">
        <f t="shared" si="13"/>
        <v>0</v>
      </c>
      <c r="AD9" s="6">
        <v>101391.6</v>
      </c>
      <c r="AE9" s="6">
        <f t="shared" si="14"/>
        <v>2178.00079909608</v>
      </c>
      <c r="AF9" s="6">
        <v>0</v>
      </c>
      <c r="AG9" s="6">
        <f t="shared" si="15"/>
        <v>0</v>
      </c>
      <c r="AH9" s="6">
        <f t="shared" si="16"/>
        <v>-2.17800079909608</v>
      </c>
      <c r="AI9" s="6">
        <v>0</v>
      </c>
      <c r="AJ9" s="6">
        <v>0</v>
      </c>
      <c r="AK9" s="6">
        <f t="shared" si="17"/>
        <v>0</v>
      </c>
      <c r="AL9" s="6">
        <v>0</v>
      </c>
      <c r="AM9" s="6">
        <v>0</v>
      </c>
      <c r="AN9" s="6">
        <f t="shared" si="18"/>
        <v>0</v>
      </c>
      <c r="AO9" s="6">
        <v>0</v>
      </c>
      <c r="AP9" s="6">
        <v>0</v>
      </c>
      <c r="AQ9" s="6">
        <f t="shared" si="19"/>
        <v>0</v>
      </c>
      <c r="AR9" s="19">
        <v>0</v>
      </c>
      <c r="AS9" s="6">
        <v>0</v>
      </c>
      <c r="AT9" s="19">
        <f t="shared" si="20"/>
        <v>0</v>
      </c>
      <c r="AU9" s="19">
        <v>-2.03372</v>
      </c>
      <c r="AV9" s="6">
        <v>0</v>
      </c>
      <c r="AW9" s="19">
        <f t="shared" si="21"/>
        <v>-2.03372</v>
      </c>
      <c r="AX9" s="19">
        <v>0</v>
      </c>
      <c r="AY9" s="6">
        <v>0</v>
      </c>
      <c r="AZ9" s="19">
        <f t="shared" si="22"/>
        <v>0</v>
      </c>
    </row>
    <row r="10" spans="1:52">
      <c r="D10" s="18">
        <v>5601050000</v>
      </c>
      <c r="E10" s="6">
        <v>0</v>
      </c>
      <c r="F10" s="6">
        <v>0</v>
      </c>
      <c r="G10" s="6">
        <v>0</v>
      </c>
      <c r="H10" s="6">
        <f t="shared" si="0"/>
        <v>0</v>
      </c>
      <c r="I10" s="6">
        <f t="shared" si="1"/>
        <v>0</v>
      </c>
      <c r="J10" s="6">
        <v>-292.55</v>
      </c>
      <c r="K10" s="6">
        <f t="shared" si="2"/>
        <v>-7.67767163552383</v>
      </c>
      <c r="L10" s="6">
        <v>292.55</v>
      </c>
      <c r="M10" s="6">
        <f t="shared" si="3"/>
        <v>7.67767163552383</v>
      </c>
      <c r="N10" s="6">
        <f t="shared" si="4"/>
        <v>0</v>
      </c>
      <c r="O10" s="6">
        <v>0</v>
      </c>
      <c r="P10" s="6">
        <f t="shared" si="5"/>
        <v>0</v>
      </c>
      <c r="Q10" s="6">
        <v>0</v>
      </c>
      <c r="R10" s="6">
        <f t="shared" si="6"/>
        <v>0</v>
      </c>
      <c r="S10" s="6">
        <f t="shared" si="7"/>
        <v>0</v>
      </c>
      <c r="T10" s="6">
        <v>0</v>
      </c>
      <c r="U10" s="6">
        <f t="shared" si="8"/>
        <v>0</v>
      </c>
      <c r="V10" s="6">
        <v>0</v>
      </c>
      <c r="W10" s="6">
        <f t="shared" si="9"/>
        <v>0</v>
      </c>
      <c r="X10" s="6">
        <f t="shared" si="10"/>
        <v>0</v>
      </c>
      <c r="Y10" s="6">
        <v>-292.55</v>
      </c>
      <c r="Z10" s="6">
        <f t="shared" si="11"/>
        <v>-6.60822306451686</v>
      </c>
      <c r="AA10" s="6">
        <v>292.55</v>
      </c>
      <c r="AB10" s="6">
        <f t="shared" si="12"/>
        <v>6.60822306451686</v>
      </c>
      <c r="AC10" s="6">
        <f t="shared" si="13"/>
        <v>0</v>
      </c>
      <c r="AD10" s="6">
        <v>0</v>
      </c>
      <c r="AE10" s="6">
        <f t="shared" si="14"/>
        <v>0</v>
      </c>
      <c r="AF10" s="6">
        <v>0</v>
      </c>
      <c r="AG10" s="6">
        <f t="shared" si="15"/>
        <v>0</v>
      </c>
      <c r="AH10" s="6">
        <f t="shared" si="16"/>
        <v>0</v>
      </c>
      <c r="AI10" s="6">
        <v>0</v>
      </c>
      <c r="AJ10" s="6">
        <v>0</v>
      </c>
      <c r="AK10" s="6">
        <f t="shared" si="17"/>
        <v>0</v>
      </c>
      <c r="AL10" s="6">
        <v>0</v>
      </c>
      <c r="AM10" s="6">
        <v>0</v>
      </c>
      <c r="AN10" s="6">
        <f t="shared" si="18"/>
        <v>0</v>
      </c>
      <c r="AO10" s="6">
        <v>0</v>
      </c>
      <c r="AP10" s="6">
        <v>0</v>
      </c>
      <c r="AQ10" s="6">
        <f t="shared" si="19"/>
        <v>0</v>
      </c>
      <c r="AR10" s="19">
        <v>0</v>
      </c>
      <c r="AS10" s="6">
        <v>0</v>
      </c>
      <c r="AT10" s="19">
        <f t="shared" si="20"/>
        <v>0</v>
      </c>
      <c r="AU10" s="19">
        <v>0</v>
      </c>
      <c r="AV10" s="6">
        <v>0</v>
      </c>
      <c r="AW10" s="19">
        <f t="shared" si="21"/>
        <v>0</v>
      </c>
      <c r="AX10" s="19">
        <v>0</v>
      </c>
      <c r="AY10" s="6">
        <v>0</v>
      </c>
      <c r="AZ10" s="19">
        <f t="shared" si="22"/>
        <v>0</v>
      </c>
    </row>
    <row r="11" spans="1:52">
      <c r="D11" s="18">
        <v>5601050099</v>
      </c>
      <c r="E11" s="6">
        <v>0</v>
      </c>
      <c r="F11" s="6">
        <v>0</v>
      </c>
      <c r="G11" s="6">
        <v>0</v>
      </c>
      <c r="H11" s="6">
        <f t="shared" si="0"/>
        <v>0</v>
      </c>
      <c r="I11" s="6">
        <f t="shared" si="1"/>
        <v>0</v>
      </c>
      <c r="J11" s="6">
        <v>-153467.28</v>
      </c>
      <c r="K11" s="6">
        <f t="shared" si="2"/>
        <v>-4027.5897543565</v>
      </c>
      <c r="L11" s="6">
        <v>0</v>
      </c>
      <c r="M11" s="6">
        <f t="shared" si="3"/>
        <v>0</v>
      </c>
      <c r="N11" s="6">
        <f t="shared" si="4"/>
        <v>4.0275897543565</v>
      </c>
      <c r="O11" s="6">
        <v>0</v>
      </c>
      <c r="P11" s="6">
        <f t="shared" si="5"/>
        <v>0</v>
      </c>
      <c r="Q11" s="6">
        <v>0</v>
      </c>
      <c r="R11" s="6">
        <f t="shared" si="6"/>
        <v>0</v>
      </c>
      <c r="S11" s="6">
        <f t="shared" si="7"/>
        <v>0</v>
      </c>
      <c r="T11" s="6">
        <v>0</v>
      </c>
      <c r="U11" s="6">
        <f t="shared" si="8"/>
        <v>0</v>
      </c>
      <c r="V11" s="6">
        <v>0</v>
      </c>
      <c r="W11" s="6">
        <f t="shared" si="9"/>
        <v>0</v>
      </c>
      <c r="X11" s="6">
        <f t="shared" si="10"/>
        <v>0</v>
      </c>
      <c r="Y11" s="6">
        <v>0</v>
      </c>
      <c r="Z11" s="6">
        <f t="shared" si="11"/>
        <v>0</v>
      </c>
      <c r="AA11" s="6">
        <v>0</v>
      </c>
      <c r="AB11" s="6">
        <f t="shared" si="12"/>
        <v>0</v>
      </c>
      <c r="AC11" s="6">
        <f t="shared" si="13"/>
        <v>0</v>
      </c>
      <c r="AD11" s="6">
        <v>0</v>
      </c>
      <c r="AE11" s="6">
        <f t="shared" si="14"/>
        <v>0</v>
      </c>
      <c r="AF11" s="6">
        <v>0</v>
      </c>
      <c r="AG11" s="6">
        <f t="shared" si="15"/>
        <v>0</v>
      </c>
      <c r="AH11" s="6">
        <f t="shared" si="16"/>
        <v>0</v>
      </c>
      <c r="AI11" s="6">
        <v>0</v>
      </c>
      <c r="AJ11" s="6">
        <v>0</v>
      </c>
      <c r="AK11" s="6">
        <f t="shared" si="17"/>
        <v>0</v>
      </c>
      <c r="AL11" s="6">
        <v>0</v>
      </c>
      <c r="AM11" s="6">
        <v>0</v>
      </c>
      <c r="AN11" s="6">
        <f t="shared" si="18"/>
        <v>0</v>
      </c>
      <c r="AO11" s="6">
        <v>8.6</v>
      </c>
      <c r="AP11" s="6">
        <v>0</v>
      </c>
      <c r="AQ11" s="6">
        <f t="shared" si="19"/>
        <v>0.0086</v>
      </c>
      <c r="AR11" s="19">
        <v>0</v>
      </c>
      <c r="AS11" s="6">
        <v>0</v>
      </c>
      <c r="AT11" s="19">
        <f t="shared" si="20"/>
        <v>0</v>
      </c>
      <c r="AU11" s="19">
        <v>0</v>
      </c>
      <c r="AV11" s="6">
        <v>0</v>
      </c>
      <c r="AW11" s="19">
        <f t="shared" si="21"/>
        <v>0</v>
      </c>
      <c r="AX11" s="19">
        <v>0</v>
      </c>
      <c r="AY11" s="6">
        <v>0</v>
      </c>
      <c r="AZ11" s="19">
        <f t="shared" si="22"/>
        <v>0</v>
      </c>
    </row>
    <row r="12" spans="1:52">
      <c r="D12" s="18">
        <v>5601050100</v>
      </c>
      <c r="E12" s="6">
        <v>-1542.92</v>
      </c>
      <c r="F12" s="6">
        <v>-41.4937446886329</v>
      </c>
      <c r="G12" s="6">
        <v>1542.92</v>
      </c>
      <c r="H12" s="6">
        <f t="shared" si="0"/>
        <v>41.4937446886329</v>
      </c>
      <c r="I12" s="6">
        <f t="shared" si="1"/>
        <v>0</v>
      </c>
      <c r="J12" s="6">
        <v>-15529.44</v>
      </c>
      <c r="K12" s="6">
        <f t="shared" si="2"/>
        <v>-407.55406256561</v>
      </c>
      <c r="L12" s="6">
        <v>15529.44</v>
      </c>
      <c r="M12" s="6">
        <f t="shared" si="3"/>
        <v>407.55406256561</v>
      </c>
      <c r="N12" s="6">
        <f t="shared" si="4"/>
        <v>0</v>
      </c>
      <c r="O12" s="6">
        <v>-15811.6</v>
      </c>
      <c r="P12" s="6">
        <f t="shared" si="5"/>
        <v>-388.473265375818</v>
      </c>
      <c r="Q12" s="6">
        <v>15799.81</v>
      </c>
      <c r="R12" s="6">
        <f t="shared" si="6"/>
        <v>388.183598308678</v>
      </c>
      <c r="S12" s="6">
        <f t="shared" si="7"/>
        <v>0.000289667067139419</v>
      </c>
      <c r="T12" s="6">
        <v>-1336.59</v>
      </c>
      <c r="U12" s="6">
        <f t="shared" si="8"/>
        <v>-30.5955253194402</v>
      </c>
      <c r="V12" s="6">
        <v>1128.15</v>
      </c>
      <c r="W12" s="6">
        <f t="shared" si="9"/>
        <v>25.8241808551062</v>
      </c>
      <c r="X12" s="6">
        <f t="shared" si="10"/>
        <v>0.00477134446433395</v>
      </c>
      <c r="Y12" s="6">
        <v>-886.94</v>
      </c>
      <c r="Z12" s="6">
        <f t="shared" si="11"/>
        <v>-20.0345150054438</v>
      </c>
      <c r="AA12" s="6">
        <v>773.87</v>
      </c>
      <c r="AB12" s="6">
        <f t="shared" si="12"/>
        <v>17.4804497793118</v>
      </c>
      <c r="AC12" s="6">
        <f t="shared" si="13"/>
        <v>0.00255406522613202</v>
      </c>
      <c r="AD12" s="6">
        <v>-2829.74</v>
      </c>
      <c r="AE12" s="6">
        <f t="shared" si="14"/>
        <v>-60.7858637326379</v>
      </c>
      <c r="AF12" s="6">
        <v>2829.74</v>
      </c>
      <c r="AG12" s="6">
        <f t="shared" si="15"/>
        <v>60.7858637326379</v>
      </c>
      <c r="AH12" s="6">
        <f t="shared" si="16"/>
        <v>0</v>
      </c>
      <c r="AI12" s="6">
        <v>-257.53</v>
      </c>
      <c r="AJ12" s="6">
        <v>0.21227</v>
      </c>
      <c r="AK12" s="6">
        <f t="shared" si="17"/>
        <v>0.04526</v>
      </c>
      <c r="AL12" s="6">
        <v>0.13777</v>
      </c>
      <c r="AM12" s="6">
        <v>69.35</v>
      </c>
      <c r="AN12" s="6">
        <f t="shared" si="18"/>
        <v>0.06842</v>
      </c>
      <c r="AO12" s="6">
        <v>323.68</v>
      </c>
      <c r="AP12" s="6">
        <v>214.72</v>
      </c>
      <c r="AQ12" s="6">
        <f t="shared" si="19"/>
        <v>0.10896</v>
      </c>
      <c r="AR12" s="19">
        <v>0.09419</v>
      </c>
      <c r="AS12" s="6">
        <v>0.07456</v>
      </c>
      <c r="AT12" s="19">
        <f t="shared" si="20"/>
        <v>0.01963</v>
      </c>
      <c r="AU12" s="19">
        <v>0.07166</v>
      </c>
      <c r="AV12" s="6">
        <v>0.02414</v>
      </c>
      <c r="AW12" s="19">
        <f t="shared" si="21"/>
        <v>0.04752</v>
      </c>
      <c r="AX12" s="19">
        <v>0.22712</v>
      </c>
      <c r="AY12" s="6">
        <v>0.04989</v>
      </c>
      <c r="AZ12" s="19">
        <f t="shared" si="22"/>
        <v>0.17723</v>
      </c>
    </row>
    <row r="13" spans="1:52">
      <c r="D13" s="18">
        <v>5601080000</v>
      </c>
      <c r="E13" s="6">
        <v>-107629.88</v>
      </c>
      <c r="F13" s="6">
        <v>-2894.49016254128</v>
      </c>
      <c r="G13" s="6">
        <v>107629.88</v>
      </c>
      <c r="H13" s="6">
        <f t="shared" si="0"/>
        <v>2894.49016254128</v>
      </c>
      <c r="I13" s="6">
        <f t="shared" si="1"/>
        <v>0</v>
      </c>
      <c r="J13" s="6">
        <v>-338370.95</v>
      </c>
      <c r="K13" s="6">
        <f t="shared" si="2"/>
        <v>-8880.19499265169</v>
      </c>
      <c r="L13" s="6">
        <v>1.1</v>
      </c>
      <c r="M13" s="6">
        <f t="shared" si="3"/>
        <v>0.0288683602771363</v>
      </c>
      <c r="N13" s="6">
        <f t="shared" si="4"/>
        <v>8.88016612429141</v>
      </c>
      <c r="O13" s="6">
        <v>338369.85</v>
      </c>
      <c r="P13" s="6">
        <f t="shared" si="5"/>
        <v>8313.36743493547</v>
      </c>
      <c r="Q13" s="6">
        <v>0</v>
      </c>
      <c r="R13" s="6">
        <f t="shared" si="6"/>
        <v>0</v>
      </c>
      <c r="S13" s="6">
        <f t="shared" si="7"/>
        <v>-8.31336743493547</v>
      </c>
      <c r="T13" s="6">
        <v>-16057.27</v>
      </c>
      <c r="U13" s="6">
        <f t="shared" si="8"/>
        <v>-367.562686273343</v>
      </c>
      <c r="V13" s="6">
        <v>10884.5</v>
      </c>
      <c r="W13" s="6">
        <f t="shared" si="9"/>
        <v>249.154187401856</v>
      </c>
      <c r="X13" s="6">
        <f t="shared" si="10"/>
        <v>0.118408498871487</v>
      </c>
      <c r="Y13" s="6">
        <v>-68.03</v>
      </c>
      <c r="Z13" s="6">
        <f t="shared" si="11"/>
        <v>-1.53668574629664</v>
      </c>
      <c r="AA13" s="6">
        <v>68.03</v>
      </c>
      <c r="AB13" s="6">
        <f t="shared" si="12"/>
        <v>1.53668574629664</v>
      </c>
      <c r="AC13" s="6">
        <f t="shared" si="13"/>
        <v>0</v>
      </c>
      <c r="AD13" s="6">
        <v>-2335.6</v>
      </c>
      <c r="AE13" s="6">
        <f t="shared" si="14"/>
        <v>-50.1712041862323</v>
      </c>
      <c r="AF13" s="6">
        <v>0</v>
      </c>
      <c r="AG13" s="6">
        <f t="shared" si="15"/>
        <v>0</v>
      </c>
      <c r="AH13" s="6">
        <f t="shared" si="16"/>
        <v>0.0501712041862323</v>
      </c>
      <c r="AI13" s="6">
        <v>-102.61</v>
      </c>
      <c r="AJ13" s="6">
        <v>0.10658</v>
      </c>
      <c r="AK13" s="6">
        <f t="shared" si="17"/>
        <v>-0.00397</v>
      </c>
      <c r="AL13" s="6">
        <v>0.27682</v>
      </c>
      <c r="AM13" s="6">
        <v>9.94</v>
      </c>
      <c r="AN13" s="6">
        <f t="shared" si="18"/>
        <v>0.26688</v>
      </c>
      <c r="AO13" s="6">
        <v>0</v>
      </c>
      <c r="AP13" s="6">
        <v>0</v>
      </c>
      <c r="AQ13" s="6">
        <f t="shared" si="19"/>
        <v>0</v>
      </c>
      <c r="AR13" s="19">
        <v>0.4992</v>
      </c>
      <c r="AS13" s="6">
        <v>0.39966</v>
      </c>
      <c r="AT13" s="19">
        <f t="shared" si="20"/>
        <v>0.09954</v>
      </c>
      <c r="AU13" s="19">
        <v>0.20324</v>
      </c>
      <c r="AV13" s="6">
        <v>0</v>
      </c>
      <c r="AW13" s="19">
        <f t="shared" si="21"/>
        <v>0.20324</v>
      </c>
      <c r="AX13" s="19">
        <v>0.40014</v>
      </c>
      <c r="AY13" s="6">
        <v>0.40014</v>
      </c>
      <c r="AZ13" s="19">
        <f t="shared" si="22"/>
        <v>0</v>
      </c>
    </row>
    <row r="14" spans="1:52">
      <c r="D14" s="18">
        <v>5801000041</v>
      </c>
      <c r="E14" s="6">
        <v>-2704.31</v>
      </c>
      <c r="F14" s="6">
        <v>-72.7270037972913</v>
      </c>
      <c r="G14" s="6">
        <v>0</v>
      </c>
      <c r="H14" s="6">
        <f t="shared" si="0"/>
        <v>0</v>
      </c>
      <c r="I14" s="6">
        <f t="shared" si="1"/>
        <v>0.0727270037972913</v>
      </c>
      <c r="J14" s="6">
        <v>0</v>
      </c>
      <c r="K14" s="6">
        <f t="shared" si="2"/>
        <v>0</v>
      </c>
      <c r="L14" s="6">
        <v>0</v>
      </c>
      <c r="M14" s="6">
        <f t="shared" si="3"/>
        <v>0</v>
      </c>
      <c r="N14" s="6">
        <f t="shared" si="4"/>
        <v>0</v>
      </c>
      <c r="O14" s="6">
        <v>-7350.59</v>
      </c>
      <c r="P14" s="6">
        <f t="shared" si="5"/>
        <v>-180.595746144529</v>
      </c>
      <c r="Q14" s="6">
        <v>0</v>
      </c>
      <c r="R14" s="6">
        <f t="shared" si="6"/>
        <v>0</v>
      </c>
      <c r="S14" s="6">
        <f t="shared" si="7"/>
        <v>0.180595746144529</v>
      </c>
      <c r="T14" s="6">
        <v>0</v>
      </c>
      <c r="U14" s="6">
        <f t="shared" si="8"/>
        <v>0</v>
      </c>
      <c r="V14" s="6">
        <v>0</v>
      </c>
      <c r="W14" s="6">
        <f t="shared" si="9"/>
        <v>0</v>
      </c>
      <c r="X14" s="6">
        <f t="shared" si="10"/>
        <v>0</v>
      </c>
      <c r="Y14" s="6">
        <v>0</v>
      </c>
      <c r="Z14" s="6">
        <f t="shared" si="11"/>
        <v>0</v>
      </c>
      <c r="AA14" s="6">
        <v>0</v>
      </c>
      <c r="AB14" s="6">
        <f t="shared" si="12"/>
        <v>0</v>
      </c>
      <c r="AC14" s="6">
        <f t="shared" si="13"/>
        <v>0</v>
      </c>
      <c r="AD14" s="6">
        <v>0</v>
      </c>
      <c r="AE14" s="6">
        <f t="shared" si="14"/>
        <v>0</v>
      </c>
      <c r="AF14" s="6">
        <v>0</v>
      </c>
      <c r="AG14" s="6">
        <f t="shared" si="15"/>
        <v>0</v>
      </c>
      <c r="AH14" s="6">
        <f t="shared" si="16"/>
        <v>0</v>
      </c>
      <c r="AI14" s="6">
        <v>0</v>
      </c>
      <c r="AJ14" s="6">
        <v>0</v>
      </c>
      <c r="AK14" s="6">
        <f t="shared" si="17"/>
        <v>0</v>
      </c>
      <c r="AL14" s="6">
        <v>0</v>
      </c>
      <c r="AM14" s="6">
        <v>0</v>
      </c>
      <c r="AN14" s="6">
        <f t="shared" si="18"/>
        <v>0</v>
      </c>
      <c r="AO14" s="6">
        <v>0</v>
      </c>
      <c r="AP14" s="6">
        <v>0</v>
      </c>
      <c r="AQ14" s="6">
        <f t="shared" si="19"/>
        <v>0</v>
      </c>
      <c r="AR14" s="19">
        <v>0</v>
      </c>
      <c r="AS14" s="6">
        <v>0</v>
      </c>
      <c r="AT14" s="19">
        <f t="shared" si="20"/>
        <v>0</v>
      </c>
      <c r="AU14" s="19">
        <v>0.00305</v>
      </c>
      <c r="AV14" s="6">
        <v>0.00305</v>
      </c>
      <c r="AW14" s="19">
        <f t="shared" si="21"/>
        <v>0</v>
      </c>
      <c r="AX14" s="19">
        <v>0.17017</v>
      </c>
      <c r="AY14" s="6">
        <v>0.00022</v>
      </c>
      <c r="AZ14" s="19">
        <f t="shared" si="22"/>
        <v>0.16995</v>
      </c>
    </row>
    <row r="15" spans="1:52">
      <c r="D15" s="18">
        <v>6666010012</v>
      </c>
      <c r="E15" s="6">
        <v>-717.77</v>
      </c>
      <c r="F15" s="6">
        <v>-19.3029872742333</v>
      </c>
      <c r="G15" s="6">
        <v>717.77</v>
      </c>
      <c r="H15" s="6">
        <f t="shared" si="0"/>
        <v>19.3029872742333</v>
      </c>
      <c r="I15" s="6">
        <f t="shared" si="1"/>
        <v>0</v>
      </c>
      <c r="J15" s="6">
        <v>-881.27</v>
      </c>
      <c r="K15" s="6">
        <f t="shared" si="2"/>
        <v>-23.1280180558472</v>
      </c>
      <c r="L15" s="6">
        <v>881.27</v>
      </c>
      <c r="M15" s="6">
        <f t="shared" si="3"/>
        <v>23.1280180558472</v>
      </c>
      <c r="N15" s="6">
        <f t="shared" si="4"/>
        <v>0</v>
      </c>
      <c r="O15" s="6">
        <v>-799.52</v>
      </c>
      <c r="P15" s="6">
        <f t="shared" si="5"/>
        <v>-19.6433090347134</v>
      </c>
      <c r="Q15" s="6">
        <v>799.52</v>
      </c>
      <c r="R15" s="6">
        <f t="shared" si="6"/>
        <v>19.6433090347134</v>
      </c>
      <c r="S15" s="6">
        <f t="shared" si="7"/>
        <v>0</v>
      </c>
      <c r="T15" s="6">
        <v>-471.05</v>
      </c>
      <c r="U15" s="6">
        <f t="shared" si="8"/>
        <v>-10.7826799555004</v>
      </c>
      <c r="V15" s="6">
        <v>471.05</v>
      </c>
      <c r="W15" s="6">
        <f t="shared" si="9"/>
        <v>10.7826799555004</v>
      </c>
      <c r="X15" s="6">
        <f t="shared" si="10"/>
        <v>0</v>
      </c>
      <c r="Y15" s="6">
        <v>0</v>
      </c>
      <c r="Z15" s="6">
        <f t="shared" si="11"/>
        <v>0</v>
      </c>
      <c r="AA15" s="6">
        <v>0</v>
      </c>
      <c r="AB15" s="6">
        <f t="shared" si="12"/>
        <v>0</v>
      </c>
      <c r="AC15" s="6">
        <f t="shared" si="13"/>
        <v>0</v>
      </c>
      <c r="AD15" s="6">
        <v>0</v>
      </c>
      <c r="AE15" s="6">
        <f t="shared" si="14"/>
        <v>0</v>
      </c>
      <c r="AF15" s="6">
        <v>0</v>
      </c>
      <c r="AG15" s="6">
        <f t="shared" si="15"/>
        <v>0</v>
      </c>
      <c r="AH15" s="6">
        <f t="shared" si="16"/>
        <v>0</v>
      </c>
      <c r="AI15" s="6">
        <v>-9.71</v>
      </c>
      <c r="AJ15" s="6">
        <v>0</v>
      </c>
      <c r="AK15" s="6">
        <f t="shared" si="17"/>
        <v>0.00971</v>
      </c>
      <c r="AL15" s="6">
        <v>0.00942</v>
      </c>
      <c r="AM15" s="6">
        <v>0</v>
      </c>
      <c r="AN15" s="6">
        <f t="shared" si="18"/>
        <v>0.00942</v>
      </c>
      <c r="AO15" s="6">
        <v>9.24</v>
      </c>
      <c r="AP15" s="6">
        <v>0</v>
      </c>
      <c r="AQ15" s="6">
        <f t="shared" si="19"/>
        <v>0.00924</v>
      </c>
      <c r="AR15" s="19">
        <v>0.01723</v>
      </c>
      <c r="AS15" s="6">
        <v>0.00291</v>
      </c>
      <c r="AT15" s="19">
        <f t="shared" si="20"/>
        <v>0.01432</v>
      </c>
      <c r="AU15" s="19">
        <v>0.01187</v>
      </c>
      <c r="AV15" s="6">
        <v>0</v>
      </c>
      <c r="AW15" s="19">
        <f t="shared" si="21"/>
        <v>0.01187</v>
      </c>
      <c r="AX15" s="19">
        <v>0.01156</v>
      </c>
      <c r="AY15" s="6">
        <v>0</v>
      </c>
      <c r="AZ15" s="19">
        <f t="shared" si="22"/>
        <v>0.01156</v>
      </c>
    </row>
    <row r="16" spans="1:52">
      <c r="D16" s="18">
        <v>6666010101</v>
      </c>
      <c r="E16" s="6">
        <v>-1293658.28</v>
      </c>
      <c r="F16" s="6">
        <v>-34790.3497165478</v>
      </c>
      <c r="G16" s="6">
        <v>335176.04</v>
      </c>
      <c r="H16" s="6">
        <f t="shared" si="0"/>
        <v>9013.88861995891</v>
      </c>
      <c r="I16" s="6">
        <f t="shared" si="1"/>
        <v>25.7764610965889</v>
      </c>
      <c r="J16" s="6">
        <v>-1606910.54</v>
      </c>
      <c r="K16" s="6">
        <f t="shared" si="2"/>
        <v>-42171.7021834978</v>
      </c>
      <c r="L16" s="6">
        <v>597662.23</v>
      </c>
      <c r="M16" s="6">
        <f t="shared" si="3"/>
        <v>15685.0259815242</v>
      </c>
      <c r="N16" s="6">
        <f t="shared" si="4"/>
        <v>26.4866762019736</v>
      </c>
      <c r="O16" s="6">
        <v>-1484981.61</v>
      </c>
      <c r="P16" s="6">
        <f t="shared" si="5"/>
        <v>-36484.3314439866</v>
      </c>
      <c r="Q16" s="6">
        <v>396140.03</v>
      </c>
      <c r="R16" s="6">
        <f t="shared" si="6"/>
        <v>9732.71591743874</v>
      </c>
      <c r="S16" s="6">
        <f t="shared" si="7"/>
        <v>26.7516155265479</v>
      </c>
      <c r="T16" s="6">
        <v>-3359011.63</v>
      </c>
      <c r="U16" s="6">
        <f t="shared" si="8"/>
        <v>-76890.239620197</v>
      </c>
      <c r="V16" s="6">
        <v>523760.38</v>
      </c>
      <c r="W16" s="6">
        <f t="shared" si="9"/>
        <v>11989.2592100866</v>
      </c>
      <c r="X16" s="6">
        <f t="shared" si="10"/>
        <v>64.9009804101104</v>
      </c>
      <c r="Y16" s="6">
        <v>-1454745.6</v>
      </c>
      <c r="Z16" s="6">
        <f t="shared" si="11"/>
        <v>-32860.3090990409</v>
      </c>
      <c r="AA16" s="6">
        <v>556737.76</v>
      </c>
      <c r="AB16" s="6">
        <f t="shared" si="12"/>
        <v>12575.7898018098</v>
      </c>
      <c r="AC16" s="6">
        <f t="shared" si="13"/>
        <v>20.2845192972311</v>
      </c>
      <c r="AD16" s="6">
        <v>-1355385.56</v>
      </c>
      <c r="AE16" s="6">
        <f t="shared" si="14"/>
        <v>-29115.1420114022</v>
      </c>
      <c r="AF16" s="6">
        <v>506587.39</v>
      </c>
      <c r="AG16" s="6">
        <f t="shared" si="15"/>
        <v>10882.0428934152</v>
      </c>
      <c r="AH16" s="6">
        <f t="shared" si="16"/>
        <v>18.233099117987</v>
      </c>
      <c r="AI16" s="6">
        <v>-27840.02</v>
      </c>
      <c r="AJ16" s="6">
        <v>10.38994</v>
      </c>
      <c r="AK16" s="6">
        <f t="shared" si="17"/>
        <v>17.45008</v>
      </c>
      <c r="AL16" s="6">
        <v>26.89217</v>
      </c>
      <c r="AM16" s="6">
        <v>10039.06</v>
      </c>
      <c r="AN16" s="6">
        <f t="shared" si="18"/>
        <v>16.85311</v>
      </c>
      <c r="AO16" s="6">
        <v>26820.41</v>
      </c>
      <c r="AP16" s="6">
        <v>9979.85</v>
      </c>
      <c r="AQ16" s="6">
        <f t="shared" si="19"/>
        <v>16.84056</v>
      </c>
      <c r="AR16" s="19">
        <v>28.4859</v>
      </c>
      <c r="AS16" s="6">
        <v>10.47415</v>
      </c>
      <c r="AT16" s="19">
        <f t="shared" si="20"/>
        <v>18.01175</v>
      </c>
      <c r="AU16" s="19">
        <v>25.25873</v>
      </c>
      <c r="AV16" s="6">
        <v>9.87908</v>
      </c>
      <c r="AW16" s="19">
        <f t="shared" si="21"/>
        <v>15.37965</v>
      </c>
      <c r="AX16" s="19">
        <v>25.26119</v>
      </c>
      <c r="AY16" s="6">
        <v>10.18553</v>
      </c>
      <c r="AZ16" s="19">
        <f t="shared" si="22"/>
        <v>15.07566</v>
      </c>
    </row>
    <row r="17" spans="4:52">
      <c r="D17" s="18">
        <v>6666010102</v>
      </c>
      <c r="E17" s="6">
        <v>-4111.5</v>
      </c>
      <c r="F17" s="6">
        <v>-110.570561848517</v>
      </c>
      <c r="G17" s="6">
        <v>4111.5</v>
      </c>
      <c r="H17" s="6">
        <f t="shared" si="0"/>
        <v>110.570561848517</v>
      </c>
      <c r="I17" s="6">
        <f t="shared" si="1"/>
        <v>0</v>
      </c>
      <c r="J17" s="6">
        <v>-4615.79</v>
      </c>
      <c r="K17" s="6">
        <f t="shared" si="2"/>
        <v>-121.136626076003</v>
      </c>
      <c r="L17" s="6">
        <v>4615.79</v>
      </c>
      <c r="M17" s="6">
        <f t="shared" si="3"/>
        <v>121.136626076003</v>
      </c>
      <c r="N17" s="6">
        <f t="shared" si="4"/>
        <v>0</v>
      </c>
      <c r="O17" s="6">
        <v>-4348</v>
      </c>
      <c r="P17" s="6">
        <f t="shared" si="5"/>
        <v>-106.825479891602</v>
      </c>
      <c r="Q17" s="6">
        <v>4348</v>
      </c>
      <c r="R17" s="6">
        <f t="shared" si="6"/>
        <v>106.825479891602</v>
      </c>
      <c r="S17" s="6">
        <f t="shared" si="7"/>
        <v>0</v>
      </c>
      <c r="T17" s="6">
        <v>-3065.12</v>
      </c>
      <c r="U17" s="6">
        <f t="shared" si="8"/>
        <v>-70.1628446772178</v>
      </c>
      <c r="V17" s="6">
        <v>3065.12</v>
      </c>
      <c r="W17" s="6">
        <f t="shared" si="9"/>
        <v>70.1628446772178</v>
      </c>
      <c r="X17" s="6">
        <f t="shared" si="10"/>
        <v>0</v>
      </c>
      <c r="Y17" s="6">
        <v>-1133.24</v>
      </c>
      <c r="Z17" s="6">
        <f t="shared" si="11"/>
        <v>-25.5980266813642</v>
      </c>
      <c r="AA17" s="6">
        <v>1133.24</v>
      </c>
      <c r="AB17" s="6">
        <f t="shared" si="12"/>
        <v>25.5980266813642</v>
      </c>
      <c r="AC17" s="6">
        <f t="shared" si="13"/>
        <v>0</v>
      </c>
      <c r="AD17" s="6">
        <v>-781.54</v>
      </c>
      <c r="AE17" s="6">
        <f t="shared" si="14"/>
        <v>-16.7883211678832</v>
      </c>
      <c r="AF17" s="6">
        <v>781.54</v>
      </c>
      <c r="AG17" s="6">
        <f t="shared" si="15"/>
        <v>16.7883211678832</v>
      </c>
      <c r="AH17" s="6">
        <f t="shared" si="16"/>
        <v>0</v>
      </c>
      <c r="AI17" s="6">
        <v>-39.24</v>
      </c>
      <c r="AJ17" s="6">
        <v>0</v>
      </c>
      <c r="AK17" s="6">
        <f t="shared" si="17"/>
        <v>0.03924</v>
      </c>
      <c r="AL17" s="6">
        <v>0.03802</v>
      </c>
      <c r="AM17" s="6">
        <v>0</v>
      </c>
      <c r="AN17" s="6">
        <f t="shared" si="18"/>
        <v>0.03802</v>
      </c>
      <c r="AO17" s="6">
        <v>148.07</v>
      </c>
      <c r="AP17" s="6">
        <v>25.39</v>
      </c>
      <c r="AQ17" s="6">
        <f t="shared" si="19"/>
        <v>0.12268</v>
      </c>
      <c r="AR17" s="19">
        <v>0.26135</v>
      </c>
      <c r="AS17" s="6">
        <v>0.05821</v>
      </c>
      <c r="AT17" s="19">
        <f t="shared" si="20"/>
        <v>0.20314</v>
      </c>
      <c r="AU17" s="19">
        <v>0.2123</v>
      </c>
      <c r="AV17" s="6">
        <v>0.04278</v>
      </c>
      <c r="AW17" s="19">
        <f t="shared" si="21"/>
        <v>0.16952</v>
      </c>
      <c r="AX17" s="19">
        <v>0.16804</v>
      </c>
      <c r="AY17" s="6">
        <v>0.03304</v>
      </c>
      <c r="AZ17" s="19">
        <f t="shared" si="22"/>
        <v>0.135</v>
      </c>
    </row>
    <row r="18" spans="4:52">
      <c r="D18" s="18">
        <v>6666010185</v>
      </c>
      <c r="E18" s="6">
        <v>0</v>
      </c>
      <c r="F18" s="6">
        <v>0</v>
      </c>
      <c r="G18" s="6">
        <v>0</v>
      </c>
      <c r="H18" s="6">
        <f t="shared" si="0"/>
        <v>0</v>
      </c>
      <c r="I18" s="6">
        <f t="shared" si="1"/>
        <v>0</v>
      </c>
      <c r="J18" s="6">
        <v>0</v>
      </c>
      <c r="K18" s="6">
        <f t="shared" si="2"/>
        <v>0</v>
      </c>
      <c r="L18" s="6">
        <v>0</v>
      </c>
      <c r="M18" s="6">
        <f t="shared" si="3"/>
        <v>0</v>
      </c>
      <c r="N18" s="6">
        <f t="shared" si="4"/>
        <v>0</v>
      </c>
      <c r="O18" s="6">
        <v>0</v>
      </c>
      <c r="P18" s="6">
        <f t="shared" si="5"/>
        <v>0</v>
      </c>
      <c r="Q18" s="6">
        <v>0</v>
      </c>
      <c r="R18" s="6">
        <f t="shared" si="6"/>
        <v>0</v>
      </c>
      <c r="S18" s="6">
        <f t="shared" si="7"/>
        <v>0</v>
      </c>
      <c r="T18" s="6">
        <v>0</v>
      </c>
      <c r="U18" s="6">
        <f t="shared" si="8"/>
        <v>0</v>
      </c>
      <c r="V18" s="6">
        <v>0</v>
      </c>
      <c r="W18" s="6">
        <f t="shared" si="9"/>
        <v>0</v>
      </c>
      <c r="X18" s="6">
        <f t="shared" si="10"/>
        <v>0</v>
      </c>
      <c r="Y18" s="6">
        <v>-0.02</v>
      </c>
      <c r="Z18" s="6">
        <f t="shared" si="11"/>
        <v>-0.000451767086960647</v>
      </c>
      <c r="AA18" s="6">
        <v>0</v>
      </c>
      <c r="AB18" s="6">
        <f t="shared" si="12"/>
        <v>0</v>
      </c>
      <c r="AC18" s="6">
        <f t="shared" si="13"/>
        <v>4.51767086960647e-7</v>
      </c>
      <c r="AD18" s="6">
        <v>-244.84</v>
      </c>
      <c r="AE18" s="6">
        <f t="shared" si="14"/>
        <v>-5.25942697078144</v>
      </c>
      <c r="AF18" s="6">
        <v>0</v>
      </c>
      <c r="AG18" s="6">
        <f t="shared" si="15"/>
        <v>0</v>
      </c>
      <c r="AH18" s="6">
        <f t="shared" si="16"/>
        <v>0.00525942697078144</v>
      </c>
      <c r="AI18" s="6">
        <v>0</v>
      </c>
      <c r="AJ18" s="6">
        <v>0</v>
      </c>
      <c r="AK18" s="6">
        <f t="shared" si="17"/>
        <v>0</v>
      </c>
      <c r="AL18" s="6">
        <v>0</v>
      </c>
      <c r="AM18" s="6">
        <v>0</v>
      </c>
      <c r="AN18" s="6">
        <f t="shared" si="18"/>
        <v>0</v>
      </c>
      <c r="AO18" s="6">
        <v>0</v>
      </c>
      <c r="AP18" s="6">
        <v>0</v>
      </c>
      <c r="AQ18" s="6">
        <f t="shared" si="19"/>
        <v>0</v>
      </c>
      <c r="AR18" s="19">
        <v>0</v>
      </c>
      <c r="AS18" s="6">
        <v>0</v>
      </c>
      <c r="AT18" s="19">
        <f t="shared" si="20"/>
        <v>0</v>
      </c>
      <c r="AU18" s="19">
        <v>0</v>
      </c>
      <c r="AV18" s="6">
        <v>0</v>
      </c>
      <c r="AW18" s="19">
        <f t="shared" si="21"/>
        <v>0</v>
      </c>
      <c r="AX18" s="19">
        <v>0</v>
      </c>
      <c r="AY18" s="6">
        <v>0</v>
      </c>
      <c r="AZ18" s="19">
        <f t="shared" si="22"/>
        <v>0</v>
      </c>
    </row>
    <row r="19" spans="4:52">
      <c r="D19" s="18">
        <v>6666010196</v>
      </c>
      <c r="E19" s="6">
        <v>-196364.41</v>
      </c>
      <c r="F19" s="6">
        <v>-5280.82771269672</v>
      </c>
      <c r="G19" s="6">
        <v>49250.78</v>
      </c>
      <c r="H19" s="6">
        <f t="shared" si="0"/>
        <v>1324.50113488452</v>
      </c>
      <c r="I19" s="6">
        <f t="shared" si="1"/>
        <v>3.9563265778122</v>
      </c>
      <c r="J19" s="6">
        <v>-208794.1</v>
      </c>
      <c r="K19" s="6">
        <f t="shared" si="2"/>
        <v>-5479.58482049129</v>
      </c>
      <c r="L19" s="6">
        <v>49912.81</v>
      </c>
      <c r="M19" s="6">
        <f t="shared" si="3"/>
        <v>1309.90998320386</v>
      </c>
      <c r="N19" s="6">
        <f t="shared" si="4"/>
        <v>4.16967483728742</v>
      </c>
      <c r="O19" s="6">
        <v>-228203.23</v>
      </c>
      <c r="P19" s="6">
        <f t="shared" si="5"/>
        <v>-5606.69723035043</v>
      </c>
      <c r="Q19" s="6">
        <v>59512.69</v>
      </c>
      <c r="R19" s="6">
        <f t="shared" si="6"/>
        <v>1462.15999744484</v>
      </c>
      <c r="S19" s="6">
        <f t="shared" si="7"/>
        <v>4.14453723290559</v>
      </c>
      <c r="T19" s="6">
        <v>-208045.25</v>
      </c>
      <c r="U19" s="6">
        <f t="shared" si="8"/>
        <v>-4762.30834733483</v>
      </c>
      <c r="V19" s="6">
        <v>57843.03</v>
      </c>
      <c r="W19" s="6">
        <f t="shared" si="9"/>
        <v>1324.06937723471</v>
      </c>
      <c r="X19" s="6">
        <f t="shared" si="10"/>
        <v>3.43823897010012</v>
      </c>
      <c r="Y19" s="6">
        <v>-220706.02</v>
      </c>
      <c r="Z19" s="6">
        <f t="shared" si="11"/>
        <v>-4985.38578650391</v>
      </c>
      <c r="AA19" s="6">
        <v>73161.2</v>
      </c>
      <c r="AB19" s="6">
        <f t="shared" si="12"/>
        <v>1652.59111012726</v>
      </c>
      <c r="AC19" s="6">
        <f t="shared" si="13"/>
        <v>3.33279467637665</v>
      </c>
      <c r="AD19" s="6">
        <v>-213353.47</v>
      </c>
      <c r="AE19" s="6">
        <f t="shared" si="14"/>
        <v>-4583.06238534475</v>
      </c>
      <c r="AF19" s="6">
        <v>73861.54</v>
      </c>
      <c r="AG19" s="6">
        <f t="shared" si="15"/>
        <v>1586.62545163965</v>
      </c>
      <c r="AH19" s="6">
        <f t="shared" si="16"/>
        <v>2.9964369337051</v>
      </c>
      <c r="AI19" s="6">
        <v>-4393.3</v>
      </c>
      <c r="AJ19" s="6">
        <v>1.51594</v>
      </c>
      <c r="AK19" s="6">
        <f t="shared" si="17"/>
        <v>2.87736</v>
      </c>
      <c r="AL19" s="6">
        <v>4.2394</v>
      </c>
      <c r="AM19" s="6">
        <v>1460.61</v>
      </c>
      <c r="AN19" s="6">
        <f t="shared" si="18"/>
        <v>2.77879</v>
      </c>
      <c r="AO19" s="6">
        <v>4213.94</v>
      </c>
      <c r="AP19" s="6">
        <v>1443.22</v>
      </c>
      <c r="AQ19" s="6">
        <f t="shared" si="19"/>
        <v>2.77072</v>
      </c>
      <c r="AR19" s="19">
        <v>4.1817</v>
      </c>
      <c r="AS19" s="6">
        <v>1.45463</v>
      </c>
      <c r="AT19" s="19">
        <f t="shared" si="20"/>
        <v>2.72707</v>
      </c>
      <c r="AU19" s="19">
        <v>3.98888</v>
      </c>
      <c r="AV19" s="6">
        <v>1.43345</v>
      </c>
      <c r="AW19" s="19">
        <f t="shared" si="21"/>
        <v>2.55543</v>
      </c>
      <c r="AX19" s="19">
        <v>3.88097</v>
      </c>
      <c r="AY19" s="6">
        <v>1.37786</v>
      </c>
      <c r="AZ19" s="19">
        <f t="shared" si="22"/>
        <v>2.50311</v>
      </c>
    </row>
    <row r="20" spans="4:52">
      <c r="D20" s="18">
        <v>6666010199</v>
      </c>
      <c r="E20" s="6">
        <v>-349126.2</v>
      </c>
      <c r="F20" s="6">
        <v>-9389.05024687772</v>
      </c>
      <c r="G20" s="6">
        <v>49372.62</v>
      </c>
      <c r="H20" s="6">
        <f t="shared" si="0"/>
        <v>1327.77777777778</v>
      </c>
      <c r="I20" s="6">
        <f t="shared" si="1"/>
        <v>8.06127246909995</v>
      </c>
      <c r="J20" s="6">
        <v>-86704.2</v>
      </c>
      <c r="K20" s="6">
        <f t="shared" si="2"/>
        <v>-2275.46189376443</v>
      </c>
      <c r="L20" s="6">
        <v>8800.55</v>
      </c>
      <c r="M20" s="6">
        <f t="shared" si="3"/>
        <v>230.961316397229</v>
      </c>
      <c r="N20" s="6">
        <f t="shared" si="4"/>
        <v>2.04450057736721</v>
      </c>
      <c r="O20" s="6">
        <v>-130107.94</v>
      </c>
      <c r="P20" s="6">
        <f t="shared" si="5"/>
        <v>-3196.60605524558</v>
      </c>
      <c r="Q20" s="6">
        <v>39020.08</v>
      </c>
      <c r="R20" s="6">
        <f t="shared" si="6"/>
        <v>958.679570241193</v>
      </c>
      <c r="S20" s="6">
        <f t="shared" si="7"/>
        <v>2.23792648500439</v>
      </c>
      <c r="T20" s="6">
        <v>742726.08</v>
      </c>
      <c r="U20" s="6">
        <f t="shared" si="8"/>
        <v>17001.544666688</v>
      </c>
      <c r="V20" s="6">
        <v>3863.55</v>
      </c>
      <c r="W20" s="6">
        <f t="shared" si="9"/>
        <v>88.4394929244743</v>
      </c>
      <c r="X20" s="6">
        <f t="shared" si="10"/>
        <v>-17.0899841596125</v>
      </c>
      <c r="Y20" s="6">
        <v>-139510.35</v>
      </c>
      <c r="Z20" s="6">
        <f t="shared" si="11"/>
        <v>-3151.30922101801</v>
      </c>
      <c r="AA20" s="6">
        <v>70322.98</v>
      </c>
      <c r="AB20" s="6">
        <f t="shared" si="12"/>
        <v>1588.48039104959</v>
      </c>
      <c r="AC20" s="6">
        <f t="shared" si="13"/>
        <v>1.56282882996842</v>
      </c>
      <c r="AD20" s="6">
        <v>-84652.68</v>
      </c>
      <c r="AE20" s="6">
        <f t="shared" si="14"/>
        <v>-1818.43076433969</v>
      </c>
      <c r="AF20" s="6">
        <v>47641.14</v>
      </c>
      <c r="AG20" s="6">
        <f t="shared" si="15"/>
        <v>1023.38301190481</v>
      </c>
      <c r="AH20" s="6">
        <f t="shared" si="16"/>
        <v>0.79504775243488</v>
      </c>
      <c r="AI20" s="6">
        <v>-2512.6</v>
      </c>
      <c r="AJ20" s="6">
        <v>0.20506</v>
      </c>
      <c r="AK20" s="6">
        <f t="shared" si="17"/>
        <v>2.30754</v>
      </c>
      <c r="AL20" s="6">
        <v>0.99431</v>
      </c>
      <c r="AM20" s="6">
        <v>150.51</v>
      </c>
      <c r="AN20" s="6">
        <f t="shared" si="18"/>
        <v>0.8438</v>
      </c>
      <c r="AO20" s="6">
        <v>1575.49</v>
      </c>
      <c r="AP20" s="6">
        <v>95.55</v>
      </c>
      <c r="AQ20" s="6">
        <f t="shared" si="19"/>
        <v>1.47994</v>
      </c>
      <c r="AR20" s="19">
        <v>1.97621</v>
      </c>
      <c r="AS20" s="6">
        <v>0.10721</v>
      </c>
      <c r="AT20" s="19">
        <f t="shared" si="20"/>
        <v>1.869</v>
      </c>
      <c r="AU20" s="19">
        <v>2.47922</v>
      </c>
      <c r="AV20" s="6">
        <v>1.48094</v>
      </c>
      <c r="AW20" s="19">
        <f t="shared" si="21"/>
        <v>0.99828</v>
      </c>
      <c r="AX20" s="19">
        <v>0.78778</v>
      </c>
      <c r="AY20" s="6">
        <v>-0.56444</v>
      </c>
      <c r="AZ20" s="19">
        <f t="shared" si="22"/>
        <v>1.35222</v>
      </c>
    </row>
    <row r="21" spans="4:52">
      <c r="D21" s="18">
        <v>6666010207</v>
      </c>
      <c r="E21" s="6">
        <v>-17865.34</v>
      </c>
      <c r="F21" s="6">
        <v>-480.452555372683</v>
      </c>
      <c r="G21" s="6">
        <v>6254.06</v>
      </c>
      <c r="H21" s="6">
        <f t="shared" si="0"/>
        <v>168.190423941223</v>
      </c>
      <c r="I21" s="6">
        <f t="shared" si="1"/>
        <v>0.31226213143146</v>
      </c>
      <c r="J21" s="6">
        <v>-18631.89</v>
      </c>
      <c r="K21" s="6">
        <f t="shared" si="2"/>
        <v>-488.974648330884</v>
      </c>
      <c r="L21" s="6">
        <v>6277.54</v>
      </c>
      <c r="M21" s="6">
        <f t="shared" si="3"/>
        <v>164.747533067394</v>
      </c>
      <c r="N21" s="6">
        <f t="shared" si="4"/>
        <v>0.324227115263489</v>
      </c>
      <c r="O21" s="6">
        <v>-20252.19</v>
      </c>
      <c r="P21" s="6">
        <f t="shared" si="5"/>
        <v>-497.573577646252</v>
      </c>
      <c r="Q21" s="6">
        <v>6911.75</v>
      </c>
      <c r="R21" s="6">
        <f t="shared" si="6"/>
        <v>169.813939889784</v>
      </c>
      <c r="S21" s="6">
        <f t="shared" si="7"/>
        <v>0.327759637756468</v>
      </c>
      <c r="T21" s="6">
        <v>-19275.92</v>
      </c>
      <c r="U21" s="6">
        <f t="shared" si="8"/>
        <v>-441.239945245366</v>
      </c>
      <c r="V21" s="6">
        <v>6739.26</v>
      </c>
      <c r="W21" s="6">
        <f t="shared" si="9"/>
        <v>154.266603793452</v>
      </c>
      <c r="X21" s="6">
        <f t="shared" si="10"/>
        <v>0.286973341451913</v>
      </c>
      <c r="Y21" s="6">
        <v>-20357.37</v>
      </c>
      <c r="Z21" s="6">
        <f t="shared" si="11"/>
        <v>-459.839487154003</v>
      </c>
      <c r="AA21" s="6">
        <v>7131.72</v>
      </c>
      <c r="AB21" s="6">
        <f t="shared" si="12"/>
        <v>161.093818470949</v>
      </c>
      <c r="AC21" s="6">
        <f t="shared" si="13"/>
        <v>0.298745668683054</v>
      </c>
      <c r="AD21" s="6">
        <v>-19728.42</v>
      </c>
      <c r="AE21" s="6">
        <f t="shared" si="14"/>
        <v>-423.787715401503</v>
      </c>
      <c r="AF21" s="6">
        <v>7273.04</v>
      </c>
      <c r="AG21" s="6">
        <f t="shared" si="15"/>
        <v>156.232734584105</v>
      </c>
      <c r="AH21" s="6">
        <f t="shared" si="16"/>
        <v>0.267554980817398</v>
      </c>
      <c r="AI21" s="6">
        <v>-403.91</v>
      </c>
      <c r="AJ21" s="6">
        <v>0.14713</v>
      </c>
      <c r="AK21" s="6">
        <f t="shared" si="17"/>
        <v>0.25678</v>
      </c>
      <c r="AL21" s="6">
        <v>0.3901</v>
      </c>
      <c r="AM21" s="6">
        <v>141.52</v>
      </c>
      <c r="AN21" s="6">
        <f t="shared" si="18"/>
        <v>0.24858</v>
      </c>
      <c r="AO21" s="6">
        <v>387.34</v>
      </c>
      <c r="AP21" s="6">
        <v>140.09</v>
      </c>
      <c r="AQ21" s="6">
        <f t="shared" si="19"/>
        <v>0.24725</v>
      </c>
      <c r="AR21" s="19">
        <v>0.38461</v>
      </c>
      <c r="AS21" s="6">
        <v>0.14133</v>
      </c>
      <c r="AT21" s="19">
        <f t="shared" si="20"/>
        <v>0.24328</v>
      </c>
      <c r="AU21" s="19">
        <v>0.36315</v>
      </c>
      <c r="AV21" s="6">
        <v>0.13918</v>
      </c>
      <c r="AW21" s="19">
        <f t="shared" si="21"/>
        <v>0.22397</v>
      </c>
      <c r="AX21" s="19">
        <v>0.35304</v>
      </c>
      <c r="AY21" s="6">
        <v>0.13322</v>
      </c>
      <c r="AZ21" s="19">
        <f t="shared" si="22"/>
        <v>0.21982</v>
      </c>
    </row>
    <row r="22" spans="4:52">
      <c r="D22" s="18">
        <v>6666010227</v>
      </c>
      <c r="E22" s="6">
        <v>-19910.34</v>
      </c>
      <c r="F22" s="6">
        <v>-535.448736566947</v>
      </c>
      <c r="G22" s="6">
        <v>6384.62</v>
      </c>
      <c r="H22" s="6">
        <f t="shared" si="0"/>
        <v>171.701573778251</v>
      </c>
      <c r="I22" s="6">
        <f t="shared" si="1"/>
        <v>0.363747162788696</v>
      </c>
      <c r="J22" s="6">
        <v>-15867.58</v>
      </c>
      <c r="K22" s="6">
        <f t="shared" si="2"/>
        <v>-416.428196514802</v>
      </c>
      <c r="L22" s="6">
        <v>5690.51</v>
      </c>
      <c r="M22" s="6">
        <f t="shared" si="3"/>
        <v>149.341538946042</v>
      </c>
      <c r="N22" s="6">
        <f t="shared" si="4"/>
        <v>0.267086657568759</v>
      </c>
      <c r="O22" s="6">
        <v>-86887.72</v>
      </c>
      <c r="P22" s="6">
        <f t="shared" si="5"/>
        <v>-2134.73375935767</v>
      </c>
      <c r="Q22" s="6">
        <v>6354.52</v>
      </c>
      <c r="R22" s="6">
        <f t="shared" si="6"/>
        <v>156.123424213612</v>
      </c>
      <c r="S22" s="6">
        <f t="shared" si="7"/>
        <v>1.97861033514406</v>
      </c>
      <c r="T22" s="6">
        <v>-17833.06</v>
      </c>
      <c r="U22" s="6">
        <f t="shared" si="8"/>
        <v>-408.211821690343</v>
      </c>
      <c r="V22" s="6">
        <v>6400.23</v>
      </c>
      <c r="W22" s="6">
        <f t="shared" si="9"/>
        <v>146.505958457897</v>
      </c>
      <c r="X22" s="6">
        <f t="shared" si="10"/>
        <v>0.261705863232446</v>
      </c>
      <c r="Y22" s="6">
        <v>-18468.51</v>
      </c>
      <c r="Z22" s="6">
        <f t="shared" si="11"/>
        <v>-417.173248160179</v>
      </c>
      <c r="AA22" s="6">
        <v>6681.42</v>
      </c>
      <c r="AB22" s="6">
        <f t="shared" si="12"/>
        <v>150.92228250803</v>
      </c>
      <c r="AC22" s="6">
        <f t="shared" si="13"/>
        <v>0.266250965652148</v>
      </c>
      <c r="AD22" s="6">
        <v>-18895.76</v>
      </c>
      <c r="AE22" s="6">
        <f t="shared" si="14"/>
        <v>-405.901281561073</v>
      </c>
      <c r="AF22" s="6">
        <v>6927.71</v>
      </c>
      <c r="AG22" s="6">
        <f t="shared" si="15"/>
        <v>148.814674153538</v>
      </c>
      <c r="AH22" s="6">
        <f t="shared" si="16"/>
        <v>0.257086607407535</v>
      </c>
      <c r="AI22" s="6">
        <v>-9174.79</v>
      </c>
      <c r="AJ22" s="6">
        <v>0.13103</v>
      </c>
      <c r="AK22" s="6">
        <f t="shared" si="17"/>
        <v>9.04376</v>
      </c>
      <c r="AL22" s="6">
        <v>0.45344</v>
      </c>
      <c r="AM22" s="6">
        <v>153.95</v>
      </c>
      <c r="AN22" s="6">
        <f t="shared" si="18"/>
        <v>0.29949</v>
      </c>
      <c r="AO22" s="6">
        <v>455.39</v>
      </c>
      <c r="AP22" s="6">
        <v>155.67</v>
      </c>
      <c r="AQ22" s="6">
        <f t="shared" si="19"/>
        <v>0.29972</v>
      </c>
      <c r="AR22" s="19">
        <v>0.46836</v>
      </c>
      <c r="AS22" s="6">
        <v>0.15888</v>
      </c>
      <c r="AT22" s="19">
        <f t="shared" si="20"/>
        <v>0.30948</v>
      </c>
      <c r="AU22" s="19">
        <v>0.4579</v>
      </c>
      <c r="AV22" s="6">
        <v>0.16854</v>
      </c>
      <c r="AW22" s="19">
        <f t="shared" si="21"/>
        <v>0.28936</v>
      </c>
      <c r="AX22" s="19">
        <v>0.45726</v>
      </c>
      <c r="AY22" s="6">
        <v>0.16793</v>
      </c>
      <c r="AZ22" s="19">
        <f t="shared" si="22"/>
        <v>0.28933</v>
      </c>
    </row>
    <row r="23" spans="4:52">
      <c r="D23" s="18">
        <v>6666010302</v>
      </c>
      <c r="E23" s="6">
        <v>0.48</v>
      </c>
      <c r="F23" s="6">
        <v>0.0129086391067222</v>
      </c>
      <c r="G23" s="6">
        <v>0</v>
      </c>
      <c r="H23" s="6">
        <f t="shared" si="0"/>
        <v>0</v>
      </c>
      <c r="I23" s="6">
        <f t="shared" si="1"/>
        <v>-1.29086391067222e-5</v>
      </c>
      <c r="J23" s="6">
        <v>0.23</v>
      </c>
      <c r="K23" s="6">
        <f t="shared" si="2"/>
        <v>0.00603611169431031</v>
      </c>
      <c r="L23" s="6">
        <v>0</v>
      </c>
      <c r="M23" s="6">
        <f t="shared" si="3"/>
        <v>0</v>
      </c>
      <c r="N23" s="6">
        <f t="shared" si="4"/>
        <v>-6.03611169431031e-6</v>
      </c>
      <c r="O23" s="6">
        <v>17.01</v>
      </c>
      <c r="P23" s="6">
        <f t="shared" si="5"/>
        <v>0.417916608315582</v>
      </c>
      <c r="Q23" s="6">
        <v>0</v>
      </c>
      <c r="R23" s="6">
        <f t="shared" si="6"/>
        <v>0</v>
      </c>
      <c r="S23" s="6">
        <f t="shared" si="7"/>
        <v>-0.000417916608315582</v>
      </c>
      <c r="T23" s="6">
        <v>5.95</v>
      </c>
      <c r="U23" s="6">
        <f t="shared" si="8"/>
        <v>0.136199863571229</v>
      </c>
      <c r="V23" s="6">
        <v>0</v>
      </c>
      <c r="W23" s="6">
        <f t="shared" si="9"/>
        <v>0</v>
      </c>
      <c r="X23" s="6">
        <f t="shared" si="10"/>
        <v>-0.000136199863571229</v>
      </c>
      <c r="Y23" s="6">
        <v>1.57</v>
      </c>
      <c r="Z23" s="6">
        <f t="shared" si="11"/>
        <v>0.0354637163264108</v>
      </c>
      <c r="AA23" s="6">
        <v>0</v>
      </c>
      <c r="AB23" s="6">
        <f t="shared" si="12"/>
        <v>0</v>
      </c>
      <c r="AC23" s="6">
        <f t="shared" si="13"/>
        <v>-3.54637163264108e-5</v>
      </c>
      <c r="AD23" s="6">
        <v>-1.09</v>
      </c>
      <c r="AE23" s="6">
        <f t="shared" si="14"/>
        <v>-0.0234143742776988</v>
      </c>
      <c r="AF23" s="6">
        <v>0</v>
      </c>
      <c r="AG23" s="6">
        <f t="shared" si="15"/>
        <v>0</v>
      </c>
      <c r="AH23" s="6">
        <f t="shared" si="16"/>
        <v>2.34143742776988e-5</v>
      </c>
      <c r="AI23" s="6">
        <v>0</v>
      </c>
      <c r="AJ23" s="6">
        <v>0</v>
      </c>
      <c r="AK23" s="6">
        <f t="shared" si="17"/>
        <v>0</v>
      </c>
      <c r="AL23" s="6">
        <v>0</v>
      </c>
      <c r="AM23" s="6">
        <v>0</v>
      </c>
      <c r="AN23" s="6">
        <f t="shared" si="18"/>
        <v>0</v>
      </c>
      <c r="AO23" s="6">
        <v>0</v>
      </c>
      <c r="AP23" s="6">
        <v>0</v>
      </c>
      <c r="AQ23" s="6">
        <f t="shared" si="19"/>
        <v>0</v>
      </c>
      <c r="AR23" s="19">
        <v>0</v>
      </c>
      <c r="AS23" s="6">
        <v>0</v>
      </c>
      <c r="AT23" s="19">
        <f t="shared" si="20"/>
        <v>0</v>
      </c>
      <c r="AU23" s="19">
        <v>0</v>
      </c>
      <c r="AV23" s="6">
        <v>0</v>
      </c>
      <c r="AW23" s="19">
        <f t="shared" si="21"/>
        <v>0</v>
      </c>
      <c r="AX23" s="19">
        <v>0</v>
      </c>
      <c r="AY23" s="6">
        <v>0</v>
      </c>
      <c r="AZ23" s="19">
        <f t="shared" si="22"/>
        <v>0</v>
      </c>
    </row>
    <row r="24" spans="4:52">
      <c r="D24" s="18">
        <v>6666010314</v>
      </c>
      <c r="E24" s="6">
        <v>-11230.2</v>
      </c>
      <c r="F24" s="6">
        <v>-302.013747700649</v>
      </c>
      <c r="G24" s="6">
        <v>3592.95</v>
      </c>
      <c r="H24" s="6">
        <f t="shared" si="0"/>
        <v>96.6251976635363</v>
      </c>
      <c r="I24" s="6">
        <f t="shared" si="1"/>
        <v>0.205388550037112</v>
      </c>
      <c r="J24" s="6">
        <v>-103585.94</v>
      </c>
      <c r="K24" s="6">
        <f t="shared" si="2"/>
        <v>-2718.5056686962</v>
      </c>
      <c r="L24" s="6">
        <v>0</v>
      </c>
      <c r="M24" s="6">
        <f t="shared" si="3"/>
        <v>0</v>
      </c>
      <c r="N24" s="6">
        <f t="shared" si="4"/>
        <v>2.7185056686962</v>
      </c>
      <c r="O24" s="6">
        <v>78891.4</v>
      </c>
      <c r="P24" s="6">
        <f t="shared" si="5"/>
        <v>1938.2731518676</v>
      </c>
      <c r="Q24" s="6">
        <v>0</v>
      </c>
      <c r="R24" s="6">
        <f t="shared" si="6"/>
        <v>0</v>
      </c>
      <c r="S24" s="6">
        <f t="shared" si="7"/>
        <v>-1.9382731518676</v>
      </c>
      <c r="T24" s="6">
        <v>0</v>
      </c>
      <c r="U24" s="6">
        <f t="shared" si="8"/>
        <v>0</v>
      </c>
      <c r="V24" s="6">
        <v>0</v>
      </c>
      <c r="W24" s="6">
        <f t="shared" si="9"/>
        <v>0</v>
      </c>
      <c r="X24" s="6">
        <f t="shared" si="10"/>
        <v>0</v>
      </c>
      <c r="Y24" s="6">
        <v>0</v>
      </c>
      <c r="Z24" s="6">
        <f t="shared" si="11"/>
        <v>0</v>
      </c>
      <c r="AA24" s="6">
        <v>0</v>
      </c>
      <c r="AB24" s="6">
        <f t="shared" si="12"/>
        <v>0</v>
      </c>
      <c r="AC24" s="6">
        <f t="shared" si="13"/>
        <v>0</v>
      </c>
      <c r="AD24" s="6">
        <v>0</v>
      </c>
      <c r="AE24" s="6">
        <f t="shared" si="14"/>
        <v>0</v>
      </c>
      <c r="AF24" s="6">
        <v>0</v>
      </c>
      <c r="AG24" s="6">
        <f t="shared" si="15"/>
        <v>0</v>
      </c>
      <c r="AH24" s="6">
        <f t="shared" si="16"/>
        <v>0</v>
      </c>
      <c r="AI24" s="6">
        <v>2.5</v>
      </c>
      <c r="AJ24" s="6">
        <v>0</v>
      </c>
      <c r="AK24" s="6">
        <f t="shared" si="17"/>
        <v>-0.0025</v>
      </c>
      <c r="AL24" s="6">
        <v>0</v>
      </c>
      <c r="AM24" s="6">
        <v>0</v>
      </c>
      <c r="AN24" s="6">
        <f t="shared" si="18"/>
        <v>0</v>
      </c>
      <c r="AO24" s="6">
        <v>1888.44</v>
      </c>
      <c r="AP24" s="6">
        <v>1106.59</v>
      </c>
      <c r="AQ24" s="6">
        <f t="shared" si="19"/>
        <v>0.78185</v>
      </c>
      <c r="AR24" s="19">
        <v>-1e-5</v>
      </c>
      <c r="AS24" s="6">
        <v>-1e-5</v>
      </c>
      <c r="AT24" s="19">
        <f t="shared" si="20"/>
        <v>0</v>
      </c>
      <c r="AU24" s="19">
        <v>0.01873</v>
      </c>
      <c r="AV24" s="6">
        <v>0.01883</v>
      </c>
      <c r="AW24" s="19">
        <f t="shared" si="21"/>
        <v>-9.99999999999994e-5</v>
      </c>
      <c r="AX24" s="19">
        <v>0</v>
      </c>
      <c r="AY24" s="6">
        <v>0</v>
      </c>
      <c r="AZ24" s="19">
        <f t="shared" si="22"/>
        <v>0</v>
      </c>
    </row>
    <row r="25" spans="4:52">
      <c r="D25" s="18">
        <v>6666010321</v>
      </c>
      <c r="E25" s="6">
        <v>0</v>
      </c>
      <c r="F25" s="6">
        <v>0</v>
      </c>
      <c r="G25" s="6">
        <v>0</v>
      </c>
      <c r="H25" s="6">
        <f t="shared" si="0"/>
        <v>0</v>
      </c>
      <c r="I25" s="6">
        <f t="shared" si="1"/>
        <v>0</v>
      </c>
      <c r="J25" s="6">
        <v>0</v>
      </c>
      <c r="K25" s="6">
        <f t="shared" si="2"/>
        <v>0</v>
      </c>
      <c r="L25" s="6">
        <v>0</v>
      </c>
      <c r="M25" s="6">
        <f t="shared" si="3"/>
        <v>0</v>
      </c>
      <c r="N25" s="6">
        <f t="shared" si="4"/>
        <v>0</v>
      </c>
      <c r="O25" s="6">
        <v>0</v>
      </c>
      <c r="P25" s="6">
        <f t="shared" si="5"/>
        <v>0</v>
      </c>
      <c r="Q25" s="6">
        <v>0</v>
      </c>
      <c r="R25" s="6">
        <f t="shared" si="6"/>
        <v>0</v>
      </c>
      <c r="S25" s="6">
        <f t="shared" si="7"/>
        <v>0</v>
      </c>
      <c r="T25" s="6">
        <v>0</v>
      </c>
      <c r="U25" s="6">
        <f t="shared" si="8"/>
        <v>0</v>
      </c>
      <c r="V25" s="6">
        <v>0</v>
      </c>
      <c r="W25" s="6">
        <f t="shared" si="9"/>
        <v>0</v>
      </c>
      <c r="X25" s="6">
        <f t="shared" si="10"/>
        <v>0</v>
      </c>
      <c r="Y25" s="6">
        <v>0</v>
      </c>
      <c r="Z25" s="6">
        <f t="shared" si="11"/>
        <v>0</v>
      </c>
      <c r="AA25" s="6">
        <v>0</v>
      </c>
      <c r="AB25" s="6">
        <f t="shared" si="12"/>
        <v>0</v>
      </c>
      <c r="AC25" s="6">
        <f t="shared" si="13"/>
        <v>0</v>
      </c>
      <c r="AD25" s="6">
        <v>-8226.99</v>
      </c>
      <c r="AE25" s="6">
        <f t="shared" si="14"/>
        <v>-176.724608292555</v>
      </c>
      <c r="AF25" s="6">
        <v>0</v>
      </c>
      <c r="AG25" s="6">
        <f t="shared" si="15"/>
        <v>0</v>
      </c>
      <c r="AH25" s="6">
        <f t="shared" si="16"/>
        <v>0.176724608292555</v>
      </c>
      <c r="AI25" s="6">
        <v>0</v>
      </c>
      <c r="AJ25" s="6">
        <v>0</v>
      </c>
      <c r="AK25" s="6">
        <f t="shared" si="17"/>
        <v>0</v>
      </c>
      <c r="AL25" s="6">
        <v>0</v>
      </c>
      <c r="AM25" s="6">
        <v>0</v>
      </c>
      <c r="AN25" s="6">
        <f t="shared" si="18"/>
        <v>0</v>
      </c>
      <c r="AO25" s="6">
        <v>0</v>
      </c>
      <c r="AP25" s="6">
        <v>0</v>
      </c>
      <c r="AQ25" s="6">
        <f t="shared" si="19"/>
        <v>0</v>
      </c>
      <c r="AR25" s="19">
        <v>0</v>
      </c>
      <c r="AS25" s="6">
        <v>0</v>
      </c>
      <c r="AT25" s="19">
        <f t="shared" si="20"/>
        <v>0</v>
      </c>
      <c r="AU25" s="19">
        <v>0</v>
      </c>
      <c r="AV25" s="6">
        <v>0</v>
      </c>
      <c r="AW25" s="19">
        <f t="shared" si="21"/>
        <v>0</v>
      </c>
      <c r="AX25" s="19">
        <v>0</v>
      </c>
      <c r="AY25" s="6">
        <v>0</v>
      </c>
      <c r="AZ25" s="19">
        <f t="shared" si="22"/>
        <v>0</v>
      </c>
    </row>
    <row r="26" spans="4:52">
      <c r="D26" s="18">
        <v>6666010322</v>
      </c>
      <c r="E26" s="6">
        <v>-968.4</v>
      </c>
      <c r="F26" s="6">
        <v>-26.043179397812</v>
      </c>
      <c r="G26" s="6">
        <v>758.4</v>
      </c>
      <c r="H26" s="6">
        <f t="shared" si="0"/>
        <v>20.395649788621</v>
      </c>
      <c r="I26" s="6">
        <f t="shared" si="1"/>
        <v>0.00564752960919095</v>
      </c>
      <c r="J26" s="6">
        <v>-867.09</v>
      </c>
      <c r="K26" s="6">
        <f t="shared" si="2"/>
        <v>-22.755878647911</v>
      </c>
      <c r="L26" s="6">
        <v>46.81</v>
      </c>
      <c r="M26" s="6">
        <f t="shared" si="3"/>
        <v>1.22847994961159</v>
      </c>
      <c r="N26" s="6">
        <f t="shared" si="4"/>
        <v>0.0215273986982994</v>
      </c>
      <c r="O26" s="6">
        <v>-12725.83</v>
      </c>
      <c r="P26" s="6">
        <f t="shared" si="5"/>
        <v>-312.659359882463</v>
      </c>
      <c r="Q26" s="6">
        <v>7481.34</v>
      </c>
      <c r="R26" s="6">
        <f t="shared" si="6"/>
        <v>183.808126893339</v>
      </c>
      <c r="S26" s="6">
        <f t="shared" si="7"/>
        <v>0.128851232989123</v>
      </c>
      <c r="T26" s="6">
        <v>-6736.6</v>
      </c>
      <c r="U26" s="6">
        <f t="shared" si="8"/>
        <v>-154.205714442679</v>
      </c>
      <c r="V26" s="6">
        <v>3620.02</v>
      </c>
      <c r="W26" s="6">
        <f t="shared" si="9"/>
        <v>82.8649126260707</v>
      </c>
      <c r="X26" s="6">
        <f t="shared" si="10"/>
        <v>0.0713408018166086</v>
      </c>
      <c r="Y26" s="6">
        <v>-21953.91</v>
      </c>
      <c r="Z26" s="6">
        <f t="shared" si="11"/>
        <v>-495.90269840481</v>
      </c>
      <c r="AA26" s="6">
        <v>1540.58</v>
      </c>
      <c r="AB26" s="6">
        <f t="shared" si="12"/>
        <v>34.7991669414916</v>
      </c>
      <c r="AC26" s="6">
        <f t="shared" si="13"/>
        <v>0.461103531463319</v>
      </c>
      <c r="AD26" s="6">
        <v>-47021</v>
      </c>
      <c r="AE26" s="6">
        <f t="shared" si="14"/>
        <v>-1010.06173661621</v>
      </c>
      <c r="AF26" s="6">
        <v>14369.29</v>
      </c>
      <c r="AG26" s="6">
        <f t="shared" si="15"/>
        <v>308.667829508986</v>
      </c>
      <c r="AH26" s="6">
        <f t="shared" si="16"/>
        <v>0.701393907107229</v>
      </c>
      <c r="AI26" s="6">
        <v>-583.64</v>
      </c>
      <c r="AJ26" s="6">
        <v>0.17525</v>
      </c>
      <c r="AK26" s="6">
        <f t="shared" si="17"/>
        <v>0.40839</v>
      </c>
      <c r="AL26" s="6">
        <v>0.49679</v>
      </c>
      <c r="AM26" s="6">
        <v>61.94</v>
      </c>
      <c r="AN26" s="6">
        <f t="shared" si="18"/>
        <v>0.43485</v>
      </c>
      <c r="AO26" s="6">
        <v>536.58</v>
      </c>
      <c r="AP26" s="6">
        <v>155.81</v>
      </c>
      <c r="AQ26" s="6">
        <f t="shared" si="19"/>
        <v>0.38077</v>
      </c>
      <c r="AR26" s="19">
        <v>0.29871</v>
      </c>
      <c r="AS26" s="6">
        <v>3e-5</v>
      </c>
      <c r="AT26" s="19">
        <f t="shared" si="20"/>
        <v>0.29868</v>
      </c>
      <c r="AU26" s="19">
        <v>0.47352</v>
      </c>
      <c r="AV26" s="6">
        <v>0.00089</v>
      </c>
      <c r="AW26" s="19">
        <f t="shared" si="21"/>
        <v>0.47263</v>
      </c>
      <c r="AX26" s="19">
        <v>1.34431</v>
      </c>
      <c r="AY26" s="6">
        <v>0.66793</v>
      </c>
      <c r="AZ26" s="19">
        <f t="shared" si="22"/>
        <v>0.67638</v>
      </c>
    </row>
    <row r="27" spans="4:52">
      <c r="D27" s="18">
        <v>6666020101</v>
      </c>
      <c r="E27" s="6">
        <v>0</v>
      </c>
      <c r="F27" s="6">
        <v>0</v>
      </c>
      <c r="G27" s="6">
        <v>0</v>
      </c>
      <c r="H27" s="6">
        <f t="shared" si="0"/>
        <v>0</v>
      </c>
      <c r="I27" s="6">
        <f t="shared" si="1"/>
        <v>0</v>
      </c>
      <c r="J27" s="6">
        <v>0</v>
      </c>
      <c r="K27" s="6">
        <f t="shared" si="2"/>
        <v>0</v>
      </c>
      <c r="L27" s="6">
        <v>0</v>
      </c>
      <c r="M27" s="6">
        <f t="shared" si="3"/>
        <v>0</v>
      </c>
      <c r="N27" s="6">
        <f t="shared" si="4"/>
        <v>0</v>
      </c>
      <c r="O27" s="6">
        <v>-39813.74</v>
      </c>
      <c r="P27" s="6">
        <f t="shared" si="5"/>
        <v>-978.178905653053</v>
      </c>
      <c r="Q27" s="6">
        <v>-2499.31</v>
      </c>
      <c r="R27" s="6">
        <f t="shared" si="6"/>
        <v>-61.4052415243515</v>
      </c>
      <c r="S27" s="6">
        <f t="shared" si="7"/>
        <v>1.0395841471774</v>
      </c>
      <c r="T27" s="6">
        <v>-4516.76</v>
      </c>
      <c r="U27" s="6">
        <f t="shared" si="8"/>
        <v>-103.391948871258</v>
      </c>
      <c r="V27" s="6">
        <v>0</v>
      </c>
      <c r="W27" s="6">
        <f t="shared" si="9"/>
        <v>0</v>
      </c>
      <c r="X27" s="6">
        <f t="shared" si="10"/>
        <v>0.103391948871258</v>
      </c>
      <c r="Y27" s="6">
        <v>-976.44</v>
      </c>
      <c r="Z27" s="6">
        <f t="shared" si="11"/>
        <v>-22.0561727195927</v>
      </c>
      <c r="AA27" s="6">
        <v>0</v>
      </c>
      <c r="AB27" s="6">
        <f t="shared" si="12"/>
        <v>0</v>
      </c>
      <c r="AC27" s="6">
        <f t="shared" si="13"/>
        <v>0.0220561727195927</v>
      </c>
      <c r="AD27" s="6">
        <v>-12043.4</v>
      </c>
      <c r="AE27" s="6">
        <f t="shared" si="14"/>
        <v>-258.705206583521</v>
      </c>
      <c r="AF27" s="6">
        <v>11079</v>
      </c>
      <c r="AG27" s="6">
        <f t="shared" si="15"/>
        <v>237.988855617087</v>
      </c>
      <c r="AH27" s="6">
        <f t="shared" si="16"/>
        <v>0.0207163509664337</v>
      </c>
      <c r="AI27" s="6">
        <v>-159.65</v>
      </c>
      <c r="AJ27" s="6">
        <v>0.03541</v>
      </c>
      <c r="AK27" s="6">
        <f t="shared" si="17"/>
        <v>0.12424</v>
      </c>
      <c r="AL27" s="6">
        <v>0</v>
      </c>
      <c r="AM27" s="6">
        <v>0</v>
      </c>
      <c r="AN27" s="6">
        <f t="shared" si="18"/>
        <v>0</v>
      </c>
      <c r="AO27" s="6">
        <v>198.19</v>
      </c>
      <c r="AP27" s="6">
        <v>198.19</v>
      </c>
      <c r="AQ27" s="6">
        <f t="shared" si="19"/>
        <v>0</v>
      </c>
      <c r="AR27" s="19">
        <v>-0.00793</v>
      </c>
      <c r="AS27" s="6">
        <v>-0.00793</v>
      </c>
      <c r="AT27" s="19">
        <f t="shared" si="20"/>
        <v>0</v>
      </c>
      <c r="AU27" s="19">
        <v>0.61441</v>
      </c>
      <c r="AV27" s="6">
        <v>0.5457</v>
      </c>
      <c r="AW27" s="19">
        <f t="shared" si="21"/>
        <v>0.06871</v>
      </c>
      <c r="AX27" s="19">
        <v>0.19461</v>
      </c>
      <c r="AY27" s="6">
        <v>0.19416</v>
      </c>
      <c r="AZ27" s="19">
        <f t="shared" si="22"/>
        <v>0.000449999999999978</v>
      </c>
    </row>
    <row r="28" spans="4:52">
      <c r="D28" s="18">
        <v>6666020201</v>
      </c>
      <c r="E28" s="6">
        <v>-1425.06</v>
      </c>
      <c r="F28" s="6">
        <v>-38.3241359279698</v>
      </c>
      <c r="G28" s="6">
        <v>1272.72</v>
      </c>
      <c r="H28" s="6">
        <f t="shared" si="0"/>
        <v>34.2272565914738</v>
      </c>
      <c r="I28" s="6">
        <f t="shared" si="1"/>
        <v>0.00409687933649595</v>
      </c>
      <c r="J28" s="6">
        <v>-7571.33</v>
      </c>
      <c r="K28" s="6">
        <f t="shared" si="2"/>
        <v>-198.701711106446</v>
      </c>
      <c r="L28" s="6">
        <v>2135.5</v>
      </c>
      <c r="M28" s="6">
        <f t="shared" si="3"/>
        <v>56.0439848834768</v>
      </c>
      <c r="N28" s="6">
        <f t="shared" si="4"/>
        <v>0.142657726222969</v>
      </c>
      <c r="O28" s="6">
        <v>-10799.36</v>
      </c>
      <c r="P28" s="6">
        <f t="shared" si="5"/>
        <v>-265.328154213931</v>
      </c>
      <c r="Q28" s="6">
        <v>3834.65</v>
      </c>
      <c r="R28" s="6">
        <f t="shared" si="6"/>
        <v>94.2130465653937</v>
      </c>
      <c r="S28" s="6">
        <f t="shared" si="7"/>
        <v>0.171115107648537</v>
      </c>
      <c r="T28" s="6">
        <v>-16749.76</v>
      </c>
      <c r="U28" s="6">
        <f t="shared" si="8"/>
        <v>-383.41429022703</v>
      </c>
      <c r="V28" s="6">
        <v>11577.53</v>
      </c>
      <c r="W28" s="6">
        <f t="shared" si="9"/>
        <v>265.018152351565</v>
      </c>
      <c r="X28" s="6">
        <f t="shared" si="10"/>
        <v>0.118396137875465</v>
      </c>
      <c r="Y28" s="6">
        <v>-7986.14</v>
      </c>
      <c r="Z28" s="6">
        <f t="shared" si="11"/>
        <v>-180.393760192995</v>
      </c>
      <c r="AA28" s="6">
        <v>1517.02</v>
      </c>
      <c r="AB28" s="6">
        <f t="shared" si="12"/>
        <v>34.266985313052</v>
      </c>
      <c r="AC28" s="6">
        <f t="shared" si="13"/>
        <v>0.146126774879943</v>
      </c>
      <c r="AD28" s="6">
        <v>-12066.66</v>
      </c>
      <c r="AE28" s="6">
        <f t="shared" si="14"/>
        <v>-259.20485644196</v>
      </c>
      <c r="AF28" s="6">
        <v>11269.29</v>
      </c>
      <c r="AG28" s="6">
        <f t="shared" si="15"/>
        <v>242.076489820117</v>
      </c>
      <c r="AH28" s="6">
        <f t="shared" si="16"/>
        <v>0.0171283666218428</v>
      </c>
      <c r="AI28" s="6">
        <v>-249.69</v>
      </c>
      <c r="AJ28" s="6">
        <v>0.24513</v>
      </c>
      <c r="AK28" s="6">
        <f t="shared" si="17"/>
        <v>0.00456000000000001</v>
      </c>
      <c r="AL28" s="6">
        <v>0.28962</v>
      </c>
      <c r="AM28" s="6">
        <v>85.46</v>
      </c>
      <c r="AN28" s="6">
        <f t="shared" si="18"/>
        <v>0.20416</v>
      </c>
      <c r="AO28" s="6">
        <v>274.52</v>
      </c>
      <c r="AP28" s="6">
        <v>65.42</v>
      </c>
      <c r="AQ28" s="6">
        <f t="shared" si="19"/>
        <v>0.2091</v>
      </c>
      <c r="AR28" s="19">
        <v>0.5716</v>
      </c>
      <c r="AS28" s="6">
        <v>0.33724</v>
      </c>
      <c r="AT28" s="19">
        <f t="shared" si="20"/>
        <v>0.23436</v>
      </c>
      <c r="AU28" s="19">
        <v>0.10749</v>
      </c>
      <c r="AV28" s="6">
        <v>0.07548</v>
      </c>
      <c r="AW28" s="19">
        <f t="shared" si="21"/>
        <v>0.03201</v>
      </c>
      <c r="AX28" s="19">
        <v>0.3133</v>
      </c>
      <c r="AY28" s="6">
        <v>0.14681</v>
      </c>
      <c r="AZ28" s="19">
        <f t="shared" si="22"/>
        <v>0.16649</v>
      </c>
    </row>
    <row r="29" spans="4:52">
      <c r="D29" s="18">
        <v>6666020202</v>
      </c>
      <c r="E29" s="6">
        <v>0</v>
      </c>
      <c r="F29" s="6">
        <v>0</v>
      </c>
      <c r="G29" s="6">
        <v>0</v>
      </c>
      <c r="H29" s="6">
        <f t="shared" si="0"/>
        <v>0</v>
      </c>
      <c r="I29" s="6">
        <f t="shared" si="1"/>
        <v>0</v>
      </c>
      <c r="J29" s="6">
        <v>-4316.31</v>
      </c>
      <c r="K29" s="6">
        <f t="shared" si="2"/>
        <v>-113.277083770733</v>
      </c>
      <c r="L29" s="6">
        <v>0</v>
      </c>
      <c r="M29" s="6">
        <f t="shared" si="3"/>
        <v>0</v>
      </c>
      <c r="N29" s="6">
        <f t="shared" si="4"/>
        <v>0.113277083770733</v>
      </c>
      <c r="O29" s="6">
        <v>0</v>
      </c>
      <c r="P29" s="6">
        <f t="shared" si="5"/>
        <v>0</v>
      </c>
      <c r="Q29" s="6">
        <v>0</v>
      </c>
      <c r="R29" s="6">
        <f t="shared" si="6"/>
        <v>0</v>
      </c>
      <c r="S29" s="6">
        <f t="shared" si="7"/>
        <v>0</v>
      </c>
      <c r="T29" s="6">
        <v>0</v>
      </c>
      <c r="U29" s="6">
        <f t="shared" si="8"/>
        <v>0</v>
      </c>
      <c r="V29" s="6">
        <v>0</v>
      </c>
      <c r="W29" s="6">
        <f t="shared" si="9"/>
        <v>0</v>
      </c>
      <c r="X29" s="6">
        <f t="shared" si="10"/>
        <v>0</v>
      </c>
      <c r="Y29" s="6">
        <v>0</v>
      </c>
      <c r="Z29" s="6">
        <f t="shared" si="11"/>
        <v>0</v>
      </c>
      <c r="AA29" s="6">
        <v>0</v>
      </c>
      <c r="AB29" s="6">
        <f t="shared" si="12"/>
        <v>0</v>
      </c>
      <c r="AC29" s="6">
        <f t="shared" si="13"/>
        <v>0</v>
      </c>
      <c r="AD29" s="6">
        <v>0</v>
      </c>
      <c r="AE29" s="6">
        <f t="shared" si="14"/>
        <v>0</v>
      </c>
      <c r="AF29" s="6">
        <v>0</v>
      </c>
      <c r="AG29" s="6">
        <f t="shared" si="15"/>
        <v>0</v>
      </c>
      <c r="AH29" s="6">
        <f t="shared" si="16"/>
        <v>0</v>
      </c>
      <c r="AI29" s="6">
        <v>0</v>
      </c>
      <c r="AJ29" s="6">
        <v>0</v>
      </c>
      <c r="AK29" s="6">
        <f t="shared" si="17"/>
        <v>0</v>
      </c>
      <c r="AL29" s="6">
        <v>0.14355</v>
      </c>
      <c r="AM29" s="6">
        <v>0</v>
      </c>
      <c r="AN29" s="6">
        <f t="shared" si="18"/>
        <v>0.14355</v>
      </c>
      <c r="AO29" s="6">
        <v>164.55</v>
      </c>
      <c r="AP29" s="6">
        <v>164.55</v>
      </c>
      <c r="AQ29" s="6">
        <f t="shared" si="19"/>
        <v>0</v>
      </c>
      <c r="AR29" s="19">
        <v>0.00157</v>
      </c>
      <c r="AS29" s="6">
        <v>0.00157</v>
      </c>
      <c r="AT29" s="19">
        <f t="shared" si="20"/>
        <v>0</v>
      </c>
      <c r="AU29" s="19">
        <v>-0.00155</v>
      </c>
      <c r="AV29" s="6">
        <v>-0.00155</v>
      </c>
      <c r="AW29" s="19">
        <f t="shared" si="21"/>
        <v>0</v>
      </c>
      <c r="AX29" s="19">
        <v>0.00343</v>
      </c>
      <c r="AY29" s="6">
        <v>0.00287</v>
      </c>
      <c r="AZ29" s="19">
        <f t="shared" si="22"/>
        <v>0.00056</v>
      </c>
    </row>
    <row r="30" spans="4:52">
      <c r="D30" s="18">
        <v>6666020204</v>
      </c>
      <c r="E30" s="6">
        <v>-11324.5</v>
      </c>
      <c r="F30" s="6">
        <v>-304.549757425157</v>
      </c>
      <c r="G30" s="6">
        <v>0</v>
      </c>
      <c r="H30" s="6">
        <f t="shared" si="0"/>
        <v>0</v>
      </c>
      <c r="I30" s="6">
        <f t="shared" si="1"/>
        <v>0.304549757425157</v>
      </c>
      <c r="J30" s="6">
        <v>-204263.73</v>
      </c>
      <c r="K30" s="6">
        <f t="shared" si="2"/>
        <v>-5360.68995381062</v>
      </c>
      <c r="L30" s="6">
        <v>0</v>
      </c>
      <c r="M30" s="6">
        <f t="shared" si="3"/>
        <v>0</v>
      </c>
      <c r="N30" s="6">
        <f t="shared" si="4"/>
        <v>5.36068995381062</v>
      </c>
      <c r="O30" s="6">
        <v>-168342.28</v>
      </c>
      <c r="P30" s="6">
        <f t="shared" si="5"/>
        <v>-4135.98087558566</v>
      </c>
      <c r="Q30" s="6">
        <v>0</v>
      </c>
      <c r="R30" s="6">
        <f t="shared" si="6"/>
        <v>0</v>
      </c>
      <c r="S30" s="6">
        <f t="shared" si="7"/>
        <v>4.13598087558566</v>
      </c>
      <c r="T30" s="6">
        <v>-192355.61</v>
      </c>
      <c r="U30" s="6">
        <f t="shared" si="8"/>
        <v>-4403.16098137152</v>
      </c>
      <c r="V30" s="6">
        <v>158.15</v>
      </c>
      <c r="W30" s="6">
        <f t="shared" si="9"/>
        <v>3.6201694829899</v>
      </c>
      <c r="X30" s="6">
        <f t="shared" si="10"/>
        <v>4.39954081188853</v>
      </c>
      <c r="Y30" s="6">
        <v>11410.61</v>
      </c>
      <c r="Z30" s="6">
        <f t="shared" si="11"/>
        <v>257.746902007201</v>
      </c>
      <c r="AA30" s="6">
        <v>0</v>
      </c>
      <c r="AB30" s="6">
        <f t="shared" si="12"/>
        <v>0</v>
      </c>
      <c r="AC30" s="6">
        <f t="shared" si="13"/>
        <v>-0.257746902007201</v>
      </c>
      <c r="AD30" s="6">
        <v>-235786.78</v>
      </c>
      <c r="AE30" s="6">
        <f t="shared" si="14"/>
        <v>-5064.95405197561</v>
      </c>
      <c r="AF30" s="6">
        <v>0</v>
      </c>
      <c r="AG30" s="6">
        <f t="shared" si="15"/>
        <v>0</v>
      </c>
      <c r="AH30" s="6">
        <f t="shared" si="16"/>
        <v>5.06495405197562</v>
      </c>
      <c r="AI30" s="6">
        <v>-247.44</v>
      </c>
      <c r="AJ30" s="6">
        <v>0.14958</v>
      </c>
      <c r="AK30" s="6">
        <f t="shared" si="17"/>
        <v>0.09786</v>
      </c>
      <c r="AL30" s="6">
        <v>1.16384</v>
      </c>
      <c r="AM30" s="6">
        <v>0</v>
      </c>
      <c r="AN30" s="6">
        <f t="shared" si="18"/>
        <v>1.16384</v>
      </c>
      <c r="AO30" s="6">
        <v>6581.12</v>
      </c>
      <c r="AP30" s="6">
        <v>145.6</v>
      </c>
      <c r="AQ30" s="6">
        <f t="shared" si="19"/>
        <v>6.43552</v>
      </c>
      <c r="AR30" s="19">
        <v>0.61779</v>
      </c>
      <c r="AS30" s="6">
        <v>0.04501</v>
      </c>
      <c r="AT30" s="19">
        <f t="shared" si="20"/>
        <v>0.57278</v>
      </c>
      <c r="AU30" s="19">
        <v>4.62982</v>
      </c>
      <c r="AV30" s="6">
        <v>0.41145</v>
      </c>
      <c r="AW30" s="19">
        <f t="shared" si="21"/>
        <v>4.21837</v>
      </c>
      <c r="AX30" s="19">
        <v>6.77811</v>
      </c>
      <c r="AY30" s="6">
        <v>0.25536</v>
      </c>
      <c r="AZ30" s="19">
        <f t="shared" si="22"/>
        <v>6.52275</v>
      </c>
    </row>
    <row r="31" spans="4:52">
      <c r="D31" s="18">
        <v>6666020301</v>
      </c>
      <c r="E31" s="6">
        <v>-147.22</v>
      </c>
      <c r="F31" s="6">
        <v>-3.95918718602425</v>
      </c>
      <c r="G31" s="6">
        <v>147.22</v>
      </c>
      <c r="H31" s="6">
        <f t="shared" si="0"/>
        <v>3.95918718602425</v>
      </c>
      <c r="I31" s="6">
        <f t="shared" si="1"/>
        <v>0</v>
      </c>
      <c r="J31" s="6">
        <v>-2932.66</v>
      </c>
      <c r="K31" s="6">
        <f t="shared" si="2"/>
        <v>-76.9646231366786</v>
      </c>
      <c r="L31" s="6">
        <v>2901.8</v>
      </c>
      <c r="M31" s="6">
        <f t="shared" si="3"/>
        <v>76.1547344110855</v>
      </c>
      <c r="N31" s="6">
        <f t="shared" si="4"/>
        <v>0.000809888725593112</v>
      </c>
      <c r="O31" s="6">
        <v>-35379.52</v>
      </c>
      <c r="P31" s="6">
        <f t="shared" si="5"/>
        <v>-869.235097133058</v>
      </c>
      <c r="Q31" s="6">
        <v>8382.34</v>
      </c>
      <c r="R31" s="6">
        <f t="shared" si="6"/>
        <v>205.944685628926</v>
      </c>
      <c r="S31" s="6">
        <f t="shared" si="7"/>
        <v>0.663290411504131</v>
      </c>
      <c r="T31" s="6">
        <v>-31849.03</v>
      </c>
      <c r="U31" s="6">
        <f t="shared" si="8"/>
        <v>-729.047653928737</v>
      </c>
      <c r="V31" s="6">
        <v>5800.05</v>
      </c>
      <c r="W31" s="6">
        <f t="shared" si="9"/>
        <v>132.7673981019</v>
      </c>
      <c r="X31" s="6">
        <f t="shared" si="10"/>
        <v>0.596280255826836</v>
      </c>
      <c r="Y31" s="6">
        <v>-19138.62</v>
      </c>
      <c r="Z31" s="6">
        <f t="shared" si="11"/>
        <v>-432.309930292338</v>
      </c>
      <c r="AA31" s="6">
        <v>4285.64</v>
      </c>
      <c r="AB31" s="6">
        <f t="shared" si="12"/>
        <v>96.8055549281013</v>
      </c>
      <c r="AC31" s="6">
        <f t="shared" si="13"/>
        <v>0.335504375364237</v>
      </c>
      <c r="AD31" s="6">
        <v>-19124.23</v>
      </c>
      <c r="AE31" s="6">
        <f t="shared" si="14"/>
        <v>-410.809063296142</v>
      </c>
      <c r="AF31" s="6">
        <v>4391.53</v>
      </c>
      <c r="AG31" s="6">
        <f t="shared" si="15"/>
        <v>94.3347954786628</v>
      </c>
      <c r="AH31" s="6">
        <f t="shared" si="16"/>
        <v>0.31647426781748</v>
      </c>
      <c r="AI31" s="6">
        <v>-357.62</v>
      </c>
      <c r="AJ31" s="6">
        <v>0.10688</v>
      </c>
      <c r="AK31" s="6">
        <f t="shared" si="17"/>
        <v>0.25074</v>
      </c>
      <c r="AL31" s="6">
        <v>0.02137</v>
      </c>
      <c r="AM31" s="6">
        <v>29.2</v>
      </c>
      <c r="AN31" s="6">
        <f t="shared" si="18"/>
        <v>-0.00783</v>
      </c>
      <c r="AO31" s="6">
        <v>2259.16</v>
      </c>
      <c r="AP31" s="6">
        <v>100.59</v>
      </c>
      <c r="AQ31" s="6">
        <f t="shared" si="19"/>
        <v>2.15857</v>
      </c>
      <c r="AR31" s="19">
        <v>0.5588</v>
      </c>
      <c r="AS31" s="6">
        <v>0.3516</v>
      </c>
      <c r="AT31" s="19">
        <f t="shared" si="20"/>
        <v>0.2072</v>
      </c>
      <c r="AU31" s="19">
        <v>-0.26929</v>
      </c>
      <c r="AV31" s="6">
        <v>-0.08573</v>
      </c>
      <c r="AW31" s="19">
        <f t="shared" si="21"/>
        <v>-0.18356</v>
      </c>
      <c r="AX31" s="19">
        <v>0.05591</v>
      </c>
      <c r="AY31" s="6">
        <v>0.16186</v>
      </c>
      <c r="AZ31" s="19">
        <f t="shared" si="22"/>
        <v>-0.10595</v>
      </c>
    </row>
    <row r="32" spans="4:52">
      <c r="D32" s="18">
        <v>6666020401</v>
      </c>
      <c r="E32" s="6">
        <v>-57482.89</v>
      </c>
      <c r="F32" s="6">
        <v>-1545.8872537946</v>
      </c>
      <c r="G32" s="6">
        <v>0</v>
      </c>
      <c r="H32" s="6">
        <f t="shared" si="0"/>
        <v>0</v>
      </c>
      <c r="I32" s="6">
        <f t="shared" si="1"/>
        <v>1.5458872537946</v>
      </c>
      <c r="J32" s="6">
        <v>0</v>
      </c>
      <c r="K32" s="6">
        <f t="shared" si="2"/>
        <v>0</v>
      </c>
      <c r="L32" s="6">
        <v>0</v>
      </c>
      <c r="M32" s="6">
        <f t="shared" si="3"/>
        <v>0</v>
      </c>
      <c r="N32" s="6">
        <f t="shared" si="4"/>
        <v>0</v>
      </c>
      <c r="O32" s="6">
        <v>-111535.72</v>
      </c>
      <c r="P32" s="6">
        <f t="shared" si="5"/>
        <v>-2740.30745493454</v>
      </c>
      <c r="Q32" s="6">
        <v>2.54</v>
      </c>
      <c r="R32" s="6">
        <f t="shared" si="6"/>
        <v>0.0624049491547078</v>
      </c>
      <c r="S32" s="6">
        <f t="shared" si="7"/>
        <v>2.74024504998538</v>
      </c>
      <c r="T32" s="6">
        <v>-53631.19</v>
      </c>
      <c r="U32" s="6">
        <f t="shared" si="8"/>
        <v>-1227.65727078364</v>
      </c>
      <c r="V32" s="6">
        <v>0</v>
      </c>
      <c r="W32" s="6">
        <f t="shared" si="9"/>
        <v>0</v>
      </c>
      <c r="X32" s="6">
        <f t="shared" si="10"/>
        <v>1.22765727078364</v>
      </c>
      <c r="Y32" s="6">
        <v>-36853.77</v>
      </c>
      <c r="Z32" s="6">
        <f t="shared" si="11"/>
        <v>-832.466015820883</v>
      </c>
      <c r="AA32" s="6">
        <v>13.49</v>
      </c>
      <c r="AB32" s="6">
        <f t="shared" si="12"/>
        <v>0.304716900154956</v>
      </c>
      <c r="AC32" s="6">
        <f t="shared" si="13"/>
        <v>0.832161298920728</v>
      </c>
      <c r="AD32" s="6">
        <v>-45319.8</v>
      </c>
      <c r="AE32" s="6">
        <f t="shared" si="14"/>
        <v>-973.518127881149</v>
      </c>
      <c r="AF32" s="6">
        <v>0.27</v>
      </c>
      <c r="AG32" s="6">
        <f t="shared" si="15"/>
        <v>0.00579989087612722</v>
      </c>
      <c r="AH32" s="6">
        <f t="shared" si="16"/>
        <v>0.973512327990273</v>
      </c>
      <c r="AI32" s="6">
        <v>-312.849999999999</v>
      </c>
      <c r="AJ32" s="6">
        <v>-0.7041</v>
      </c>
      <c r="AK32" s="6">
        <f t="shared" si="17"/>
        <v>1.01695</v>
      </c>
      <c r="AL32" s="6">
        <v>1.22669</v>
      </c>
      <c r="AM32" s="6">
        <v>0</v>
      </c>
      <c r="AN32" s="6">
        <f t="shared" si="18"/>
        <v>1.22669</v>
      </c>
      <c r="AO32" s="6">
        <v>1314.16</v>
      </c>
      <c r="AP32" s="6">
        <v>0</v>
      </c>
      <c r="AQ32" s="6">
        <f t="shared" si="19"/>
        <v>1.31416</v>
      </c>
      <c r="AR32" s="19">
        <v>-3.83757</v>
      </c>
      <c r="AS32" s="6">
        <v>0.08582</v>
      </c>
      <c r="AT32" s="19">
        <f t="shared" si="20"/>
        <v>-3.92339</v>
      </c>
      <c r="AU32" s="19">
        <v>1.03425</v>
      </c>
      <c r="AV32" s="6">
        <v>-0.177880000000001</v>
      </c>
      <c r="AW32" s="19">
        <f t="shared" si="21"/>
        <v>1.21213</v>
      </c>
      <c r="AX32" s="19">
        <v>1.4779</v>
      </c>
      <c r="AY32" s="6">
        <v>0.0873999999999996</v>
      </c>
      <c r="AZ32" s="19">
        <f t="shared" si="22"/>
        <v>1.3905</v>
      </c>
    </row>
    <row r="33" spans="4:52">
      <c r="D33" s="18">
        <v>6666020403</v>
      </c>
      <c r="E33" s="6">
        <v>-11902.92</v>
      </c>
      <c r="F33" s="6">
        <v>-320.10520540872</v>
      </c>
      <c r="G33" s="6">
        <v>0</v>
      </c>
      <c r="H33" s="6">
        <f t="shared" si="0"/>
        <v>0</v>
      </c>
      <c r="I33" s="6">
        <f t="shared" si="1"/>
        <v>0.32010520540872</v>
      </c>
      <c r="J33" s="6">
        <v>-23422.99</v>
      </c>
      <c r="K33" s="6">
        <f t="shared" si="2"/>
        <v>-614.712103716145</v>
      </c>
      <c r="L33" s="6">
        <v>0</v>
      </c>
      <c r="M33" s="6">
        <f t="shared" si="3"/>
        <v>0</v>
      </c>
      <c r="N33" s="6">
        <f t="shared" si="4"/>
        <v>0.614712103716145</v>
      </c>
      <c r="O33" s="6">
        <v>-18724.98</v>
      </c>
      <c r="P33" s="6">
        <f t="shared" si="5"/>
        <v>-460.051742056268</v>
      </c>
      <c r="Q33" s="6">
        <v>0</v>
      </c>
      <c r="R33" s="6">
        <f t="shared" si="6"/>
        <v>0</v>
      </c>
      <c r="S33" s="6">
        <f t="shared" si="7"/>
        <v>0.460051742056268</v>
      </c>
      <c r="T33" s="6">
        <v>-24540.65</v>
      </c>
      <c r="U33" s="6">
        <f t="shared" si="8"/>
        <v>-561.753475957863</v>
      </c>
      <c r="V33" s="6">
        <v>0</v>
      </c>
      <c r="W33" s="6">
        <f t="shared" si="9"/>
        <v>0</v>
      </c>
      <c r="X33" s="6">
        <f t="shared" si="10"/>
        <v>0.561753475957863</v>
      </c>
      <c r="Y33" s="6">
        <v>0</v>
      </c>
      <c r="Z33" s="6">
        <f t="shared" si="11"/>
        <v>0</v>
      </c>
      <c r="AA33" s="6">
        <v>0</v>
      </c>
      <c r="AB33" s="6">
        <f t="shared" si="12"/>
        <v>0</v>
      </c>
      <c r="AC33" s="6">
        <f t="shared" si="13"/>
        <v>0</v>
      </c>
      <c r="AD33" s="6">
        <v>0</v>
      </c>
      <c r="AE33" s="6">
        <f t="shared" si="14"/>
        <v>0</v>
      </c>
      <c r="AF33" s="6">
        <v>0</v>
      </c>
      <c r="AG33" s="6">
        <f t="shared" si="15"/>
        <v>0</v>
      </c>
      <c r="AH33" s="6">
        <f t="shared" si="16"/>
        <v>0</v>
      </c>
      <c r="AI33" s="6">
        <v>0</v>
      </c>
      <c r="AJ33" s="6">
        <v>0</v>
      </c>
      <c r="AK33" s="6">
        <f t="shared" si="17"/>
        <v>0</v>
      </c>
      <c r="AL33" s="6">
        <v>0</v>
      </c>
      <c r="AM33" s="6">
        <v>0</v>
      </c>
      <c r="AN33" s="6">
        <f t="shared" si="18"/>
        <v>0</v>
      </c>
      <c r="AO33" s="6">
        <v>0</v>
      </c>
      <c r="AP33" s="6">
        <v>0</v>
      </c>
      <c r="AQ33" s="6">
        <f t="shared" si="19"/>
        <v>0</v>
      </c>
      <c r="AR33" s="19">
        <v>0</v>
      </c>
      <c r="AS33" s="6">
        <v>0</v>
      </c>
      <c r="AT33" s="19">
        <f t="shared" si="20"/>
        <v>0</v>
      </c>
      <c r="AU33" s="19">
        <v>0</v>
      </c>
      <c r="AV33" s="6">
        <v>0</v>
      </c>
      <c r="AW33" s="19">
        <f t="shared" si="21"/>
        <v>0</v>
      </c>
      <c r="AX33" s="19">
        <v>0</v>
      </c>
      <c r="AY33" s="6">
        <v>0</v>
      </c>
      <c r="AZ33" s="19">
        <f t="shared" si="22"/>
        <v>0</v>
      </c>
    </row>
    <row r="34" spans="4:52">
      <c r="D34" s="18">
        <v>6666020405</v>
      </c>
      <c r="E34" s="6">
        <v>0</v>
      </c>
      <c r="F34" s="6">
        <v>0</v>
      </c>
      <c r="G34" s="6">
        <v>0</v>
      </c>
      <c r="H34" s="6">
        <f t="shared" si="0"/>
        <v>0</v>
      </c>
      <c r="I34" s="6">
        <f t="shared" si="1"/>
        <v>0</v>
      </c>
      <c r="J34" s="6">
        <v>0</v>
      </c>
      <c r="K34" s="6">
        <f t="shared" si="2"/>
        <v>0</v>
      </c>
      <c r="L34" s="6">
        <v>0</v>
      </c>
      <c r="M34" s="6">
        <f t="shared" si="3"/>
        <v>0</v>
      </c>
      <c r="N34" s="6">
        <f t="shared" si="4"/>
        <v>0</v>
      </c>
      <c r="O34" s="6">
        <v>0</v>
      </c>
      <c r="P34" s="6">
        <f t="shared" si="5"/>
        <v>0</v>
      </c>
      <c r="Q34" s="6">
        <v>0</v>
      </c>
      <c r="R34" s="6">
        <f t="shared" si="6"/>
        <v>0</v>
      </c>
      <c r="S34" s="6">
        <f t="shared" si="7"/>
        <v>0</v>
      </c>
      <c r="T34" s="6">
        <v>0</v>
      </c>
      <c r="U34" s="6">
        <f t="shared" si="8"/>
        <v>0</v>
      </c>
      <c r="V34" s="6">
        <v>0</v>
      </c>
      <c r="W34" s="6">
        <f t="shared" si="9"/>
        <v>0</v>
      </c>
      <c r="X34" s="6">
        <f t="shared" si="10"/>
        <v>0</v>
      </c>
      <c r="Y34" s="6">
        <v>0</v>
      </c>
      <c r="Z34" s="6">
        <f t="shared" si="11"/>
        <v>0</v>
      </c>
      <c r="AA34" s="6">
        <v>0</v>
      </c>
      <c r="AB34" s="6">
        <f t="shared" si="12"/>
        <v>0</v>
      </c>
      <c r="AC34" s="6">
        <f t="shared" si="13"/>
        <v>0</v>
      </c>
      <c r="AD34" s="6">
        <v>0</v>
      </c>
      <c r="AE34" s="6">
        <f t="shared" si="14"/>
        <v>0</v>
      </c>
      <c r="AF34" s="6">
        <v>0</v>
      </c>
      <c r="AG34" s="6">
        <f t="shared" si="15"/>
        <v>0</v>
      </c>
      <c r="AH34" s="6">
        <f t="shared" si="16"/>
        <v>0</v>
      </c>
      <c r="AI34" s="6">
        <v>-32.87</v>
      </c>
      <c r="AJ34" s="6">
        <v>0</v>
      </c>
      <c r="AK34" s="6">
        <f t="shared" si="17"/>
        <v>0.03287</v>
      </c>
      <c r="AL34" s="6">
        <v>0</v>
      </c>
      <c r="AM34" s="6">
        <v>0</v>
      </c>
      <c r="AN34" s="6">
        <f t="shared" si="18"/>
        <v>0</v>
      </c>
      <c r="AO34" s="6">
        <v>0</v>
      </c>
      <c r="AP34" s="6">
        <v>0</v>
      </c>
      <c r="AQ34" s="6">
        <f t="shared" si="19"/>
        <v>0</v>
      </c>
      <c r="AR34" s="19">
        <v>0</v>
      </c>
      <c r="AS34" s="6">
        <v>0</v>
      </c>
      <c r="AT34" s="19">
        <f t="shared" si="20"/>
        <v>0</v>
      </c>
      <c r="AU34" s="19">
        <v>0</v>
      </c>
      <c r="AV34" s="6">
        <v>0</v>
      </c>
      <c r="AW34" s="19">
        <f t="shared" si="21"/>
        <v>0</v>
      </c>
      <c r="AX34" s="19">
        <v>0</v>
      </c>
      <c r="AY34" s="6">
        <v>0</v>
      </c>
      <c r="AZ34" s="19">
        <f t="shared" si="22"/>
        <v>0</v>
      </c>
    </row>
    <row r="35" spans="4:52">
      <c r="D35" s="18">
        <v>6666020495</v>
      </c>
      <c r="E35" s="6">
        <v>-1179.2</v>
      </c>
      <c r="F35" s="6">
        <v>-31.7122234055141</v>
      </c>
      <c r="G35" s="6">
        <v>49.27</v>
      </c>
      <c r="H35" s="6">
        <f t="shared" si="0"/>
        <v>1.32501801830875</v>
      </c>
      <c r="I35" s="6">
        <f t="shared" si="1"/>
        <v>0.0303872053872054</v>
      </c>
      <c r="J35" s="6">
        <v>-3709.43</v>
      </c>
      <c r="K35" s="6">
        <f t="shared" si="2"/>
        <v>-97.3501469661978</v>
      </c>
      <c r="L35" s="6">
        <v>153470.32</v>
      </c>
      <c r="M35" s="6">
        <f t="shared" si="3"/>
        <v>4027.66953600672</v>
      </c>
      <c r="N35" s="6">
        <f t="shared" si="4"/>
        <v>-3.93031938904052</v>
      </c>
      <c r="O35" s="6">
        <v>-1629.87</v>
      </c>
      <c r="P35" s="6">
        <f t="shared" si="5"/>
        <v>-40.0440765664502</v>
      </c>
      <c r="Q35" s="6">
        <v>486.04</v>
      </c>
      <c r="R35" s="6">
        <f t="shared" si="6"/>
        <v>11.9414572784072</v>
      </c>
      <c r="S35" s="6">
        <f t="shared" si="7"/>
        <v>0.0281026192880431</v>
      </c>
      <c r="T35" s="6">
        <v>-5445.44</v>
      </c>
      <c r="U35" s="6">
        <f t="shared" si="8"/>
        <v>-124.650115140389</v>
      </c>
      <c r="V35" s="6">
        <v>233.83</v>
      </c>
      <c r="W35" s="6">
        <f t="shared" si="9"/>
        <v>5.35254018468244</v>
      </c>
      <c r="X35" s="6">
        <f t="shared" si="10"/>
        <v>0.119297574955706</v>
      </c>
      <c r="Y35" s="6">
        <v>-1395.48</v>
      </c>
      <c r="Z35" s="6">
        <f t="shared" si="11"/>
        <v>-31.5215967255922</v>
      </c>
      <c r="AA35" s="6">
        <v>44.7</v>
      </c>
      <c r="AB35" s="6">
        <f t="shared" si="12"/>
        <v>1.00969943935705</v>
      </c>
      <c r="AC35" s="6">
        <f t="shared" si="13"/>
        <v>0.0305118972862351</v>
      </c>
      <c r="AD35" s="6">
        <v>-3.68</v>
      </c>
      <c r="AE35" s="6">
        <f t="shared" si="14"/>
        <v>-0.0790503645338821</v>
      </c>
      <c r="AF35" s="6">
        <v>0</v>
      </c>
      <c r="AG35" s="6">
        <f t="shared" si="15"/>
        <v>0</v>
      </c>
      <c r="AH35" s="6">
        <f t="shared" si="16"/>
        <v>7.90503645338821e-5</v>
      </c>
      <c r="AI35" s="6">
        <v>-99.63</v>
      </c>
      <c r="AJ35" s="6">
        <v>0.06929</v>
      </c>
      <c r="AK35" s="6">
        <f t="shared" si="17"/>
        <v>0.03034</v>
      </c>
      <c r="AL35" s="6">
        <v>0.0131</v>
      </c>
      <c r="AM35" s="6">
        <v>1.2</v>
      </c>
      <c r="AN35" s="6">
        <f t="shared" si="18"/>
        <v>0.0119</v>
      </c>
      <c r="AO35" s="6">
        <v>56.62</v>
      </c>
      <c r="AP35" s="6">
        <v>59.8</v>
      </c>
      <c r="AQ35" s="6">
        <f t="shared" si="19"/>
        <v>-0.00318</v>
      </c>
      <c r="AR35" s="19">
        <v>0.431</v>
      </c>
      <c r="AS35" s="6">
        <v>0.00551</v>
      </c>
      <c r="AT35" s="19">
        <f t="shared" si="20"/>
        <v>0.42549</v>
      </c>
      <c r="AU35" s="19">
        <v>-0.02697</v>
      </c>
      <c r="AV35" s="6">
        <v>0.03066</v>
      </c>
      <c r="AW35" s="19">
        <f t="shared" si="21"/>
        <v>-0.05763</v>
      </c>
      <c r="AX35" s="19">
        <v>0.34209</v>
      </c>
      <c r="AY35" s="6">
        <v>0.16553</v>
      </c>
      <c r="AZ35" s="19">
        <f t="shared" si="22"/>
        <v>0.17656</v>
      </c>
    </row>
    <row r="36" spans="4:52">
      <c r="D36" s="18">
        <v>6666020502</v>
      </c>
      <c r="E36" s="6">
        <v>-123212.6</v>
      </c>
      <c r="F36" s="6">
        <v>-3313.55622250191</v>
      </c>
      <c r="G36" s="6">
        <v>10274.84</v>
      </c>
      <c r="H36" s="6">
        <f t="shared" si="0"/>
        <v>276.321252998569</v>
      </c>
      <c r="I36" s="6">
        <f t="shared" si="1"/>
        <v>3.03723496950334</v>
      </c>
      <c r="J36" s="6">
        <v>60656.21</v>
      </c>
      <c r="K36" s="6">
        <f t="shared" si="2"/>
        <v>1591.85938484149</v>
      </c>
      <c r="L36" s="6">
        <v>-22097.95</v>
      </c>
      <c r="M36" s="6">
        <f t="shared" si="3"/>
        <v>-579.937801805585</v>
      </c>
      <c r="N36" s="6">
        <f t="shared" si="4"/>
        <v>-1.0119215830359</v>
      </c>
      <c r="O36" s="6">
        <v>-134533.07</v>
      </c>
      <c r="P36" s="6">
        <f t="shared" si="5"/>
        <v>-3305.32653266801</v>
      </c>
      <c r="Q36" s="6">
        <v>-21267.79</v>
      </c>
      <c r="R36" s="6">
        <f t="shared" si="6"/>
        <v>-522.525729757087</v>
      </c>
      <c r="S36" s="6">
        <f t="shared" si="7"/>
        <v>3.8278522624251</v>
      </c>
      <c r="T36" s="6">
        <v>-56093.76</v>
      </c>
      <c r="U36" s="6">
        <f t="shared" si="8"/>
        <v>-1284.02730406677</v>
      </c>
      <c r="V36" s="6">
        <v>-1693</v>
      </c>
      <c r="W36" s="6">
        <f t="shared" si="9"/>
        <v>-38.7540116010237</v>
      </c>
      <c r="X36" s="6">
        <f t="shared" si="10"/>
        <v>1.32278131566779</v>
      </c>
      <c r="Y36" s="6">
        <v>-69591.81</v>
      </c>
      <c r="Z36" s="6">
        <f t="shared" si="11"/>
        <v>-1571.96446400094</v>
      </c>
      <c r="AA36" s="6">
        <v>-9282.06</v>
      </c>
      <c r="AB36" s="6">
        <f t="shared" si="12"/>
        <v>-209.666460359697</v>
      </c>
      <c r="AC36" s="6">
        <f t="shared" si="13"/>
        <v>1.78163092436064</v>
      </c>
      <c r="AD36" s="6">
        <v>-79780.86</v>
      </c>
      <c r="AE36" s="6">
        <f t="shared" si="14"/>
        <v>-1713.77882223549</v>
      </c>
      <c r="AF36" s="6">
        <v>30288.2</v>
      </c>
      <c r="AG36" s="6">
        <f t="shared" si="15"/>
        <v>650.623166053024</v>
      </c>
      <c r="AH36" s="6">
        <f t="shared" si="16"/>
        <v>1.06315565618247</v>
      </c>
      <c r="AI36" s="6">
        <v>-1475.67</v>
      </c>
      <c r="AJ36" s="6">
        <v>-0.02865</v>
      </c>
      <c r="AK36" s="6">
        <f t="shared" si="17"/>
        <v>1.50432</v>
      </c>
      <c r="AL36" s="6">
        <v>0.90454</v>
      </c>
      <c r="AM36" s="6">
        <v>-376.8</v>
      </c>
      <c r="AN36" s="6">
        <f t="shared" si="18"/>
        <v>1.28134</v>
      </c>
      <c r="AO36" s="6">
        <v>1366.88</v>
      </c>
      <c r="AP36" s="6">
        <v>-242.619999999999</v>
      </c>
      <c r="AQ36" s="6">
        <f t="shared" si="19"/>
        <v>1.6095</v>
      </c>
      <c r="AR36" s="19">
        <v>1.13281</v>
      </c>
      <c r="AS36" s="6">
        <v>0.07221</v>
      </c>
      <c r="AT36" s="19">
        <f t="shared" si="20"/>
        <v>1.0606</v>
      </c>
      <c r="AU36" s="19">
        <v>3.08738</v>
      </c>
      <c r="AV36" s="6">
        <v>1.10141</v>
      </c>
      <c r="AW36" s="19">
        <f t="shared" si="21"/>
        <v>1.98597</v>
      </c>
      <c r="AX36" s="19">
        <v>2.27714</v>
      </c>
      <c r="AY36" s="6">
        <v>0.44499</v>
      </c>
      <c r="AZ36" s="19">
        <f t="shared" si="22"/>
        <v>1.83215</v>
      </c>
    </row>
    <row r="37" spans="4:52">
      <c r="D37" s="18">
        <v>6666020503</v>
      </c>
      <c r="E37" s="6">
        <v>-2058.89</v>
      </c>
      <c r="F37" s="6">
        <v>-55.369724938415</v>
      </c>
      <c r="G37" s="6">
        <v>0</v>
      </c>
      <c r="H37" s="6">
        <f t="shared" si="0"/>
        <v>0</v>
      </c>
      <c r="I37" s="6">
        <f t="shared" si="1"/>
        <v>0.055369724938415</v>
      </c>
      <c r="J37" s="6">
        <v>892.94</v>
      </c>
      <c r="K37" s="6">
        <f t="shared" si="2"/>
        <v>23.4342851144237</v>
      </c>
      <c r="L37" s="6">
        <v>115.5</v>
      </c>
      <c r="M37" s="6">
        <f t="shared" si="3"/>
        <v>3.03117782909931</v>
      </c>
      <c r="N37" s="6">
        <f t="shared" si="4"/>
        <v>-0.026465462943523</v>
      </c>
      <c r="O37" s="6">
        <v>-3618.09</v>
      </c>
      <c r="P37" s="6">
        <f t="shared" si="5"/>
        <v>-88.8924104280144</v>
      </c>
      <c r="Q37" s="6">
        <v>16.54</v>
      </c>
      <c r="R37" s="6">
        <f t="shared" si="6"/>
        <v>0.406369235834199</v>
      </c>
      <c r="S37" s="6">
        <f t="shared" si="7"/>
        <v>0.0884860411921802</v>
      </c>
      <c r="T37" s="6">
        <v>-1044.89</v>
      </c>
      <c r="U37" s="6">
        <f t="shared" si="8"/>
        <v>-23.918298394444</v>
      </c>
      <c r="V37" s="6">
        <v>0</v>
      </c>
      <c r="W37" s="6">
        <f t="shared" si="9"/>
        <v>0</v>
      </c>
      <c r="X37" s="6">
        <f t="shared" si="10"/>
        <v>0.023918298394444</v>
      </c>
      <c r="Y37" s="6">
        <v>-148.5</v>
      </c>
      <c r="Z37" s="6">
        <f t="shared" si="11"/>
        <v>-3.3543706206828</v>
      </c>
      <c r="AA37" s="6">
        <v>148.5</v>
      </c>
      <c r="AB37" s="6">
        <f t="shared" si="12"/>
        <v>3.3543706206828</v>
      </c>
      <c r="AC37" s="6">
        <f t="shared" si="13"/>
        <v>0</v>
      </c>
      <c r="AD37" s="6">
        <v>-4263.65</v>
      </c>
      <c r="AE37" s="6">
        <f t="shared" si="14"/>
        <v>-91.5877953111104</v>
      </c>
      <c r="AF37" s="6">
        <v>0</v>
      </c>
      <c r="AG37" s="6">
        <f t="shared" si="15"/>
        <v>0</v>
      </c>
      <c r="AH37" s="6">
        <f t="shared" si="16"/>
        <v>0.0915877953111104</v>
      </c>
      <c r="AI37" s="6">
        <v>-130.65</v>
      </c>
      <c r="AJ37" s="6">
        <v>0</v>
      </c>
      <c r="AK37" s="6">
        <f t="shared" si="17"/>
        <v>0.13065</v>
      </c>
      <c r="AL37" s="6">
        <v>0.17832</v>
      </c>
      <c r="AM37" s="6">
        <v>82.02</v>
      </c>
      <c r="AN37" s="6">
        <f t="shared" si="18"/>
        <v>0.0963</v>
      </c>
      <c r="AO37" s="6">
        <v>29.89</v>
      </c>
      <c r="AP37" s="6">
        <v>30.37</v>
      </c>
      <c r="AQ37" s="6">
        <f t="shared" si="19"/>
        <v>-0.00048</v>
      </c>
      <c r="AR37" s="19">
        <v>0.05666</v>
      </c>
      <c r="AS37" s="6">
        <v>0</v>
      </c>
      <c r="AT37" s="19">
        <f t="shared" si="20"/>
        <v>0.05666</v>
      </c>
      <c r="AU37" s="19">
        <v>0.06418</v>
      </c>
      <c r="AV37" s="6">
        <v>0.05275</v>
      </c>
      <c r="AW37" s="19">
        <f t="shared" si="21"/>
        <v>0.01143</v>
      </c>
      <c r="AX37" s="19">
        <v>1.38683</v>
      </c>
      <c r="AY37" s="6">
        <v>0.01607</v>
      </c>
      <c r="AZ37" s="19">
        <f t="shared" si="22"/>
        <v>1.37076</v>
      </c>
    </row>
    <row r="38" spans="4:52">
      <c r="D38" s="18">
        <v>6666020504</v>
      </c>
      <c r="E38" s="6">
        <v>-7047.36</v>
      </c>
      <c r="F38" s="6">
        <v>-189.524639364895</v>
      </c>
      <c r="G38" s="6">
        <v>0</v>
      </c>
      <c r="H38" s="6">
        <f t="shared" si="0"/>
        <v>0</v>
      </c>
      <c r="I38" s="6">
        <f t="shared" si="1"/>
        <v>0.189524639364895</v>
      </c>
      <c r="J38" s="6">
        <v>7047.36</v>
      </c>
      <c r="K38" s="6">
        <f t="shared" si="2"/>
        <v>184.95066134789</v>
      </c>
      <c r="L38" s="6">
        <v>0</v>
      </c>
      <c r="M38" s="6">
        <f t="shared" si="3"/>
        <v>0</v>
      </c>
      <c r="N38" s="6">
        <f t="shared" si="4"/>
        <v>-0.18495066134789</v>
      </c>
      <c r="O38" s="6">
        <v>0</v>
      </c>
      <c r="P38" s="6">
        <f t="shared" si="5"/>
        <v>0</v>
      </c>
      <c r="Q38" s="6">
        <v>0</v>
      </c>
      <c r="R38" s="6">
        <f t="shared" si="6"/>
        <v>0</v>
      </c>
      <c r="S38" s="6">
        <f t="shared" si="7"/>
        <v>0</v>
      </c>
      <c r="T38" s="6">
        <v>0</v>
      </c>
      <c r="U38" s="6">
        <f t="shared" si="8"/>
        <v>0</v>
      </c>
      <c r="V38" s="6">
        <v>0</v>
      </c>
      <c r="W38" s="6">
        <f t="shared" si="9"/>
        <v>0</v>
      </c>
      <c r="X38" s="6">
        <f t="shared" si="10"/>
        <v>0</v>
      </c>
      <c r="Y38" s="6">
        <v>0</v>
      </c>
      <c r="Z38" s="6">
        <f t="shared" si="11"/>
        <v>0</v>
      </c>
      <c r="AA38" s="6">
        <v>0</v>
      </c>
      <c r="AB38" s="6">
        <f t="shared" si="12"/>
        <v>0</v>
      </c>
      <c r="AC38" s="6">
        <f t="shared" si="13"/>
        <v>0</v>
      </c>
      <c r="AD38" s="6">
        <v>0</v>
      </c>
      <c r="AE38" s="6">
        <f t="shared" si="14"/>
        <v>0</v>
      </c>
      <c r="AF38" s="6">
        <v>0</v>
      </c>
      <c r="AG38" s="6">
        <f t="shared" si="15"/>
        <v>0</v>
      </c>
      <c r="AH38" s="6">
        <f t="shared" si="16"/>
        <v>0</v>
      </c>
      <c r="AI38" s="6">
        <v>-49.48</v>
      </c>
      <c r="AJ38" s="6">
        <v>0</v>
      </c>
      <c r="AK38" s="6">
        <f t="shared" si="17"/>
        <v>0.04948</v>
      </c>
      <c r="AL38" s="6">
        <v>0</v>
      </c>
      <c r="AM38" s="6">
        <v>0</v>
      </c>
      <c r="AN38" s="6">
        <f t="shared" si="18"/>
        <v>0</v>
      </c>
      <c r="AO38" s="6">
        <v>47.18</v>
      </c>
      <c r="AP38" s="6">
        <v>47.18</v>
      </c>
      <c r="AQ38" s="6">
        <f t="shared" si="19"/>
        <v>0</v>
      </c>
      <c r="AR38" s="19">
        <v>0</v>
      </c>
      <c r="AS38" s="6">
        <v>0</v>
      </c>
      <c r="AT38" s="19">
        <f t="shared" si="20"/>
        <v>0</v>
      </c>
      <c r="AU38" s="19">
        <v>0.09355</v>
      </c>
      <c r="AV38" s="6">
        <v>0.09355</v>
      </c>
      <c r="AW38" s="19">
        <f t="shared" si="21"/>
        <v>0</v>
      </c>
      <c r="AX38" s="19">
        <v>-0.04803</v>
      </c>
      <c r="AY38" s="6">
        <v>-0.04629</v>
      </c>
      <c r="AZ38" s="19">
        <f t="shared" si="22"/>
        <v>-0.00174000000000001</v>
      </c>
    </row>
    <row r="39" spans="4:52">
      <c r="D39" s="18">
        <v>6666020508</v>
      </c>
      <c r="E39" s="6">
        <v>-669.74</v>
      </c>
      <c r="F39" s="6">
        <v>-18.0113165736169</v>
      </c>
      <c r="G39" s="6">
        <v>669.74</v>
      </c>
      <c r="H39" s="6">
        <f t="shared" si="0"/>
        <v>18.0113165736169</v>
      </c>
      <c r="I39" s="6">
        <f t="shared" si="1"/>
        <v>0</v>
      </c>
      <c r="J39" s="6">
        <v>-378.03</v>
      </c>
      <c r="K39" s="6">
        <f t="shared" si="2"/>
        <v>-9.9210056686962</v>
      </c>
      <c r="L39" s="6">
        <v>113.74</v>
      </c>
      <c r="M39" s="6">
        <f t="shared" si="3"/>
        <v>2.98498845265589</v>
      </c>
      <c r="N39" s="6">
        <f t="shared" si="4"/>
        <v>0.00693601721604031</v>
      </c>
      <c r="O39" s="6">
        <v>-302.5</v>
      </c>
      <c r="P39" s="6">
        <f t="shared" si="5"/>
        <v>-7.43208548003901</v>
      </c>
      <c r="Q39" s="6">
        <v>302.5</v>
      </c>
      <c r="R39" s="6">
        <f t="shared" si="6"/>
        <v>7.43208548003901</v>
      </c>
      <c r="S39" s="6">
        <f t="shared" si="7"/>
        <v>0</v>
      </c>
      <c r="T39" s="6">
        <v>-613.07</v>
      </c>
      <c r="U39" s="6">
        <f t="shared" si="8"/>
        <v>-14.0336219091787</v>
      </c>
      <c r="V39" s="6">
        <v>613.07</v>
      </c>
      <c r="W39" s="6">
        <f t="shared" si="9"/>
        <v>14.0336219091787</v>
      </c>
      <c r="X39" s="6">
        <f t="shared" si="10"/>
        <v>0</v>
      </c>
      <c r="Y39" s="6">
        <v>-642.3</v>
      </c>
      <c r="Z39" s="6">
        <f t="shared" si="11"/>
        <v>-14.5084999977412</v>
      </c>
      <c r="AA39" s="6">
        <v>550.74</v>
      </c>
      <c r="AB39" s="6">
        <f t="shared" si="12"/>
        <v>12.4403102736353</v>
      </c>
      <c r="AC39" s="6">
        <f t="shared" si="13"/>
        <v>0.00206818972410584</v>
      </c>
      <c r="AD39" s="6">
        <v>-121</v>
      </c>
      <c r="AE39" s="6">
        <f t="shared" si="14"/>
        <v>-2.59921035559775</v>
      </c>
      <c r="AF39" s="6">
        <v>121</v>
      </c>
      <c r="AG39" s="6">
        <f t="shared" si="15"/>
        <v>2.59921035559775</v>
      </c>
      <c r="AH39" s="6">
        <f t="shared" si="16"/>
        <v>0</v>
      </c>
      <c r="AI39" s="6">
        <v>-7.05</v>
      </c>
      <c r="AJ39" s="6">
        <v>0.00705</v>
      </c>
      <c r="AK39" s="6">
        <f t="shared" si="17"/>
        <v>0</v>
      </c>
      <c r="AL39" s="6">
        <v>0.0051</v>
      </c>
      <c r="AM39" s="6">
        <v>5.1</v>
      </c>
      <c r="AN39" s="6">
        <f t="shared" si="18"/>
        <v>0</v>
      </c>
      <c r="AO39" s="6">
        <v>447.49</v>
      </c>
      <c r="AP39" s="6">
        <v>447.49</v>
      </c>
      <c r="AQ39" s="6">
        <f t="shared" si="19"/>
        <v>0</v>
      </c>
      <c r="AR39" s="19">
        <v>0.01104</v>
      </c>
      <c r="AS39" s="6">
        <v>0.01104</v>
      </c>
      <c r="AT39" s="19">
        <f t="shared" si="20"/>
        <v>0</v>
      </c>
      <c r="AU39" s="19">
        <v>0.22608</v>
      </c>
      <c r="AV39" s="6">
        <v>0.00327</v>
      </c>
      <c r="AW39" s="19">
        <f t="shared" si="21"/>
        <v>0.22281</v>
      </c>
      <c r="AX39" s="19">
        <v>0.09039</v>
      </c>
      <c r="AY39" s="6">
        <v>0.02382</v>
      </c>
      <c r="AZ39" s="19">
        <f t="shared" si="22"/>
        <v>0.06657</v>
      </c>
    </row>
    <row r="40" spans="4:52">
      <c r="D40" s="18">
        <v>6666020602</v>
      </c>
      <c r="E40" s="6">
        <v>0</v>
      </c>
      <c r="F40" s="6">
        <v>0</v>
      </c>
      <c r="G40" s="6">
        <v>0</v>
      </c>
      <c r="H40" s="6">
        <f t="shared" si="0"/>
        <v>0</v>
      </c>
      <c r="I40" s="6">
        <f t="shared" si="1"/>
        <v>0</v>
      </c>
      <c r="J40" s="6">
        <v>0</v>
      </c>
      <c r="K40" s="6">
        <f t="shared" si="2"/>
        <v>0</v>
      </c>
      <c r="L40" s="6">
        <v>0</v>
      </c>
      <c r="M40" s="6">
        <f t="shared" si="3"/>
        <v>0</v>
      </c>
      <c r="N40" s="6">
        <f t="shared" si="4"/>
        <v>0</v>
      </c>
      <c r="O40" s="6">
        <v>-302.5</v>
      </c>
      <c r="P40" s="6">
        <f t="shared" si="5"/>
        <v>-7.43208548003901</v>
      </c>
      <c r="Q40" s="6">
        <v>302.5</v>
      </c>
      <c r="R40" s="6">
        <f t="shared" si="6"/>
        <v>7.43208548003901</v>
      </c>
      <c r="S40" s="6">
        <f t="shared" si="7"/>
        <v>0</v>
      </c>
      <c r="T40" s="6">
        <v>0</v>
      </c>
      <c r="U40" s="6">
        <f t="shared" si="8"/>
        <v>0</v>
      </c>
      <c r="V40" s="6">
        <v>0</v>
      </c>
      <c r="W40" s="6">
        <f t="shared" si="9"/>
        <v>0</v>
      </c>
      <c r="X40" s="6">
        <f t="shared" si="10"/>
        <v>0</v>
      </c>
      <c r="Y40" s="6">
        <v>0</v>
      </c>
      <c r="Z40" s="6">
        <f t="shared" si="11"/>
        <v>0</v>
      </c>
      <c r="AA40" s="6">
        <v>0</v>
      </c>
      <c r="AB40" s="6">
        <f t="shared" si="12"/>
        <v>0</v>
      </c>
      <c r="AC40" s="6">
        <f t="shared" si="13"/>
        <v>0</v>
      </c>
      <c r="AD40" s="6">
        <v>0</v>
      </c>
      <c r="AE40" s="6">
        <f t="shared" si="14"/>
        <v>0</v>
      </c>
      <c r="AF40" s="6">
        <v>0</v>
      </c>
      <c r="AG40" s="6">
        <f t="shared" si="15"/>
        <v>0</v>
      </c>
      <c r="AH40" s="6">
        <f t="shared" si="16"/>
        <v>0</v>
      </c>
      <c r="AI40" s="6">
        <v>0</v>
      </c>
      <c r="AJ40" s="6">
        <v>0</v>
      </c>
      <c r="AK40" s="6">
        <f t="shared" si="17"/>
        <v>0</v>
      </c>
      <c r="AL40" s="6">
        <v>0</v>
      </c>
      <c r="AM40" s="6">
        <v>0</v>
      </c>
      <c r="AN40" s="6">
        <f t="shared" si="18"/>
        <v>0</v>
      </c>
      <c r="AO40" s="6">
        <v>0</v>
      </c>
      <c r="AP40" s="6">
        <v>0</v>
      </c>
      <c r="AQ40" s="6">
        <f t="shared" si="19"/>
        <v>0</v>
      </c>
      <c r="AR40" s="19">
        <v>0</v>
      </c>
      <c r="AS40" s="6">
        <v>0</v>
      </c>
      <c r="AT40" s="19">
        <f t="shared" si="20"/>
        <v>0</v>
      </c>
      <c r="AU40" s="19">
        <v>0</v>
      </c>
      <c r="AV40" s="6">
        <v>0</v>
      </c>
      <c r="AW40" s="19">
        <f t="shared" si="21"/>
        <v>0</v>
      </c>
      <c r="AX40" s="19">
        <v>0.02109</v>
      </c>
      <c r="AY40" s="6">
        <v>0.02148</v>
      </c>
      <c r="AZ40" s="19">
        <f t="shared" si="22"/>
        <v>-0.000389999999999998</v>
      </c>
    </row>
    <row r="41" spans="4:52">
      <c r="D41" s="20">
        <v>6666020701</v>
      </c>
      <c r="E41" s="21">
        <v>-520216.38</v>
      </c>
      <c r="F41" s="21">
        <f>E41/45</f>
        <v>-11560.364</v>
      </c>
      <c r="G41" s="21">
        <v>520216.38</v>
      </c>
      <c r="H41" s="21">
        <f>G41/45</f>
        <v>11560.364</v>
      </c>
      <c r="I41" s="21">
        <f t="shared" si="1"/>
        <v>0</v>
      </c>
      <c r="J41" s="21">
        <v>-415571.37</v>
      </c>
      <c r="K41" s="21">
        <f>J41/45</f>
        <v>-9234.91933333333</v>
      </c>
      <c r="L41" s="21">
        <v>415571.37</v>
      </c>
      <c r="M41" s="21">
        <f>L41/45</f>
        <v>9234.91933333333</v>
      </c>
      <c r="N41" s="21">
        <f t="shared" si="4"/>
        <v>0</v>
      </c>
      <c r="O41" s="21">
        <v>-1446659.1</v>
      </c>
      <c r="P41" s="21">
        <f>O41/45</f>
        <v>-32147.98</v>
      </c>
      <c r="Q41" s="21">
        <v>1446659.1</v>
      </c>
      <c r="R41" s="21">
        <f>Q41/45</f>
        <v>32147.98</v>
      </c>
      <c r="S41" s="21">
        <f t="shared" si="7"/>
        <v>0</v>
      </c>
      <c r="T41" s="21">
        <v>-794148.95</v>
      </c>
      <c r="U41" s="21">
        <f>T41/45</f>
        <v>-17647.7544444444</v>
      </c>
      <c r="V41" s="21">
        <v>794148.95</v>
      </c>
      <c r="W41" s="21">
        <f>V41/45</f>
        <v>17647.7544444444</v>
      </c>
      <c r="X41" s="21">
        <f t="shared" si="10"/>
        <v>0</v>
      </c>
      <c r="Y41" s="21">
        <v>-794148.95</v>
      </c>
      <c r="Z41" s="21">
        <f>Y41/45</f>
        <v>-17647.7544444444</v>
      </c>
      <c r="AA41" s="21">
        <v>794148.95</v>
      </c>
      <c r="AB41" s="21">
        <f>AA41/45</f>
        <v>17647.7544444444</v>
      </c>
      <c r="AC41" s="21">
        <f t="shared" si="13"/>
        <v>0</v>
      </c>
      <c r="AD41" s="21">
        <v>-794148.95</v>
      </c>
      <c r="AE41" s="21">
        <f>AD41/45</f>
        <v>-17647.7544444444</v>
      </c>
      <c r="AF41" s="21">
        <v>794148.95</v>
      </c>
      <c r="AG41" s="21">
        <f>AF41/45</f>
        <v>17647.7544444444</v>
      </c>
      <c r="AH41" s="21">
        <f t="shared" si="16"/>
        <v>0</v>
      </c>
      <c r="AI41" s="21">
        <v>-19350.61</v>
      </c>
      <c r="AJ41" s="21">
        <v>19.35061</v>
      </c>
      <c r="AK41" s="21">
        <f t="shared" si="17"/>
        <v>0</v>
      </c>
      <c r="AL41" s="21">
        <v>19.35061</v>
      </c>
      <c r="AM41" s="21">
        <v>19350.61</v>
      </c>
      <c r="AN41" s="21">
        <f t="shared" si="18"/>
        <v>0</v>
      </c>
      <c r="AO41" s="21">
        <v>19350.61</v>
      </c>
      <c r="AP41" s="21">
        <v>19350.61</v>
      </c>
      <c r="AQ41" s="21">
        <f t="shared" si="19"/>
        <v>0</v>
      </c>
      <c r="AR41" s="19">
        <v>19.35061</v>
      </c>
      <c r="AS41" s="6">
        <v>19.35061</v>
      </c>
      <c r="AT41" s="19">
        <f t="shared" si="20"/>
        <v>0</v>
      </c>
      <c r="AU41" s="19">
        <v>19.35061</v>
      </c>
      <c r="AV41" s="6">
        <v>19.35061</v>
      </c>
      <c r="AW41" s="19">
        <f t="shared" si="21"/>
        <v>0</v>
      </c>
      <c r="AX41" s="19">
        <v>19.35061</v>
      </c>
      <c r="AY41" s="6">
        <v>19.35061</v>
      </c>
      <c r="AZ41" s="19">
        <f t="shared" si="22"/>
        <v>0</v>
      </c>
    </row>
    <row r="42" spans="4:52">
      <c r="D42" s="18">
        <v>6666020801</v>
      </c>
      <c r="E42" s="6">
        <v>-25936.07</v>
      </c>
      <c r="F42" s="6">
        <v>-697.498682243091</v>
      </c>
      <c r="G42" s="6">
        <v>0</v>
      </c>
      <c r="H42" s="6">
        <f t="shared" si="0"/>
        <v>0</v>
      </c>
      <c r="I42" s="6">
        <f t="shared" si="1"/>
        <v>0.697498682243091</v>
      </c>
      <c r="J42" s="6">
        <v>-6608.31</v>
      </c>
      <c r="K42" s="6">
        <f t="shared" si="2"/>
        <v>-173.428249002729</v>
      </c>
      <c r="L42" s="6">
        <v>0</v>
      </c>
      <c r="M42" s="6">
        <f t="shared" si="3"/>
        <v>0</v>
      </c>
      <c r="N42" s="6">
        <f t="shared" si="4"/>
        <v>0.173428249002729</v>
      </c>
      <c r="O42" s="6">
        <v>-45452</v>
      </c>
      <c r="P42" s="6">
        <f t="shared" si="5"/>
        <v>-1116.70462558259</v>
      </c>
      <c r="Q42" s="6">
        <v>2562.5</v>
      </c>
      <c r="R42" s="6">
        <f t="shared" si="6"/>
        <v>62.9577489011569</v>
      </c>
      <c r="S42" s="6">
        <f t="shared" si="7"/>
        <v>1.05374687668143</v>
      </c>
      <c r="T42" s="6">
        <v>-49429.7</v>
      </c>
      <c r="U42" s="6">
        <f t="shared" si="8"/>
        <v>-1131.48208342299</v>
      </c>
      <c r="V42" s="6">
        <v>0</v>
      </c>
      <c r="W42" s="6">
        <f t="shared" si="9"/>
        <v>0</v>
      </c>
      <c r="X42" s="6">
        <f t="shared" si="10"/>
        <v>1.13148208342299</v>
      </c>
      <c r="Y42" s="6">
        <v>-72468.66</v>
      </c>
      <c r="Z42" s="6">
        <f t="shared" si="11"/>
        <v>-1636.94777120708</v>
      </c>
      <c r="AA42" s="6">
        <v>8541.67</v>
      </c>
      <c r="AB42" s="6">
        <f t="shared" si="12"/>
        <v>192.942268683957</v>
      </c>
      <c r="AC42" s="6">
        <f t="shared" si="13"/>
        <v>1.44400550252312</v>
      </c>
      <c r="AD42" s="6">
        <v>-32534.49</v>
      </c>
      <c r="AE42" s="6">
        <f t="shared" si="14"/>
        <v>-698.875895223897</v>
      </c>
      <c r="AF42" s="6">
        <v>0</v>
      </c>
      <c r="AG42" s="6">
        <f t="shared" si="15"/>
        <v>0</v>
      </c>
      <c r="AH42" s="6">
        <f t="shared" si="16"/>
        <v>0.698875895223897</v>
      </c>
      <c r="AI42" s="6">
        <v>-1572.34</v>
      </c>
      <c r="AJ42" s="6">
        <v>0.18114</v>
      </c>
      <c r="AK42" s="6">
        <f t="shared" si="17"/>
        <v>1.3912</v>
      </c>
      <c r="AL42" s="6">
        <v>0.33753</v>
      </c>
      <c r="AM42" s="6">
        <v>0.49</v>
      </c>
      <c r="AN42" s="6">
        <f t="shared" si="18"/>
        <v>0.33704</v>
      </c>
      <c r="AO42" s="6">
        <v>655.61</v>
      </c>
      <c r="AP42" s="6">
        <v>265.14</v>
      </c>
      <c r="AQ42" s="6">
        <f t="shared" si="19"/>
        <v>0.39047</v>
      </c>
      <c r="AR42" s="19">
        <v>0.64411</v>
      </c>
      <c r="AS42" s="6">
        <v>0.08864</v>
      </c>
      <c r="AT42" s="19">
        <f t="shared" si="20"/>
        <v>0.55547</v>
      </c>
      <c r="AU42" s="19">
        <v>0.79331</v>
      </c>
      <c r="AV42" s="6">
        <v>0.09007</v>
      </c>
      <c r="AW42" s="19">
        <f t="shared" si="21"/>
        <v>0.70324</v>
      </c>
      <c r="AX42" s="19">
        <v>1.3033</v>
      </c>
      <c r="AY42" s="6">
        <v>0.28337</v>
      </c>
      <c r="AZ42" s="19">
        <f t="shared" si="22"/>
        <v>1.01993</v>
      </c>
    </row>
    <row r="43" spans="4:52">
      <c r="D43" s="18">
        <v>6666020803</v>
      </c>
      <c r="E43" s="6">
        <v>-89173.89</v>
      </c>
      <c r="F43" s="6">
        <v>-2398.15325781779</v>
      </c>
      <c r="G43" s="6">
        <v>-297.91</v>
      </c>
      <c r="H43" s="6">
        <f t="shared" si="0"/>
        <v>-8.01169307559084</v>
      </c>
      <c r="I43" s="6">
        <f t="shared" si="1"/>
        <v>2.40616495089339</v>
      </c>
      <c r="J43" s="6">
        <v>-516228.7</v>
      </c>
      <c r="K43" s="6">
        <f t="shared" si="2"/>
        <v>-13547.887360907</v>
      </c>
      <c r="L43" s="6">
        <v>0</v>
      </c>
      <c r="M43" s="6">
        <f t="shared" si="3"/>
        <v>0</v>
      </c>
      <c r="N43" s="6">
        <f t="shared" si="4"/>
        <v>13.547887360907</v>
      </c>
      <c r="O43" s="6">
        <v>-656439.41</v>
      </c>
      <c r="P43" s="6">
        <f t="shared" si="5"/>
        <v>-16127.9795292112</v>
      </c>
      <c r="Q43" s="6">
        <v>0</v>
      </c>
      <c r="R43" s="6">
        <f t="shared" si="6"/>
        <v>0</v>
      </c>
      <c r="S43" s="6">
        <f t="shared" si="7"/>
        <v>16.1279795292112</v>
      </c>
      <c r="T43" s="6">
        <v>-196928.04</v>
      </c>
      <c r="U43" s="6">
        <f t="shared" si="8"/>
        <v>-4507.82725736967</v>
      </c>
      <c r="V43" s="6">
        <v>10274.79</v>
      </c>
      <c r="W43" s="6">
        <f t="shared" si="9"/>
        <v>235.197478356812</v>
      </c>
      <c r="X43" s="6">
        <f t="shared" si="10"/>
        <v>4.27262977901286</v>
      </c>
      <c r="Y43" s="6">
        <v>-429497.47</v>
      </c>
      <c r="Z43" s="6">
        <f t="shared" si="11"/>
        <v>-9701.64104394339</v>
      </c>
      <c r="AA43" s="6">
        <v>-488.96</v>
      </c>
      <c r="AB43" s="6">
        <f t="shared" si="12"/>
        <v>-11.0448017420139</v>
      </c>
      <c r="AC43" s="6">
        <f t="shared" si="13"/>
        <v>9.7126858456854</v>
      </c>
      <c r="AD43" s="6">
        <v>-660341.18</v>
      </c>
      <c r="AE43" s="6">
        <f t="shared" si="14"/>
        <v>-14184.8399444929</v>
      </c>
      <c r="AF43" s="6">
        <v>-1392.4</v>
      </c>
      <c r="AG43" s="6">
        <f t="shared" si="15"/>
        <v>-29.9102520589613</v>
      </c>
      <c r="AH43" s="6">
        <f t="shared" si="16"/>
        <v>14.2147501965519</v>
      </c>
      <c r="AI43" s="6">
        <v>-9125.38</v>
      </c>
      <c r="AJ43" s="6">
        <v>-0.00171</v>
      </c>
      <c r="AK43" s="6">
        <f t="shared" si="17"/>
        <v>9.12709</v>
      </c>
      <c r="AL43" s="6">
        <v>5.34446</v>
      </c>
      <c r="AM43" s="6">
        <v>325.98</v>
      </c>
      <c r="AN43" s="6">
        <f t="shared" si="18"/>
        <v>5.01848</v>
      </c>
      <c r="AO43" s="6">
        <v>21376.88</v>
      </c>
      <c r="AP43" s="6">
        <v>399.66</v>
      </c>
      <c r="AQ43" s="6">
        <f t="shared" si="19"/>
        <v>20.97722</v>
      </c>
      <c r="AR43" s="19">
        <v>5.47403</v>
      </c>
      <c r="AS43" s="6">
        <v>0.32039</v>
      </c>
      <c r="AT43" s="19">
        <f t="shared" si="20"/>
        <v>5.15364</v>
      </c>
      <c r="AU43" s="19">
        <v>8.1255</v>
      </c>
      <c r="AV43" s="6">
        <v>0.54098</v>
      </c>
      <c r="AW43" s="19">
        <f t="shared" si="21"/>
        <v>7.58452</v>
      </c>
      <c r="AX43" s="19">
        <v>7.34876</v>
      </c>
      <c r="AY43" s="6">
        <v>1.19438</v>
      </c>
      <c r="AZ43" s="19">
        <f t="shared" si="22"/>
        <v>6.15438</v>
      </c>
    </row>
    <row r="44" spans="4:52">
      <c r="D44" s="18">
        <v>6666020809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0.88942</v>
      </c>
      <c r="AM44" s="6">
        <v>0</v>
      </c>
      <c r="AN44" s="6">
        <f t="shared" si="18"/>
        <v>0.88942</v>
      </c>
      <c r="AO44" s="6">
        <v>233.73</v>
      </c>
      <c r="AP44" s="6">
        <v>0</v>
      </c>
      <c r="AQ44" s="6">
        <f t="shared" si="19"/>
        <v>0.23373</v>
      </c>
      <c r="AR44" s="19">
        <v>0.05529</v>
      </c>
      <c r="AS44" s="6">
        <v>0</v>
      </c>
      <c r="AT44" s="19">
        <f t="shared" si="20"/>
        <v>0.05529</v>
      </c>
      <c r="AU44" s="19">
        <v>0.01799</v>
      </c>
      <c r="AV44" s="6">
        <v>0</v>
      </c>
      <c r="AW44" s="19">
        <f t="shared" si="21"/>
        <v>0.01799</v>
      </c>
      <c r="AX44" s="19">
        <v>0</v>
      </c>
      <c r="AY44" s="6">
        <v>0</v>
      </c>
      <c r="AZ44" s="19">
        <f t="shared" si="22"/>
        <v>0</v>
      </c>
    </row>
    <row r="45" spans="4:52">
      <c r="D45" s="18">
        <v>6666021100</v>
      </c>
      <c r="E45" s="6">
        <v>-61025.93</v>
      </c>
      <c r="F45" s="6">
        <v>-1641.17022192102</v>
      </c>
      <c r="G45" s="6">
        <v>0</v>
      </c>
      <c r="H45" s="6">
        <f t="shared" si="0"/>
        <v>0</v>
      </c>
      <c r="I45" s="6">
        <f t="shared" si="1"/>
        <v>1.64117022192102</v>
      </c>
      <c r="J45" s="6">
        <v>-128967.25</v>
      </c>
      <c r="K45" s="6">
        <f t="shared" si="2"/>
        <v>-3384.61185177409</v>
      </c>
      <c r="L45" s="6">
        <v>5852</v>
      </c>
      <c r="M45" s="6">
        <f t="shared" si="3"/>
        <v>153.579676674365</v>
      </c>
      <c r="N45" s="6">
        <f t="shared" si="4"/>
        <v>3.23103217509973</v>
      </c>
      <c r="O45" s="6">
        <v>-128614.23</v>
      </c>
      <c r="P45" s="6">
        <f t="shared" si="5"/>
        <v>-3159.90727705586</v>
      </c>
      <c r="Q45" s="6">
        <v>22511.94</v>
      </c>
      <c r="R45" s="6">
        <f t="shared" si="6"/>
        <v>553.093098847965</v>
      </c>
      <c r="S45" s="6">
        <f t="shared" si="7"/>
        <v>2.6068141782079</v>
      </c>
      <c r="T45" s="6">
        <v>-113741.75</v>
      </c>
      <c r="U45" s="6">
        <f t="shared" si="8"/>
        <v>-2603.63207266434</v>
      </c>
      <c r="V45" s="6">
        <v>12652.91</v>
      </c>
      <c r="W45" s="6">
        <f t="shared" si="9"/>
        <v>289.634389206561</v>
      </c>
      <c r="X45" s="6">
        <f t="shared" si="10"/>
        <v>2.31399768345778</v>
      </c>
      <c r="Y45" s="6">
        <v>-573550.51</v>
      </c>
      <c r="Z45" s="6">
        <f t="shared" si="11"/>
        <v>-12955.5621563747</v>
      </c>
      <c r="AA45" s="6">
        <v>-13013.22</v>
      </c>
      <c r="AB45" s="6">
        <f t="shared" si="12"/>
        <v>-293.947224568901</v>
      </c>
      <c r="AC45" s="6">
        <f t="shared" si="13"/>
        <v>13.2495093809436</v>
      </c>
      <c r="AD45" s="6">
        <v>-463979.09</v>
      </c>
      <c r="AE45" s="6">
        <f t="shared" si="14"/>
        <v>-9966.77070668448</v>
      </c>
      <c r="AF45" s="6">
        <v>2123.24</v>
      </c>
      <c r="AG45" s="6">
        <f t="shared" si="15"/>
        <v>45.6094826067717</v>
      </c>
      <c r="AH45" s="6">
        <f t="shared" si="16"/>
        <v>9.92116122407771</v>
      </c>
      <c r="AI45" s="6">
        <v>-5139.77</v>
      </c>
      <c r="AJ45" s="6">
        <v>2.13647</v>
      </c>
      <c r="AK45" s="6">
        <f t="shared" si="17"/>
        <v>3.0033</v>
      </c>
      <c r="AL45" s="6">
        <v>7.04304</v>
      </c>
      <c r="AM45" s="6">
        <v>2341.91</v>
      </c>
      <c r="AN45" s="6">
        <f t="shared" si="18"/>
        <v>4.70113</v>
      </c>
      <c r="AO45" s="6">
        <v>3915.62</v>
      </c>
      <c r="AP45" s="6">
        <v>824.04</v>
      </c>
      <c r="AQ45" s="6">
        <f t="shared" si="19"/>
        <v>3.09158</v>
      </c>
      <c r="AR45" s="19">
        <v>23.49297</v>
      </c>
      <c r="AS45" s="6">
        <v>0.50453</v>
      </c>
      <c r="AT45" s="19">
        <f t="shared" si="20"/>
        <v>22.98844</v>
      </c>
      <c r="AU45" s="19">
        <v>6.78444</v>
      </c>
      <c r="AV45" s="6">
        <v>-0.17559</v>
      </c>
      <c r="AW45" s="19">
        <f t="shared" si="21"/>
        <v>6.96003</v>
      </c>
      <c r="AX45" s="19">
        <v>15.44958</v>
      </c>
      <c r="AY45" s="6">
        <v>7.34868</v>
      </c>
      <c r="AZ45" s="19">
        <f t="shared" si="22"/>
        <v>8.1009</v>
      </c>
    </row>
    <row r="46" spans="4:52">
      <c r="D46" s="18">
        <v>6666021102</v>
      </c>
      <c r="E46" s="6">
        <v>-15006.7</v>
      </c>
      <c r="F46" s="6">
        <v>-403.575155172599</v>
      </c>
      <c r="G46" s="6">
        <v>15006.7</v>
      </c>
      <c r="H46" s="6">
        <f t="shared" si="0"/>
        <v>403.575155172599</v>
      </c>
      <c r="I46" s="6">
        <f t="shared" si="1"/>
        <v>0</v>
      </c>
      <c r="J46" s="6">
        <v>-711608.24</v>
      </c>
      <c r="K46" s="6">
        <f t="shared" si="2"/>
        <v>-18675.4209531808</v>
      </c>
      <c r="L46" s="6">
        <v>239295.88</v>
      </c>
      <c r="M46" s="6">
        <f t="shared" si="3"/>
        <v>6280.07243334033</v>
      </c>
      <c r="N46" s="6">
        <f t="shared" si="4"/>
        <v>12.3953485198404</v>
      </c>
      <c r="O46" s="6">
        <v>-305161.23</v>
      </c>
      <c r="P46" s="6">
        <f t="shared" si="5"/>
        <v>-7497.46891422759</v>
      </c>
      <c r="Q46" s="6">
        <v>156770.07</v>
      </c>
      <c r="R46" s="6">
        <f t="shared" si="6"/>
        <v>3851.66466430314</v>
      </c>
      <c r="S46" s="6">
        <f t="shared" si="7"/>
        <v>3.64580424992445</v>
      </c>
      <c r="T46" s="6">
        <v>-308182.88</v>
      </c>
      <c r="U46" s="6">
        <f t="shared" si="8"/>
        <v>-7054.53213630058</v>
      </c>
      <c r="V46" s="6">
        <v>161493.86</v>
      </c>
      <c r="W46" s="6">
        <f t="shared" si="9"/>
        <v>3696.71289068759</v>
      </c>
      <c r="X46" s="6">
        <f t="shared" si="10"/>
        <v>3.35781924561299</v>
      </c>
      <c r="Y46" s="6">
        <v>-139769.47</v>
      </c>
      <c r="Z46" s="6">
        <f t="shared" si="11"/>
        <v>-3157.16231539667</v>
      </c>
      <c r="AA46" s="6">
        <v>-112555.45</v>
      </c>
      <c r="AB46" s="6">
        <f t="shared" si="12"/>
        <v>-2542.44238840224</v>
      </c>
      <c r="AC46" s="6">
        <f t="shared" si="13"/>
        <v>5.69960470379891</v>
      </c>
      <c r="AD46" s="6">
        <v>-345529.47</v>
      </c>
      <c r="AE46" s="6">
        <f t="shared" si="14"/>
        <v>-7422.34526105953</v>
      </c>
      <c r="AF46" s="6">
        <v>135845.81</v>
      </c>
      <c r="AG46" s="6">
        <f t="shared" si="15"/>
        <v>2918.11434807078</v>
      </c>
      <c r="AH46" s="6">
        <f t="shared" si="16"/>
        <v>4.50423091298875</v>
      </c>
      <c r="AI46" s="6">
        <v>-3155.77</v>
      </c>
      <c r="AJ46" s="6">
        <v>0.76645</v>
      </c>
      <c r="AK46" s="6">
        <f t="shared" si="17"/>
        <v>2.38932</v>
      </c>
      <c r="AL46" s="6">
        <v>2.79801</v>
      </c>
      <c r="AM46" s="6">
        <v>1565.71</v>
      </c>
      <c r="AN46" s="6">
        <f t="shared" si="18"/>
        <v>1.2323</v>
      </c>
      <c r="AO46" s="6">
        <v>3947.37</v>
      </c>
      <c r="AP46" s="6">
        <v>1612.17</v>
      </c>
      <c r="AQ46" s="6">
        <f t="shared" si="19"/>
        <v>2.3352</v>
      </c>
      <c r="AR46" s="19">
        <v>2.64462</v>
      </c>
      <c r="AS46" s="6">
        <v>1.3381</v>
      </c>
      <c r="AT46" s="19">
        <f t="shared" si="20"/>
        <v>1.30652</v>
      </c>
      <c r="AU46" s="19">
        <v>5.79799</v>
      </c>
      <c r="AV46" s="6">
        <v>1.6528</v>
      </c>
      <c r="AW46" s="19">
        <f t="shared" si="21"/>
        <v>4.14519</v>
      </c>
      <c r="AX46" s="19">
        <v>12.08509</v>
      </c>
      <c r="AY46" s="6">
        <v>7.90327</v>
      </c>
      <c r="AZ46" s="19">
        <f t="shared" si="22"/>
        <v>4.18182</v>
      </c>
    </row>
    <row r="47" spans="4:52">
      <c r="D47" s="18">
        <v>6666021104</v>
      </c>
      <c r="E47" s="6">
        <v>0</v>
      </c>
      <c r="F47" s="6">
        <v>0</v>
      </c>
      <c r="G47" s="6">
        <v>0</v>
      </c>
      <c r="H47" s="6">
        <f t="shared" si="0"/>
        <v>0</v>
      </c>
      <c r="I47" s="6">
        <f t="shared" si="1"/>
        <v>0</v>
      </c>
      <c r="J47" s="6">
        <v>0</v>
      </c>
      <c r="K47" s="6">
        <f t="shared" si="2"/>
        <v>0</v>
      </c>
      <c r="L47" s="6">
        <v>0</v>
      </c>
      <c r="M47" s="6">
        <f t="shared" si="3"/>
        <v>0</v>
      </c>
      <c r="N47" s="6">
        <f t="shared" si="4"/>
        <v>0</v>
      </c>
      <c r="O47" s="6">
        <v>0</v>
      </c>
      <c r="P47" s="6">
        <f t="shared" si="5"/>
        <v>0</v>
      </c>
      <c r="Q47" s="6">
        <v>0</v>
      </c>
      <c r="R47" s="6">
        <f t="shared" si="6"/>
        <v>0</v>
      </c>
      <c r="S47" s="6">
        <f t="shared" si="7"/>
        <v>0</v>
      </c>
      <c r="T47" s="6">
        <v>-7504.04</v>
      </c>
      <c r="U47" s="6">
        <f t="shared" si="8"/>
        <v>-171.772978862697</v>
      </c>
      <c r="V47" s="6">
        <v>0</v>
      </c>
      <c r="W47" s="6">
        <f t="shared" si="9"/>
        <v>0</v>
      </c>
      <c r="X47" s="6">
        <f t="shared" si="10"/>
        <v>0.171772978862697</v>
      </c>
      <c r="Y47" s="6">
        <v>-56600.27</v>
      </c>
      <c r="Z47" s="6">
        <f t="shared" si="11"/>
        <v>-1278.5069549543</v>
      </c>
      <c r="AA47" s="6">
        <v>152.96</v>
      </c>
      <c r="AB47" s="6">
        <f t="shared" si="12"/>
        <v>3.45511468107502</v>
      </c>
      <c r="AC47" s="6">
        <f t="shared" si="13"/>
        <v>1.27505184027323</v>
      </c>
      <c r="AD47" s="6">
        <v>-15083.68</v>
      </c>
      <c r="AE47" s="6">
        <f t="shared" si="14"/>
        <v>-324.013696334899</v>
      </c>
      <c r="AF47" s="6">
        <v>0</v>
      </c>
      <c r="AG47" s="6">
        <f t="shared" si="15"/>
        <v>0</v>
      </c>
      <c r="AH47" s="6">
        <f t="shared" si="16"/>
        <v>0.324013696334899</v>
      </c>
      <c r="AI47" s="6">
        <v>0</v>
      </c>
      <c r="AJ47" s="6">
        <v>0</v>
      </c>
      <c r="AK47" s="6">
        <f t="shared" si="17"/>
        <v>0</v>
      </c>
      <c r="AL47" s="6">
        <v>0.01358</v>
      </c>
      <c r="AM47" s="6">
        <v>0</v>
      </c>
      <c r="AN47" s="6">
        <f t="shared" si="18"/>
        <v>0.01358</v>
      </c>
      <c r="AO47" s="6">
        <v>76.1</v>
      </c>
      <c r="AP47" s="6">
        <v>76.4</v>
      </c>
      <c r="AQ47" s="6">
        <f t="shared" si="19"/>
        <v>-0.000299999999999997</v>
      </c>
      <c r="AR47" s="19">
        <v>5e-5</v>
      </c>
      <c r="AS47" s="6">
        <v>5e-5</v>
      </c>
      <c r="AT47" s="19">
        <f t="shared" si="20"/>
        <v>0</v>
      </c>
      <c r="AU47" s="19">
        <v>0.04243</v>
      </c>
      <c r="AV47" s="6">
        <v>0.04242</v>
      </c>
      <c r="AW47" s="19">
        <f t="shared" si="21"/>
        <v>1.00000000000031e-5</v>
      </c>
      <c r="AX47" s="19">
        <v>0.23014</v>
      </c>
      <c r="AY47" s="6">
        <v>0.23014</v>
      </c>
      <c r="AZ47" s="19">
        <f t="shared" si="22"/>
        <v>0</v>
      </c>
    </row>
    <row r="48" spans="4:52">
      <c r="D48" s="18">
        <v>6666021200</v>
      </c>
      <c r="E48" s="6">
        <v>0</v>
      </c>
      <c r="F48" s="6">
        <v>0</v>
      </c>
      <c r="G48" s="6">
        <v>0</v>
      </c>
      <c r="H48" s="6">
        <f t="shared" si="0"/>
        <v>0</v>
      </c>
      <c r="I48" s="6">
        <f t="shared" si="1"/>
        <v>0</v>
      </c>
      <c r="J48" s="6">
        <v>0</v>
      </c>
      <c r="K48" s="6">
        <f t="shared" si="2"/>
        <v>0</v>
      </c>
      <c r="L48" s="6">
        <v>0</v>
      </c>
      <c r="M48" s="6">
        <f t="shared" si="3"/>
        <v>0</v>
      </c>
      <c r="N48" s="6">
        <f t="shared" si="4"/>
        <v>0</v>
      </c>
      <c r="O48" s="6">
        <v>0</v>
      </c>
      <c r="P48" s="6">
        <f t="shared" si="5"/>
        <v>0</v>
      </c>
      <c r="Q48" s="6">
        <v>0</v>
      </c>
      <c r="R48" s="6">
        <f t="shared" si="6"/>
        <v>0</v>
      </c>
      <c r="S48" s="6">
        <f t="shared" si="7"/>
        <v>0</v>
      </c>
      <c r="T48" s="6">
        <v>0</v>
      </c>
      <c r="U48" s="6">
        <f t="shared" si="8"/>
        <v>0</v>
      </c>
      <c r="V48" s="6">
        <v>0</v>
      </c>
      <c r="W48" s="6">
        <f t="shared" si="9"/>
        <v>0</v>
      </c>
      <c r="X48" s="6">
        <f t="shared" si="10"/>
        <v>0</v>
      </c>
      <c r="Y48" s="6">
        <v>0</v>
      </c>
      <c r="Z48" s="6">
        <f t="shared" si="11"/>
        <v>0</v>
      </c>
      <c r="AA48" s="6">
        <v>0</v>
      </c>
      <c r="AB48" s="6">
        <f t="shared" si="12"/>
        <v>0</v>
      </c>
      <c r="AC48" s="6">
        <f t="shared" si="13"/>
        <v>0</v>
      </c>
      <c r="AD48" s="6">
        <v>0</v>
      </c>
      <c r="AE48" s="6">
        <f t="shared" si="14"/>
        <v>0</v>
      </c>
      <c r="AF48" s="6">
        <v>0</v>
      </c>
      <c r="AG48" s="6">
        <f t="shared" si="15"/>
        <v>0</v>
      </c>
      <c r="AH48" s="6">
        <f t="shared" si="16"/>
        <v>0</v>
      </c>
      <c r="AI48" s="6">
        <v>-566.78</v>
      </c>
      <c r="AJ48" s="6">
        <v>0</v>
      </c>
      <c r="AK48" s="6">
        <f t="shared" si="17"/>
        <v>0.56678</v>
      </c>
      <c r="AL48" s="6">
        <v>0.75753</v>
      </c>
      <c r="AM48" s="6">
        <v>0</v>
      </c>
      <c r="AN48" s="6">
        <f t="shared" si="18"/>
        <v>0.75753</v>
      </c>
      <c r="AO48" s="6">
        <v>666.03</v>
      </c>
      <c r="AP48" s="6">
        <v>0</v>
      </c>
      <c r="AQ48" s="6">
        <f t="shared" si="19"/>
        <v>0.66603</v>
      </c>
      <c r="AR48" s="19">
        <v>-0.66603</v>
      </c>
      <c r="AS48" s="6">
        <v>0</v>
      </c>
      <c r="AT48" s="19">
        <f t="shared" si="20"/>
        <v>-0.66603</v>
      </c>
      <c r="AU48" s="19">
        <v>0</v>
      </c>
      <c r="AV48" s="6">
        <v>0</v>
      </c>
      <c r="AW48" s="19">
        <f t="shared" si="21"/>
        <v>0</v>
      </c>
      <c r="AX48" s="19">
        <v>0</v>
      </c>
      <c r="AY48" s="6">
        <v>0</v>
      </c>
      <c r="AZ48" s="19">
        <f t="shared" si="22"/>
        <v>0</v>
      </c>
    </row>
    <row r="49" spans="4:52">
      <c r="D49" s="18">
        <v>6666021300</v>
      </c>
      <c r="E49" s="6">
        <v>-94443.68</v>
      </c>
      <c r="F49" s="6">
        <v>-2539.87371048074</v>
      </c>
      <c r="G49" s="6">
        <v>10280.52</v>
      </c>
      <c r="H49" s="6">
        <f t="shared" si="0"/>
        <v>276.474005227999</v>
      </c>
      <c r="I49" s="6">
        <f t="shared" si="1"/>
        <v>2.26339970525274</v>
      </c>
      <c r="J49" s="6">
        <v>-94504</v>
      </c>
      <c r="K49" s="6">
        <f t="shared" si="2"/>
        <v>-2480.15956330044</v>
      </c>
      <c r="L49" s="6">
        <v>0</v>
      </c>
      <c r="M49" s="6">
        <f t="shared" si="3"/>
        <v>0</v>
      </c>
      <c r="N49" s="6">
        <f t="shared" si="4"/>
        <v>2.48015956330044</v>
      </c>
      <c r="O49" s="6">
        <v>-208458.64</v>
      </c>
      <c r="P49" s="6">
        <f t="shared" si="5"/>
        <v>-5121.59481498407</v>
      </c>
      <c r="Q49" s="6">
        <v>104567.02</v>
      </c>
      <c r="R49" s="6">
        <f t="shared" si="6"/>
        <v>2569.0943174643</v>
      </c>
      <c r="S49" s="6">
        <f t="shared" si="7"/>
        <v>2.55250049751977</v>
      </c>
      <c r="T49" s="6">
        <v>-109368.54</v>
      </c>
      <c r="U49" s="6">
        <f t="shared" si="8"/>
        <v>-2503.52608856883</v>
      </c>
      <c r="V49" s="6">
        <v>20573.54</v>
      </c>
      <c r="W49" s="6">
        <f t="shared" si="9"/>
        <v>470.943418685248</v>
      </c>
      <c r="X49" s="6">
        <f t="shared" si="10"/>
        <v>2.03258266988358</v>
      </c>
      <c r="Y49" s="6">
        <v>-91442.94</v>
      </c>
      <c r="Z49" s="6">
        <f t="shared" si="11"/>
        <v>-2065.54553134586</v>
      </c>
      <c r="AA49" s="6">
        <v>7933.27</v>
      </c>
      <c r="AB49" s="6">
        <f t="shared" si="12"/>
        <v>179.199513898614</v>
      </c>
      <c r="AC49" s="6">
        <f t="shared" si="13"/>
        <v>1.88634601744724</v>
      </c>
      <c r="AD49" s="6">
        <v>-38651</v>
      </c>
      <c r="AE49" s="6">
        <f t="shared" si="14"/>
        <v>-830.265119456271</v>
      </c>
      <c r="AF49" s="6">
        <v>35138.97</v>
      </c>
      <c r="AG49" s="6">
        <f t="shared" si="15"/>
        <v>754.82293147966</v>
      </c>
      <c r="AH49" s="6">
        <f t="shared" si="16"/>
        <v>0.0754421879766114</v>
      </c>
      <c r="AI49" s="6">
        <v>-3652.46</v>
      </c>
      <c r="AJ49" s="6">
        <v>0.02758</v>
      </c>
      <c r="AK49" s="6">
        <f t="shared" si="17"/>
        <v>3.62488</v>
      </c>
      <c r="AL49" s="6">
        <v>1.17045</v>
      </c>
      <c r="AM49" s="6">
        <v>0</v>
      </c>
      <c r="AN49" s="6">
        <f t="shared" si="18"/>
        <v>1.17045</v>
      </c>
      <c r="AO49" s="6">
        <v>937.97</v>
      </c>
      <c r="AP49" s="6">
        <v>100.26</v>
      </c>
      <c r="AQ49" s="6">
        <f t="shared" si="19"/>
        <v>0.83771</v>
      </c>
      <c r="AR49" s="19">
        <v>3.34297</v>
      </c>
      <c r="AS49" s="6">
        <v>-0.0924</v>
      </c>
      <c r="AT49" s="19">
        <f t="shared" si="20"/>
        <v>3.43537</v>
      </c>
      <c r="AU49" s="19">
        <v>0.61794</v>
      </c>
      <c r="AV49" s="6">
        <v>0.55848</v>
      </c>
      <c r="AW49" s="19">
        <f t="shared" si="21"/>
        <v>0.0594600000000001</v>
      </c>
      <c r="AX49" s="19">
        <v>0.16782</v>
      </c>
      <c r="AY49" s="6">
        <v>0.16782</v>
      </c>
      <c r="AZ49" s="19">
        <f t="shared" si="22"/>
        <v>0</v>
      </c>
    </row>
    <row r="50" spans="4:52">
      <c r="D50" s="18">
        <v>6666021400</v>
      </c>
      <c r="E50" s="6">
        <v>0</v>
      </c>
      <c r="F50" s="6">
        <v>0</v>
      </c>
      <c r="G50" s="6">
        <v>0</v>
      </c>
      <c r="H50" s="6">
        <f t="shared" si="0"/>
        <v>0</v>
      </c>
      <c r="I50" s="6">
        <f t="shared" si="1"/>
        <v>0</v>
      </c>
      <c r="J50" s="6">
        <v>0</v>
      </c>
      <c r="K50" s="6">
        <f t="shared" si="2"/>
        <v>0</v>
      </c>
      <c r="L50" s="6">
        <v>0</v>
      </c>
      <c r="M50" s="6">
        <f t="shared" si="3"/>
        <v>0</v>
      </c>
      <c r="N50" s="6">
        <f t="shared" si="4"/>
        <v>0</v>
      </c>
      <c r="O50" s="6">
        <v>0</v>
      </c>
      <c r="P50" s="6">
        <f t="shared" si="5"/>
        <v>0</v>
      </c>
      <c r="Q50" s="6">
        <v>0</v>
      </c>
      <c r="R50" s="6">
        <f t="shared" si="6"/>
        <v>0</v>
      </c>
      <c r="S50" s="6">
        <f t="shared" si="7"/>
        <v>0</v>
      </c>
      <c r="T50" s="6">
        <v>0</v>
      </c>
      <c r="U50" s="6">
        <f t="shared" si="8"/>
        <v>0</v>
      </c>
      <c r="V50" s="6">
        <v>0</v>
      </c>
      <c r="W50" s="6">
        <f t="shared" si="9"/>
        <v>0</v>
      </c>
      <c r="X50" s="6">
        <f t="shared" si="10"/>
        <v>0</v>
      </c>
      <c r="Y50" s="6">
        <v>-30947.02</v>
      </c>
      <c r="Z50" s="6">
        <f t="shared" si="11"/>
        <v>-699.042253775643</v>
      </c>
      <c r="AA50" s="6">
        <v>0</v>
      </c>
      <c r="AB50" s="6">
        <f t="shared" si="12"/>
        <v>0</v>
      </c>
      <c r="AC50" s="6">
        <f t="shared" si="13"/>
        <v>0.699042253775643</v>
      </c>
      <c r="AD50" s="6">
        <v>0</v>
      </c>
      <c r="AE50" s="6">
        <f t="shared" si="14"/>
        <v>0</v>
      </c>
      <c r="AF50" s="6">
        <v>0</v>
      </c>
      <c r="AG50" s="6">
        <f t="shared" si="15"/>
        <v>0</v>
      </c>
      <c r="AH50" s="6">
        <f t="shared" si="16"/>
        <v>0</v>
      </c>
      <c r="AI50" s="6">
        <v>-179.39</v>
      </c>
      <c r="AJ50" s="6">
        <v>0</v>
      </c>
      <c r="AK50" s="6">
        <f t="shared" si="17"/>
        <v>0.17939</v>
      </c>
      <c r="AL50" s="6">
        <v>6e-5</v>
      </c>
      <c r="AM50" s="6">
        <v>0</v>
      </c>
      <c r="AN50" s="6">
        <f t="shared" si="18"/>
        <v>6e-5</v>
      </c>
      <c r="AO50" s="6">
        <v>0</v>
      </c>
      <c r="AP50" s="6">
        <v>0</v>
      </c>
      <c r="AQ50" s="6">
        <f t="shared" si="19"/>
        <v>0</v>
      </c>
      <c r="AR50" s="19">
        <v>0</v>
      </c>
      <c r="AS50" s="6">
        <v>0</v>
      </c>
      <c r="AT50" s="19">
        <f t="shared" si="20"/>
        <v>0</v>
      </c>
      <c r="AU50" s="19">
        <v>1.088</v>
      </c>
      <c r="AV50" s="6">
        <v>0</v>
      </c>
      <c r="AW50" s="19">
        <f t="shared" si="21"/>
        <v>1.088</v>
      </c>
      <c r="AX50" s="19">
        <v>0.00124</v>
      </c>
      <c r="AY50" s="6">
        <v>0</v>
      </c>
      <c r="AZ50" s="19">
        <f t="shared" si="22"/>
        <v>0.00124</v>
      </c>
    </row>
    <row r="51" spans="4:52">
      <c r="D51" s="18">
        <v>6666021502</v>
      </c>
      <c r="E51" s="6">
        <v>-8220.03</v>
      </c>
      <c r="F51" s="6">
        <v>-221.061251492561</v>
      </c>
      <c r="G51" s="6">
        <v>0</v>
      </c>
      <c r="H51" s="6">
        <f t="shared" si="0"/>
        <v>0</v>
      </c>
      <c r="I51" s="6">
        <f t="shared" si="1"/>
        <v>0.221061251492561</v>
      </c>
      <c r="J51" s="6">
        <v>-22756.07</v>
      </c>
      <c r="K51" s="6">
        <f t="shared" si="2"/>
        <v>-597.209479319756</v>
      </c>
      <c r="L51" s="6">
        <v>19940.51</v>
      </c>
      <c r="M51" s="6">
        <f t="shared" si="3"/>
        <v>523.318024354398</v>
      </c>
      <c r="N51" s="6">
        <f t="shared" si="4"/>
        <v>0.0738914549653581</v>
      </c>
      <c r="O51" s="6">
        <v>-38063.2</v>
      </c>
      <c r="P51" s="6">
        <f t="shared" si="5"/>
        <v>-935.170102624202</v>
      </c>
      <c r="Q51" s="6">
        <v>37982.05</v>
      </c>
      <c r="R51" s="6">
        <f t="shared" si="6"/>
        <v>933.176338205342</v>
      </c>
      <c r="S51" s="6">
        <f t="shared" si="7"/>
        <v>0.00199376441886</v>
      </c>
      <c r="T51" s="6">
        <v>-2182.18</v>
      </c>
      <c r="U51" s="6">
        <f t="shared" si="8"/>
        <v>-49.9517005525823</v>
      </c>
      <c r="V51" s="6">
        <v>1674.03</v>
      </c>
      <c r="W51" s="6">
        <f t="shared" si="9"/>
        <v>38.3197743889319</v>
      </c>
      <c r="X51" s="6">
        <f t="shared" si="10"/>
        <v>0.0116319261636504</v>
      </c>
      <c r="Y51" s="6">
        <v>-47788.59</v>
      </c>
      <c r="Z51" s="6">
        <f t="shared" si="11"/>
        <v>-1079.46560471283</v>
      </c>
      <c r="AA51" s="6">
        <v>0.04</v>
      </c>
      <c r="AB51" s="6">
        <f t="shared" si="12"/>
        <v>0.000903534173921293</v>
      </c>
      <c r="AC51" s="6">
        <f t="shared" si="13"/>
        <v>1.07946470117866</v>
      </c>
      <c r="AD51" s="6">
        <v>-1991.44</v>
      </c>
      <c r="AE51" s="6">
        <f t="shared" si="14"/>
        <v>-42.7782766161288</v>
      </c>
      <c r="AF51" s="6">
        <v>16.12</v>
      </c>
      <c r="AG51" s="6">
        <f t="shared" si="15"/>
        <v>0.346274966382114</v>
      </c>
      <c r="AH51" s="6">
        <f t="shared" si="16"/>
        <v>0.0424320016497467</v>
      </c>
      <c r="AI51" s="6">
        <v>-339.38</v>
      </c>
      <c r="AJ51" s="6">
        <v>0.30965</v>
      </c>
      <c r="AK51" s="6">
        <f t="shared" si="17"/>
        <v>0.02973</v>
      </c>
      <c r="AL51" s="6">
        <v>0.2059</v>
      </c>
      <c r="AM51" s="6">
        <v>94.05</v>
      </c>
      <c r="AN51" s="6">
        <f t="shared" si="18"/>
        <v>0.11185</v>
      </c>
      <c r="AO51" s="6">
        <v>260.28</v>
      </c>
      <c r="AP51" s="6">
        <v>260.28</v>
      </c>
      <c r="AQ51" s="6">
        <f t="shared" si="19"/>
        <v>0</v>
      </c>
      <c r="AR51" s="19">
        <v>-0.0117</v>
      </c>
      <c r="AS51" s="6">
        <v>-0.0117</v>
      </c>
      <c r="AT51" s="19">
        <f t="shared" si="20"/>
        <v>0</v>
      </c>
      <c r="AU51" s="19">
        <v>5e-5</v>
      </c>
      <c r="AV51" s="6">
        <v>0</v>
      </c>
      <c r="AW51" s="19">
        <f t="shared" si="21"/>
        <v>5e-5</v>
      </c>
      <c r="AX51" s="19">
        <v>0.34657</v>
      </c>
      <c r="AY51" s="6">
        <v>0.13019</v>
      </c>
      <c r="AZ51" s="19">
        <f t="shared" si="22"/>
        <v>0.21638</v>
      </c>
    </row>
    <row r="52" spans="4:52">
      <c r="D52" s="18">
        <v>6666021505</v>
      </c>
      <c r="E52" s="6">
        <v>0</v>
      </c>
      <c r="F52" s="6">
        <v>0</v>
      </c>
      <c r="G52" s="6">
        <v>0</v>
      </c>
      <c r="H52" s="6">
        <f t="shared" si="0"/>
        <v>0</v>
      </c>
      <c r="I52" s="6">
        <f t="shared" si="1"/>
        <v>0</v>
      </c>
      <c r="J52" s="6">
        <v>0</v>
      </c>
      <c r="K52" s="6">
        <f t="shared" si="2"/>
        <v>0</v>
      </c>
      <c r="L52" s="6">
        <v>0</v>
      </c>
      <c r="M52" s="6">
        <f t="shared" si="3"/>
        <v>0</v>
      </c>
      <c r="N52" s="6">
        <f t="shared" si="4"/>
        <v>0</v>
      </c>
      <c r="O52" s="6">
        <v>0</v>
      </c>
      <c r="P52" s="6">
        <f t="shared" si="5"/>
        <v>0</v>
      </c>
      <c r="Q52" s="6">
        <v>0</v>
      </c>
      <c r="R52" s="6">
        <f t="shared" si="6"/>
        <v>0</v>
      </c>
      <c r="S52" s="6">
        <f t="shared" si="7"/>
        <v>0</v>
      </c>
      <c r="T52" s="6">
        <v>0</v>
      </c>
      <c r="U52" s="6">
        <f t="shared" si="8"/>
        <v>0</v>
      </c>
      <c r="V52" s="6">
        <v>0</v>
      </c>
      <c r="W52" s="6">
        <f t="shared" si="9"/>
        <v>0</v>
      </c>
      <c r="X52" s="6">
        <f t="shared" si="10"/>
        <v>0</v>
      </c>
      <c r="Y52" s="6">
        <v>-1082.91</v>
      </c>
      <c r="Z52" s="6">
        <f t="shared" si="11"/>
        <v>-24.4611548070277</v>
      </c>
      <c r="AA52" s="6">
        <v>1082.91</v>
      </c>
      <c r="AB52" s="6">
        <f t="shared" si="12"/>
        <v>24.4611548070277</v>
      </c>
      <c r="AC52" s="6">
        <f t="shared" si="13"/>
        <v>0</v>
      </c>
      <c r="AD52" s="6">
        <v>0</v>
      </c>
      <c r="AE52" s="6">
        <f t="shared" si="14"/>
        <v>0</v>
      </c>
      <c r="AF52" s="6">
        <v>0</v>
      </c>
      <c r="AG52" s="6">
        <f t="shared" si="15"/>
        <v>0</v>
      </c>
      <c r="AH52" s="6">
        <f t="shared" si="16"/>
        <v>0</v>
      </c>
      <c r="AI52" s="6">
        <v>0</v>
      </c>
      <c r="AJ52" s="6">
        <v>0</v>
      </c>
      <c r="AK52" s="6">
        <f t="shared" si="17"/>
        <v>0</v>
      </c>
      <c r="AL52" s="6">
        <v>0</v>
      </c>
      <c r="AM52" s="6">
        <v>0</v>
      </c>
      <c r="AN52" s="6">
        <f t="shared" si="18"/>
        <v>0</v>
      </c>
      <c r="AO52" s="6">
        <v>0</v>
      </c>
      <c r="AP52" s="6">
        <v>0</v>
      </c>
      <c r="AQ52" s="6">
        <f t="shared" si="19"/>
        <v>0</v>
      </c>
      <c r="AR52" s="19">
        <v>0</v>
      </c>
      <c r="AS52" s="6">
        <v>0</v>
      </c>
      <c r="AT52" s="19">
        <f t="shared" si="20"/>
        <v>0</v>
      </c>
      <c r="AU52" s="19">
        <v>0</v>
      </c>
      <c r="AV52" s="6">
        <v>0</v>
      </c>
      <c r="AW52" s="19">
        <f t="shared" si="21"/>
        <v>0</v>
      </c>
      <c r="AX52" s="19">
        <v>0.01382</v>
      </c>
      <c r="AY52" s="6">
        <v>0.01382</v>
      </c>
      <c r="AZ52" s="19">
        <f t="shared" si="22"/>
        <v>0</v>
      </c>
    </row>
    <row r="53" spans="4:52">
      <c r="D53" s="18">
        <v>6666021600</v>
      </c>
      <c r="E53" s="6">
        <v>-13310.11</v>
      </c>
      <c r="F53" s="6">
        <v>-357.948763459946</v>
      </c>
      <c r="G53" s="6">
        <v>13310.11</v>
      </c>
      <c r="H53" s="6">
        <f t="shared" si="0"/>
        <v>357.948763459946</v>
      </c>
      <c r="I53" s="6">
        <f t="shared" si="1"/>
        <v>0</v>
      </c>
      <c r="J53" s="6">
        <v>-103131.65</v>
      </c>
      <c r="K53" s="6">
        <f t="shared" si="2"/>
        <v>-2706.58329834138</v>
      </c>
      <c r="L53" s="6">
        <v>103131.65</v>
      </c>
      <c r="M53" s="6">
        <f t="shared" si="3"/>
        <v>2706.58329834138</v>
      </c>
      <c r="N53" s="6">
        <f t="shared" si="4"/>
        <v>0</v>
      </c>
      <c r="O53" s="6">
        <v>-86261.87</v>
      </c>
      <c r="P53" s="6">
        <f t="shared" si="5"/>
        <v>-2119.35732729922</v>
      </c>
      <c r="Q53" s="6">
        <v>86261.87</v>
      </c>
      <c r="R53" s="6">
        <f t="shared" si="6"/>
        <v>2119.35732729922</v>
      </c>
      <c r="S53" s="6">
        <f t="shared" si="7"/>
        <v>0</v>
      </c>
      <c r="T53" s="6">
        <v>-84486.97</v>
      </c>
      <c r="U53" s="6">
        <f t="shared" si="8"/>
        <v>-1933.96870378933</v>
      </c>
      <c r="V53" s="6">
        <v>84486.97</v>
      </c>
      <c r="W53" s="6">
        <f t="shared" si="9"/>
        <v>1933.96870378933</v>
      </c>
      <c r="X53" s="6">
        <f t="shared" si="10"/>
        <v>0</v>
      </c>
      <c r="Y53" s="6">
        <v>-42201.16</v>
      </c>
      <c r="Z53" s="6">
        <f t="shared" si="11"/>
        <v>-953.254755978008</v>
      </c>
      <c r="AA53" s="6">
        <v>42201.16</v>
      </c>
      <c r="AB53" s="6">
        <f t="shared" si="12"/>
        <v>953.254755978008</v>
      </c>
      <c r="AC53" s="6">
        <f t="shared" si="13"/>
        <v>0</v>
      </c>
      <c r="AD53" s="6">
        <v>-43068.44</v>
      </c>
      <c r="AE53" s="6">
        <f t="shared" si="14"/>
        <v>-925.156489648269</v>
      </c>
      <c r="AF53" s="6">
        <v>43068.44</v>
      </c>
      <c r="AG53" s="6">
        <f t="shared" si="15"/>
        <v>925.156489648269</v>
      </c>
      <c r="AH53" s="6">
        <f t="shared" si="16"/>
        <v>0</v>
      </c>
      <c r="AI53" s="6">
        <v>-1131.58</v>
      </c>
      <c r="AJ53" s="6">
        <v>1.13158</v>
      </c>
      <c r="AK53" s="6">
        <f t="shared" si="17"/>
        <v>0</v>
      </c>
      <c r="AL53" s="6">
        <v>1.18693</v>
      </c>
      <c r="AM53" s="6">
        <v>1186.93</v>
      </c>
      <c r="AN53" s="6">
        <f t="shared" si="18"/>
        <v>0</v>
      </c>
      <c r="AO53" s="6">
        <v>1133.57</v>
      </c>
      <c r="AP53" s="6">
        <v>1133.57</v>
      </c>
      <c r="AQ53" s="6">
        <f t="shared" si="19"/>
        <v>0</v>
      </c>
      <c r="AR53" s="19">
        <v>1.0625</v>
      </c>
      <c r="AS53" s="6">
        <v>1.0625</v>
      </c>
      <c r="AT53" s="19">
        <f t="shared" si="20"/>
        <v>0</v>
      </c>
      <c r="AU53" s="19">
        <v>0.77617</v>
      </c>
      <c r="AV53" s="6">
        <v>0.77617</v>
      </c>
      <c r="AW53" s="19">
        <f t="shared" si="21"/>
        <v>0</v>
      </c>
      <c r="AX53" s="19">
        <v>1.79855</v>
      </c>
      <c r="AY53" s="6">
        <v>1.79024</v>
      </c>
      <c r="AZ53" s="19">
        <f t="shared" si="22"/>
        <v>0.00830999999999937</v>
      </c>
    </row>
    <row r="54" spans="4:52">
      <c r="D54" s="18">
        <v>6666021604</v>
      </c>
      <c r="E54" s="6">
        <v>0</v>
      </c>
      <c r="F54" s="6">
        <v>0</v>
      </c>
      <c r="G54" s="6">
        <v>0</v>
      </c>
      <c r="H54" s="6">
        <f t="shared" si="0"/>
        <v>0</v>
      </c>
      <c r="I54" s="6">
        <f t="shared" si="1"/>
        <v>0</v>
      </c>
      <c r="J54" s="6">
        <v>0</v>
      </c>
      <c r="K54" s="6">
        <f t="shared" si="2"/>
        <v>0</v>
      </c>
      <c r="L54" s="6">
        <v>0</v>
      </c>
      <c r="M54" s="6">
        <f t="shared" si="3"/>
        <v>0</v>
      </c>
      <c r="N54" s="6">
        <f t="shared" si="4"/>
        <v>0</v>
      </c>
      <c r="O54" s="6">
        <v>0</v>
      </c>
      <c r="P54" s="6">
        <f t="shared" si="5"/>
        <v>0</v>
      </c>
      <c r="Q54" s="6">
        <v>0</v>
      </c>
      <c r="R54" s="6">
        <f t="shared" si="6"/>
        <v>0</v>
      </c>
      <c r="S54" s="6">
        <f t="shared" si="7"/>
        <v>0</v>
      </c>
      <c r="T54" s="6">
        <v>0</v>
      </c>
      <c r="U54" s="6">
        <f t="shared" si="8"/>
        <v>0</v>
      </c>
      <c r="V54" s="6">
        <v>0</v>
      </c>
      <c r="W54" s="6">
        <f t="shared" si="9"/>
        <v>0</v>
      </c>
      <c r="X54" s="6">
        <f t="shared" si="10"/>
        <v>0</v>
      </c>
      <c r="Y54" s="6">
        <v>0</v>
      </c>
      <c r="Z54" s="6">
        <f t="shared" si="11"/>
        <v>0</v>
      </c>
      <c r="AA54" s="6">
        <v>0</v>
      </c>
      <c r="AB54" s="6">
        <f t="shared" si="12"/>
        <v>0</v>
      </c>
      <c r="AC54" s="6">
        <f t="shared" si="13"/>
        <v>0</v>
      </c>
      <c r="AD54" s="6">
        <v>0</v>
      </c>
      <c r="AE54" s="6">
        <f t="shared" si="14"/>
        <v>0</v>
      </c>
      <c r="AF54" s="6">
        <v>0</v>
      </c>
      <c r="AG54" s="6">
        <f t="shared" si="15"/>
        <v>0</v>
      </c>
      <c r="AH54" s="6">
        <f t="shared" si="16"/>
        <v>0</v>
      </c>
      <c r="AI54" s="6">
        <v>-46.15</v>
      </c>
      <c r="AJ54" s="6">
        <v>0.04615</v>
      </c>
      <c r="AK54" s="6">
        <f t="shared" si="17"/>
        <v>0</v>
      </c>
      <c r="AL54" s="6">
        <v>-0.00076</v>
      </c>
      <c r="AM54" s="6">
        <v>-0.76</v>
      </c>
      <c r="AN54" s="6">
        <f t="shared" si="18"/>
        <v>0</v>
      </c>
      <c r="AO54" s="6">
        <v>-0.89</v>
      </c>
      <c r="AP54" s="6">
        <v>-0.89</v>
      </c>
      <c r="AQ54" s="6">
        <f t="shared" si="19"/>
        <v>0</v>
      </c>
      <c r="AR54" s="19">
        <v>0.02026</v>
      </c>
      <c r="AS54" s="6">
        <v>0.02026</v>
      </c>
      <c r="AT54" s="19">
        <f t="shared" si="20"/>
        <v>0</v>
      </c>
      <c r="AU54" s="19">
        <v>0.02755</v>
      </c>
      <c r="AV54" s="6">
        <v>0.02755</v>
      </c>
      <c r="AW54" s="19">
        <f t="shared" si="21"/>
        <v>0</v>
      </c>
      <c r="AX54" s="19">
        <v>0.03865</v>
      </c>
      <c r="AY54" s="6">
        <v>0.03843</v>
      </c>
      <c r="AZ54" s="19">
        <f t="shared" si="22"/>
        <v>0.000219999999999998</v>
      </c>
    </row>
    <row r="55" spans="4:52">
      <c r="D55" s="18">
        <v>6666021902</v>
      </c>
      <c r="E55" s="6">
        <v>-1249.08</v>
      </c>
      <c r="F55" s="6">
        <v>-33.5915061154678</v>
      </c>
      <c r="G55" s="6">
        <v>0</v>
      </c>
      <c r="H55" s="6">
        <f t="shared" si="0"/>
        <v>0</v>
      </c>
      <c r="I55" s="6">
        <f t="shared" si="1"/>
        <v>0.0335915061154678</v>
      </c>
      <c r="J55" s="6">
        <v>-92926.95</v>
      </c>
      <c r="K55" s="6">
        <f t="shared" si="2"/>
        <v>-2438.77152005039</v>
      </c>
      <c r="L55" s="6">
        <v>0</v>
      </c>
      <c r="M55" s="6">
        <f t="shared" si="3"/>
        <v>0</v>
      </c>
      <c r="N55" s="6">
        <f t="shared" si="4"/>
        <v>2.43877152005039</v>
      </c>
      <c r="O55" s="6">
        <v>-107797.31</v>
      </c>
      <c r="P55" s="6">
        <f t="shared" si="5"/>
        <v>-2648.45891715129</v>
      </c>
      <c r="Q55" s="6">
        <v>1406.71</v>
      </c>
      <c r="R55" s="6">
        <f t="shared" si="6"/>
        <v>34.5612858367791</v>
      </c>
      <c r="S55" s="6">
        <f t="shared" si="7"/>
        <v>2.61389763131451</v>
      </c>
      <c r="T55" s="6">
        <v>-191267.13</v>
      </c>
      <c r="U55" s="6">
        <f t="shared" si="8"/>
        <v>-4378.24487590933</v>
      </c>
      <c r="V55" s="6">
        <v>0.22</v>
      </c>
      <c r="W55" s="6">
        <f t="shared" si="9"/>
        <v>0.00503596134212948</v>
      </c>
      <c r="X55" s="6">
        <f t="shared" si="10"/>
        <v>4.37823983994799</v>
      </c>
      <c r="Y55" s="6">
        <v>240852.64</v>
      </c>
      <c r="Z55" s="6">
        <f t="shared" si="11"/>
        <v>5440.46477797906</v>
      </c>
      <c r="AA55" s="6">
        <v>0.16</v>
      </c>
      <c r="AB55" s="6">
        <f t="shared" si="12"/>
        <v>0.00361413669568517</v>
      </c>
      <c r="AC55" s="6">
        <f t="shared" si="13"/>
        <v>-5.44046839211576</v>
      </c>
      <c r="AD55" s="6">
        <v>-173321.78</v>
      </c>
      <c r="AE55" s="6">
        <f t="shared" si="14"/>
        <v>-3723.13855724492</v>
      </c>
      <c r="AF55" s="6">
        <v>1465.49</v>
      </c>
      <c r="AG55" s="6">
        <f t="shared" si="15"/>
        <v>31.4803040002062</v>
      </c>
      <c r="AH55" s="6">
        <f t="shared" si="16"/>
        <v>3.69165825324472</v>
      </c>
      <c r="AI55" s="6">
        <v>-2310.9</v>
      </c>
      <c r="AJ55" s="6">
        <v>0.3347</v>
      </c>
      <c r="AK55" s="6">
        <f t="shared" si="17"/>
        <v>1.9762</v>
      </c>
      <c r="AL55" s="6">
        <v>2.8634</v>
      </c>
      <c r="AM55" s="6">
        <v>555.860000000001</v>
      </c>
      <c r="AN55" s="6">
        <f t="shared" si="18"/>
        <v>2.30754</v>
      </c>
      <c r="AO55" s="6">
        <v>5894.26</v>
      </c>
      <c r="AP55" s="6">
        <v>1.51999999999998</v>
      </c>
      <c r="AQ55" s="6">
        <f t="shared" si="19"/>
        <v>5.89274</v>
      </c>
      <c r="AR55" s="19">
        <v>1.93427</v>
      </c>
      <c r="AS55" s="6">
        <v>-0.13065</v>
      </c>
      <c r="AT55" s="19">
        <f t="shared" si="20"/>
        <v>2.06492</v>
      </c>
      <c r="AU55" s="19">
        <v>1.45728</v>
      </c>
      <c r="AV55" s="6">
        <v>0.0566399999999999</v>
      </c>
      <c r="AW55" s="19">
        <f t="shared" si="21"/>
        <v>1.40064</v>
      </c>
      <c r="AX55" s="19">
        <v>0.426109999999999</v>
      </c>
      <c r="AY55" s="6">
        <v>-0.081110000000001</v>
      </c>
      <c r="AZ55" s="19">
        <f t="shared" si="22"/>
        <v>0.50722</v>
      </c>
    </row>
    <row r="56" spans="4:52">
      <c r="D56" s="18">
        <v>6666022100</v>
      </c>
      <c r="E56" s="6">
        <v>0</v>
      </c>
      <c r="F56" s="6">
        <v>0</v>
      </c>
      <c r="G56" s="6">
        <v>0</v>
      </c>
      <c r="H56" s="6">
        <f t="shared" si="0"/>
        <v>0</v>
      </c>
      <c r="I56" s="6">
        <f t="shared" si="1"/>
        <v>0</v>
      </c>
      <c r="J56" s="6">
        <v>-10900.54</v>
      </c>
      <c r="K56" s="6">
        <f t="shared" si="2"/>
        <v>-286.073378123032</v>
      </c>
      <c r="L56" s="6">
        <v>2.42</v>
      </c>
      <c r="M56" s="6">
        <f t="shared" si="3"/>
        <v>0.0635103926096998</v>
      </c>
      <c r="N56" s="6">
        <f t="shared" si="4"/>
        <v>0.286009867730422</v>
      </c>
      <c r="O56" s="6">
        <v>-17433.65</v>
      </c>
      <c r="P56" s="6">
        <f t="shared" si="5"/>
        <v>-428.32521331928</v>
      </c>
      <c r="Q56" s="6">
        <v>6535.53</v>
      </c>
      <c r="R56" s="6">
        <f t="shared" si="6"/>
        <v>160.570636751601</v>
      </c>
      <c r="S56" s="6">
        <f t="shared" si="7"/>
        <v>0.267754576567679</v>
      </c>
      <c r="T56" s="6">
        <v>-21505.32</v>
      </c>
      <c r="U56" s="6">
        <f t="shared" si="8"/>
        <v>-492.272546227836</v>
      </c>
      <c r="V56" s="6">
        <v>0.27</v>
      </c>
      <c r="W56" s="6">
        <f t="shared" si="9"/>
        <v>0.00618049801079527</v>
      </c>
      <c r="X56" s="6">
        <f t="shared" si="10"/>
        <v>0.492266365729825</v>
      </c>
      <c r="Y56" s="6">
        <v>-10898.22</v>
      </c>
      <c r="Z56" s="6">
        <f t="shared" si="11"/>
        <v>-246.172855122813</v>
      </c>
      <c r="AA56" s="6">
        <v>0.08</v>
      </c>
      <c r="AB56" s="6">
        <f t="shared" si="12"/>
        <v>0.00180706834784259</v>
      </c>
      <c r="AC56" s="6">
        <f t="shared" si="13"/>
        <v>0.246171048054465</v>
      </c>
      <c r="AD56" s="6">
        <v>-10238.05</v>
      </c>
      <c r="AE56" s="6">
        <f t="shared" si="14"/>
        <v>-219.924343645683</v>
      </c>
      <c r="AF56" s="6">
        <v>15.87</v>
      </c>
      <c r="AG56" s="6">
        <f t="shared" si="15"/>
        <v>0.340904697052367</v>
      </c>
      <c r="AH56" s="6">
        <f t="shared" si="16"/>
        <v>0.21958343894863</v>
      </c>
      <c r="AI56" s="6">
        <v>-660.619999999999</v>
      </c>
      <c r="AJ56" s="6">
        <v>0.45654</v>
      </c>
      <c r="AK56" s="6">
        <f t="shared" si="17"/>
        <v>0.204079999999999</v>
      </c>
      <c r="AL56" s="6">
        <v>0.67712</v>
      </c>
      <c r="AM56" s="6">
        <v>448.48</v>
      </c>
      <c r="AN56" s="6">
        <f t="shared" si="18"/>
        <v>0.22864</v>
      </c>
      <c r="AO56" s="6">
        <v>227.49</v>
      </c>
      <c r="AP56" s="6">
        <v>3.9</v>
      </c>
      <c r="AQ56" s="6">
        <f t="shared" si="19"/>
        <v>0.22359</v>
      </c>
      <c r="AR56" s="19">
        <v>-0.0380600000000013</v>
      </c>
      <c r="AS56" s="6">
        <v>-0.255060000000001</v>
      </c>
      <c r="AT56" s="19">
        <f t="shared" si="20"/>
        <v>0.217</v>
      </c>
      <c r="AU56" s="19">
        <v>0.52203</v>
      </c>
      <c r="AV56" s="6">
        <v>0.15798</v>
      </c>
      <c r="AW56" s="19">
        <f t="shared" si="21"/>
        <v>0.36405</v>
      </c>
      <c r="AX56" s="19">
        <v>-0.36502</v>
      </c>
      <c r="AY56" s="6">
        <v>-0.19976</v>
      </c>
      <c r="AZ56" s="19">
        <f t="shared" si="22"/>
        <v>-0.16526</v>
      </c>
    </row>
    <row r="57" spans="4:52">
      <c r="D57" s="18">
        <v>6666022300</v>
      </c>
      <c r="E57" s="6">
        <v>-186974.9</v>
      </c>
      <c r="F57" s="6">
        <v>-5028.31563774056</v>
      </c>
      <c r="G57" s="6">
        <v>186081.9</v>
      </c>
      <c r="H57" s="6">
        <f t="shared" si="0"/>
        <v>5004.30019040243</v>
      </c>
      <c r="I57" s="6">
        <f t="shared" si="1"/>
        <v>0.0240154473381308</v>
      </c>
      <c r="J57" s="6">
        <v>-200126.42</v>
      </c>
      <c r="K57" s="6">
        <f t="shared" si="2"/>
        <v>-5252.1105395759</v>
      </c>
      <c r="L57" s="6">
        <v>185686.61</v>
      </c>
      <c r="M57" s="6">
        <f t="shared" si="3"/>
        <v>4873.1526873819</v>
      </c>
      <c r="N57" s="6">
        <f t="shared" si="4"/>
        <v>0.378957852193996</v>
      </c>
      <c r="O57" s="6">
        <v>-251923.75</v>
      </c>
      <c r="P57" s="6">
        <f t="shared" si="5"/>
        <v>-6189.48378331233</v>
      </c>
      <c r="Q57" s="6">
        <v>222892.22</v>
      </c>
      <c r="R57" s="6">
        <f t="shared" si="6"/>
        <v>5476.21167562202</v>
      </c>
      <c r="S57" s="6">
        <f t="shared" si="7"/>
        <v>0.713272107690304</v>
      </c>
      <c r="T57" s="6">
        <v>-271608.63</v>
      </c>
      <c r="U57" s="6">
        <f t="shared" si="8"/>
        <v>-6217.32073122159</v>
      </c>
      <c r="V57" s="6">
        <v>224600.84</v>
      </c>
      <c r="W57" s="6">
        <f t="shared" si="9"/>
        <v>5141.27794386276</v>
      </c>
      <c r="X57" s="6">
        <f t="shared" si="10"/>
        <v>1.07604278735882</v>
      </c>
      <c r="Y57" s="6">
        <v>-228447.43</v>
      </c>
      <c r="Z57" s="6">
        <f t="shared" si="11"/>
        <v>-5160.25149873731</v>
      </c>
      <c r="AA57" s="6">
        <v>224600.84</v>
      </c>
      <c r="AB57" s="6">
        <f t="shared" si="12"/>
        <v>5073.36336078571</v>
      </c>
      <c r="AC57" s="6">
        <f t="shared" si="13"/>
        <v>0.0868881379515979</v>
      </c>
      <c r="AD57" s="6">
        <v>-215073.33</v>
      </c>
      <c r="AE57" s="6">
        <f t="shared" si="14"/>
        <v>-4620.00683098259</v>
      </c>
      <c r="AF57" s="6">
        <v>210333.74</v>
      </c>
      <c r="AG57" s="6">
        <f t="shared" si="15"/>
        <v>4518.19533173228</v>
      </c>
      <c r="AH57" s="6">
        <f t="shared" si="16"/>
        <v>0.101811499250311</v>
      </c>
      <c r="AI57" s="6">
        <v>-5759.98</v>
      </c>
      <c r="AJ57" s="6">
        <v>5.10556</v>
      </c>
      <c r="AK57" s="6">
        <f t="shared" si="17"/>
        <v>0.65442</v>
      </c>
      <c r="AL57" s="6">
        <v>4.36005</v>
      </c>
      <c r="AM57" s="6">
        <v>4148.21</v>
      </c>
      <c r="AN57" s="6">
        <f t="shared" si="18"/>
        <v>0.21184</v>
      </c>
      <c r="AO57" s="6">
        <v>4088.29</v>
      </c>
      <c r="AP57" s="6">
        <v>4018.24</v>
      </c>
      <c r="AQ57" s="6">
        <f t="shared" si="19"/>
        <v>0.0700500000000002</v>
      </c>
      <c r="AR57" s="19">
        <v>4.70603</v>
      </c>
      <c r="AS57" s="6">
        <v>4.6376</v>
      </c>
      <c r="AT57" s="19">
        <f t="shared" si="20"/>
        <v>0.0684300000000011</v>
      </c>
      <c r="AU57" s="19">
        <v>-8.50723</v>
      </c>
      <c r="AV57" s="6">
        <v>4.34861</v>
      </c>
      <c r="AW57" s="19">
        <f t="shared" si="21"/>
        <v>-12.85584</v>
      </c>
      <c r="AX57" s="19">
        <v>3.98719</v>
      </c>
      <c r="AY57" s="6">
        <v>3.65034</v>
      </c>
      <c r="AZ57" s="19">
        <f t="shared" si="22"/>
        <v>0.336849999999999</v>
      </c>
    </row>
    <row r="58" spans="4:52">
      <c r="D58" s="22">
        <v>6666029700</v>
      </c>
      <c r="E58" s="23">
        <v>-14890.1</v>
      </c>
      <c r="F58" s="23">
        <v>-400.439431589591</v>
      </c>
      <c r="G58" s="23">
        <v>1453920.21</v>
      </c>
      <c r="H58" s="23">
        <f t="shared" si="0"/>
        <v>39100.2735017911</v>
      </c>
      <c r="I58" s="23">
        <f>F58*-1/1000</f>
        <v>0.400439431589591</v>
      </c>
      <c r="J58" s="23">
        <v>-875227.190000001</v>
      </c>
      <c r="K58" s="23">
        <f t="shared" si="2"/>
        <v>-22969.4307684233</v>
      </c>
      <c r="L58" s="23">
        <v>3090438.63</v>
      </c>
      <c r="M58" s="23">
        <f t="shared" si="3"/>
        <v>81105.3598047449</v>
      </c>
      <c r="N58" s="23">
        <f>K58*-1/1000</f>
        <v>22.9694307684233</v>
      </c>
      <c r="O58" s="23">
        <v>-4228.85</v>
      </c>
      <c r="P58" s="23">
        <f t="shared" si="5"/>
        <v>-103.898098123183</v>
      </c>
      <c r="Q58" s="23">
        <v>2405344.17</v>
      </c>
      <c r="R58" s="23">
        <f t="shared" si="6"/>
        <v>59096.6065466231</v>
      </c>
      <c r="S58" s="23">
        <f>P58*-1/1000</f>
        <v>0.103898098123183</v>
      </c>
      <c r="T58" s="23">
        <v>-1705.96</v>
      </c>
      <c r="U58" s="23">
        <f t="shared" si="8"/>
        <v>-39.0506755055418</v>
      </c>
      <c r="V58" s="23">
        <v>1057024.82</v>
      </c>
      <c r="W58" s="23">
        <f t="shared" si="9"/>
        <v>24196.0733235971</v>
      </c>
      <c r="X58" s="23">
        <f>U58*-1/1000</f>
        <v>0.0390506755055418</v>
      </c>
      <c r="Y58" s="23">
        <v>0</v>
      </c>
      <c r="Z58" s="23">
        <f t="shared" si="11"/>
        <v>0</v>
      </c>
      <c r="AA58" s="23">
        <v>2035834.04</v>
      </c>
      <c r="AB58" s="23">
        <f t="shared" si="12"/>
        <v>45986.1406893062</v>
      </c>
      <c r="AC58" s="23">
        <f>Z58*-1/1000</f>
        <v>0</v>
      </c>
      <c r="AD58" s="23">
        <v>-24772.23</v>
      </c>
      <c r="AE58" s="23">
        <f t="shared" si="14"/>
        <v>-532.134187993796</v>
      </c>
      <c r="AF58" s="23">
        <v>1904841.76</v>
      </c>
      <c r="AG58" s="23">
        <f t="shared" si="15"/>
        <v>40918.0531270004</v>
      </c>
      <c r="AH58" s="23">
        <f>AE58*-1/1000</f>
        <v>0.532134187993796</v>
      </c>
      <c r="AI58" s="23">
        <v>-3050.39</v>
      </c>
      <c r="AJ58" s="23">
        <v>45.38906</v>
      </c>
      <c r="AK58" s="23">
        <f>AI58*-1/1000</f>
        <v>3.05039</v>
      </c>
      <c r="AL58" s="23">
        <v>3.39759</v>
      </c>
      <c r="AM58" s="23">
        <v>34723.73</v>
      </c>
      <c r="AN58" s="23">
        <v>3.39759</v>
      </c>
      <c r="AO58" s="23">
        <v>3328.14</v>
      </c>
      <c r="AP58" s="23">
        <v>46258.62</v>
      </c>
      <c r="AQ58" s="23">
        <f>3328.14/1000</f>
        <v>3.32814</v>
      </c>
      <c r="AR58" s="23">
        <v>3.33266</v>
      </c>
      <c r="AS58" s="23">
        <v>56.92177</v>
      </c>
      <c r="AT58" s="23">
        <v>3.33266</v>
      </c>
      <c r="AU58" s="23">
        <v>2.46352</v>
      </c>
      <c r="AV58" s="23">
        <v>44.44113</v>
      </c>
      <c r="AW58" s="23">
        <v>2.46352</v>
      </c>
      <c r="AX58" s="24">
        <v>3.48118</v>
      </c>
      <c r="AY58" s="23">
        <v>30.193</v>
      </c>
      <c r="AZ58" s="24">
        <v>3.48118</v>
      </c>
    </row>
    <row r="59" spans="4:52">
      <c r="D59" s="18">
        <v>6666029900</v>
      </c>
      <c r="E59" s="6">
        <v>-276.54</v>
      </c>
      <c r="F59" s="6">
        <v>-7.43698970536031</v>
      </c>
      <c r="G59" s="6">
        <v>2980.85</v>
      </c>
      <c r="H59" s="6">
        <f t="shared" si="0"/>
        <v>80.1639935026516</v>
      </c>
      <c r="I59" s="6">
        <f t="shared" si="1"/>
        <v>-0.0727270037972913</v>
      </c>
      <c r="J59" s="6">
        <v>-5177.65</v>
      </c>
      <c r="K59" s="6">
        <f t="shared" si="2"/>
        <v>-135.882059626286</v>
      </c>
      <c r="L59" s="6">
        <v>3057.18</v>
      </c>
      <c r="M59" s="6">
        <f t="shared" si="3"/>
        <v>80.2325215200504</v>
      </c>
      <c r="N59" s="6">
        <f t="shared" si="4"/>
        <v>0.0556495381062356</v>
      </c>
      <c r="O59" s="6">
        <v>-4600.77</v>
      </c>
      <c r="P59" s="6">
        <f t="shared" si="5"/>
        <v>-113.0357550876</v>
      </c>
      <c r="Q59" s="6">
        <v>4600.77</v>
      </c>
      <c r="R59" s="6">
        <f t="shared" si="6"/>
        <v>113.0357550876</v>
      </c>
      <c r="S59" s="6">
        <f t="shared" si="7"/>
        <v>0</v>
      </c>
      <c r="T59" s="6">
        <v>-1933.52</v>
      </c>
      <c r="U59" s="6">
        <f t="shared" si="8"/>
        <v>-44.2596907919736</v>
      </c>
      <c r="V59" s="6">
        <v>1663.27</v>
      </c>
      <c r="W59" s="6">
        <f t="shared" si="9"/>
        <v>38.073470097835</v>
      </c>
      <c r="X59" s="6">
        <f t="shared" si="10"/>
        <v>0.0061862206941386</v>
      </c>
      <c r="Y59" s="6">
        <v>-14272.84</v>
      </c>
      <c r="Z59" s="6">
        <f t="shared" si="11"/>
        <v>-322.39996747277</v>
      </c>
      <c r="AA59" s="6">
        <v>14272.84</v>
      </c>
      <c r="AB59" s="6">
        <f t="shared" si="12"/>
        <v>322.39996747277</v>
      </c>
      <c r="AC59" s="6">
        <f t="shared" si="13"/>
        <v>0</v>
      </c>
      <c r="AD59" s="6">
        <v>-6432.53</v>
      </c>
      <c r="AE59" s="6">
        <f t="shared" si="14"/>
        <v>-138.177674286721</v>
      </c>
      <c r="AF59" s="6">
        <v>3717.16</v>
      </c>
      <c r="AG59" s="6">
        <f t="shared" si="15"/>
        <v>79.8486013670558</v>
      </c>
      <c r="AH59" s="6">
        <f t="shared" si="16"/>
        <v>0.0583290729196651</v>
      </c>
      <c r="AI59" s="6">
        <v>-12.11</v>
      </c>
      <c r="AJ59" s="6">
        <v>0.01182</v>
      </c>
      <c r="AK59" s="6">
        <f t="shared" si="17"/>
        <v>0.000289999999999999</v>
      </c>
      <c r="AL59" s="6">
        <v>0.0566</v>
      </c>
      <c r="AM59" s="6">
        <v>56.6</v>
      </c>
      <c r="AN59" s="6">
        <f t="shared" si="18"/>
        <v>0</v>
      </c>
      <c r="AO59" s="6">
        <v>56.38</v>
      </c>
      <c r="AP59" s="6">
        <v>56.38</v>
      </c>
      <c r="AQ59" s="6">
        <f t="shared" si="19"/>
        <v>0</v>
      </c>
      <c r="AR59" s="19">
        <v>0.04566</v>
      </c>
      <c r="AS59" s="6">
        <v>0.03959</v>
      </c>
      <c r="AT59" s="19">
        <f t="shared" si="20"/>
        <v>0.00607000000000001</v>
      </c>
      <c r="AU59" s="19">
        <v>0.01846</v>
      </c>
      <c r="AV59" s="6">
        <v>0.01846</v>
      </c>
      <c r="AW59" s="19">
        <f t="shared" ref="AW59:AW74" si="23">AU59-AV59</f>
        <v>0</v>
      </c>
      <c r="AX59" s="19">
        <v>0.06054</v>
      </c>
      <c r="AY59" s="6">
        <v>0.00713</v>
      </c>
      <c r="AZ59" s="19">
        <f t="shared" si="22"/>
        <v>0.05341</v>
      </c>
    </row>
    <row r="60" spans="4:52">
      <c r="D60" s="18">
        <v>6666029996</v>
      </c>
      <c r="E60" s="6">
        <v>-1439.61</v>
      </c>
      <c r="F60" s="6">
        <v>-38.7154290508923</v>
      </c>
      <c r="G60" s="6">
        <v>310.6</v>
      </c>
      <c r="H60" s="6">
        <f t="shared" si="0"/>
        <v>8.35296522197481</v>
      </c>
      <c r="I60" s="6">
        <f t="shared" si="1"/>
        <v>0.0303624638289175</v>
      </c>
      <c r="J60" s="6">
        <v>-1466.8</v>
      </c>
      <c r="K60" s="6">
        <f t="shared" si="2"/>
        <v>-38.4946462313668</v>
      </c>
      <c r="L60" s="6">
        <v>291.32</v>
      </c>
      <c r="M60" s="6">
        <f t="shared" si="3"/>
        <v>7.64539155994121</v>
      </c>
      <c r="N60" s="6">
        <f t="shared" si="4"/>
        <v>0.0308492546714256</v>
      </c>
      <c r="O60" s="6">
        <v>-341.76</v>
      </c>
      <c r="P60" s="6">
        <f t="shared" si="5"/>
        <v>-8.39665961539879</v>
      </c>
      <c r="Q60" s="6">
        <v>291.31</v>
      </c>
      <c r="R60" s="6">
        <f t="shared" si="6"/>
        <v>7.15715973947162</v>
      </c>
      <c r="S60" s="6">
        <f t="shared" si="7"/>
        <v>0.00123949987592717</v>
      </c>
      <c r="T60" s="6">
        <v>-7077.32</v>
      </c>
      <c r="U60" s="6">
        <f t="shared" si="8"/>
        <v>-162.005045117635</v>
      </c>
      <c r="V60" s="6">
        <v>-2556.13</v>
      </c>
      <c r="W60" s="6">
        <f t="shared" si="9"/>
        <v>-58.5116902975338</v>
      </c>
      <c r="X60" s="6">
        <f t="shared" si="10"/>
        <v>0.220516735415169</v>
      </c>
      <c r="Y60" s="6">
        <v>-355.56</v>
      </c>
      <c r="Z60" s="6">
        <f t="shared" si="11"/>
        <v>-8.03151527198637</v>
      </c>
      <c r="AA60" s="6">
        <v>281.67</v>
      </c>
      <c r="AB60" s="6">
        <f t="shared" si="12"/>
        <v>6.36246176921027</v>
      </c>
      <c r="AC60" s="6">
        <f t="shared" si="13"/>
        <v>0.00166905350277611</v>
      </c>
      <c r="AD60" s="6">
        <v>-295.88</v>
      </c>
      <c r="AE60" s="6">
        <f t="shared" si="14"/>
        <v>-6.35582115714267</v>
      </c>
      <c r="AF60" s="6">
        <v>292.69</v>
      </c>
      <c r="AG60" s="6">
        <f t="shared" si="15"/>
        <v>6.2872965204951</v>
      </c>
      <c r="AH60" s="6">
        <f t="shared" si="16"/>
        <v>6.85246366475765e-5</v>
      </c>
      <c r="AI60" s="6">
        <v>-7.63</v>
      </c>
      <c r="AJ60" s="6">
        <v>0.00658</v>
      </c>
      <c r="AK60" s="6">
        <f t="shared" si="17"/>
        <v>0.00105</v>
      </c>
      <c r="AL60" s="6">
        <v>0.00317</v>
      </c>
      <c r="AM60" s="6">
        <v>3.17</v>
      </c>
      <c r="AN60" s="6">
        <f t="shared" si="18"/>
        <v>0</v>
      </c>
      <c r="AO60" s="6">
        <v>10.13</v>
      </c>
      <c r="AP60" s="6">
        <v>9.97</v>
      </c>
      <c r="AQ60" s="6">
        <f t="shared" si="19"/>
        <v>0.00016</v>
      </c>
      <c r="AR60" s="19">
        <v>0.20115</v>
      </c>
      <c r="AS60" s="6">
        <v>0.06381</v>
      </c>
      <c r="AT60" s="19">
        <f t="shared" si="20"/>
        <v>0.13734</v>
      </c>
      <c r="AU60" s="19">
        <v>0.16649</v>
      </c>
      <c r="AV60" s="6">
        <v>0.01398</v>
      </c>
      <c r="AW60" s="19">
        <f t="shared" si="23"/>
        <v>0.15251</v>
      </c>
      <c r="AX60" s="19">
        <v>0.04103</v>
      </c>
      <c r="AY60" s="6">
        <v>0.02481</v>
      </c>
      <c r="AZ60" s="19">
        <f t="shared" si="22"/>
        <v>0.01622</v>
      </c>
    </row>
    <row r="61" spans="4:52">
      <c r="D61" s="18">
        <v>6666029997</v>
      </c>
      <c r="E61" s="6">
        <v>0</v>
      </c>
      <c r="F61" s="6">
        <v>0</v>
      </c>
      <c r="G61" s="6">
        <v>0</v>
      </c>
      <c r="H61" s="6">
        <f t="shared" si="0"/>
        <v>0</v>
      </c>
      <c r="I61" s="6">
        <f t="shared" si="1"/>
        <v>0</v>
      </c>
      <c r="J61" s="6">
        <v>-145500</v>
      </c>
      <c r="K61" s="6">
        <f t="shared" si="2"/>
        <v>-3818.49674574848</v>
      </c>
      <c r="L61" s="6">
        <v>145500</v>
      </c>
      <c r="M61" s="6">
        <f t="shared" si="3"/>
        <v>3818.49674574848</v>
      </c>
      <c r="N61" s="6">
        <f t="shared" si="4"/>
        <v>0</v>
      </c>
      <c r="O61" s="6">
        <v>0</v>
      </c>
      <c r="P61" s="6">
        <f t="shared" si="5"/>
        <v>0</v>
      </c>
      <c r="Q61" s="6">
        <v>0</v>
      </c>
      <c r="R61" s="6">
        <f t="shared" si="6"/>
        <v>0</v>
      </c>
      <c r="S61" s="6">
        <f t="shared" si="7"/>
        <v>0</v>
      </c>
      <c r="T61" s="6">
        <v>0</v>
      </c>
      <c r="U61" s="6">
        <f t="shared" si="8"/>
        <v>0</v>
      </c>
      <c r="V61" s="6">
        <v>0</v>
      </c>
      <c r="W61" s="6">
        <f t="shared" si="9"/>
        <v>0</v>
      </c>
      <c r="X61" s="6">
        <f t="shared" si="10"/>
        <v>0</v>
      </c>
      <c r="Y61" s="6">
        <v>0</v>
      </c>
      <c r="Z61" s="6">
        <f t="shared" si="11"/>
        <v>0</v>
      </c>
      <c r="AA61" s="6">
        <v>0</v>
      </c>
      <c r="AB61" s="6">
        <f t="shared" si="12"/>
        <v>0</v>
      </c>
      <c r="AC61" s="6">
        <f t="shared" si="13"/>
        <v>0</v>
      </c>
      <c r="AD61" s="6">
        <v>0</v>
      </c>
      <c r="AE61" s="6">
        <f t="shared" si="14"/>
        <v>0</v>
      </c>
      <c r="AF61" s="6">
        <v>0</v>
      </c>
      <c r="AG61" s="6">
        <f t="shared" si="15"/>
        <v>0</v>
      </c>
      <c r="AH61" s="6">
        <f t="shared" si="16"/>
        <v>0</v>
      </c>
      <c r="AI61" s="6">
        <v>0</v>
      </c>
      <c r="AJ61" s="6">
        <v>0</v>
      </c>
      <c r="AK61" s="6">
        <f t="shared" si="17"/>
        <v>0</v>
      </c>
      <c r="AL61" s="6">
        <v>0</v>
      </c>
      <c r="AM61" s="6">
        <v>0</v>
      </c>
      <c r="AN61" s="6">
        <f t="shared" si="18"/>
        <v>0</v>
      </c>
      <c r="AO61" s="6">
        <v>0</v>
      </c>
      <c r="AP61" s="6">
        <v>0</v>
      </c>
      <c r="AQ61" s="6">
        <f t="shared" si="19"/>
        <v>0</v>
      </c>
      <c r="AR61" s="19">
        <v>0</v>
      </c>
      <c r="AS61" s="6">
        <v>0</v>
      </c>
      <c r="AT61" s="19">
        <f t="shared" si="20"/>
        <v>0</v>
      </c>
      <c r="AU61" s="19">
        <v>0</v>
      </c>
      <c r="AV61" s="6">
        <v>0</v>
      </c>
      <c r="AW61" s="19">
        <f t="shared" si="23"/>
        <v>0</v>
      </c>
      <c r="AX61" s="19">
        <v>0</v>
      </c>
      <c r="AY61" s="6">
        <v>0</v>
      </c>
      <c r="AZ61" s="19">
        <f t="shared" si="22"/>
        <v>0</v>
      </c>
    </row>
    <row r="62" spans="4:52">
      <c r="D62" s="18">
        <v>6666050107</v>
      </c>
      <c r="E62" s="6">
        <v>0</v>
      </c>
      <c r="F62" s="6">
        <v>0</v>
      </c>
      <c r="G62" s="6">
        <v>0</v>
      </c>
      <c r="H62" s="6">
        <f t="shared" si="0"/>
        <v>0</v>
      </c>
      <c r="I62" s="6">
        <f t="shared" si="1"/>
        <v>0</v>
      </c>
      <c r="J62" s="6">
        <v>-223.64</v>
      </c>
      <c r="K62" s="6">
        <f t="shared" si="2"/>
        <v>-5.86920008398068</v>
      </c>
      <c r="L62" s="6">
        <v>223.64</v>
      </c>
      <c r="M62" s="6">
        <f t="shared" si="3"/>
        <v>5.86920008398068</v>
      </c>
      <c r="N62" s="6">
        <f t="shared" si="4"/>
        <v>0</v>
      </c>
      <c r="O62" s="6">
        <v>-245.52</v>
      </c>
      <c r="P62" s="6">
        <f t="shared" si="5"/>
        <v>-6.03215083325348</v>
      </c>
      <c r="Q62" s="6">
        <v>245.52</v>
      </c>
      <c r="R62" s="6">
        <f t="shared" si="6"/>
        <v>6.03215083325348</v>
      </c>
      <c r="S62" s="6">
        <f t="shared" si="7"/>
        <v>0</v>
      </c>
      <c r="T62" s="6">
        <v>-223.1</v>
      </c>
      <c r="U62" s="6">
        <f t="shared" si="8"/>
        <v>-5.10692261558676</v>
      </c>
      <c r="V62" s="6">
        <v>223.1</v>
      </c>
      <c r="W62" s="6">
        <f t="shared" si="9"/>
        <v>5.10692261558676</v>
      </c>
      <c r="X62" s="6">
        <f t="shared" si="10"/>
        <v>0</v>
      </c>
      <c r="Y62" s="6">
        <v>0</v>
      </c>
      <c r="Z62" s="6">
        <f t="shared" si="11"/>
        <v>0</v>
      </c>
      <c r="AA62" s="6">
        <v>0</v>
      </c>
      <c r="AB62" s="6">
        <f t="shared" si="12"/>
        <v>0</v>
      </c>
      <c r="AC62" s="6">
        <f t="shared" si="13"/>
        <v>0</v>
      </c>
      <c r="AD62" s="6">
        <v>0</v>
      </c>
      <c r="AE62" s="6">
        <f t="shared" si="14"/>
        <v>0</v>
      </c>
      <c r="AF62" s="6">
        <v>0</v>
      </c>
      <c r="AG62" s="6">
        <f t="shared" si="15"/>
        <v>0</v>
      </c>
      <c r="AH62" s="6">
        <f t="shared" si="16"/>
        <v>0</v>
      </c>
      <c r="AI62" s="6">
        <v>0</v>
      </c>
      <c r="AJ62" s="6">
        <v>0</v>
      </c>
      <c r="AK62" s="6">
        <f t="shared" si="17"/>
        <v>0</v>
      </c>
      <c r="AL62" s="6">
        <v>0</v>
      </c>
      <c r="AM62" s="6">
        <v>0</v>
      </c>
      <c r="AN62" s="6">
        <f t="shared" si="18"/>
        <v>0</v>
      </c>
      <c r="AO62" s="6">
        <v>0</v>
      </c>
      <c r="AP62" s="6">
        <v>0</v>
      </c>
      <c r="AQ62" s="6">
        <f t="shared" si="19"/>
        <v>0</v>
      </c>
      <c r="AR62" s="19">
        <v>0</v>
      </c>
      <c r="AS62" s="6">
        <v>0</v>
      </c>
      <c r="AT62" s="19">
        <f t="shared" si="20"/>
        <v>0</v>
      </c>
      <c r="AU62" s="19">
        <v>0</v>
      </c>
      <c r="AV62" s="6">
        <v>0</v>
      </c>
      <c r="AW62" s="19">
        <f t="shared" si="23"/>
        <v>0</v>
      </c>
      <c r="AX62" s="19">
        <v>0</v>
      </c>
      <c r="AY62" s="6">
        <v>0</v>
      </c>
      <c r="AZ62" s="19">
        <f t="shared" si="22"/>
        <v>0</v>
      </c>
    </row>
    <row r="63" spans="4:52">
      <c r="D63" s="20">
        <v>6666079999</v>
      </c>
      <c r="E63" s="21">
        <v>-3720336.4</v>
      </c>
      <c r="F63" s="21">
        <f>E63/45</f>
        <v>-82674.1422222222</v>
      </c>
      <c r="G63" s="21">
        <v>3720336.4</v>
      </c>
      <c r="H63" s="21">
        <f>G63/45</f>
        <v>82674.1422222222</v>
      </c>
      <c r="I63" s="21">
        <f t="shared" si="1"/>
        <v>0</v>
      </c>
      <c r="J63" s="21">
        <v>-3812343.3</v>
      </c>
      <c r="K63" s="21">
        <f>J63/45</f>
        <v>-84718.74</v>
      </c>
      <c r="L63" s="21">
        <v>4672260.44</v>
      </c>
      <c r="M63" s="21">
        <f>L63/45</f>
        <v>103828.009777778</v>
      </c>
      <c r="N63" s="21">
        <f t="shared" si="4"/>
        <v>-19.1092697777778</v>
      </c>
      <c r="O63" s="21">
        <v>-4683120.36</v>
      </c>
      <c r="P63" s="21">
        <f>O63/45</f>
        <v>-104069.341333333</v>
      </c>
      <c r="Q63" s="21">
        <v>4683120.36</v>
      </c>
      <c r="R63" s="21">
        <f>Q63/45</f>
        <v>104069.341333333</v>
      </c>
      <c r="S63" s="21">
        <f t="shared" si="7"/>
        <v>1.45519152283669e-14</v>
      </c>
      <c r="T63" s="21">
        <v>-4370451.16</v>
      </c>
      <c r="U63" s="21">
        <f>T63/45</f>
        <v>-97121.1368888889</v>
      </c>
      <c r="V63" s="21">
        <v>4370451.16</v>
      </c>
      <c r="W63" s="21">
        <f>V63/45</f>
        <v>97121.1368888889</v>
      </c>
      <c r="X63" s="21">
        <f t="shared" si="10"/>
        <v>0</v>
      </c>
      <c r="Y63" s="21">
        <v>-5746641.88</v>
      </c>
      <c r="Z63" s="21">
        <f>Y63/45</f>
        <v>-127703.152888889</v>
      </c>
      <c r="AA63" s="21">
        <v>5746641.88</v>
      </c>
      <c r="AB63" s="21">
        <f>AA63/45</f>
        <v>127703.152888889</v>
      </c>
      <c r="AC63" s="21">
        <f t="shared" si="13"/>
        <v>0</v>
      </c>
      <c r="AD63" s="21">
        <v>-4657253.95</v>
      </c>
      <c r="AE63" s="21">
        <f>AD63/45</f>
        <v>-103494.532222222</v>
      </c>
      <c r="AF63" s="21">
        <v>4657253.95</v>
      </c>
      <c r="AG63" s="21">
        <f>AF63/45</f>
        <v>103494.532222222</v>
      </c>
      <c r="AH63" s="21">
        <f t="shared" si="16"/>
        <v>0</v>
      </c>
      <c r="AI63" s="21">
        <v>-100042.83</v>
      </c>
      <c r="AJ63" s="21">
        <v>100.04283</v>
      </c>
      <c r="AK63" s="21">
        <f t="shared" si="17"/>
        <v>0</v>
      </c>
      <c r="AL63" s="21">
        <v>100.04283</v>
      </c>
      <c r="AM63" s="21">
        <v>100042.83</v>
      </c>
      <c r="AN63" s="21">
        <f t="shared" si="18"/>
        <v>0</v>
      </c>
      <c r="AO63" s="21">
        <v>110015.24</v>
      </c>
      <c r="AP63" s="21">
        <v>110015.24</v>
      </c>
      <c r="AQ63" s="21">
        <f t="shared" si="19"/>
        <v>0</v>
      </c>
      <c r="AR63" s="19">
        <v>110.01524</v>
      </c>
      <c r="AS63" s="6">
        <v>110.01524</v>
      </c>
      <c r="AT63" s="19">
        <f t="shared" si="20"/>
        <v>0</v>
      </c>
      <c r="AU63" s="19">
        <v>100.04283</v>
      </c>
      <c r="AV63" s="6">
        <v>100.04283</v>
      </c>
      <c r="AW63" s="19">
        <f t="shared" si="23"/>
        <v>0</v>
      </c>
      <c r="AX63" s="19">
        <v>-118.98588</v>
      </c>
      <c r="AY63" s="6">
        <v>-118.98588</v>
      </c>
      <c r="AZ63" s="19">
        <f t="shared" si="22"/>
        <v>0</v>
      </c>
    </row>
    <row r="64" spans="4:52">
      <c r="D64" s="18">
        <v>6666091600</v>
      </c>
      <c r="E64" s="6">
        <v>0</v>
      </c>
      <c r="F64" s="6">
        <v>0</v>
      </c>
      <c r="G64" s="6">
        <v>0</v>
      </c>
      <c r="H64" s="6">
        <f t="shared" si="0"/>
        <v>0</v>
      </c>
      <c r="I64" s="6">
        <f t="shared" si="1"/>
        <v>0</v>
      </c>
      <c r="J64" s="6">
        <v>-27.66</v>
      </c>
      <c r="K64" s="6">
        <f t="shared" si="2"/>
        <v>-0.725908041150535</v>
      </c>
      <c r="L64" s="6">
        <v>27.66</v>
      </c>
      <c r="M64" s="6">
        <f t="shared" si="3"/>
        <v>0.725908041150535</v>
      </c>
      <c r="N64" s="6">
        <f t="shared" si="4"/>
        <v>0</v>
      </c>
      <c r="O64" s="6">
        <v>-52.71</v>
      </c>
      <c r="P64" s="6">
        <f t="shared" si="5"/>
        <v>-1.29502553934829</v>
      </c>
      <c r="Q64" s="6">
        <v>52.71</v>
      </c>
      <c r="R64" s="6">
        <f t="shared" si="6"/>
        <v>1.29502553934829</v>
      </c>
      <c r="S64" s="6">
        <f t="shared" si="7"/>
        <v>0</v>
      </c>
      <c r="T64" s="6">
        <v>-611.17</v>
      </c>
      <c r="U64" s="6">
        <f t="shared" si="8"/>
        <v>-13.9901295157694</v>
      </c>
      <c r="V64" s="6">
        <v>611.17</v>
      </c>
      <c r="W64" s="6">
        <f t="shared" si="9"/>
        <v>13.9901295157694</v>
      </c>
      <c r="X64" s="6">
        <f t="shared" si="10"/>
        <v>0</v>
      </c>
      <c r="Y64" s="6">
        <v>0</v>
      </c>
      <c r="Z64" s="6">
        <f t="shared" si="11"/>
        <v>0</v>
      </c>
      <c r="AA64" s="6">
        <v>0</v>
      </c>
      <c r="AB64" s="6">
        <f t="shared" si="12"/>
        <v>0</v>
      </c>
      <c r="AC64" s="6">
        <f t="shared" si="13"/>
        <v>0</v>
      </c>
      <c r="AD64" s="6">
        <v>-34.54</v>
      </c>
      <c r="AE64" s="6">
        <f t="shared" si="14"/>
        <v>-0.741956410597904</v>
      </c>
      <c r="AF64" s="6">
        <v>34.54</v>
      </c>
      <c r="AG64" s="6">
        <f t="shared" si="15"/>
        <v>0.741956410597904</v>
      </c>
      <c r="AH64" s="6">
        <f t="shared" si="16"/>
        <v>0</v>
      </c>
      <c r="AI64" s="6">
        <v>0</v>
      </c>
      <c r="AJ64" s="6">
        <v>0</v>
      </c>
      <c r="AK64" s="6">
        <f t="shared" si="17"/>
        <v>0</v>
      </c>
      <c r="AL64" s="6">
        <v>0.00192</v>
      </c>
      <c r="AM64" s="6">
        <v>1.92</v>
      </c>
      <c r="AN64" s="6">
        <f t="shared" si="18"/>
        <v>0</v>
      </c>
      <c r="AO64" s="6">
        <v>0</v>
      </c>
      <c r="AP64" s="6">
        <v>0</v>
      </c>
      <c r="AQ64" s="6">
        <f t="shared" si="19"/>
        <v>0</v>
      </c>
      <c r="AR64" s="19">
        <v>0.00202</v>
      </c>
      <c r="AS64" s="6">
        <v>0.00202</v>
      </c>
      <c r="AT64" s="19">
        <f t="shared" si="20"/>
        <v>0</v>
      </c>
      <c r="AU64" s="19">
        <v>0.00174</v>
      </c>
      <c r="AV64" s="6">
        <v>0.00174</v>
      </c>
      <c r="AW64" s="19">
        <f t="shared" si="23"/>
        <v>0</v>
      </c>
      <c r="AX64" s="19">
        <v>0.00266</v>
      </c>
      <c r="AY64" s="6">
        <v>0.00266</v>
      </c>
      <c r="AZ64" s="19">
        <f t="shared" si="22"/>
        <v>0</v>
      </c>
    </row>
    <row r="65" spans="4:52">
      <c r="D65" s="18">
        <v>6666093800</v>
      </c>
      <c r="E65" s="6">
        <v>-3623.75</v>
      </c>
      <c r="F65" s="6">
        <v>-97.4535020062177</v>
      </c>
      <c r="G65" s="6">
        <v>2352.11</v>
      </c>
      <c r="H65" s="6">
        <f t="shared" si="0"/>
        <v>63.255289852734</v>
      </c>
      <c r="I65" s="6">
        <f t="shared" si="1"/>
        <v>0.0341982121534837</v>
      </c>
      <c r="J65" s="6">
        <v>-7652.91</v>
      </c>
      <c r="K65" s="6">
        <f t="shared" si="2"/>
        <v>-200.842693680453</v>
      </c>
      <c r="L65" s="6">
        <v>2967.44</v>
      </c>
      <c r="M65" s="6">
        <f t="shared" si="3"/>
        <v>77.8773882007138</v>
      </c>
      <c r="N65" s="6">
        <f t="shared" si="4"/>
        <v>0.12296530547974</v>
      </c>
      <c r="O65" s="6">
        <v>-6415.84</v>
      </c>
      <c r="P65" s="6">
        <f t="shared" si="5"/>
        <v>-157.629987789268</v>
      </c>
      <c r="Q65" s="6">
        <v>2639.37</v>
      </c>
      <c r="R65" s="6">
        <f t="shared" si="6"/>
        <v>64.8463585238035</v>
      </c>
      <c r="S65" s="6">
        <f t="shared" si="7"/>
        <v>0.0927836292654643</v>
      </c>
      <c r="T65" s="6">
        <v>-5529.59</v>
      </c>
      <c r="U65" s="6">
        <f t="shared" si="8"/>
        <v>-126.576370353753</v>
      </c>
      <c r="V65" s="6">
        <v>3264.69</v>
      </c>
      <c r="W65" s="6">
        <f t="shared" si="9"/>
        <v>74.7311483365304</v>
      </c>
      <c r="X65" s="6">
        <f t="shared" si="10"/>
        <v>0.051845222017223</v>
      </c>
      <c r="Y65" s="6">
        <v>-3262.43</v>
      </c>
      <c r="Z65" s="6">
        <f t="shared" si="11"/>
        <v>-73.6929248756511</v>
      </c>
      <c r="AA65" s="6">
        <v>1604.3</v>
      </c>
      <c r="AB65" s="6">
        <f t="shared" si="12"/>
        <v>36.2384968805483</v>
      </c>
      <c r="AC65" s="6">
        <f t="shared" si="13"/>
        <v>0.0374544279951029</v>
      </c>
      <c r="AD65" s="6">
        <v>-3197.92</v>
      </c>
      <c r="AE65" s="6">
        <f t="shared" si="14"/>
        <v>-68.6947667799435</v>
      </c>
      <c r="AF65" s="6">
        <v>1183.82</v>
      </c>
      <c r="AG65" s="6">
        <f t="shared" si="15"/>
        <v>25.4297289517664</v>
      </c>
      <c r="AH65" s="6">
        <f t="shared" si="16"/>
        <v>0.0432650378281772</v>
      </c>
      <c r="AI65" s="6">
        <v>-53.66</v>
      </c>
      <c r="AJ65" s="6">
        <v>0.02294</v>
      </c>
      <c r="AK65" s="6">
        <f t="shared" si="17"/>
        <v>0.03072</v>
      </c>
      <c r="AL65" s="6">
        <v>0.06091</v>
      </c>
      <c r="AM65" s="6">
        <v>24.16</v>
      </c>
      <c r="AN65" s="6">
        <f t="shared" si="18"/>
        <v>0.03675</v>
      </c>
      <c r="AO65" s="6">
        <v>50.77</v>
      </c>
      <c r="AP65" s="6">
        <v>32.16</v>
      </c>
      <c r="AQ65" s="6">
        <f t="shared" si="19"/>
        <v>0.01861</v>
      </c>
      <c r="AR65" s="19">
        <v>0.06792</v>
      </c>
      <c r="AS65" s="6">
        <v>0.02611</v>
      </c>
      <c r="AT65" s="19">
        <f t="shared" si="20"/>
        <v>0.04181</v>
      </c>
      <c r="AU65" s="19">
        <v>0.09304</v>
      </c>
      <c r="AV65" s="6">
        <v>0.02781</v>
      </c>
      <c r="AW65" s="19">
        <f t="shared" si="23"/>
        <v>0.06523</v>
      </c>
      <c r="AX65" s="19">
        <v>0</v>
      </c>
      <c r="AY65" s="6">
        <v>0</v>
      </c>
      <c r="AZ65" s="19">
        <f t="shared" si="22"/>
        <v>0</v>
      </c>
    </row>
    <row r="66" spans="4:52">
      <c r="D66" s="18">
        <v>6666110110</v>
      </c>
      <c r="E66" s="6">
        <v>-661.74</v>
      </c>
      <c r="F66" s="6">
        <v>-17.7961725885049</v>
      </c>
      <c r="G66" s="6">
        <v>661.74</v>
      </c>
      <c r="H66" s="6">
        <f t="shared" si="0"/>
        <v>17.7961725885049</v>
      </c>
      <c r="I66" s="6">
        <f t="shared" si="1"/>
        <v>0</v>
      </c>
      <c r="J66" s="6">
        <v>-597.7</v>
      </c>
      <c r="K66" s="6">
        <f t="shared" si="2"/>
        <v>-15.6860172160403</v>
      </c>
      <c r="L66" s="6">
        <v>597.7</v>
      </c>
      <c r="M66" s="6">
        <f t="shared" si="3"/>
        <v>15.6860172160403</v>
      </c>
      <c r="N66" s="6">
        <f t="shared" si="4"/>
        <v>0</v>
      </c>
      <c r="O66" s="6">
        <v>-661.74</v>
      </c>
      <c r="P66" s="6">
        <f t="shared" si="5"/>
        <v>-16.2582090762348</v>
      </c>
      <c r="Q66" s="6">
        <v>661.74</v>
      </c>
      <c r="R66" s="6">
        <f t="shared" si="6"/>
        <v>16.2582090762348</v>
      </c>
      <c r="S66" s="6">
        <f t="shared" si="7"/>
        <v>0</v>
      </c>
      <c r="T66" s="6">
        <v>-640.4</v>
      </c>
      <c r="U66" s="6">
        <f t="shared" si="8"/>
        <v>-14.6592256522714</v>
      </c>
      <c r="V66" s="6">
        <v>640.4</v>
      </c>
      <c r="W66" s="6">
        <f t="shared" si="9"/>
        <v>14.6592256522714</v>
      </c>
      <c r="X66" s="6">
        <f t="shared" si="10"/>
        <v>0</v>
      </c>
      <c r="Y66" s="6">
        <v>-661.74</v>
      </c>
      <c r="Z66" s="6">
        <f t="shared" si="11"/>
        <v>-14.9476176062669</v>
      </c>
      <c r="AA66" s="6">
        <v>661.74</v>
      </c>
      <c r="AB66" s="6">
        <f t="shared" si="12"/>
        <v>14.9476176062669</v>
      </c>
      <c r="AC66" s="6">
        <f t="shared" si="13"/>
        <v>0</v>
      </c>
      <c r="AD66" s="6">
        <v>-640.4</v>
      </c>
      <c r="AE66" s="6">
        <f t="shared" si="14"/>
        <v>-13.756481915081</v>
      </c>
      <c r="AF66" s="6">
        <v>640.4</v>
      </c>
      <c r="AG66" s="6">
        <f t="shared" si="15"/>
        <v>13.756481915081</v>
      </c>
      <c r="AH66" s="6">
        <f t="shared" si="16"/>
        <v>0</v>
      </c>
      <c r="AI66" s="6">
        <v>-59.96</v>
      </c>
      <c r="AJ66" s="6">
        <v>0.05996</v>
      </c>
      <c r="AK66" s="6">
        <f t="shared" si="17"/>
        <v>0</v>
      </c>
      <c r="AL66" s="6">
        <v>0.05995</v>
      </c>
      <c r="AM66" s="6">
        <v>59.95</v>
      </c>
      <c r="AN66" s="6">
        <f t="shared" si="18"/>
        <v>0</v>
      </c>
      <c r="AO66" s="6">
        <v>58.02</v>
      </c>
      <c r="AP66" s="6">
        <v>58.02</v>
      </c>
      <c r="AQ66" s="6">
        <f t="shared" si="19"/>
        <v>0</v>
      </c>
      <c r="AR66" s="19">
        <v>0.05996</v>
      </c>
      <c r="AS66" s="6">
        <v>0.05996</v>
      </c>
      <c r="AT66" s="19">
        <f t="shared" si="20"/>
        <v>0</v>
      </c>
      <c r="AU66" s="19">
        <v>0.05802</v>
      </c>
      <c r="AV66" s="6">
        <v>0.05802</v>
      </c>
      <c r="AW66" s="19">
        <f t="shared" si="23"/>
        <v>0</v>
      </c>
      <c r="AX66" s="19">
        <v>0.01311</v>
      </c>
      <c r="AY66" s="6">
        <v>0.05996</v>
      </c>
      <c r="AZ66" s="19">
        <f t="shared" si="22"/>
        <v>-0.04685</v>
      </c>
    </row>
    <row r="67" spans="4:52">
      <c r="D67" s="18">
        <v>6666110112</v>
      </c>
      <c r="E67" s="6">
        <v>-687.87</v>
      </c>
      <c r="F67" s="6">
        <v>-18.498886629877</v>
      </c>
      <c r="G67" s="6">
        <v>687.87</v>
      </c>
      <c r="H67" s="6">
        <f t="shared" si="0"/>
        <v>18.498886629877</v>
      </c>
      <c r="I67" s="6">
        <f t="shared" si="1"/>
        <v>0</v>
      </c>
      <c r="J67" s="6">
        <v>-621.3</v>
      </c>
      <c r="K67" s="6">
        <f t="shared" si="2"/>
        <v>-16.3053747638043</v>
      </c>
      <c r="L67" s="6">
        <v>621.3</v>
      </c>
      <c r="M67" s="6">
        <f t="shared" si="3"/>
        <v>16.3053747638043</v>
      </c>
      <c r="N67" s="6">
        <f t="shared" si="4"/>
        <v>0</v>
      </c>
      <c r="O67" s="6">
        <v>-687.87</v>
      </c>
      <c r="P67" s="6">
        <f t="shared" si="5"/>
        <v>-16.9001938484444</v>
      </c>
      <c r="Q67" s="6">
        <v>687.87</v>
      </c>
      <c r="R67" s="6">
        <f t="shared" si="6"/>
        <v>16.9001938484444</v>
      </c>
      <c r="S67" s="6">
        <f t="shared" si="7"/>
        <v>0</v>
      </c>
      <c r="T67" s="6">
        <v>-665.69</v>
      </c>
      <c r="U67" s="6">
        <f t="shared" si="8"/>
        <v>-15.2381322992826</v>
      </c>
      <c r="V67" s="6">
        <v>665.69</v>
      </c>
      <c r="W67" s="6">
        <f t="shared" si="9"/>
        <v>15.2381322992826</v>
      </c>
      <c r="X67" s="6">
        <f t="shared" si="10"/>
        <v>0</v>
      </c>
      <c r="Y67" s="6">
        <v>-861.32</v>
      </c>
      <c r="Z67" s="6">
        <f t="shared" si="11"/>
        <v>-19.4558013670472</v>
      </c>
      <c r="AA67" s="6">
        <v>861.32</v>
      </c>
      <c r="AB67" s="6">
        <f t="shared" si="12"/>
        <v>19.4558013670472</v>
      </c>
      <c r="AC67" s="6">
        <f t="shared" si="13"/>
        <v>0</v>
      </c>
      <c r="AD67" s="6">
        <v>-999.23</v>
      </c>
      <c r="AE67" s="6">
        <f t="shared" si="14"/>
        <v>-21.4645368894541</v>
      </c>
      <c r="AF67" s="6">
        <v>999.23</v>
      </c>
      <c r="AG67" s="6">
        <f t="shared" si="15"/>
        <v>21.4645368894541</v>
      </c>
      <c r="AH67" s="6">
        <f t="shared" si="16"/>
        <v>0</v>
      </c>
      <c r="AI67" s="6">
        <v>-75.47</v>
      </c>
      <c r="AJ67" s="6">
        <v>0.07547</v>
      </c>
      <c r="AK67" s="6">
        <f t="shared" si="17"/>
        <v>0</v>
      </c>
      <c r="AL67" s="6">
        <v>0.07546</v>
      </c>
      <c r="AM67" s="6">
        <v>75.46</v>
      </c>
      <c r="AN67" s="6">
        <f t="shared" si="18"/>
        <v>0</v>
      </c>
      <c r="AO67" s="6">
        <v>73.19</v>
      </c>
      <c r="AP67" s="6">
        <v>73.19</v>
      </c>
      <c r="AQ67" s="6">
        <f t="shared" si="19"/>
        <v>0</v>
      </c>
      <c r="AR67" s="19">
        <v>-0.27543</v>
      </c>
      <c r="AS67" s="6">
        <v>0</v>
      </c>
      <c r="AT67" s="19">
        <f t="shared" si="20"/>
        <v>-0.27543</v>
      </c>
      <c r="AU67" s="19">
        <v>0.03854</v>
      </c>
      <c r="AV67" s="6">
        <v>0.03854</v>
      </c>
      <c r="AW67" s="19">
        <f t="shared" si="23"/>
        <v>0</v>
      </c>
      <c r="AX67" s="19">
        <v>0.01154</v>
      </c>
      <c r="AY67" s="6">
        <v>0.03799</v>
      </c>
      <c r="AZ67" s="19">
        <f t="shared" si="22"/>
        <v>-0.02645</v>
      </c>
    </row>
    <row r="68" spans="4:52">
      <c r="D68" s="18">
        <v>6666010380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56.91</v>
      </c>
      <c r="AP68" s="6">
        <v>56.91</v>
      </c>
      <c r="AQ68" s="6">
        <f t="shared" si="19"/>
        <v>0</v>
      </c>
      <c r="AR68" s="19">
        <v>0.05691</v>
      </c>
      <c r="AS68" s="6">
        <v>0.05691</v>
      </c>
      <c r="AT68" s="19">
        <f t="shared" si="20"/>
        <v>0</v>
      </c>
      <c r="AU68" s="19">
        <v>0.05691</v>
      </c>
      <c r="AV68" s="6">
        <v>0.05691</v>
      </c>
      <c r="AW68" s="19">
        <f t="shared" si="23"/>
        <v>0</v>
      </c>
      <c r="AX68" s="19">
        <v>0.05536</v>
      </c>
      <c r="AY68" s="6">
        <v>0.0569</v>
      </c>
      <c r="AZ68" s="19">
        <f t="shared" si="22"/>
        <v>-0.00154</v>
      </c>
    </row>
    <row r="69" spans="4:52">
      <c r="D69" s="18">
        <v>6666031100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3.49</v>
      </c>
      <c r="AP69" s="6">
        <v>3.49</v>
      </c>
      <c r="AQ69" s="6">
        <f t="shared" ref="AQ69:AQ74" si="24">(AO69-AP69)/1000</f>
        <v>0</v>
      </c>
      <c r="AR69" s="19">
        <v>0</v>
      </c>
      <c r="AS69" s="6">
        <v>0</v>
      </c>
      <c r="AT69" s="19">
        <f t="shared" ref="AT69:AT74" si="25">AR69-AS69</f>
        <v>0</v>
      </c>
      <c r="AU69" s="19">
        <v>-4e-5</v>
      </c>
      <c r="AV69" s="6">
        <v>-4e-5</v>
      </c>
      <c r="AW69" s="19">
        <f t="shared" si="23"/>
        <v>0</v>
      </c>
      <c r="AX69" s="19">
        <v>9e-5</v>
      </c>
      <c r="AY69" s="6">
        <v>9e-5</v>
      </c>
      <c r="AZ69" s="19">
        <f t="shared" ref="AZ69:AZ74" si="26">AX69-AY69</f>
        <v>0</v>
      </c>
    </row>
    <row r="70" spans="4:52">
      <c r="D70" s="18">
        <v>6666090100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4392.02</v>
      </c>
      <c r="AP70" s="6">
        <v>4392.02</v>
      </c>
      <c r="AQ70" s="6">
        <f t="shared" si="24"/>
        <v>0</v>
      </c>
      <c r="AR70" s="19">
        <v>0</v>
      </c>
      <c r="AS70" s="6">
        <v>0</v>
      </c>
      <c r="AT70" s="19">
        <f t="shared" si="25"/>
        <v>0</v>
      </c>
      <c r="AU70" s="19">
        <v>0</v>
      </c>
      <c r="AV70" s="6">
        <v>0</v>
      </c>
      <c r="AW70" s="19">
        <f t="shared" si="23"/>
        <v>0</v>
      </c>
      <c r="AX70" s="19">
        <v>0</v>
      </c>
      <c r="AY70" s="6">
        <v>0</v>
      </c>
      <c r="AZ70" s="19">
        <f t="shared" si="26"/>
        <v>0</v>
      </c>
    </row>
    <row r="71" spans="4:52">
      <c r="D71" s="18">
        <v>6666110207</v>
      </c>
      <c r="E71" s="6">
        <v>-844.22</v>
      </c>
      <c r="F71" s="6">
        <v>-22.7036068889104</v>
      </c>
      <c r="G71" s="6">
        <v>844.22</v>
      </c>
      <c r="H71" s="6">
        <f t="shared" si="0"/>
        <v>22.7036068889104</v>
      </c>
      <c r="I71" s="6">
        <f>(F71*-1-H71)/1000</f>
        <v>0</v>
      </c>
      <c r="J71" s="6">
        <v>-762.52</v>
      </c>
      <c r="K71" s="6">
        <f t="shared" si="2"/>
        <v>-20.0115473441109</v>
      </c>
      <c r="L71" s="6">
        <v>762.52</v>
      </c>
      <c r="M71" s="6">
        <f t="shared" si="3"/>
        <v>20.0115473441109</v>
      </c>
      <c r="N71" s="6">
        <f t="shared" si="4"/>
        <v>0</v>
      </c>
      <c r="O71" s="6">
        <v>-59.82</v>
      </c>
      <c r="P71" s="6">
        <f t="shared" si="5"/>
        <v>-1.46971025922623</v>
      </c>
      <c r="Q71" s="6">
        <v>59.82</v>
      </c>
      <c r="R71" s="6">
        <f t="shared" si="6"/>
        <v>1.46971025922623</v>
      </c>
      <c r="S71" s="6">
        <f t="shared" si="7"/>
        <v>0</v>
      </c>
      <c r="T71" s="6">
        <v>-5.53</v>
      </c>
      <c r="U71" s="6">
        <f t="shared" si="8"/>
        <v>-0.126585755554436</v>
      </c>
      <c r="V71" s="6">
        <v>5.53</v>
      </c>
      <c r="W71" s="6">
        <f t="shared" si="9"/>
        <v>0.126585755554436</v>
      </c>
      <c r="X71" s="6">
        <f t="shared" si="10"/>
        <v>0</v>
      </c>
      <c r="Y71" s="6">
        <v>-5.72</v>
      </c>
      <c r="Z71" s="6">
        <f t="shared" si="11"/>
        <v>-0.129205386870745</v>
      </c>
      <c r="AA71" s="6">
        <v>5.72</v>
      </c>
      <c r="AB71" s="6">
        <f t="shared" si="12"/>
        <v>0.129205386870745</v>
      </c>
      <c r="AC71" s="6">
        <f t="shared" si="13"/>
        <v>0</v>
      </c>
      <c r="AD71" s="6">
        <v>-5.53</v>
      </c>
      <c r="AE71" s="6">
        <f t="shared" si="14"/>
        <v>-0.118790357574013</v>
      </c>
      <c r="AF71" s="6">
        <v>5.53</v>
      </c>
      <c r="AG71" s="6">
        <f t="shared" si="15"/>
        <v>0.118790357574013</v>
      </c>
      <c r="AH71" s="6">
        <f t="shared" si="16"/>
        <v>0</v>
      </c>
      <c r="AI71" s="6">
        <v>-1.16</v>
      </c>
      <c r="AJ71" s="6">
        <v>0.00116</v>
      </c>
      <c r="AK71" s="6">
        <f t="shared" si="17"/>
        <v>0</v>
      </c>
      <c r="AL71" s="6">
        <v>0.00116</v>
      </c>
      <c r="AM71" s="6">
        <v>1.16</v>
      </c>
      <c r="AN71" s="6">
        <f t="shared" si="18"/>
        <v>0</v>
      </c>
      <c r="AO71" s="6">
        <v>1.12</v>
      </c>
      <c r="AP71" s="6">
        <v>1.12</v>
      </c>
      <c r="AQ71" s="6">
        <f t="shared" si="24"/>
        <v>0</v>
      </c>
      <c r="AR71" s="19">
        <v>0.00116</v>
      </c>
      <c r="AS71" s="6">
        <v>0.00116</v>
      </c>
      <c r="AT71" s="19">
        <f t="shared" si="25"/>
        <v>0</v>
      </c>
      <c r="AU71" s="19">
        <v>0.00112</v>
      </c>
      <c r="AV71" s="6">
        <v>0.00112</v>
      </c>
      <c r="AW71" s="19">
        <f t="shared" si="23"/>
        <v>0</v>
      </c>
      <c r="AX71" s="19">
        <v>0.00011</v>
      </c>
      <c r="AY71" s="6">
        <v>0.00116</v>
      </c>
      <c r="AZ71" s="19">
        <f t="shared" si="26"/>
        <v>-0.00105</v>
      </c>
    </row>
    <row r="72" spans="4:52">
      <c r="D72" s="18">
        <v>5001010206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19">
        <v>0.00031</v>
      </c>
      <c r="AY72" s="6">
        <v>0</v>
      </c>
      <c r="AZ72" s="19">
        <f t="shared" si="26"/>
        <v>0.00031</v>
      </c>
    </row>
    <row r="73" spans="4:52">
      <c r="D73" s="18">
        <v>6666070400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19">
        <v>0.15551</v>
      </c>
      <c r="AY73" s="6">
        <v>0.15551</v>
      </c>
      <c r="AZ73" s="19">
        <f t="shared" si="26"/>
        <v>0</v>
      </c>
    </row>
    <row r="74" spans="4:52">
      <c r="D74" s="18">
        <v>6666110506</v>
      </c>
      <c r="E74" s="6">
        <v>-346.9</v>
      </c>
      <c r="F74" s="6">
        <v>-9.32918105442067</v>
      </c>
      <c r="G74" s="6">
        <v>346.9</v>
      </c>
      <c r="H74" s="6">
        <f t="shared" si="0"/>
        <v>9.32918105442067</v>
      </c>
      <c r="I74" s="6">
        <f t="shared" si="1"/>
        <v>0</v>
      </c>
      <c r="J74" s="6">
        <v>-313.32</v>
      </c>
      <c r="K74" s="6">
        <f t="shared" si="2"/>
        <v>-8.22275876548394</v>
      </c>
      <c r="L74" s="6">
        <v>313.32</v>
      </c>
      <c r="M74" s="6">
        <f t="shared" si="3"/>
        <v>8.22275876548394</v>
      </c>
      <c r="N74" s="6">
        <f t="shared" si="4"/>
        <v>0</v>
      </c>
      <c r="O74" s="6">
        <v>-346.89</v>
      </c>
      <c r="P74" s="6">
        <f t="shared" si="5"/>
        <v>-8.5226979575892</v>
      </c>
      <c r="Q74" s="6">
        <v>346.89</v>
      </c>
      <c r="R74" s="6">
        <f t="shared" si="6"/>
        <v>8.5226979575892</v>
      </c>
      <c r="S74" s="6">
        <f t="shared" si="7"/>
        <v>0</v>
      </c>
      <c r="T74" s="6">
        <v>-335.71</v>
      </c>
      <c r="U74" s="6">
        <f t="shared" si="8"/>
        <v>-7.68464810075585</v>
      </c>
      <c r="V74" s="6">
        <v>335.71</v>
      </c>
      <c r="W74" s="6">
        <f t="shared" si="9"/>
        <v>7.68464810075585</v>
      </c>
      <c r="X74" s="6">
        <f t="shared" si="10"/>
        <v>0</v>
      </c>
      <c r="Y74" s="6">
        <v>-346.89</v>
      </c>
      <c r="Z74" s="6">
        <f t="shared" si="11"/>
        <v>-7.83567423978893</v>
      </c>
      <c r="AA74" s="6">
        <v>346.89</v>
      </c>
      <c r="AB74" s="6">
        <f t="shared" si="12"/>
        <v>7.83567423978893</v>
      </c>
      <c r="AC74" s="6">
        <f t="shared" si="13"/>
        <v>0</v>
      </c>
      <c r="AD74" s="6">
        <v>-335.71</v>
      </c>
      <c r="AE74" s="6">
        <f t="shared" si="14"/>
        <v>-7.21141246675803</v>
      </c>
      <c r="AF74" s="6">
        <v>335.71</v>
      </c>
      <c r="AG74" s="6">
        <f t="shared" si="15"/>
        <v>7.21141246675803</v>
      </c>
      <c r="AH74" s="6">
        <f t="shared" si="16"/>
        <v>0</v>
      </c>
      <c r="AI74" s="6">
        <v>-63.96</v>
      </c>
      <c r="AJ74" s="6">
        <v>0.06396</v>
      </c>
      <c r="AK74" s="6">
        <f t="shared" si="17"/>
        <v>0</v>
      </c>
      <c r="AL74" s="6">
        <v>0.06395</v>
      </c>
      <c r="AM74" s="6">
        <v>63.95</v>
      </c>
      <c r="AN74" s="6">
        <f t="shared" ref="AN74" si="27">AL74-AM74/1000</f>
        <v>0</v>
      </c>
      <c r="AO74" s="6">
        <v>61.9</v>
      </c>
      <c r="AP74" s="6">
        <v>61.9</v>
      </c>
      <c r="AQ74" s="6">
        <f t="shared" si="24"/>
        <v>0</v>
      </c>
      <c r="AR74" s="19">
        <v>0.06389</v>
      </c>
      <c r="AS74" s="6">
        <v>0.06389</v>
      </c>
      <c r="AT74" s="19">
        <f t="shared" si="25"/>
        <v>0</v>
      </c>
      <c r="AU74" s="19">
        <v>0.05957</v>
      </c>
      <c r="AV74" s="6">
        <v>0.05957</v>
      </c>
      <c r="AW74" s="19">
        <f t="shared" si="23"/>
        <v>0</v>
      </c>
      <c r="AX74" s="19">
        <v>0.00664</v>
      </c>
      <c r="AY74" s="6">
        <v>0.06155</v>
      </c>
      <c r="AZ74" s="19">
        <f t="shared" si="26"/>
        <v>-0.05491</v>
      </c>
    </row>
    <row r="75" spans="4:52">
      <c r="E75" s="25">
        <f>SUM(E4:E74)</f>
        <v>-6502153.11</v>
      </c>
      <c r="F75" s="26">
        <f t="shared" ref="F75:I75" si="28">SUM(F4:F74)</f>
        <v>-155055.719688084</v>
      </c>
      <c r="G75" s="25">
        <f t="shared" si="28"/>
        <v>6502153.11</v>
      </c>
      <c r="H75" s="26">
        <f t="shared" si="28"/>
        <v>155055.719688084</v>
      </c>
      <c r="I75" s="27">
        <f t="shared" si="28"/>
        <v>39.1002735017911</v>
      </c>
      <c r="J75" s="25">
        <f t="shared" ref="J75:N75" si="29">SUM(J4:J74)</f>
        <v>-9712891.1</v>
      </c>
      <c r="K75" s="26">
        <f t="shared" si="29"/>
        <v>-237901.182690461</v>
      </c>
      <c r="L75" s="25">
        <f t="shared" si="29"/>
        <v>9712891.1</v>
      </c>
      <c r="M75" s="26">
        <f t="shared" si="29"/>
        <v>234442.818099144</v>
      </c>
      <c r="N75" s="27">
        <f t="shared" si="29"/>
        <v>84.5637243960623</v>
      </c>
      <c r="O75" s="25">
        <f t="shared" ref="O75:S75" si="30">SUM(O4:O74)</f>
        <v>-9704847.18</v>
      </c>
      <c r="P75" s="26">
        <f t="shared" si="30"/>
        <v>-224052.722629096</v>
      </c>
      <c r="Q75" s="25">
        <f t="shared" si="30"/>
        <v>9704858.24</v>
      </c>
      <c r="R75" s="26">
        <f t="shared" si="30"/>
        <v>224052.994360882</v>
      </c>
      <c r="S75" s="27">
        <f t="shared" si="30"/>
        <v>59.0963348148367</v>
      </c>
      <c r="T75" s="25">
        <f t="shared" ref="T75:V75" si="31">SUM(T4:T74)</f>
        <v>-7376700.71</v>
      </c>
      <c r="U75" s="26">
        <f t="shared" si="31"/>
        <v>-165405.496362885</v>
      </c>
      <c r="V75" s="25">
        <f t="shared" si="31"/>
        <v>7376700.71</v>
      </c>
      <c r="W75" s="26">
        <f t="shared" ref="W75" si="32">V75/$B$6</f>
        <v>168858.08912736</v>
      </c>
      <c r="X75" s="27">
        <f>SUM(X4:X74)</f>
        <v>24.1960733235971</v>
      </c>
      <c r="Y75" s="25">
        <f t="shared" ref="Y75:AC75" si="33">SUM(Y4:Y74)</f>
        <v>-9468236.19</v>
      </c>
      <c r="Z75" s="26">
        <f t="shared" si="33"/>
        <v>-211477.080459516</v>
      </c>
      <c r="AA75" s="25">
        <f t="shared" si="33"/>
        <v>9468236.19</v>
      </c>
      <c r="AB75" s="26">
        <f t="shared" si="33"/>
        <v>211477.080459516</v>
      </c>
      <c r="AC75" s="27">
        <f t="shared" si="33"/>
        <v>45.9861406893062</v>
      </c>
      <c r="AD75" s="25">
        <f t="shared" ref="AD75:AH75" si="34">SUM(AD4:AD74)</f>
        <v>-8507489.7</v>
      </c>
      <c r="AE75" s="26">
        <f t="shared" si="34"/>
        <v>-186790.323511011</v>
      </c>
      <c r="AF75" s="25">
        <f t="shared" si="34"/>
        <v>8507489.7</v>
      </c>
      <c r="AG75" s="26">
        <f t="shared" si="34"/>
        <v>186790.323511011</v>
      </c>
      <c r="AH75" s="27">
        <f t="shared" si="34"/>
        <v>40.9180531270004</v>
      </c>
      <c r="AI75" s="26">
        <f t="shared" ref="AI75:AZ75" si="35">SUM(AI4:AI74)</f>
        <v>-187996.96</v>
      </c>
      <c r="AJ75" s="26">
        <f t="shared" si="35"/>
        <v>188.28229</v>
      </c>
      <c r="AK75" s="27">
        <f t="shared" si="35"/>
        <v>45.10373</v>
      </c>
      <c r="AL75" s="26">
        <f t="shared" si="35"/>
        <v>176.98346</v>
      </c>
      <c r="AM75" s="26">
        <f t="shared" si="35"/>
        <v>176983.46</v>
      </c>
      <c r="AN75" s="26">
        <f t="shared" si="35"/>
        <v>34.72373</v>
      </c>
      <c r="AO75" s="26">
        <f t="shared" si="35"/>
        <v>203397.38</v>
      </c>
      <c r="AP75" s="26">
        <f t="shared" si="35"/>
        <v>203397.38</v>
      </c>
      <c r="AQ75" s="26">
        <f t="shared" si="35"/>
        <v>46.25862</v>
      </c>
      <c r="AR75" s="26">
        <f t="shared" si="35"/>
        <v>207.58153</v>
      </c>
      <c r="AS75" s="26">
        <f t="shared" si="35"/>
        <v>207.85696</v>
      </c>
      <c r="AT75" s="26">
        <f t="shared" si="35"/>
        <v>56.64634</v>
      </c>
      <c r="AU75" s="26">
        <f t="shared" si="35"/>
        <v>174.17192</v>
      </c>
      <c r="AV75" s="26">
        <f t="shared" si="35"/>
        <v>187.42678</v>
      </c>
      <c r="AW75" s="26">
        <f t="shared" si="35"/>
        <v>31.18627</v>
      </c>
      <c r="AX75" s="26">
        <f t="shared" si="35"/>
        <v>-33.32634</v>
      </c>
      <c r="AY75" s="26">
        <f t="shared" si="35"/>
        <v>-32.98</v>
      </c>
      <c r="AZ75" s="26">
        <f t="shared" si="35"/>
        <v>29.84666</v>
      </c>
    </row>
    <row r="76" hidden="1" spans="4:52">
      <c r="D76" s="17" t="s">
        <v>528</v>
      </c>
      <c r="E76" s="28"/>
      <c r="F76" s="29">
        <v>-174996.36</v>
      </c>
      <c r="G76" s="29"/>
      <c r="H76" s="29"/>
      <c r="I76" s="29"/>
      <c r="J76" s="30"/>
      <c r="K76" s="29">
        <v>-243798.14</v>
      </c>
      <c r="L76" s="29"/>
      <c r="M76" s="29"/>
      <c r="N76" s="29"/>
      <c r="O76" s="30"/>
      <c r="P76" s="29">
        <v>-219313.79</v>
      </c>
      <c r="Q76" s="29"/>
      <c r="R76" s="29"/>
      <c r="S76" s="29"/>
      <c r="T76" s="30"/>
      <c r="U76" s="29">
        <v>-161263.11</v>
      </c>
      <c r="V76" s="29"/>
      <c r="W76" s="29"/>
      <c r="X76" s="29"/>
      <c r="Y76" s="29"/>
      <c r="Z76" s="29">
        <v>-196884.85</v>
      </c>
      <c r="AA76" s="29"/>
      <c r="AB76" s="29"/>
      <c r="AC76" s="29"/>
      <c r="AD76" s="29"/>
      <c r="AE76" s="29">
        <v>-184029.68</v>
      </c>
      <c r="AF76" s="29"/>
      <c r="AG76" s="29"/>
      <c r="AH76" s="29"/>
      <c r="AI76" s="29">
        <v>-188282.29</v>
      </c>
      <c r="AJ76" s="31"/>
      <c r="AK76" s="31"/>
      <c r="AV76" s="32"/>
      <c r="AX76" s="32"/>
    </row>
    <row r="77" s="6" customFormat="1" hidden="1" spans="4:52">
      <c r="D77" s="25" t="s">
        <v>549</v>
      </c>
      <c r="F77" s="6">
        <f>F76-F75</f>
        <v>-19940.6403119157</v>
      </c>
      <c r="G77" s="6">
        <f>F77/B3</f>
        <v>-536.263602798908</v>
      </c>
      <c r="H77" s="6">
        <f>G77/1000</f>
        <v>-0.536263602798908</v>
      </c>
      <c r="K77" s="6">
        <f>K76-K75</f>
        <v>-5896.95730953879</v>
      </c>
      <c r="P77" s="6">
        <f>P76-P75</f>
        <v>4738.93262909597</v>
      </c>
      <c r="U77" s="6">
        <f>U76-U75</f>
        <v>4142.3863628853</v>
      </c>
      <c r="Z77" s="6">
        <f>Z76-Z75</f>
        <v>14592.2304595164</v>
      </c>
      <c r="AE77" s="6">
        <f>AE76-AE75</f>
        <v>2760.64351101054</v>
      </c>
      <c r="AI77" s="6">
        <f>AI76-AI75</f>
        <v>-285.330000000016</v>
      </c>
    </row>
    <row r="78" s="7" customFormat="1" ht="10.2" spans="4:52">
      <c r="D78" s="33" t="s">
        <v>202</v>
      </c>
      <c r="I78" s="7">
        <f>+'Renta DW _2025 '!E139</f>
        <v>39.01518</v>
      </c>
      <c r="N78" s="7">
        <f>+'Renta DW _2025 '!H139</f>
        <v>91.64325</v>
      </c>
      <c r="S78" s="7">
        <f>+'Renta DW _2025 '!K139</f>
        <v>57.27453</v>
      </c>
      <c r="X78" s="7">
        <f>+'Renta DW _2025 '!N139</f>
        <v>15.61075</v>
      </c>
      <c r="AC78" s="7">
        <f>+'Renta DW _2025 '!Q139</f>
        <v>47.88535</v>
      </c>
      <c r="AH78" s="7">
        <f>+'Renta DW _2025 '!T139</f>
        <v>40.67128</v>
      </c>
      <c r="AK78" s="7">
        <f>+'Renta DW _2025 '!W139</f>
        <v>45.38906</v>
      </c>
      <c r="AN78" s="7">
        <f>+'Renta DW _2025 '!Z139</f>
        <v>34.72373</v>
      </c>
      <c r="AQ78" s="7">
        <f>+'Renta DW _2025 '!AC139</f>
        <v>46.25862</v>
      </c>
      <c r="AT78" s="7">
        <f>+'Renta DW _2025 '!AF139</f>
        <v>56.92177</v>
      </c>
      <c r="AW78" s="7">
        <f>+'Renta DW _2025 '!AI139</f>
        <v>44.44113</v>
      </c>
      <c r="AX78" s="7">
        <f>+'Renta DW _2025 '!AJ139</f>
        <v>1.30617005643075</v>
      </c>
      <c r="AY78" s="7">
        <f>+'Renta DW _2025 '!AK139</f>
        <v>0</v>
      </c>
      <c r="AZ78" s="7">
        <f>+'Renta DW _2025 '!AL139</f>
        <v>30.193</v>
      </c>
    </row>
    <row r="79" spans="4:52">
      <c r="K79" s="32"/>
      <c r="L79" s="32"/>
      <c r="M79" s="17"/>
      <c r="N79" s="17"/>
    </row>
    <row r="80" s="8" customFormat="1" ht="10.8" spans="4:52">
      <c r="D80" s="34" t="s">
        <v>203</v>
      </c>
      <c r="E80" s="35"/>
      <c r="I80" s="36">
        <f>+I78-I75</f>
        <v>-0.0850935017910786</v>
      </c>
      <c r="J80" s="36">
        <f t="shared" ref="J80:AS80" si="36">+J78-J73</f>
        <v>0</v>
      </c>
      <c r="K80" s="36">
        <f t="shared" si="36"/>
        <v>0</v>
      </c>
      <c r="L80" s="36">
        <f t="shared" si="36"/>
        <v>0</v>
      </c>
      <c r="M80" s="36">
        <f t="shared" si="36"/>
        <v>0</v>
      </c>
      <c r="N80" s="36">
        <f>+N78-N75</f>
        <v>7.07952560393771</v>
      </c>
      <c r="O80" s="36">
        <f t="shared" si="36"/>
        <v>0</v>
      </c>
      <c r="P80" s="36">
        <f t="shared" si="36"/>
        <v>0</v>
      </c>
      <c r="Q80" s="36">
        <f t="shared" si="36"/>
        <v>0</v>
      </c>
      <c r="R80" s="36">
        <f t="shared" si="36"/>
        <v>0</v>
      </c>
      <c r="S80" s="36">
        <f>+S78-S75</f>
        <v>-1.82180481483666</v>
      </c>
      <c r="T80" s="36">
        <f t="shared" si="36"/>
        <v>0</v>
      </c>
      <c r="U80" s="36">
        <f t="shared" si="36"/>
        <v>0</v>
      </c>
      <c r="V80" s="36">
        <f t="shared" si="36"/>
        <v>0</v>
      </c>
      <c r="W80" s="36">
        <f t="shared" si="36"/>
        <v>0</v>
      </c>
      <c r="X80" s="36">
        <f>+X78-X75</f>
        <v>-8.58532332359714</v>
      </c>
      <c r="Y80" s="36">
        <f t="shared" si="36"/>
        <v>0</v>
      </c>
      <c r="Z80" s="36">
        <f t="shared" si="36"/>
        <v>0</v>
      </c>
      <c r="AA80" s="36">
        <f t="shared" si="36"/>
        <v>0</v>
      </c>
      <c r="AB80" s="36">
        <f t="shared" si="36"/>
        <v>0</v>
      </c>
      <c r="AC80" s="36">
        <f>+AC78-AC75</f>
        <v>1.89920931069377</v>
      </c>
      <c r="AD80" s="36">
        <f t="shared" si="36"/>
        <v>0</v>
      </c>
      <c r="AE80" s="36">
        <f t="shared" si="36"/>
        <v>0</v>
      </c>
      <c r="AF80" s="36">
        <f t="shared" si="36"/>
        <v>0</v>
      </c>
      <c r="AG80" s="36">
        <f t="shared" si="36"/>
        <v>0</v>
      </c>
      <c r="AH80" s="36">
        <f>+AH78-AH75</f>
        <v>-0.246773127000438</v>
      </c>
      <c r="AI80" s="36">
        <f t="shared" si="36"/>
        <v>0</v>
      </c>
      <c r="AJ80" s="36">
        <f t="shared" si="36"/>
        <v>0</v>
      </c>
      <c r="AK80" s="36">
        <f>+AK78-AK75</f>
        <v>0.285330000000023</v>
      </c>
      <c r="AL80" s="36">
        <f t="shared" si="36"/>
        <v>0</v>
      </c>
      <c r="AM80" s="36">
        <f t="shared" si="36"/>
        <v>0</v>
      </c>
      <c r="AN80" s="36">
        <f>+AN78-AN75</f>
        <v>0</v>
      </c>
      <c r="AO80" s="36">
        <f t="shared" si="36"/>
        <v>0</v>
      </c>
      <c r="AP80" s="36">
        <f t="shared" si="36"/>
        <v>0</v>
      </c>
      <c r="AQ80" s="36">
        <f>+AQ78-AQ75</f>
        <v>0</v>
      </c>
      <c r="AR80" s="36">
        <f t="shared" si="36"/>
        <v>0</v>
      </c>
      <c r="AS80" s="36">
        <f t="shared" si="36"/>
        <v>0</v>
      </c>
      <c r="AT80" s="36">
        <f>+AT78-AT75</f>
        <v>0.27543</v>
      </c>
      <c r="AW80" s="36">
        <f>+AW78-AW75</f>
        <v>13.25486</v>
      </c>
      <c r="AZ80" s="36">
        <f>+AZ78-AZ75</f>
        <v>0.346340000000001</v>
      </c>
    </row>
  </sheetData>
  <autoFilter xmlns:etc="http://www.wps.cn/officeDocument/2017/etCustomData" ref="D3:AI78" etc:filterBottomFollowUsedRange="0">
    <extLst/>
  </autoFilter>
  <mergeCells count="12">
    <mergeCell ref="E2:F2"/>
    <mergeCell ref="G2:H2"/>
    <mergeCell ref="J2:K2"/>
    <mergeCell ref="L2:M2"/>
    <mergeCell ref="O2:P2"/>
    <mergeCell ref="Q2:R2"/>
    <mergeCell ref="T2:U2"/>
    <mergeCell ref="V2:W2"/>
    <mergeCell ref="Y2:Z2"/>
    <mergeCell ref="AA2:AB2"/>
    <mergeCell ref="AD2:AE2"/>
    <mergeCell ref="AF2:AG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D230"/>
  <sheetViews>
    <sheetView topLeftCell="A124" workbookViewId="0">
      <selection activeCell="C175" sqref="C175"/>
    </sheetView>
  </sheetViews>
  <sheetFormatPr defaultColWidth="9" defaultRowHeight="14.4" outlineLevelCol="3"/>
  <cols>
    <col min="1" max="1" width="10.7777777777778" customWidth="1"/>
    <col min="2" max="2" width="51" customWidth="1"/>
    <col min="3" max="3" width="10.7777777777778" customWidth="1"/>
  </cols>
  <sheetData>
    <row r="1" spans="1:3">
      <c r="B1" t="s">
        <v>550</v>
      </c>
      <c r="C1" t="s">
        <v>551</v>
      </c>
    </row>
    <row r="2" spans="1:3">
      <c r="A2" t="str">
        <f>MID(B2,5,10)</f>
        <v>6666110101</v>
      </c>
      <c r="B2" t="s">
        <v>33</v>
      </c>
      <c r="C2">
        <v>58015.76</v>
      </c>
    </row>
    <row r="3" spans="1:3">
      <c r="A3" t="str">
        <f t="shared" ref="A3:A66" si="0">MID(B3,5,10)</f>
        <v>6666110107</v>
      </c>
      <c r="B3" t="s">
        <v>36</v>
      </c>
      <c r="C3">
        <v>259065.27</v>
      </c>
    </row>
    <row r="4" spans="1:3">
      <c r="A4" t="str">
        <f t="shared" si="0"/>
        <v>6666110110</v>
      </c>
      <c r="B4" t="s">
        <v>37</v>
      </c>
      <c r="C4">
        <v>329188.08</v>
      </c>
    </row>
    <row r="5" spans="1:3">
      <c r="A5" t="str">
        <f t="shared" si="0"/>
        <v>6666110112</v>
      </c>
      <c r="B5" t="s">
        <v>38</v>
      </c>
      <c r="C5">
        <v>13303.99</v>
      </c>
    </row>
    <row r="6" spans="1:3">
      <c r="A6" t="str">
        <f t="shared" si="0"/>
        <v>6666110204</v>
      </c>
      <c r="B6" t="s">
        <v>39</v>
      </c>
      <c r="C6">
        <v>505.04</v>
      </c>
    </row>
    <row r="7" spans="1:3">
      <c r="A7" t="str">
        <f t="shared" si="0"/>
        <v>6666110207</v>
      </c>
      <c r="B7" t="s">
        <v>40</v>
      </c>
      <c r="C7">
        <v>17317.91</v>
      </c>
    </row>
    <row r="8" spans="1:3">
      <c r="A8" t="str">
        <f t="shared" si="0"/>
        <v>6666110506</v>
      </c>
      <c r="B8" t="s">
        <v>41</v>
      </c>
      <c r="C8">
        <v>1828.14</v>
      </c>
    </row>
    <row r="9" spans="1:3">
      <c r="A9" t="str">
        <f t="shared" si="0"/>
        <v>CS_Depreci</v>
      </c>
      <c r="B9" t="s">
        <v>34</v>
      </c>
      <c r="C9">
        <v>679224.19</v>
      </c>
    </row>
    <row r="10" spans="1:3">
      <c r="A10" t="str">
        <f t="shared" si="0"/>
        <v>5001010205</v>
      </c>
      <c r="B10" t="s">
        <v>552</v>
      </c>
      <c r="C10">
        <v>7248.66</v>
      </c>
    </row>
    <row r="11" spans="1:3">
      <c r="A11" t="str">
        <f t="shared" si="0"/>
        <v>6666010380</v>
      </c>
      <c r="B11" t="s">
        <v>45</v>
      </c>
      <c r="C11">
        <v>-1669.16</v>
      </c>
    </row>
    <row r="12" spans="1:3">
      <c r="A12" t="str">
        <f t="shared" si="0"/>
        <v>6666010019</v>
      </c>
      <c r="B12" t="s">
        <v>46</v>
      </c>
      <c r="C12">
        <v>57925.85</v>
      </c>
    </row>
    <row r="13" spans="1:3">
      <c r="A13" t="str">
        <f t="shared" si="0"/>
        <v>6666010183</v>
      </c>
      <c r="B13" t="s">
        <v>47</v>
      </c>
      <c r="C13">
        <v>13554.08</v>
      </c>
    </row>
    <row r="14" spans="1:3">
      <c r="A14" t="str">
        <f t="shared" si="0"/>
        <v>6666010229</v>
      </c>
      <c r="B14" t="s">
        <v>553</v>
      </c>
      <c r="C14">
        <v>31744.54</v>
      </c>
    </row>
    <row r="15" spans="1:3">
      <c r="A15" t="str">
        <f t="shared" si="0"/>
        <v>6666010188</v>
      </c>
      <c r="B15" t="s">
        <v>49</v>
      </c>
      <c r="C15">
        <v>362365.37</v>
      </c>
    </row>
    <row r="16" spans="1:3">
      <c r="A16" t="str">
        <f t="shared" si="0"/>
        <v>6666010115</v>
      </c>
      <c r="B16" t="s">
        <v>554</v>
      </c>
      <c r="C16">
        <v>789.63</v>
      </c>
    </row>
    <row r="17" spans="1:3">
      <c r="A17" t="str">
        <f t="shared" si="0"/>
        <v>CS_Direct </v>
      </c>
      <c r="B17" t="s">
        <v>44</v>
      </c>
      <c r="C17">
        <v>471958.97</v>
      </c>
    </row>
    <row r="18" spans="1:3">
      <c r="A18" t="str">
        <f t="shared" si="0"/>
        <v>8701530201</v>
      </c>
      <c r="B18" t="s">
        <v>555</v>
      </c>
    </row>
    <row r="19" spans="1:3">
      <c r="A19" t="str">
        <f t="shared" si="0"/>
        <v>6666050309</v>
      </c>
      <c r="B19" t="s">
        <v>56</v>
      </c>
      <c r="C19">
        <v>22145.32</v>
      </c>
    </row>
    <row r="20" spans="1:3">
      <c r="A20" t="str">
        <f t="shared" si="0"/>
        <v>6666050308</v>
      </c>
      <c r="B20" t="s">
        <v>57</v>
      </c>
      <c r="C20">
        <v>24288.13</v>
      </c>
    </row>
    <row r="21" spans="1:3">
      <c r="A21" t="str">
        <f t="shared" si="0"/>
        <v>6666050306</v>
      </c>
      <c r="B21" t="s">
        <v>58</v>
      </c>
      <c r="C21">
        <v>-12.68</v>
      </c>
    </row>
    <row r="22" spans="1:3">
      <c r="A22" t="str">
        <f t="shared" si="0"/>
        <v>CS_SCRAP_V</v>
      </c>
      <c r="B22" t="s">
        <v>55</v>
      </c>
      <c r="C22">
        <v>46420.77</v>
      </c>
    </row>
    <row r="23" spans="1:3">
      <c r="A23" t="str">
        <f t="shared" si="0"/>
        <v>6666010322</v>
      </c>
      <c r="B23" t="s">
        <v>74</v>
      </c>
      <c r="C23">
        <v>4344.59</v>
      </c>
    </row>
    <row r="24" spans="1:3">
      <c r="A24" t="str">
        <f t="shared" si="0"/>
        <v>6666020495</v>
      </c>
      <c r="B24" t="s">
        <v>84</v>
      </c>
      <c r="C24">
        <v>53.31</v>
      </c>
    </row>
    <row r="25" spans="1:3">
      <c r="A25" t="str">
        <f t="shared" si="0"/>
        <v>5102010151</v>
      </c>
      <c r="B25" t="s">
        <v>556</v>
      </c>
    </row>
    <row r="26" spans="1:3">
      <c r="A26" t="str">
        <f t="shared" si="0"/>
        <v>5001010200</v>
      </c>
      <c r="B26" t="s">
        <v>61</v>
      </c>
      <c r="C26">
        <v>171.97</v>
      </c>
    </row>
    <row r="27" spans="1:3">
      <c r="A27" t="str">
        <f t="shared" si="0"/>
        <v>5001010201</v>
      </c>
      <c r="B27" t="s">
        <v>557</v>
      </c>
      <c r="C27">
        <v>0.56</v>
      </c>
    </row>
    <row r="28" spans="1:3">
      <c r="A28" t="str">
        <f t="shared" si="0"/>
        <v>5405030000</v>
      </c>
      <c r="B28" t="s">
        <v>69</v>
      </c>
      <c r="C28">
        <v>18.8</v>
      </c>
    </row>
    <row r="29" spans="1:3">
      <c r="A29" t="str">
        <f t="shared" si="0"/>
        <v>5601050100</v>
      </c>
      <c r="B29" t="s">
        <v>71</v>
      </c>
      <c r="C29">
        <v>16.82</v>
      </c>
    </row>
    <row r="30" spans="1:3">
      <c r="A30" t="str">
        <f t="shared" si="0"/>
        <v>6666020101</v>
      </c>
      <c r="B30" t="s">
        <v>75</v>
      </c>
    </row>
    <row r="31" spans="1:3">
      <c r="A31" t="str">
        <f t="shared" si="0"/>
        <v>6666020201</v>
      </c>
      <c r="B31" t="s">
        <v>76</v>
      </c>
      <c r="C31">
        <v>2.6</v>
      </c>
    </row>
    <row r="32" spans="1:3">
      <c r="A32" t="str">
        <f t="shared" si="0"/>
        <v>6666020204</v>
      </c>
      <c r="B32" t="s">
        <v>78</v>
      </c>
      <c r="C32">
        <v>21.59</v>
      </c>
    </row>
    <row r="33" spans="1:3">
      <c r="A33" t="str">
        <f t="shared" si="0"/>
        <v>6666020205</v>
      </c>
      <c r="B33" t="s">
        <v>79</v>
      </c>
    </row>
    <row r="34" spans="1:3">
      <c r="A34" t="str">
        <f t="shared" si="0"/>
        <v>6666020302</v>
      </c>
      <c r="B34" t="s">
        <v>81</v>
      </c>
    </row>
    <row r="35" spans="1:3">
      <c r="A35" t="str">
        <f t="shared" si="0"/>
        <v>6666020504</v>
      </c>
      <c r="B35" t="s">
        <v>85</v>
      </c>
    </row>
    <row r="36" spans="1:3">
      <c r="A36" t="str">
        <f t="shared" si="0"/>
        <v>6666020508</v>
      </c>
      <c r="B36" t="s">
        <v>86</v>
      </c>
    </row>
    <row r="37" spans="1:3">
      <c r="A37" t="str">
        <f t="shared" si="0"/>
        <v>6666020602</v>
      </c>
      <c r="B37" t="s">
        <v>87</v>
      </c>
    </row>
    <row r="38" spans="1:3">
      <c r="A38" t="str">
        <f t="shared" si="0"/>
        <v>6666020801</v>
      </c>
      <c r="B38" t="s">
        <v>89</v>
      </c>
    </row>
    <row r="39" spans="1:3">
      <c r="A39" t="str">
        <f t="shared" si="0"/>
        <v>6666020802</v>
      </c>
      <c r="B39" t="s">
        <v>90</v>
      </c>
      <c r="C39">
        <v>31065</v>
      </c>
    </row>
    <row r="40" spans="1:3">
      <c r="A40" t="str">
        <f t="shared" si="0"/>
        <v>6666020803</v>
      </c>
      <c r="B40" t="s">
        <v>91</v>
      </c>
      <c r="C40">
        <v>7421.96</v>
      </c>
    </row>
    <row r="41" spans="1:3">
      <c r="A41" t="str">
        <f t="shared" si="0"/>
        <v>6666021100</v>
      </c>
      <c r="B41" t="s">
        <v>92</v>
      </c>
      <c r="C41">
        <v>21151.54</v>
      </c>
    </row>
    <row r="42" spans="1:3">
      <c r="A42" t="str">
        <f t="shared" si="0"/>
        <v>6666021902</v>
      </c>
      <c r="B42" t="s">
        <v>95</v>
      </c>
      <c r="C42">
        <v>14265.26</v>
      </c>
    </row>
    <row r="43" spans="1:3">
      <c r="A43" t="str">
        <f t="shared" si="0"/>
        <v>6666022100</v>
      </c>
      <c r="B43" t="s">
        <v>96</v>
      </c>
      <c r="C43">
        <v>2958.22</v>
      </c>
    </row>
    <row r="44" spans="1:3">
      <c r="A44" t="str">
        <f t="shared" si="0"/>
        <v>6666029997</v>
      </c>
      <c r="B44" t="s">
        <v>101</v>
      </c>
      <c r="C44">
        <v>1324.76</v>
      </c>
    </row>
    <row r="45" spans="1:3">
      <c r="A45" t="str">
        <f t="shared" si="0"/>
        <v>6666030300</v>
      </c>
      <c r="B45" t="s">
        <v>157</v>
      </c>
      <c r="C45">
        <v>4670.44</v>
      </c>
    </row>
    <row r="46" spans="1:3">
      <c r="A46" t="str">
        <f t="shared" si="0"/>
        <v>6666031200</v>
      </c>
      <c r="B46" t="s">
        <v>103</v>
      </c>
    </row>
    <row r="47" spans="1:3">
      <c r="A47" t="str">
        <f t="shared" si="0"/>
        <v>6666050202</v>
      </c>
      <c r="B47" t="s">
        <v>105</v>
      </c>
    </row>
    <row r="48" spans="1:3">
      <c r="A48" t="str">
        <f t="shared" si="0"/>
        <v>6666070400</v>
      </c>
      <c r="B48" t="s">
        <v>108</v>
      </c>
      <c r="C48">
        <v>9769.24</v>
      </c>
    </row>
    <row r="49" spans="1:3">
      <c r="A49" t="str">
        <f t="shared" si="0"/>
        <v>CS_Fix Cos</v>
      </c>
      <c r="B49" t="s">
        <v>60</v>
      </c>
      <c r="C49">
        <v>97256.66</v>
      </c>
    </row>
    <row r="50" spans="1:3">
      <c r="A50" t="str">
        <f t="shared" si="0"/>
        <v>6666110203</v>
      </c>
      <c r="B50" t="s">
        <v>111</v>
      </c>
      <c r="C50">
        <v>19059.57</v>
      </c>
    </row>
    <row r="51" spans="1:3">
      <c r="A51" t="str">
        <f t="shared" si="0"/>
        <v>5102040000</v>
      </c>
      <c r="B51" t="s">
        <v>113</v>
      </c>
    </row>
    <row r="52" spans="1:3">
      <c r="A52" t="str">
        <f t="shared" si="0"/>
        <v>6666050307</v>
      </c>
      <c r="B52" t="s">
        <v>114</v>
      </c>
      <c r="C52">
        <v>1084.6</v>
      </c>
    </row>
    <row r="53" spans="1:3">
      <c r="A53" t="str">
        <f t="shared" si="0"/>
        <v>CS_Variabl</v>
      </c>
      <c r="B53" t="s">
        <v>112</v>
      </c>
      <c r="C53">
        <v>20144.17</v>
      </c>
    </row>
    <row r="54" spans="1:3">
      <c r="A54" t="str">
        <f t="shared" si="0"/>
        <v>6666100203</v>
      </c>
      <c r="B54" t="s">
        <v>558</v>
      </c>
      <c r="C54">
        <v>5031.46</v>
      </c>
    </row>
    <row r="55" spans="1:3">
      <c r="A55" t="str">
        <f t="shared" si="0"/>
        <v>CS_Obsoles</v>
      </c>
      <c r="B55" t="s">
        <v>117</v>
      </c>
      <c r="C55">
        <v>5031.46</v>
      </c>
    </row>
    <row r="56" spans="1:3">
      <c r="A56" t="str">
        <f t="shared" si="0"/>
        <v>5301070000</v>
      </c>
      <c r="B56" t="s">
        <v>118</v>
      </c>
      <c r="C56">
        <v>-116472.8</v>
      </c>
    </row>
    <row r="57" spans="1:3">
      <c r="A57" t="str">
        <f t="shared" si="0"/>
        <v>CS_Reselli</v>
      </c>
      <c r="B57" t="s">
        <v>119</v>
      </c>
      <c r="C57">
        <v>-116472.8</v>
      </c>
    </row>
    <row r="58" spans="1:3">
      <c r="A58" t="str">
        <f t="shared" si="0"/>
        <v>6666021602</v>
      </c>
      <c r="B58" t="s">
        <v>120</v>
      </c>
      <c r="C58">
        <v>15356.4</v>
      </c>
    </row>
    <row r="59" spans="1:3">
      <c r="A59" t="str">
        <f t="shared" si="0"/>
        <v>CS_Fix Uti</v>
      </c>
      <c r="B59" t="s">
        <v>121</v>
      </c>
      <c r="C59">
        <v>15356.4</v>
      </c>
    </row>
    <row r="60" spans="1:3">
      <c r="A60" t="str">
        <f t="shared" si="0"/>
        <v>6666021600</v>
      </c>
      <c r="B60" t="s">
        <v>123</v>
      </c>
      <c r="C60">
        <v>23979.33</v>
      </c>
    </row>
    <row r="61" spans="1:3">
      <c r="A61" t="str">
        <f t="shared" si="0"/>
        <v>6666021603</v>
      </c>
      <c r="B61" t="s">
        <v>125</v>
      </c>
      <c r="C61">
        <v>1009.94</v>
      </c>
    </row>
    <row r="62" spans="1:3">
      <c r="A62" t="str">
        <f t="shared" si="0"/>
        <v>6666021604</v>
      </c>
      <c r="B62" t="s">
        <v>126</v>
      </c>
      <c r="C62">
        <v>879.44</v>
      </c>
    </row>
    <row r="63" spans="1:3">
      <c r="A63" t="str">
        <f t="shared" si="0"/>
        <v>CS_Variabl</v>
      </c>
      <c r="B63" t="s">
        <v>124</v>
      </c>
      <c r="C63">
        <v>25868.71</v>
      </c>
    </row>
    <row r="64" spans="1:3">
      <c r="A64" t="str">
        <f t="shared" si="0"/>
        <v>5001010206</v>
      </c>
      <c r="B64" t="s">
        <v>559</v>
      </c>
      <c r="C64">
        <v>4617.8</v>
      </c>
    </row>
    <row r="65" spans="1:3">
      <c r="A65" t="str">
        <f t="shared" si="0"/>
        <v>6666010184</v>
      </c>
      <c r="B65" t="s">
        <v>560</v>
      </c>
      <c r="C65">
        <v>-297.77</v>
      </c>
    </row>
    <row r="66" spans="1:3">
      <c r="A66" t="str">
        <f t="shared" si="0"/>
        <v>6666010186</v>
      </c>
      <c r="B66" t="s">
        <v>130</v>
      </c>
      <c r="C66">
        <v>12151.1</v>
      </c>
    </row>
    <row r="67" spans="1:3">
      <c r="A67" t="str">
        <f t="shared" ref="A67:A130" si="1">MID(B67,5,10)</f>
        <v>6666010189</v>
      </c>
      <c r="B67" t="s">
        <v>131</v>
      </c>
    </row>
    <row r="68" spans="1:3">
      <c r="A68" t="str">
        <f t="shared" si="1"/>
        <v>6666010012</v>
      </c>
      <c r="B68" t="s">
        <v>132</v>
      </c>
      <c r="C68">
        <v>41611.48</v>
      </c>
    </row>
    <row r="69" spans="1:3">
      <c r="A69" t="str">
        <f t="shared" si="1"/>
        <v>6666010226</v>
      </c>
      <c r="B69" t="s">
        <v>561</v>
      </c>
      <c r="C69">
        <v>13023.05</v>
      </c>
    </row>
    <row r="70" spans="1:3">
      <c r="A70" t="str">
        <f t="shared" si="1"/>
        <v>6666010102</v>
      </c>
      <c r="B70" t="s">
        <v>176</v>
      </c>
      <c r="C70">
        <v>253665.99</v>
      </c>
    </row>
    <row r="71" spans="1:3">
      <c r="A71" t="str">
        <f t="shared" si="1"/>
        <v>CS_Indirec</v>
      </c>
      <c r="B71" t="s">
        <v>128</v>
      </c>
      <c r="C71">
        <v>324771.65</v>
      </c>
    </row>
    <row r="72" spans="1:3">
      <c r="A72" t="str">
        <f t="shared" si="1"/>
        <v>6666010196</v>
      </c>
      <c r="B72" t="s">
        <v>136</v>
      </c>
      <c r="C72">
        <v>22471.37</v>
      </c>
    </row>
    <row r="73" spans="1:3">
      <c r="A73" t="str">
        <f t="shared" si="1"/>
        <v>6666010101</v>
      </c>
      <c r="B73" t="s">
        <v>138</v>
      </c>
      <c r="C73">
        <v>169317.16</v>
      </c>
    </row>
    <row r="74" spans="1:3">
      <c r="A74" t="str">
        <f t="shared" si="1"/>
        <v>6666010199</v>
      </c>
      <c r="B74" t="s">
        <v>139</v>
      </c>
      <c r="C74">
        <v>25551.71</v>
      </c>
    </row>
    <row r="75" spans="1:3">
      <c r="A75" t="str">
        <f t="shared" si="1"/>
        <v>6666010185</v>
      </c>
      <c r="B75" t="s">
        <v>562</v>
      </c>
      <c r="C75">
        <v>-643.99</v>
      </c>
    </row>
    <row r="76" spans="1:3">
      <c r="A76" t="str">
        <f t="shared" si="1"/>
        <v>6666010207</v>
      </c>
      <c r="B76" t="s">
        <v>141</v>
      </c>
      <c r="C76">
        <v>2051.57</v>
      </c>
    </row>
    <row r="77" spans="1:3">
      <c r="A77" t="str">
        <f t="shared" si="1"/>
        <v>6666010227</v>
      </c>
      <c r="B77" t="s">
        <v>178</v>
      </c>
      <c r="C77">
        <v>28999.6</v>
      </c>
    </row>
    <row r="78" spans="1:3">
      <c r="A78" t="str">
        <f t="shared" si="1"/>
        <v>CS_Fixed L</v>
      </c>
      <c r="B78" t="s">
        <v>137</v>
      </c>
      <c r="C78">
        <v>247747.42</v>
      </c>
    </row>
    <row r="79" spans="1:3">
      <c r="A79" t="str">
        <f t="shared" si="1"/>
        <v>6666020903</v>
      </c>
      <c r="B79" t="s">
        <v>143</v>
      </c>
      <c r="C79">
        <v>241.14</v>
      </c>
    </row>
    <row r="80" spans="1:3">
      <c r="A80" t="str">
        <f t="shared" si="1"/>
        <v>6666010302</v>
      </c>
      <c r="B80" t="s">
        <v>145</v>
      </c>
      <c r="C80">
        <v>2415.08</v>
      </c>
    </row>
    <row r="81" spans="1:3">
      <c r="A81" t="str">
        <f t="shared" si="1"/>
        <v>6666010314</v>
      </c>
      <c r="B81" t="s">
        <v>146</v>
      </c>
      <c r="C81">
        <v>44694.7</v>
      </c>
    </row>
    <row r="82" spans="1:3">
      <c r="A82" t="str">
        <f t="shared" si="1"/>
        <v>6666020401</v>
      </c>
      <c r="B82" t="s">
        <v>148</v>
      </c>
      <c r="C82">
        <v>68252.15</v>
      </c>
    </row>
    <row r="83" spans="1:3">
      <c r="A83" t="str">
        <f t="shared" si="1"/>
        <v>6666020502</v>
      </c>
      <c r="B83" t="s">
        <v>150</v>
      </c>
      <c r="C83">
        <v>66482.85</v>
      </c>
    </row>
    <row r="84" spans="1:3">
      <c r="A84" t="str">
        <f t="shared" si="1"/>
        <v>6666020503</v>
      </c>
      <c r="B84" t="s">
        <v>151</v>
      </c>
      <c r="C84">
        <v>78.48</v>
      </c>
    </row>
    <row r="85" spans="1:3">
      <c r="A85" t="str">
        <f t="shared" si="1"/>
        <v>6666021500</v>
      </c>
      <c r="B85" t="s">
        <v>152</v>
      </c>
      <c r="C85">
        <v>686.32</v>
      </c>
    </row>
    <row r="86" spans="1:3">
      <c r="A86" t="str">
        <f t="shared" si="1"/>
        <v>6666021502</v>
      </c>
      <c r="B86" t="s">
        <v>153</v>
      </c>
    </row>
    <row r="87" spans="1:3">
      <c r="A87" t="str">
        <f t="shared" si="1"/>
        <v>6666021503</v>
      </c>
      <c r="B87" t="s">
        <v>563</v>
      </c>
      <c r="C87">
        <v>144.45</v>
      </c>
    </row>
    <row r="88" spans="1:3">
      <c r="A88" t="str">
        <f t="shared" si="1"/>
        <v>6666021505</v>
      </c>
      <c r="B88" t="s">
        <v>155</v>
      </c>
    </row>
    <row r="89" spans="1:3">
      <c r="A89" t="str">
        <f t="shared" si="1"/>
        <v>6666021506</v>
      </c>
      <c r="B89" t="s">
        <v>564</v>
      </c>
      <c r="C89">
        <v>19914.62</v>
      </c>
    </row>
    <row r="90" spans="1:3">
      <c r="A90" t="str">
        <f t="shared" si="1"/>
        <v>6666091600</v>
      </c>
      <c r="B90" t="s">
        <v>158</v>
      </c>
    </row>
    <row r="91" spans="1:3">
      <c r="A91" t="str">
        <f t="shared" si="1"/>
        <v>CS_Semifix</v>
      </c>
      <c r="B91" t="s">
        <v>144</v>
      </c>
      <c r="C91">
        <v>202909.79</v>
      </c>
    </row>
    <row r="92" spans="1:3">
      <c r="A92" t="str">
        <f t="shared" si="1"/>
        <v>600006    </v>
      </c>
      <c r="B92" t="s">
        <v>565</v>
      </c>
      <c r="C92">
        <v>174996.36</v>
      </c>
    </row>
    <row r="93" spans="1:3">
      <c r="A93" t="str">
        <f t="shared" si="1"/>
        <v>CS_OVH_ADM</v>
      </c>
      <c r="B93" t="s">
        <v>566</v>
      </c>
      <c r="C93">
        <v>174996.36</v>
      </c>
    </row>
    <row r="94" spans="1:3">
      <c r="A94" t="str">
        <f t="shared" si="1"/>
        <v>Debit</v>
      </c>
      <c r="B94" t="s">
        <v>567</v>
      </c>
      <c r="C94">
        <v>2195213.75</v>
      </c>
    </row>
    <row r="96" spans="1:3">
      <c r="A96" t="str">
        <f t="shared" si="1"/>
        <v>6666110101</v>
      </c>
      <c r="B96" t="s">
        <v>33</v>
      </c>
      <c r="C96">
        <v>-28134.97</v>
      </c>
    </row>
    <row r="97" spans="1:3">
      <c r="A97" t="str">
        <f t="shared" si="1"/>
        <v>6666110107</v>
      </c>
      <c r="B97" t="s">
        <v>36</v>
      </c>
      <c r="C97">
        <v>-48623.39</v>
      </c>
    </row>
    <row r="98" spans="1:3">
      <c r="A98" t="str">
        <f t="shared" si="1"/>
        <v>6666110110</v>
      </c>
      <c r="B98" t="s">
        <v>37</v>
      </c>
      <c r="C98">
        <v>-40963.67</v>
      </c>
    </row>
    <row r="99" spans="1:3">
      <c r="A99" t="str">
        <f t="shared" si="1"/>
        <v>6666110112</v>
      </c>
      <c r="B99" t="s">
        <v>38</v>
      </c>
      <c r="C99">
        <v>-5906.58</v>
      </c>
    </row>
    <row r="100" spans="1:3">
      <c r="A100" t="str">
        <f t="shared" si="1"/>
        <v>6666110204</v>
      </c>
      <c r="B100" t="s">
        <v>39</v>
      </c>
      <c r="C100">
        <v>-252.52</v>
      </c>
    </row>
    <row r="101" spans="1:3">
      <c r="A101" t="str">
        <f t="shared" si="1"/>
        <v>6666110207</v>
      </c>
      <c r="B101" t="s">
        <v>40</v>
      </c>
      <c r="C101">
        <v>-8399.94</v>
      </c>
    </row>
    <row r="102" spans="1:3">
      <c r="A102" t="str">
        <f t="shared" si="1"/>
        <v>6666110506</v>
      </c>
      <c r="B102" t="s">
        <v>41</v>
      </c>
      <c r="C102">
        <v>-914.07</v>
      </c>
    </row>
    <row r="103" spans="1:3">
      <c r="A103" t="str">
        <f t="shared" si="1"/>
        <v>CS_Depreci</v>
      </c>
      <c r="B103" t="s">
        <v>34</v>
      </c>
      <c r="C103">
        <v>-133195.14</v>
      </c>
    </row>
    <row r="104" spans="1:3">
      <c r="A104" t="str">
        <f t="shared" si="1"/>
        <v>8701530201</v>
      </c>
      <c r="B104" t="s">
        <v>555</v>
      </c>
    </row>
    <row r="105" spans="1:3">
      <c r="A105" t="str">
        <f t="shared" si="1"/>
        <v>6666050309</v>
      </c>
      <c r="B105" t="s">
        <v>56</v>
      </c>
      <c r="C105">
        <v>-11074.1</v>
      </c>
    </row>
    <row r="106" spans="1:3">
      <c r="A106" t="str">
        <f t="shared" si="1"/>
        <v>6666050308</v>
      </c>
      <c r="B106" t="s">
        <v>57</v>
      </c>
      <c r="C106">
        <v>-12148.3</v>
      </c>
    </row>
    <row r="107" spans="1:3">
      <c r="A107" t="str">
        <f t="shared" si="1"/>
        <v>6666050306</v>
      </c>
      <c r="B107" t="s">
        <v>58</v>
      </c>
    </row>
    <row r="108" spans="1:3">
      <c r="A108" t="str">
        <f t="shared" si="1"/>
        <v>CS_SCRAP_V</v>
      </c>
      <c r="B108" t="s">
        <v>55</v>
      </c>
      <c r="C108">
        <v>-23222.4</v>
      </c>
    </row>
    <row r="109" spans="1:3">
      <c r="A109" t="str">
        <f t="shared" si="1"/>
        <v>6666010322</v>
      </c>
      <c r="B109" t="s">
        <v>74</v>
      </c>
      <c r="C109">
        <v>-2151.5</v>
      </c>
    </row>
    <row r="110" spans="1:3">
      <c r="A110" t="str">
        <f t="shared" si="1"/>
        <v>6666020495</v>
      </c>
      <c r="B110" t="s">
        <v>84</v>
      </c>
      <c r="C110">
        <v>-21.75</v>
      </c>
    </row>
    <row r="111" spans="1:3">
      <c r="A111" t="str">
        <f t="shared" si="1"/>
        <v>5102010151</v>
      </c>
      <c r="B111" t="s">
        <v>556</v>
      </c>
    </row>
    <row r="112" spans="1:3">
      <c r="A112" t="str">
        <f t="shared" si="1"/>
        <v>5405030000</v>
      </c>
      <c r="B112" t="s">
        <v>69</v>
      </c>
      <c r="C112">
        <v>-9.4</v>
      </c>
    </row>
    <row r="113" spans="1:3">
      <c r="A113" t="str">
        <f t="shared" si="1"/>
        <v>6666020101</v>
      </c>
      <c r="B113" t="s">
        <v>75</v>
      </c>
    </row>
    <row r="114" spans="1:3">
      <c r="A114" t="str">
        <f t="shared" si="1"/>
        <v>6666020201</v>
      </c>
      <c r="B114" t="s">
        <v>76</v>
      </c>
    </row>
    <row r="115" spans="1:3">
      <c r="A115" t="str">
        <f t="shared" si="1"/>
        <v>6666020205</v>
      </c>
      <c r="B115" t="s">
        <v>79</v>
      </c>
    </row>
    <row r="116" spans="1:3">
      <c r="A116" t="str">
        <f t="shared" si="1"/>
        <v>6666020302</v>
      </c>
      <c r="B116" t="s">
        <v>81</v>
      </c>
    </row>
    <row r="117" spans="1:3">
      <c r="A117" t="str">
        <f t="shared" si="1"/>
        <v>6666020504</v>
      </c>
      <c r="B117" t="s">
        <v>85</v>
      </c>
    </row>
    <row r="118" spans="1:3">
      <c r="A118" t="str">
        <f t="shared" si="1"/>
        <v>6666020508</v>
      </c>
      <c r="B118" t="s">
        <v>86</v>
      </c>
    </row>
    <row r="119" spans="1:3">
      <c r="A119" t="str">
        <f t="shared" si="1"/>
        <v>6666020602</v>
      </c>
      <c r="B119" t="s">
        <v>87</v>
      </c>
    </row>
    <row r="120" spans="1:3">
      <c r="A120" t="str">
        <f t="shared" si="1"/>
        <v>6666020801</v>
      </c>
      <c r="B120" t="s">
        <v>89</v>
      </c>
    </row>
    <row r="121" spans="1:3">
      <c r="A121" t="str">
        <f t="shared" si="1"/>
        <v>6666020802</v>
      </c>
      <c r="B121" t="s">
        <v>90</v>
      </c>
      <c r="C121">
        <v>-15532.5</v>
      </c>
    </row>
    <row r="122" spans="1:3">
      <c r="A122" t="str">
        <f t="shared" si="1"/>
        <v>6666020803</v>
      </c>
      <c r="B122" t="s">
        <v>91</v>
      </c>
      <c r="C122">
        <v>-2602.25</v>
      </c>
    </row>
    <row r="123" spans="1:3">
      <c r="A123" t="str">
        <f t="shared" si="1"/>
        <v>6666021100</v>
      </c>
      <c r="B123" t="s">
        <v>92</v>
      </c>
      <c r="C123">
        <v>-10575.77</v>
      </c>
    </row>
    <row r="124" spans="1:3">
      <c r="A124" t="str">
        <f t="shared" si="1"/>
        <v>6666021902</v>
      </c>
      <c r="B124" t="s">
        <v>95</v>
      </c>
      <c r="C124">
        <v>-7132.63</v>
      </c>
    </row>
    <row r="125" spans="1:3">
      <c r="A125" t="str">
        <f t="shared" si="1"/>
        <v>6666022100</v>
      </c>
      <c r="B125" t="s">
        <v>96</v>
      </c>
      <c r="C125">
        <v>-1479.11</v>
      </c>
    </row>
    <row r="126" spans="1:3">
      <c r="A126" t="str">
        <f t="shared" si="1"/>
        <v>6666029997</v>
      </c>
      <c r="B126" t="s">
        <v>101</v>
      </c>
      <c r="C126">
        <v>-662.38</v>
      </c>
    </row>
    <row r="127" spans="1:3">
      <c r="A127" t="str">
        <f t="shared" si="1"/>
        <v>6666030300</v>
      </c>
      <c r="B127" t="s">
        <v>157</v>
      </c>
      <c r="C127">
        <v>-1439.13</v>
      </c>
    </row>
    <row r="128" spans="1:3">
      <c r="A128" t="str">
        <f t="shared" si="1"/>
        <v>6666031200</v>
      </c>
      <c r="B128" t="s">
        <v>103</v>
      </c>
    </row>
    <row r="129" spans="1:3">
      <c r="A129" t="str">
        <f t="shared" si="1"/>
        <v>6666050202</v>
      </c>
      <c r="B129" t="s">
        <v>105</v>
      </c>
    </row>
    <row r="130" spans="1:3">
      <c r="A130" t="str">
        <f t="shared" si="1"/>
        <v>6666070400</v>
      </c>
      <c r="B130" t="s">
        <v>108</v>
      </c>
      <c r="C130">
        <v>-4884.62</v>
      </c>
    </row>
    <row r="131" spans="1:3">
      <c r="A131" t="str">
        <f t="shared" ref="A131:A173" si="2">MID(B131,5,10)</f>
        <v>CS_Fix Cos</v>
      </c>
      <c r="B131" t="s">
        <v>60</v>
      </c>
      <c r="C131">
        <v>-46491.04</v>
      </c>
    </row>
    <row r="132" spans="1:3">
      <c r="A132" t="str">
        <f t="shared" si="2"/>
        <v>6666110203</v>
      </c>
      <c r="B132" t="s">
        <v>111</v>
      </c>
      <c r="C132">
        <v>-7276.95</v>
      </c>
    </row>
    <row r="133" spans="1:3">
      <c r="A133" t="str">
        <f t="shared" si="2"/>
        <v>5102040000</v>
      </c>
      <c r="B133" t="s">
        <v>113</v>
      </c>
    </row>
    <row r="134" spans="1:3">
      <c r="A134" t="str">
        <f t="shared" si="2"/>
        <v>6666050307</v>
      </c>
      <c r="B134" t="s">
        <v>114</v>
      </c>
      <c r="C134">
        <v>-655.86</v>
      </c>
    </row>
    <row r="135" spans="1:3">
      <c r="A135" t="str">
        <f t="shared" si="2"/>
        <v>CS_Variabl</v>
      </c>
      <c r="B135" t="s">
        <v>112</v>
      </c>
      <c r="C135">
        <v>-7932.81</v>
      </c>
    </row>
    <row r="136" spans="1:3">
      <c r="A136" t="str">
        <f t="shared" si="2"/>
        <v>6666100203</v>
      </c>
      <c r="B136" t="s">
        <v>558</v>
      </c>
      <c r="C136">
        <v>-2515.73</v>
      </c>
    </row>
    <row r="137" spans="1:3">
      <c r="A137" t="str">
        <f t="shared" si="2"/>
        <v>CS_Obsoles</v>
      </c>
      <c r="B137" t="s">
        <v>117</v>
      </c>
      <c r="C137">
        <v>-2515.73</v>
      </c>
    </row>
    <row r="138" spans="1:3">
      <c r="A138" t="str">
        <f t="shared" si="2"/>
        <v>5301070000</v>
      </c>
      <c r="B138" t="s">
        <v>118</v>
      </c>
      <c r="C138">
        <v>58236.4</v>
      </c>
    </row>
    <row r="139" spans="1:3">
      <c r="A139" t="str">
        <f t="shared" si="2"/>
        <v>CS_Reselli</v>
      </c>
      <c r="B139" t="s">
        <v>119</v>
      </c>
      <c r="C139">
        <v>58236.4</v>
      </c>
    </row>
    <row r="140" spans="1:3">
      <c r="A140" t="str">
        <f t="shared" si="2"/>
        <v>6666021602</v>
      </c>
      <c r="B140" t="s">
        <v>120</v>
      </c>
      <c r="C140">
        <v>-7678.2</v>
      </c>
    </row>
    <row r="141" spans="1:3">
      <c r="A141" t="str">
        <f t="shared" si="2"/>
        <v>CS_Fix Uti</v>
      </c>
      <c r="B141" t="s">
        <v>121</v>
      </c>
      <c r="C141">
        <v>-7678.2</v>
      </c>
    </row>
    <row r="142" spans="1:3">
      <c r="A142" t="str">
        <f t="shared" si="2"/>
        <v>6666021603</v>
      </c>
      <c r="B142" t="s">
        <v>125</v>
      </c>
      <c r="C142">
        <v>-504.97</v>
      </c>
    </row>
    <row r="143" spans="1:3">
      <c r="A143" t="str">
        <f t="shared" si="2"/>
        <v>6666021604</v>
      </c>
      <c r="B143" t="s">
        <v>126</v>
      </c>
      <c r="C143">
        <v>623.43</v>
      </c>
    </row>
    <row r="144" spans="1:3">
      <c r="A144" t="str">
        <f t="shared" si="2"/>
        <v>CS_Variabl</v>
      </c>
      <c r="B144" t="s">
        <v>124</v>
      </c>
      <c r="C144">
        <v>118.46</v>
      </c>
    </row>
    <row r="145" spans="1:3">
      <c r="A145" t="str">
        <f t="shared" si="2"/>
        <v>5001010206</v>
      </c>
      <c r="B145" t="s">
        <v>559</v>
      </c>
      <c r="C145">
        <v>-1650.17</v>
      </c>
    </row>
    <row r="146" spans="1:3">
      <c r="A146" t="str">
        <f t="shared" si="2"/>
        <v>6666010184</v>
      </c>
      <c r="B146" t="s">
        <v>560</v>
      </c>
      <c r="C146">
        <v>109.91</v>
      </c>
    </row>
    <row r="147" spans="1:3">
      <c r="A147" t="str">
        <f t="shared" si="2"/>
        <v>6666010186</v>
      </c>
      <c r="B147" t="s">
        <v>130</v>
      </c>
      <c r="C147">
        <v>-3537.08</v>
      </c>
    </row>
    <row r="148" spans="1:3">
      <c r="A148" t="str">
        <f t="shared" si="2"/>
        <v>6666010189</v>
      </c>
      <c r="B148" t="s">
        <v>131</v>
      </c>
    </row>
    <row r="149" spans="1:3">
      <c r="A149" t="str">
        <f t="shared" si="2"/>
        <v>6666010012</v>
      </c>
      <c r="B149" t="s">
        <v>132</v>
      </c>
      <c r="C149">
        <v>-15112.19</v>
      </c>
    </row>
    <row r="150" spans="1:3">
      <c r="A150" t="str">
        <f t="shared" si="2"/>
        <v>6666010226</v>
      </c>
      <c r="B150" t="s">
        <v>561</v>
      </c>
      <c r="C150">
        <v>-3544.83</v>
      </c>
    </row>
    <row r="151" spans="1:3">
      <c r="A151" t="str">
        <f t="shared" si="2"/>
        <v>6666010102</v>
      </c>
      <c r="B151" t="s">
        <v>176</v>
      </c>
      <c r="C151">
        <v>-92996.82</v>
      </c>
    </row>
    <row r="152" spans="1:3">
      <c r="A152" t="str">
        <f t="shared" si="2"/>
        <v>CS_Indirec</v>
      </c>
      <c r="B152" t="s">
        <v>128</v>
      </c>
      <c r="C152">
        <v>-116731.18</v>
      </c>
    </row>
    <row r="153" spans="1:3">
      <c r="A153" t="str">
        <f t="shared" si="2"/>
        <v>6666010196</v>
      </c>
      <c r="B153" t="s">
        <v>136</v>
      </c>
      <c r="C153">
        <v>-9796.22</v>
      </c>
    </row>
    <row r="154" spans="1:3">
      <c r="A154" t="str">
        <f t="shared" si="2"/>
        <v>6666010101</v>
      </c>
      <c r="B154" t="s">
        <v>138</v>
      </c>
      <c r="C154">
        <v>-73947.08</v>
      </c>
    </row>
    <row r="155" spans="1:3">
      <c r="A155" t="str">
        <f t="shared" si="2"/>
        <v>6666010199</v>
      </c>
      <c r="B155" t="s">
        <v>139</v>
      </c>
      <c r="C155">
        <v>-14702.25</v>
      </c>
    </row>
    <row r="156" spans="1:3">
      <c r="A156" t="str">
        <f t="shared" si="2"/>
        <v>6666010185</v>
      </c>
      <c r="B156" t="s">
        <v>562</v>
      </c>
      <c r="C156">
        <v>283.32</v>
      </c>
    </row>
    <row r="157" spans="1:3">
      <c r="A157" t="str">
        <f t="shared" si="2"/>
        <v>6666010207</v>
      </c>
      <c r="B157" t="s">
        <v>141</v>
      </c>
      <c r="C157">
        <v>-917.23</v>
      </c>
    </row>
    <row r="158" spans="1:3">
      <c r="A158" t="str">
        <f t="shared" si="2"/>
        <v>6666010227</v>
      </c>
      <c r="B158" t="s">
        <v>178</v>
      </c>
      <c r="C158">
        <v>-14351</v>
      </c>
    </row>
    <row r="159" spans="1:3">
      <c r="A159" t="str">
        <f t="shared" si="2"/>
        <v>CS_Fixed L</v>
      </c>
      <c r="B159" t="s">
        <v>137</v>
      </c>
      <c r="C159">
        <v>-113430.46</v>
      </c>
    </row>
    <row r="160" spans="1:3">
      <c r="A160" t="str">
        <f t="shared" si="2"/>
        <v>6666020903</v>
      </c>
      <c r="B160" t="s">
        <v>143</v>
      </c>
      <c r="C160">
        <v>-11.15</v>
      </c>
    </row>
    <row r="161" spans="1:4">
      <c r="A161" t="str">
        <f t="shared" si="2"/>
        <v>6666010302</v>
      </c>
      <c r="B161" t="s">
        <v>145</v>
      </c>
      <c r="C161">
        <v>-1207.54</v>
      </c>
    </row>
    <row r="162" spans="1:4">
      <c r="A162" t="str">
        <f t="shared" si="2"/>
        <v>6666010314</v>
      </c>
      <c r="B162" t="s">
        <v>146</v>
      </c>
      <c r="C162">
        <v>-21994.23</v>
      </c>
    </row>
    <row r="163" spans="1:4">
      <c r="A163" t="str">
        <f t="shared" si="2"/>
        <v>6666020401</v>
      </c>
      <c r="B163" t="s">
        <v>148</v>
      </c>
      <c r="C163">
        <v>-33505.68</v>
      </c>
    </row>
    <row r="164" spans="1:4">
      <c r="A164" t="str">
        <f t="shared" si="2"/>
        <v>6666020502</v>
      </c>
      <c r="B164" t="s">
        <v>150</v>
      </c>
      <c r="C164">
        <v>-32522.34</v>
      </c>
    </row>
    <row r="165" spans="1:4">
      <c r="A165" t="str">
        <f t="shared" si="2"/>
        <v>6666020503</v>
      </c>
      <c r="B165" t="s">
        <v>151</v>
      </c>
      <c r="C165">
        <v>-39.24</v>
      </c>
    </row>
    <row r="166" spans="1:4">
      <c r="A166" t="str">
        <f t="shared" si="2"/>
        <v>6666021500</v>
      </c>
      <c r="B166" t="s">
        <v>152</v>
      </c>
      <c r="C166">
        <v>-343.16</v>
      </c>
    </row>
    <row r="167" spans="1:4">
      <c r="A167" t="str">
        <f t="shared" si="2"/>
        <v>6666021502</v>
      </c>
      <c r="B167" t="s">
        <v>153</v>
      </c>
    </row>
    <row r="168" spans="1:4">
      <c r="A168" t="str">
        <f t="shared" si="2"/>
        <v>6666021503</v>
      </c>
      <c r="B168" t="s">
        <v>563</v>
      </c>
    </row>
    <row r="169" spans="1:4">
      <c r="A169" t="str">
        <f t="shared" si="2"/>
        <v>6666021505</v>
      </c>
      <c r="B169" t="s">
        <v>155</v>
      </c>
    </row>
    <row r="170" spans="1:4">
      <c r="A170" t="str">
        <f t="shared" si="2"/>
        <v>6666021506</v>
      </c>
      <c r="B170" t="s">
        <v>564</v>
      </c>
      <c r="C170">
        <v>-9957.31</v>
      </c>
    </row>
    <row r="171" spans="1:4">
      <c r="A171" t="str">
        <f t="shared" si="2"/>
        <v>6666091600</v>
      </c>
      <c r="B171" t="s">
        <v>158</v>
      </c>
    </row>
    <row r="172" spans="1:4">
      <c r="A172" t="str">
        <f t="shared" si="2"/>
        <v>CS_Semifix</v>
      </c>
      <c r="B172" t="s">
        <v>144</v>
      </c>
      <c r="C172">
        <v>-99580.65</v>
      </c>
    </row>
    <row r="173" spans="1:4">
      <c r="A173" t="str">
        <f t="shared" si="2"/>
        <v>Credit</v>
      </c>
      <c r="B173" t="s">
        <v>568</v>
      </c>
      <c r="C173">
        <v>-492422.75</v>
      </c>
    </row>
    <row r="175" spans="1:4">
      <c r="B175" t="s">
        <v>569</v>
      </c>
      <c r="C175">
        <v>1702791</v>
      </c>
      <c r="D175" s="1">
        <f>C175-C93</f>
        <v>1527794.64</v>
      </c>
    </row>
    <row r="178" spans="1:3">
      <c r="B178" s="2" t="s">
        <v>550</v>
      </c>
      <c r="C178" s="3" t="s">
        <v>551</v>
      </c>
    </row>
    <row r="179" spans="1:3">
      <c r="B179" s="3"/>
      <c r="C179" s="3"/>
    </row>
    <row r="180" spans="1:3">
      <c r="A180" t="str">
        <f t="shared" ref="A180:A224" si="3">MID(B180,5,10)</f>
        <v>6666110110</v>
      </c>
      <c r="B180" s="3" t="s">
        <v>37</v>
      </c>
      <c r="C180" s="3">
        <v>59.96</v>
      </c>
    </row>
    <row r="181" spans="1:3">
      <c r="A181" t="str">
        <f t="shared" si="3"/>
        <v>6666110112</v>
      </c>
      <c r="B181" s="3" t="s">
        <v>38</v>
      </c>
      <c r="C181" s="3">
        <v>65.43</v>
      </c>
    </row>
    <row r="182" spans="1:3">
      <c r="A182" t="str">
        <f t="shared" si="3"/>
        <v>6666110207</v>
      </c>
      <c r="B182" s="3" t="s">
        <v>40</v>
      </c>
      <c r="C182" s="3">
        <v>57.34</v>
      </c>
    </row>
    <row r="183" spans="1:3">
      <c r="A183" t="str">
        <f t="shared" si="3"/>
        <v>6666110506</v>
      </c>
      <c r="B183" s="3" t="s">
        <v>41</v>
      </c>
      <c r="C183" s="3">
        <v>63.97</v>
      </c>
    </row>
    <row r="184" spans="1:3">
      <c r="A184" t="str">
        <f t="shared" si="3"/>
        <v>CS_Depreci</v>
      </c>
      <c r="B184" s="3" t="s">
        <v>34</v>
      </c>
      <c r="C184" s="3">
        <v>246.7</v>
      </c>
    </row>
    <row r="185" spans="1:3">
      <c r="A185" t="str">
        <f t="shared" si="3"/>
        <v>5102040406</v>
      </c>
      <c r="B185" s="3" t="s">
        <v>161</v>
      </c>
      <c r="C185" s="3">
        <v>3.78</v>
      </c>
    </row>
    <row r="186" spans="1:3">
      <c r="A186" t="str">
        <f t="shared" si="3"/>
        <v>CS_Direct </v>
      </c>
      <c r="B186" s="3" t="s">
        <v>44</v>
      </c>
      <c r="C186" s="3">
        <v>3.78</v>
      </c>
    </row>
    <row r="187" spans="1:3">
      <c r="A187" t="str">
        <f t="shared" si="3"/>
        <v>6666029996</v>
      </c>
      <c r="B187" s="3" t="s">
        <v>100</v>
      </c>
      <c r="C187" s="3">
        <v>8.46</v>
      </c>
    </row>
    <row r="188" spans="1:3">
      <c r="A188" t="str">
        <f t="shared" si="3"/>
        <v>6666029700</v>
      </c>
      <c r="B188" s="3" t="s">
        <v>98</v>
      </c>
      <c r="C188" s="4">
        <v>39015.18</v>
      </c>
    </row>
    <row r="189" spans="1:3">
      <c r="A189" t="str">
        <f t="shared" si="3"/>
        <v>6666010322</v>
      </c>
      <c r="B189" s="3" t="s">
        <v>74</v>
      </c>
      <c r="C189" s="3">
        <v>20.65</v>
      </c>
    </row>
    <row r="190" spans="1:3">
      <c r="A190" t="str">
        <f t="shared" si="3"/>
        <v>6666020495</v>
      </c>
      <c r="B190" s="3" t="s">
        <v>84</v>
      </c>
      <c r="C190" s="3">
        <v>1.34</v>
      </c>
    </row>
    <row r="191" spans="1:3">
      <c r="A191" t="str">
        <f t="shared" si="3"/>
        <v>5301060000</v>
      </c>
      <c r="B191" s="3" t="s">
        <v>67</v>
      </c>
      <c r="C191" s="3">
        <v>-33.49</v>
      </c>
    </row>
    <row r="192" spans="1:3">
      <c r="A192" t="str">
        <f t="shared" si="3"/>
        <v>5601050100</v>
      </c>
      <c r="B192" s="3" t="s">
        <v>71</v>
      </c>
      <c r="C192" s="3">
        <v>42</v>
      </c>
    </row>
    <row r="193" spans="1:3">
      <c r="A193" t="str">
        <f t="shared" si="3"/>
        <v>5601080000</v>
      </c>
      <c r="B193" s="3" t="s">
        <v>163</v>
      </c>
      <c r="C193" s="4">
        <v>2885.41</v>
      </c>
    </row>
    <row r="194" spans="1:3">
      <c r="A194" t="str">
        <f t="shared" si="3"/>
        <v>6666020201</v>
      </c>
      <c r="B194" s="3" t="s">
        <v>76</v>
      </c>
      <c r="C194" s="3">
        <v>34.52</v>
      </c>
    </row>
    <row r="195" spans="1:3">
      <c r="A195" t="str">
        <f t="shared" si="3"/>
        <v>6666020204</v>
      </c>
      <c r="B195" s="3" t="s">
        <v>78</v>
      </c>
      <c r="C195" s="3"/>
    </row>
    <row r="196" spans="1:3">
      <c r="A196" t="str">
        <f t="shared" si="3"/>
        <v>6666020301</v>
      </c>
      <c r="B196" s="3" t="s">
        <v>164</v>
      </c>
      <c r="C196" s="3">
        <v>4.01</v>
      </c>
    </row>
    <row r="197" spans="1:3">
      <c r="A197" t="str">
        <f t="shared" si="3"/>
        <v>6666020508</v>
      </c>
      <c r="B197" s="3" t="s">
        <v>86</v>
      </c>
      <c r="C197" s="3">
        <v>18.12</v>
      </c>
    </row>
    <row r="198" spans="1:3">
      <c r="A198" t="str">
        <f t="shared" si="3"/>
        <v>6666020701</v>
      </c>
      <c r="B198" s="3" t="s">
        <v>88</v>
      </c>
      <c r="C198" s="4">
        <v>13990.18</v>
      </c>
    </row>
    <row r="199" spans="1:3">
      <c r="A199" t="str">
        <f t="shared" si="3"/>
        <v>6666020803</v>
      </c>
      <c r="B199" s="3" t="s">
        <v>91</v>
      </c>
      <c r="C199" s="3">
        <v>-8.01</v>
      </c>
    </row>
    <row r="200" spans="1:3">
      <c r="A200" t="str">
        <f t="shared" si="3"/>
        <v>6666021102</v>
      </c>
      <c r="B200" s="3" t="s">
        <v>165</v>
      </c>
      <c r="C200" s="3">
        <v>402.28</v>
      </c>
    </row>
    <row r="201" spans="1:3">
      <c r="A201" t="str">
        <f t="shared" si="3"/>
        <v>6666021300</v>
      </c>
      <c r="B201" s="3" t="s">
        <v>167</v>
      </c>
      <c r="C201" s="3">
        <v>279.81</v>
      </c>
    </row>
    <row r="202" spans="1:3">
      <c r="A202" t="str">
        <f t="shared" si="3"/>
        <v>6666022300</v>
      </c>
      <c r="B202" s="3" t="s">
        <v>97</v>
      </c>
      <c r="C202" s="4">
        <v>5034.29</v>
      </c>
    </row>
    <row r="203" spans="1:3">
      <c r="A203" t="str">
        <f t="shared" si="3"/>
        <v>6666029900</v>
      </c>
      <c r="B203" s="3" t="s">
        <v>99</v>
      </c>
      <c r="C203" s="3">
        <v>81.02</v>
      </c>
    </row>
    <row r="204" spans="1:3">
      <c r="A204" t="str">
        <f t="shared" si="3"/>
        <v>6666079999</v>
      </c>
      <c r="B204" s="3" t="s">
        <v>169</v>
      </c>
      <c r="C204" s="4">
        <v>100051</v>
      </c>
    </row>
    <row r="205" spans="1:3">
      <c r="A205" t="str">
        <f t="shared" si="3"/>
        <v>6666093800</v>
      </c>
      <c r="B205" s="3" t="s">
        <v>171</v>
      </c>
      <c r="C205" s="3">
        <v>62.98</v>
      </c>
    </row>
    <row r="206" spans="1:3">
      <c r="A206" t="str">
        <f t="shared" si="3"/>
        <v>CS_Fix Cos</v>
      </c>
      <c r="B206" s="3" t="s">
        <v>60</v>
      </c>
      <c r="C206" s="4">
        <v>161889.75</v>
      </c>
    </row>
    <row r="207" spans="1:3">
      <c r="A207" t="str">
        <f t="shared" si="3"/>
        <v>5102040000</v>
      </c>
      <c r="B207" s="3" t="s">
        <v>113</v>
      </c>
      <c r="C207" s="3">
        <v>-22.69</v>
      </c>
    </row>
    <row r="208" spans="1:3">
      <c r="A208" t="str">
        <f t="shared" si="3"/>
        <v>CS_Variabl</v>
      </c>
      <c r="B208" s="3" t="s">
        <v>112</v>
      </c>
      <c r="C208" s="3">
        <v>-22.69</v>
      </c>
    </row>
    <row r="209" spans="1:3">
      <c r="A209" t="str">
        <f t="shared" si="3"/>
        <v>6666021600</v>
      </c>
      <c r="B209" s="3" t="s">
        <v>123</v>
      </c>
      <c r="C209" s="3">
        <v>364.04</v>
      </c>
    </row>
    <row r="210" spans="1:3">
      <c r="A210" t="str">
        <f t="shared" si="3"/>
        <v>CS_Variabl</v>
      </c>
      <c r="B210" s="3" t="s">
        <v>124</v>
      </c>
      <c r="C210" s="3">
        <v>364.04</v>
      </c>
    </row>
    <row r="211" spans="1:3">
      <c r="A211" t="str">
        <f t="shared" si="3"/>
        <v>6666010012</v>
      </c>
      <c r="B211" s="3" t="s">
        <v>132</v>
      </c>
      <c r="C211" s="3">
        <v>19.27</v>
      </c>
    </row>
    <row r="212" spans="1:3">
      <c r="A212" t="str">
        <f t="shared" si="3"/>
        <v>6666010102</v>
      </c>
      <c r="B212" s="3" t="s">
        <v>176</v>
      </c>
      <c r="C212" s="3">
        <v>110.33</v>
      </c>
    </row>
    <row r="213" spans="1:3">
      <c r="A213" t="str">
        <f t="shared" si="3"/>
        <v>CS_Indirec</v>
      </c>
      <c r="B213" s="3" t="s">
        <v>128</v>
      </c>
      <c r="C213" s="3">
        <v>129.6</v>
      </c>
    </row>
    <row r="214" spans="1:3">
      <c r="A214" t="str">
        <f t="shared" si="3"/>
        <v>6666010196</v>
      </c>
      <c r="B214" s="3" t="s">
        <v>136</v>
      </c>
      <c r="C214" s="4">
        <v>1321.62</v>
      </c>
    </row>
    <row r="215" spans="1:3">
      <c r="A215" t="str">
        <f t="shared" si="3"/>
        <v>6666010101</v>
      </c>
      <c r="B215" s="3" t="s">
        <v>138</v>
      </c>
      <c r="C215" s="4">
        <v>8994.27</v>
      </c>
    </row>
    <row r="216" spans="1:3">
      <c r="A216" t="str">
        <f t="shared" si="3"/>
        <v>6666010199</v>
      </c>
      <c r="B216" s="3" t="s">
        <v>139</v>
      </c>
      <c r="C216" s="4">
        <v>1253.39</v>
      </c>
    </row>
    <row r="217" spans="1:3">
      <c r="A217" t="str">
        <f t="shared" si="3"/>
        <v>6666010207</v>
      </c>
      <c r="B217" s="3" t="s">
        <v>141</v>
      </c>
      <c r="C217" s="3">
        <v>167.83</v>
      </c>
    </row>
    <row r="218" spans="1:3">
      <c r="A218" t="str">
        <f t="shared" si="3"/>
        <v>6666010227</v>
      </c>
      <c r="B218" s="3" t="s">
        <v>178</v>
      </c>
      <c r="C218" s="3">
        <v>171.33</v>
      </c>
    </row>
    <row r="219" spans="1:3">
      <c r="A219" t="str">
        <f t="shared" si="3"/>
        <v>CS_Fixed L</v>
      </c>
      <c r="B219" s="3" t="s">
        <v>137</v>
      </c>
      <c r="C219" s="4">
        <v>11908.44</v>
      </c>
    </row>
    <row r="220" spans="1:3">
      <c r="A220" t="str">
        <f t="shared" si="3"/>
        <v>6666010314</v>
      </c>
      <c r="B220" s="3" t="s">
        <v>146</v>
      </c>
      <c r="C220" s="3">
        <v>98.31</v>
      </c>
    </row>
    <row r="221" spans="1:3">
      <c r="A221" t="str">
        <f t="shared" si="3"/>
        <v>6666020401</v>
      </c>
      <c r="B221" s="3" t="s">
        <v>148</v>
      </c>
      <c r="C221" s="3"/>
    </row>
    <row r="222" spans="1:3">
      <c r="A222" t="str">
        <f t="shared" si="3"/>
        <v>6666020502</v>
      </c>
      <c r="B222" s="3" t="s">
        <v>150</v>
      </c>
      <c r="C222" s="3">
        <v>278.14</v>
      </c>
    </row>
    <row r="223" spans="1:3">
      <c r="A223" t="str">
        <f t="shared" si="3"/>
        <v>CS_Semifix</v>
      </c>
      <c r="B223" s="3" t="s">
        <v>144</v>
      </c>
      <c r="C223" s="3">
        <v>376.45</v>
      </c>
    </row>
    <row r="224" spans="1:3">
      <c r="A224" t="str">
        <f t="shared" si="3"/>
        <v>Debit</v>
      </c>
      <c r="B224" s="3" t="s">
        <v>567</v>
      </c>
      <c r="C224" s="4">
        <v>174896.07</v>
      </c>
    </row>
    <row r="225" spans="2:3">
      <c r="B225" s="3"/>
      <c r="C225" s="3"/>
    </row>
    <row r="226" spans="2:3">
      <c r="B226" s="3" t="s">
        <v>565</v>
      </c>
      <c r="C226" s="4">
        <v>-174996.36</v>
      </c>
    </row>
    <row r="227" spans="2:3">
      <c r="B227" s="3" t="s">
        <v>566</v>
      </c>
      <c r="C227" s="4">
        <v>-174996.36</v>
      </c>
    </row>
    <row r="228" spans="2:3">
      <c r="B228" s="3" t="s">
        <v>568</v>
      </c>
      <c r="C228" s="4">
        <v>-174996.36</v>
      </c>
    </row>
    <row r="229" spans="2:3">
      <c r="B229" s="3"/>
      <c r="C229" s="3"/>
    </row>
    <row r="230" spans="2:3">
      <c r="B230" s="3" t="s">
        <v>569</v>
      </c>
      <c r="C230" s="3">
        <v>-100.29</v>
      </c>
    </row>
  </sheetData>
  <autoFilter xmlns:etc="http://www.wps.cn/officeDocument/2017/etCustomData" ref="A1:U23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CC</vt:lpstr>
      <vt:lpstr>4+8 DW 2026</vt:lpstr>
      <vt:lpstr>1+11 Renta DW _2026</vt:lpstr>
      <vt:lpstr>Renta DW _2025 </vt:lpstr>
      <vt:lpstr>Renta DW _2024 new format </vt:lpstr>
      <vt:lpstr>2024 by account </vt:lpstr>
      <vt:lpstr>2024_ACT@ACT FX old format </vt:lpstr>
      <vt:lpstr>2026_service fee</vt:lpstr>
      <vt:lpstr>2025_service fee</vt:lpstr>
      <vt:lpstr>Service fee recharge kırınım</vt:lpstr>
      <vt:lpstr>S_ALR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Baoe 闫保娥 (690)</dc:creator>
  <cp:lastModifiedBy>Administrator</cp:lastModifiedBy>
  <dcterms:created xsi:type="dcterms:W3CDTF">2023-05-12T11:15:00Z</dcterms:created>
  <dcterms:modified xsi:type="dcterms:W3CDTF">2026-06-12T08:16:52Z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EA96275FF677478985A9E46D65FC2A49_13</vt:lpwstr>
  </property>
  <property fmtid="{D5CDD505-2E9C-101B-9397-08002B2CF9AE}" pid="3" name="KSOProductBuildVer">
    <vt:lpwstr>2052-12.1.0.26895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CalculationRule">
    <vt:i4>0</vt:i4>
  </property>
</Properties>
</file>