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Labour" sheetId="1" r:id="rId1"/>
    <sheet name="Sheet1" sheetId="2" state="hidden" r:id="rId2"/>
    <sheet name="DW_ACE" sheetId="3" state="hidden" r:id="rId3"/>
    <sheet name="2025_Yend CPU" sheetId="4" state="hidden" r:id="rId4"/>
    <sheet name="YTD Report  (HQD)" sheetId="5" state="hidden" r:id="rId5"/>
    <sheet name="CKACE Seasonality" sheetId="6" state="hidden" r:id="rId6"/>
    <sheet name="Sheet6" sheetId="7" state="hidden" r:id="rId7"/>
  </sheets>
  <externalReferences>
    <externalReference r:id="rId11"/>
  </externalReferences>
  <definedNames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GG1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GG1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0">OFFSET(#REF!,4,0,COUNTA(#REF!)-1,1)</definedName>
    <definedName name="___LI3">OFFSET(#REF!,4,0,COUNTA(#REF!)-1,1)</definedName>
    <definedName name="___LI6">OFFSET(#REF!,4,0,COUNTA(#REF!)-1,1)</definedName>
    <definedName name="___LI7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GG1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标准">#REF!</definedName>
    <definedName name="_02差异">#REF!</definedName>
    <definedName name="_02制造费用">#REF!</definedName>
    <definedName name="_03标准">#REF!</definedName>
    <definedName name="_03差异">#REF!</definedName>
    <definedName name="_03费用">#REF!</definedName>
    <definedName name="_04">#REF!</definedName>
    <definedName name="_04标准">#REF!</definedName>
    <definedName name="_04差异">#REF!</definedName>
    <definedName name="_050202">#REF!</definedName>
    <definedName name="_05B箱体材料">#REF!</definedName>
    <definedName name="_05B箱体差异">#REF!</definedName>
    <definedName name="_05G机材料">#REF!</definedName>
    <definedName name="_05G机差异">#REF!</definedName>
    <definedName name="_05G箱体材料">#REF!</definedName>
    <definedName name="_05G箱体差异">#REF!</definedName>
    <definedName name="_05Q机材料">#REF!</definedName>
    <definedName name="_05Q机差异">#REF!</definedName>
    <definedName name="_05标准">#REF!</definedName>
    <definedName name="_05差异">#REF!</definedName>
    <definedName name="_05吹塑材料">#REF!</definedName>
    <definedName name="_05吹塑差异">#REF!</definedName>
    <definedName name="_05费用">#REF!</definedName>
    <definedName name="_05月">#REF!</definedName>
    <definedName name="_05注塑材料">#REF!</definedName>
    <definedName name="_05注塑差异">#REF!</definedName>
    <definedName name="_06标准">#REF!</definedName>
    <definedName name="_06差异">#REF!</definedName>
    <definedName name="_06费用">#REF!</definedName>
    <definedName name="_06月">#REF!</definedName>
    <definedName name="_06月材料">#REF!</definedName>
    <definedName name="_06月差异">#REF!</definedName>
    <definedName name="_07材料">#REF!</definedName>
    <definedName name="_07差异">#REF!</definedName>
    <definedName name="_07费用">#REF!</definedName>
    <definedName name="_07制造费用">#REF!</definedName>
    <definedName name="_08标准">#REF!</definedName>
    <definedName name="_08差异">#REF!</definedName>
    <definedName name="_08制造费用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标准">#REF!</definedName>
    <definedName name="_09差异">#REF!</definedName>
    <definedName name="_09销售">#REF!</definedName>
    <definedName name="_09制造费用">#REF!</definedName>
    <definedName name="_0出口机">#REF!</definedName>
    <definedName name="_1">#N/A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标准">#REF!</definedName>
    <definedName name="_10差异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标准">#REF!</definedName>
    <definedName name="_11差异">#REF!</definedName>
    <definedName name="_11月费用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标准">#REF!</definedName>
    <definedName name="_12月差异">#REF!</definedName>
    <definedName name="_12月费用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标准">#REF!</definedName>
    <definedName name="_1月G机差异">#REF!</definedName>
    <definedName name="_1月标准">#REF!</definedName>
    <definedName name="_1月波轮总装标准">#REF!</definedName>
    <definedName name="_1月差异">#REF!</definedName>
    <definedName name="_1月费用">#REF!</definedName>
    <definedName name="_1月间接">#REF!</definedName>
    <definedName name="_1月直接">#REF!</definedName>
    <definedName name="_1月总装波轮机差异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差异">#REF!</definedName>
    <definedName name="_201602在产品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KD0222">#REF!</definedName>
    <definedName name="_2LP">#REF!</definedName>
    <definedName name="_2TD2001">#REF!</definedName>
    <definedName name="_2月">#REF!</definedName>
    <definedName name="_2月G机标准">#REF!</definedName>
    <definedName name="_2月G机差异">#REF!</definedName>
    <definedName name="_2月Q机标准">#REF!</definedName>
    <definedName name="_2月Q机差异">#REF!</definedName>
    <definedName name="_3_20190418">#REF!</definedName>
    <definedName name="_3_231060401邮寄费">#REF!</definedName>
    <definedName name="_30_231061301电费">#REF!</definedName>
    <definedName name="_31_231061302">#REF!</definedName>
    <definedName name="_32_231061302燃油">#REF!</definedName>
    <definedName name="_33_231061303保暖费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标准">#REF!</definedName>
    <definedName name="_3月G机差异">#REF!</definedName>
    <definedName name="_3月Q机标准">#REF!</definedName>
    <definedName name="_3月Q机差异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材料">#REF!</definedName>
    <definedName name="_4月B箱体差异">#REF!</definedName>
    <definedName name="_4月G机车间材料">#REF!</definedName>
    <definedName name="_4月G机车间差异">#REF!</definedName>
    <definedName name="_4月G机箱体材料">#REF!</definedName>
    <definedName name="_4月G机箱体差异">#REF!</definedName>
    <definedName name="_4月Q机车间材料">#REF!</definedName>
    <definedName name="_4月Q机车间差异">#REF!</definedName>
    <definedName name="_4月制造费用">#REF!</definedName>
    <definedName name="_4月注塑材料">#REF!</definedName>
    <definedName name="_4月注塑差异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机">#REF!</definedName>
    <definedName name="_50202出口销售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231060501飞机票费">#REF!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Fill" hidden="1">#REF!</definedName>
    <definedName name="_xlnm._FilterDatabase" localSheetId="5" hidden="1">'CKACE Seasonality'!$A$24:$L$67</definedName>
    <definedName name="_xlnm._FilterDatabase">#REF!</definedName>
    <definedName name="_GG1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>{"Book1"}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VL100">#REF!</definedName>
    <definedName name="_VL200">#REF!</definedName>
    <definedName name="_VL250">#REF!</definedName>
    <definedName name="_XY123">#REF!</definedName>
    <definedName name="_YN52">#REF!</definedName>
    <definedName name="_销售09">#REF!</definedName>
    <definedName name="_预提06">#REF!</definedName>
    <definedName name="_预提08">#REF!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B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d">#REF!</definedName>
    <definedName name="Address">#REF!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">#REF!</definedName>
    <definedName name="Area_access_852">#REF!</definedName>
    <definedName name="AS2DocOpenMode" hidden="1">"AS2DocumentEdit"</definedName>
    <definedName name="assumptionProductionOverhead">#REF!</definedName>
    <definedName name="b">#REF!</definedName>
    <definedName name="b_240">#REF!</definedName>
    <definedName name="b_280">#REF!</definedName>
    <definedName name="b_320">#REF!</definedName>
    <definedName name="B_tinh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egin10">#REF!</definedName>
    <definedName name="BIL_NO">"MO85110026"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OQ">#REF!</definedName>
    <definedName name="BREAKDOWN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1_END_DD">"2008-05-13"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ity">#REF!</definedName>
    <definedName name="CK">#REF!</definedName>
    <definedName name="CL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N">#REF!</definedName>
    <definedName name="Co">#REF!</definedName>
    <definedName name="Code" hidden="1">#REF!</definedName>
    <definedName name="Cöï_ly_vaän_chuyeãn">#REF!</definedName>
    <definedName name="CÖÏ_LY_VAÄN_CHUYEÅN">#REF!</definedName>
    <definedName name="color">#REF!</definedName>
    <definedName name="COLUMNS10">#N/A</definedName>
    <definedName name="COMMON">#REF!</definedName>
    <definedName name="Company">#REF!</definedName>
    <definedName name="COMPARATIVO">#REF!</definedName>
    <definedName name="CON_EQP_COS">#REF!</definedName>
    <definedName name="CON_EQP_COST">#REF!</definedName>
    <definedName name="Condanser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O">#REF!</definedName>
    <definedName name="Count_In_OnePage">1</definedName>
    <definedName name="Country">#REF!</definedName>
    <definedName name="COVER">#REF!</definedName>
    <definedName name="CPC">#REF!</definedName>
    <definedName name="CPVC35">#REF!</definedName>
    <definedName name="CPVCDN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p">#REF!</definedName>
    <definedName name="CTIET">#REF!</definedName>
    <definedName name="CURRENCY">#REF!</definedName>
    <definedName name="CX">#REF!</definedName>
    <definedName name="D_7101A_B">#REF!</definedName>
    <definedName name="D_SIZE">"Dsize"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Database">#REF!</definedName>
    <definedName name="DATACAS">OFFSET(#REF!,,,COUNTA(#REF!),COUNTA(#REF!))</definedName>
    <definedName name="DATATKDT">#REF!</definedName>
    <definedName name="date">#REF!</definedName>
    <definedName name="DAY">#N/A</definedName>
    <definedName name="DD">#REF!</definedName>
    <definedName name="DDAY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gd">#REF!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gramm_Eingabe">#REF!,#REF!,#REF!,#REF!,#REF!</definedName>
    <definedName name="DIARIO46">#REF!</definedName>
    <definedName name="DIARIO47">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HAM0011">OFFSET(#REF!,,,COUNTA(#REF!),COUNTA(#REF!))</definedName>
    <definedName name="e">#REF!</definedName>
    <definedName name="ED_DEP_NM">"外1线"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r">#N/A</definedName>
    <definedName name="ert">#REF!</definedName>
    <definedName name="extra">#REF!</definedName>
    <definedName name="F">#REF!</definedName>
    <definedName name="FACTOR">#REF!</definedName>
    <definedName name="FAS_TABLE_BODY">"6;1;51;6;"</definedName>
    <definedName name="FAS_TABLE_BODY_AUTOSIZE">"FALSE"</definedName>
    <definedName name="Fax">#REF!</definedName>
    <definedName name="FCode" hidden="1">#REF!</definedName>
    <definedName name="February">#REF!</definedName>
    <definedName name="Fertigungsart">#REF!</definedName>
    <definedName name="ffffff">#REF!</definedName>
    <definedName name="FFST">"BRSUM FFST"</definedName>
    <definedName name="FGService">#REF!</definedName>
    <definedName name="FL">IF(ISERROR(FIND("PE薄膜",V_12)),IF(ISERROR(FIND("牛皮",V_12)),"其他","包装材料_包装箱体"),"包装材料_PE")</definedName>
    <definedName name="G">#REF!</definedName>
    <definedName name="G_ME">#REF!</definedName>
    <definedName name="gelb">"Ellipse 245"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AVLIEUTN">#REF!</definedName>
    <definedName name="Giocong">#REF!</definedName>
    <definedName name="gl3p">#REF!</definedName>
    <definedName name="gövde">#REF!</definedName>
    <definedName name="GROSS">#REF!</definedName>
    <definedName name="GROUP">#REF!</definedName>
    <definedName name="grün">"Ellipse 246"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eä_soá_laép_xaø_H">1.7</definedName>
    <definedName name="heä_soá_sình_laày">#REF!</definedName>
    <definedName name="hfi">#REF!</definedName>
    <definedName name="HHTT">#REF!</definedName>
    <definedName name="HiddenRows" hidden="1">#REF!</definedName>
    <definedName name="hien">#REF!</definedName>
    <definedName name="HIEU" hidden="1">{"'Sheet1'!$L$16"}</definedName>
    <definedName name="Hinh_thuc">"bangtra"</definedName>
    <definedName name="HOME_MANP">#REF!</definedName>
    <definedName name="HOMEOFFICE_COST">#REF!</definedName>
    <definedName name="hoten">#REF!</definedName>
    <definedName name="Hoü_vaì_tãn">#REF!</definedName>
    <definedName name="HP">#REF!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hidden="1">{"'Foglio1'!$J$12:$M$12"}</definedName>
    <definedName name="HTML_Description" hidden="1">""</definedName>
    <definedName name="HTML_Email" hidden="1">""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Title" hidden="1">"Auspeit"</definedName>
    <definedName name="HTNC">#REF!</definedName>
    <definedName name="HTVL">#REF!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j">#REF!</definedName>
    <definedName name="j356C8">#REF!</definedName>
    <definedName name="ja">#REF!</definedName>
    <definedName name="January">#REF!</definedName>
    <definedName name="JL">#REF!</definedName>
    <definedName name="Job_Family_Code___Title">#REF!</definedName>
    <definedName name="JP">#REF!</definedName>
    <definedName name="JULY">#N/A</definedName>
    <definedName name="K">#REF!</definedName>
    <definedName name="k2b">#REF!</definedName>
    <definedName name="kapı">#REF!</definedName>
    <definedName name="kcong">#REF!</definedName>
    <definedName name="KH_Chang">#REF!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mong">#REF!</definedName>
    <definedName name="labor" localSheetId="5">'CKACE Seasonality'!#REF!</definedName>
    <definedName name="labor">[1]Sheet1!#REF!</definedName>
    <definedName name="lan" hidden="1">{#N/A,#N/A,TRUE,"BT M200 da 10x20"}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_hathe">#REF!</definedName>
    <definedName name="llll">#REF!</definedName>
    <definedName name="LLLLL" hidden="1">{#N/A,#N/A,FALSE,"Chi tiÆt"}</definedName>
    <definedName name="Lmk">#REF!</definedName>
    <definedName name="LN">#REF!</definedName>
    <definedName name="Loai_TD">#REF!</definedName>
    <definedName name="LOC">#REF!</definedName>
    <definedName name="location">#REF!</definedName>
    <definedName name="location1">#REF!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nc">#REF!</definedName>
    <definedName name="MBvl">#REF!</definedName>
    <definedName name="MC">#REF!</definedName>
    <definedName name="Meilenstein">"AutoForm 4"</definedName>
    <definedName name="MG_A">#REF!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ntaj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nc">#REF!</definedName>
    <definedName name="N1pINGvc">#REF!</definedName>
    <definedName name="N1pINGvl">#REF!</definedName>
    <definedName name="n1pint">#REF!</definedName>
    <definedName name="N1pINTnc">#REF!</definedName>
    <definedName name="N1pINTvc">#REF!</definedName>
    <definedName name="N1pINTvl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salary" localSheetId="5">'CKACE Seasonality'!#REF!</definedName>
    <definedName name="newsalary">[1]Sheet1!#REF!</definedName>
    <definedName name="NGAØY">#REF!</definedName>
    <definedName name="NH">#REF!</definedName>
    <definedName name="NHAÂN_COÂNG">BTRAM</definedName>
    <definedName name="Nhapsolieu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903p">#REF!</definedName>
    <definedName name="NIN190nc">#REF!</definedName>
    <definedName name="NIN190vl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vc">#REF!</definedName>
    <definedName name="NINDvl">#REF!</definedName>
    <definedName name="nindvl1p">#REF!</definedName>
    <definedName name="ning1p">#REF!</definedName>
    <definedName name="ningnc1p">#REF!</definedName>
    <definedName name="ningvl1p">#REF!</definedName>
    <definedName name="NINnc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n">#REF!</definedName>
    <definedName name="nn1p">#REF!</definedName>
    <definedName name="nn3p">#REF!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p">#REF!</definedName>
    <definedName name="OrderTable" hidden="1">#REF!</definedName>
    <definedName name="Org_Size">#REF!</definedName>
    <definedName name="osc">#REF!</definedName>
    <definedName name="P_12">!$V1</definedName>
    <definedName name="p_all">#REF!</definedName>
    <definedName name="P_Attributi">25</definedName>
    <definedName name="P_Dimensione">"Account"</definedName>
    <definedName name="PAPELLINER">#REF!</definedName>
    <definedName name="PAPER_LINER">#REF!</definedName>
    <definedName name="Personal_Bemerkungen">#REF!,#REF!,#REF!,#REF!,#REF!,#REF!,#REF!</definedName>
    <definedName name="Phanbothue">#REF!</definedName>
    <definedName name="Phone">#REF!</definedName>
    <definedName name="phu_luc_vua">#REF!</definedName>
    <definedName name="PK">#REF!</definedName>
    <definedName name="Plan96b" hidden="1">#REF!</definedName>
    <definedName name="PLANENE99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_xlnm.Print_Area">#REF!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Q">#REF!</definedName>
    <definedName name="QTY_RSV">150</definedName>
    <definedName name="QTYB_RTN">1.2</definedName>
    <definedName name="QTYMBC">150</definedName>
    <definedName name="quantity">#REF!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B">#REF!</definedName>
    <definedName name="RCArea" hidden="1">#REF!</definedName>
    <definedName name="RECOUT">#N/A</definedName>
    <definedName name="Recover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t">#REF!</definedName>
    <definedName name="sad">#REF!</definedName>
    <definedName name="salary" localSheetId="5">'CKACE Seasonality'!#REF!</definedName>
    <definedName name="salary">[1]Sheet1!#REF!</definedName>
    <definedName name="SAV">#REF!</definedName>
    <definedName name="SBDATA">OFFSET(#REF!,0,0,COUNTA(#REF!),COUNTA(#REF!))</definedName>
    <definedName name="SC">#REF!</definedName>
    <definedName name="SCH">#REF!</definedName>
    <definedName name="sd1p">#REF!</definedName>
    <definedName name="sd3p">#REF!</definedName>
    <definedName name="SDDK">#REF!</definedName>
    <definedName name="SDMONG">#REF!</definedName>
    <definedName name="sds">#REF!</definedName>
    <definedName name="sells">#REF!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mpo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en">#REF!</definedName>
    <definedName name="TienLuong">#REF!</definedName>
    <definedName name="TITAN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BTRAM</definedName>
    <definedName name="TNCM">#REF!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nit">#REF!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nted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W">#REF!</definedName>
    <definedName name="WC" localSheetId="5">'CKACE Seasonality'!#REF!</definedName>
    <definedName name="WC">[1]Sheet1!#REF!</definedName>
    <definedName name="WE">#N/A</definedName>
    <definedName name="wer">#REF!</definedName>
    <definedName name="Werk">#REF!</definedName>
    <definedName name="WERT">#REF!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tream">#REF!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chi._.tiÆt." hidden="1">{#N/A,#N/A,FALSE,"Chi tiÆt"}</definedName>
    <definedName name="wrn.vd." hidden="1">{#N/A,#N/A,TRUE,"BT M200 da 10x20"}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a1pm">#REF!</definedName>
    <definedName name="xa3pm">#REF!</definedName>
    <definedName name="xact">#REF!</definedName>
    <definedName name="XCCT">0.5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">#REF!</definedName>
    <definedName name="xig1">#REF!</definedName>
    <definedName name="XIG1nc">#REF!</definedName>
    <definedName name="xig1p">#REF!</definedName>
    <definedName name="XIG1vl">#REF!</definedName>
    <definedName name="xig3p">#REF!</definedName>
    <definedName name="XIGnc">#REF!</definedName>
    <definedName name="XIGvc">#REF!</definedName>
    <definedName name="XIGvl">#REF!</definedName>
    <definedName name="xin">#REF!</definedName>
    <definedName name="xin190">#REF!</definedName>
    <definedName name="xin1903p">#REF!</definedName>
    <definedName name="XIN190nc">#REF!</definedName>
    <definedName name="XIN190vc">#REF!</definedName>
    <definedName name="XIN190vl">#REF!</definedName>
    <definedName name="xin3p">#REF!</definedName>
    <definedName name="xind">#REF!</definedName>
    <definedName name="xind1p">#REF!</definedName>
    <definedName name="xind3p">#REF!</definedName>
    <definedName name="XINDnc">#REF!</definedName>
    <definedName name="xindnc1p">#REF!</definedName>
    <definedName name="XINDvc">#REF!</definedName>
    <definedName name="XINDvl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t1p">#REF!</definedName>
    <definedName name="XINvc">#REF!</definedName>
    <definedName name="XINvl">#REF!</definedName>
    <definedName name="xit">#REF!</definedName>
    <definedName name="xit1">#REF!</definedName>
    <definedName name="XIT1nc">#REF!</definedName>
    <definedName name="xit1p">#REF!</definedName>
    <definedName name="XIT1vl">#REF!</definedName>
    <definedName name="xit3p">#REF!</definedName>
    <definedName name="XITnc">#REF!</definedName>
    <definedName name="XITvc">#REF!</definedName>
    <definedName name="XITvl">#REF!</definedName>
    <definedName name="xlbs">#REF!</definedName>
    <definedName name="xmcax">#REF!</definedName>
    <definedName name="xn">#REF!</definedName>
    <definedName name="xxx">#REF!</definedName>
    <definedName name="y">#REF!,#REF!,#REF!,#REF!,#REF!</definedName>
    <definedName name="Y_N">#REF!</definedName>
    <definedName name="YearMonth">#REF!&amp;""&amp;#REF!</definedName>
    <definedName name="yen" hidden="1">{#N/A,#N/A,FALSE,"Chi tiÆt"}</definedName>
    <definedName name="YJ">#REF!</definedName>
    <definedName name="yt">#REF!</definedName>
    <definedName name="yu">#REF!</definedName>
    <definedName name="Z">#REF!</definedName>
    <definedName name="ZC_NO_B">"WJG"</definedName>
    <definedName name="ZC_NO_H">"WJG"</definedName>
    <definedName name="Zip">#REF!</definedName>
    <definedName name="Zwischenstatus_121099">#REF!</definedName>
    <definedName name="ZXD">#REF!</definedName>
    <definedName name="ZXDF">#REF!</definedName>
    <definedName name="ZYX">#REF!</definedName>
    <definedName name="ZZZ">#REF!</definedName>
    <definedName name="Использование">#REF!</definedName>
    <definedName name="МВЗ">#REF!</definedName>
    <definedName name="СЗ">#REF!</definedName>
    <definedName name="Тип_расходов">#REF!</definedName>
    <definedName name="ЦЗ">#REF!</definedName>
    <definedName name="安徽部">#REF!</definedName>
    <definedName name="办公室固定电话费">#REF!</definedName>
    <definedName name="办公用品">#REF!</definedName>
    <definedName name="半成品">#REF!</definedName>
    <definedName name="报废">#REF!</definedName>
    <definedName name="北京">#REF!</definedName>
    <definedName name="北京分公司">#REF!</definedName>
    <definedName name="本部">#REF!</definedName>
    <definedName name="币种">#REF!</definedName>
    <definedName name="边料">#REF!</definedName>
    <definedName name="表名">"Dummy"</definedName>
    <definedName name="部门">#REF!</definedName>
    <definedName name="材料">#REF!</definedName>
    <definedName name="材料库存">#REF!</definedName>
    <definedName name="材料销售">#REF!</definedName>
    <definedName name="材料销售11">#REF!</definedName>
    <definedName name="仓库">#REF!</definedName>
    <definedName name="差旅费12">#REF!</definedName>
    <definedName name="差异">#REF!</definedName>
    <definedName name="差异201601">#REF!</definedName>
    <definedName name="出口">#REF!</definedName>
    <definedName name="出口机">#REF!</definedName>
    <definedName name="出口销售">#REF!</definedName>
    <definedName name="厨房">#REF!</definedName>
    <definedName name="次品仓出库中转数量">OFFSET(#REF!,4,0,COUNTA(#REF!)-1,1)</definedName>
    <definedName name="次品仓中转台数">OFFSET(#REF!,4,0,COUNTA(#REF!)-1,1)</definedName>
    <definedName name="存货明细___1_原材料_">#REF!</definedName>
    <definedName name="单位往来">#REF!</definedName>
    <definedName name="电">#REF!</definedName>
    <definedName name="发生额">#REF!</definedName>
    <definedName name="费用">#REF!</definedName>
    <definedName name="福建">#REF!</definedName>
    <definedName name="负债表_合并">#REF!</definedName>
    <definedName name="负债表合并">#REF!</definedName>
    <definedName name="供应商">#REF!</definedName>
    <definedName name="固定资产">#REF!</definedName>
    <definedName name="固定资产付款申请单">#REF!</definedName>
    <definedName name="广东二">#REF!</definedName>
    <definedName name="广东一">#REF!</definedName>
    <definedName name="广西">#REF!</definedName>
    <definedName name="广西分公司">#REF!</definedName>
    <definedName name="广州">#REF!</definedName>
    <definedName name="广州分公司">#REF!</definedName>
    <definedName name="贵州">#REF!</definedName>
    <definedName name="国内出库中转数量">OFFSET(#REF!,4,0,COUNTA(#REF!)-1,1)</definedName>
    <definedName name="国内出库中转体积">OFFSET(#REF!,4,0,COUNTA(#REF!)-1,1)</definedName>
    <definedName name="哈尔滨分公司">#REF!</definedName>
    <definedName name="海南">#REF!</definedName>
    <definedName name="合并">#REF!</definedName>
    <definedName name="河南部">#REF!</definedName>
    <definedName name="核算项目余额表">#REF!</definedName>
    <definedName name="湖北">#REF!</definedName>
    <definedName name="湖北分公司">#REF!</definedName>
    <definedName name="湖南">#REF!</definedName>
    <definedName name="汇总">#REF!</definedName>
    <definedName name="基础表3" hidden="1">{"'Foglio1'!$J$12:$M$12"}</definedName>
    <definedName name="间接">#REF!</definedName>
    <definedName name="江西">#REF!</definedName>
    <definedName name="金羚电器有限公司">#REF!</definedName>
    <definedName name="经办人">#REF!</definedName>
    <definedName name="科目余额表">#REF!</definedName>
    <definedName name="Recorder">#REF!</definedName>
    <definedName name="美心思">#REF!</definedName>
    <definedName name="美心思1">#REF!</definedName>
    <definedName name="门市部">#REF!</definedName>
    <definedName name="南宁">#REF!</definedName>
    <definedName name="年份">#REF!</definedName>
    <definedName name="其他费用">#REF!</definedName>
    <definedName name="全部末级余额">#REF!</definedName>
    <definedName name="陕西宁夏">#REF!</definedName>
    <definedName name="上和">#REF!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数量金额总账">#REF!</definedName>
    <definedName name="水">#REF!</definedName>
    <definedName name="四川">#REF!</definedName>
    <definedName name="损_益_表_合并">#REF!</definedName>
    <definedName name="损益表_合并">#REF!</definedName>
    <definedName name="体积明细">OFFSET(#REF!,1,0,COUNTA(#REF!)-1,6)</definedName>
    <definedName name="往来对账单">#REF!</definedName>
    <definedName name="我市">#REF!</definedName>
    <definedName name="武汉">#REF!</definedName>
    <definedName name="物料代码0503">#REF!</definedName>
    <definedName name="项目性质">#REF!</definedName>
    <definedName name="销售成本" hidden="1">{#N/A,#N/A,FALSE,"Aging Summary";#N/A,#N/A,FALSE,"Ratio Analysis";#N/A,#N/A,FALSE,"Test 120 Day Accts";#N/A,#N/A,FALSE,"Tickmarks"}</definedName>
    <definedName name="新">#REF!</definedName>
    <definedName name="新136">#REF!</definedName>
    <definedName name="杨总房租">#REF!</definedName>
    <definedName name="应付工资">#REF!</definedName>
    <definedName name="应付款">#REF!</definedName>
    <definedName name="用友办公用品">#REF!</definedName>
    <definedName name="用友科目">#REF!</definedName>
    <definedName name="余额表">#REF!</definedName>
    <definedName name="预提">#REF!</definedName>
    <definedName name="预提费用201611">#REF!</definedName>
    <definedName name="月份">#REF!</definedName>
    <definedName name="云南">#REF!</definedName>
    <definedName name="在产品201601">#REF!</definedName>
    <definedName name="在产品201601003">#REF!</definedName>
    <definedName name="在产品20160102">#REF!</definedName>
    <definedName name="招待费12">#REF!</definedName>
    <definedName name="折旧1" hidden="1">{#N/A,#N/A,FALSE,"Aging Summary";#N/A,#N/A,FALSE,"Ratio Analysis";#N/A,#N/A,FALSE,"Test 120 Day Accts";#N/A,#N/A,FALSE,"Tickmarks"}</definedName>
    <definedName name="浙江">#REF!</definedName>
    <definedName name="郑州">#REF!</definedName>
    <definedName name="郑州分公司">#REF!</definedName>
    <definedName name="直接">#REF!</definedName>
    <definedName name="中转出库台数">OFFSET(#REF!,4,0,COUNTA(#REF!)-1,1)</definedName>
    <definedName name="总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Fatih Sarı</author>
  </authors>
  <commentList>
    <comment ref="G67" authorId="0">
      <text>
        <r>
          <rPr>
            <b/>
            <sz val="9"/>
            <rFont val="Tahoma"/>
            <charset val="134"/>
          </rPr>
          <t>Fatih Sarı:</t>
        </r>
        <r>
          <rPr>
            <sz val="9"/>
            <rFont val="Tahoma"/>
            <charset val="134"/>
          </rPr>
          <t xml:space="preserve">
Need EBCR-w39</t>
        </r>
      </text>
    </comment>
    <comment ref="G68" authorId="0">
      <text>
        <r>
          <rPr>
            <b/>
            <sz val="9"/>
            <rFont val="Tahoma"/>
            <charset val="134"/>
          </rPr>
          <t>Fatih Sarı:</t>
        </r>
        <r>
          <rPr>
            <sz val="9"/>
            <rFont val="Tahoma"/>
            <charset val="134"/>
          </rPr>
          <t xml:space="preserve">
Need EBCR-w39</t>
        </r>
      </text>
    </comment>
  </commentList>
</comments>
</file>

<file path=xl/sharedStrings.xml><?xml version="1.0" encoding="utf-8"?>
<sst xmlns="http://schemas.openxmlformats.org/spreadsheetml/2006/main" count="805" uniqueCount="309">
  <si>
    <t>CK</t>
  </si>
  <si>
    <t>DW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</si>
  <si>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</si>
  <si>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</si>
  <si>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</si>
  <si>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</si>
  <si>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</si>
  <si>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</si>
  <si>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</si>
  <si>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</si>
  <si>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</si>
  <si>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</si>
  <si>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</si>
  <si>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</si>
  <si>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FY AVG</t>
  </si>
  <si>
    <t>FY VOL</t>
  </si>
  <si>
    <t>OUTPUT PER HDC</t>
  </si>
  <si>
    <t>IMPROVEMENT</t>
  </si>
  <si>
    <t>DL HDC</t>
  </si>
  <si>
    <t>IND HDC</t>
  </si>
  <si>
    <t>WC HDC</t>
  </si>
  <si>
    <t>Salary Increase %</t>
  </si>
  <si>
    <t>BC salary evo</t>
  </si>
  <si>
    <t>DL</t>
  </si>
  <si>
    <t>IND</t>
  </si>
  <si>
    <t>WC FACTORY AVG</t>
  </si>
  <si>
    <t>BC</t>
  </si>
  <si>
    <t>FX RATE</t>
  </si>
  <si>
    <t>WC</t>
  </si>
  <si>
    <t>Description</t>
  </si>
  <si>
    <t>Level of P&amp;L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</si>
  <si>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</si>
  <si>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</si>
  <si>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</si>
  <si>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</si>
  <si>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</si>
  <si>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</si>
  <si>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</si>
  <si>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</si>
  <si>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</si>
  <si>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</si>
  <si>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</si>
  <si>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FY</t>
  </si>
  <si>
    <t>2025_ADDITIONAL</t>
  </si>
  <si>
    <t>ACTUAL</t>
  </si>
  <si>
    <t>ONE-OFF</t>
  </si>
  <si>
    <t>Depreciation Reduction_ONE OFF</t>
  </si>
  <si>
    <t>Depreciation</t>
  </si>
  <si>
    <t>AUC aktifleştirmesi iptal</t>
  </si>
  <si>
    <t>ACE-2</t>
  </si>
  <si>
    <t>Additional TC Cut (Line speed increase 120 to 130) (-2,5 min)</t>
  </si>
  <si>
    <t>Direct Labor</t>
  </si>
  <si>
    <t>120 to 130 UPH</t>
  </si>
  <si>
    <t>2025_PLANNED</t>
  </si>
  <si>
    <t>BUDGET</t>
  </si>
  <si>
    <t>ACE-1</t>
  </si>
  <si>
    <t>Line Speed Increase 32,72sec ==&gt;30 sec (110pcs to 120 pcs)</t>
  </si>
  <si>
    <t>Direct Labour</t>
  </si>
  <si>
    <t>110 to 120 UPH</t>
  </si>
  <si>
    <t>Direct Labor TC-Productivity Assy lines Balancing (Extra Operator Removing) (95 TO 97)</t>
  </si>
  <si>
    <t>Maintenance _ ONE OFF</t>
  </si>
  <si>
    <t>Semifixed</t>
  </si>
  <si>
    <t xml:space="preserve">HC Reduction_ONE OFF </t>
  </si>
  <si>
    <t>Fixed Labor</t>
  </si>
  <si>
    <t>SHARED HC RESTRUCTURING</t>
  </si>
  <si>
    <t>Line Speed Increase 34,2sec ==&gt;32,72 sec (105pcs to 110 pcs)</t>
  </si>
  <si>
    <t>Efficiency improvement (2%) (93 TO 95)</t>
  </si>
  <si>
    <t>Innerdoor  Line Speed 36sec==&gt;30 sec</t>
  </si>
  <si>
    <t>Consumables Reduction _ ONE OFF</t>
  </si>
  <si>
    <t>Other Variable (Production Consumable, Inventory ADJ)</t>
  </si>
  <si>
    <t>HC Reduction</t>
  </si>
  <si>
    <t>Indirect Labor</t>
  </si>
  <si>
    <t>-3 IND HC CUT</t>
  </si>
  <si>
    <t>Maintenance spare parts optimization _ ONE OFF</t>
  </si>
  <si>
    <t>Raw Material Consumption Effect</t>
  </si>
  <si>
    <t>Sump Line Speed 36sec==&gt;30 sec</t>
  </si>
  <si>
    <t>Uniforms costs</t>
  </si>
  <si>
    <t>Tox + oil optimization</t>
  </si>
  <si>
    <t>Variable Costs</t>
  </si>
  <si>
    <t>DW Indirect overtime optimization</t>
  </si>
  <si>
    <t>Indirect Labour</t>
  </si>
  <si>
    <t>White collar optimization (1 HC_WH)</t>
  </si>
  <si>
    <t>Variable Energy Consumption_One off</t>
  </si>
  <si>
    <t>Variable Utilities</t>
  </si>
  <si>
    <t>White collar optimization (1 HC_ımtec)</t>
  </si>
  <si>
    <t>-2 IND HC CUT</t>
  </si>
  <si>
    <t>Working Days Reduction (Commuting)</t>
  </si>
  <si>
    <t>Çalışma günü düştüğü için servis ve yemekte görünen kazançlar</t>
  </si>
  <si>
    <t>HC decrease projects semifixed costs benefit</t>
  </si>
  <si>
    <t>Direct HC cut due to productivity improvement projects</t>
  </si>
  <si>
    <t>DW - Repacking for Sump Area / Motor Parts - HC Decrease</t>
  </si>
  <si>
    <t>DW - Repacking for Plastic Parts- HC Decrease</t>
  </si>
  <si>
    <t>DW - Repacking for Water Softener - Air Break- HC Decrease</t>
  </si>
  <si>
    <t>DW - Unloading Area - HC Decrease</t>
  </si>
  <si>
    <t>DW - Repacking for Bulky Parts- HC Decrease</t>
  </si>
  <si>
    <t>DW - Small Componenet Feeding- HC Decrease</t>
  </si>
  <si>
    <t>Mechanical team leader reduction</t>
  </si>
  <si>
    <t>Plastic grinder HC reduction</t>
  </si>
  <si>
    <t>IND HC reducution of Master Operators</t>
  </si>
  <si>
    <t>Quality Indirect Reduction</t>
  </si>
  <si>
    <t>HC Overhead Semifixed Gain</t>
  </si>
  <si>
    <t>Manager Collar Overhead Semifixed Gain</t>
  </si>
  <si>
    <t>Scrap Reduction</t>
  </si>
  <si>
    <t>Scrap</t>
  </si>
  <si>
    <t>CANCELED</t>
  </si>
  <si>
    <t>Hub&amp;Sump Screwing Automation</t>
  </si>
  <si>
    <t>Commuting from 70% to 72% and overtime optimization</t>
  </si>
  <si>
    <t>Edenred tax elimination</t>
  </si>
  <si>
    <t>Working Days Reduction (Canteen)</t>
  </si>
  <si>
    <t>Commuting from 72% to 74% and overtime optimization</t>
  </si>
  <si>
    <t>Forklift rental optimization</t>
  </si>
  <si>
    <t>Fixed Cost</t>
  </si>
  <si>
    <t>Gain from HC reduction</t>
  </si>
  <si>
    <t>QS Part Feeding Automation</t>
  </si>
  <si>
    <t>Cleaning Staff HC Reduction</t>
  </si>
  <si>
    <t>Paper towel elimination</t>
  </si>
  <si>
    <t>Recovering the hot air of compressor by transferring to marketing area.</t>
  </si>
  <si>
    <t>Fixed utilities</t>
  </si>
  <si>
    <t xml:space="preserve">New layout designing and lux adjustment for lightening armatures. </t>
  </si>
  <si>
    <t>Fuel costs</t>
  </si>
  <si>
    <t>MFG EFF</t>
  </si>
  <si>
    <t>MFG EFFICIENCY</t>
  </si>
  <si>
    <t>Scrap Reselling</t>
  </si>
  <si>
    <t>MFG EFFICIENCY (Maintenance)</t>
  </si>
  <si>
    <t>MFG EFFICIENCY (Quality)</t>
  </si>
  <si>
    <t>MFG EFFICIENCY (Service)</t>
  </si>
  <si>
    <t>MFG EFFICIENCY (Meal)</t>
  </si>
  <si>
    <t>MFG EFFICIENCY (Uniforms))</t>
  </si>
  <si>
    <t>MFG EFFICIENCY (Entertainment)</t>
  </si>
  <si>
    <t>TOTAL</t>
  </si>
  <si>
    <t>RENTA DW 
YTD Dec</t>
  </si>
  <si>
    <t>Actual Cost</t>
  </si>
  <si>
    <r>
      <rPr>
        <i/>
        <sz val="11"/>
        <color rgb="FF00B050"/>
        <rFont val="Calibri"/>
        <charset val="134"/>
      </rPr>
      <t>- Gain</t>
    </r>
    <r>
      <rPr>
        <i/>
        <sz val="11"/>
        <color rgb="FF000000"/>
        <rFont val="Calibri"/>
        <charset val="162"/>
      </rPr>
      <t xml:space="preserve"> / </t>
    </r>
    <r>
      <rPr>
        <i/>
        <sz val="11"/>
        <color rgb="FFFF0000"/>
        <rFont val="Calibri"/>
        <charset val="134"/>
      </rPr>
      <t>+Loss</t>
    </r>
  </si>
  <si>
    <t>EUR/000</t>
  </si>
  <si>
    <t>€/pc</t>
  </si>
  <si>
    <t>Variable Conv.</t>
  </si>
  <si>
    <t>Fixed Labour</t>
  </si>
  <si>
    <t>Obsolete</t>
  </si>
  <si>
    <t>Fixed Conv.</t>
  </si>
  <si>
    <t>TOTAL MFG COST w/o SHARES</t>
  </si>
  <si>
    <t>TOTAL SHARES</t>
  </si>
  <si>
    <t>TOTAL MFG COST w/ SHARES</t>
  </si>
  <si>
    <t>FUNCTIONAL CURRECNY IMPACT</t>
  </si>
  <si>
    <t>Total Including FC</t>
  </si>
  <si>
    <t>DW
YTD  Dec</t>
  </si>
  <si>
    <t>Budget25</t>
  </si>
  <si>
    <t>TARGET</t>
  </si>
  <si>
    <t>11+1 Forecast December YTD</t>
  </si>
  <si>
    <r>
      <rPr>
        <i/>
        <sz val="9"/>
        <color rgb="FF00B050"/>
        <rFont val="Calibri"/>
        <charset val="134"/>
      </rPr>
      <t>- Gain</t>
    </r>
    <r>
      <rPr>
        <i/>
        <sz val="9"/>
        <color rgb="FF000000"/>
        <rFont val="Calibri"/>
        <charset val="162"/>
      </rPr>
      <t xml:space="preserve"> / </t>
    </r>
    <r>
      <rPr>
        <i/>
        <sz val="9"/>
        <color rgb="FFFF0000"/>
        <rFont val="Calibri"/>
        <charset val="134"/>
      </rPr>
      <t>+Loss</t>
    </r>
  </si>
  <si>
    <t>MFG PERIMETER</t>
  </si>
  <si>
    <t>Other Variable (Production Consumable,)</t>
  </si>
  <si>
    <t>Functional Currency Impact</t>
  </si>
  <si>
    <t>TOTAL Including FC</t>
  </si>
  <si>
    <t>OTHERS</t>
  </si>
  <si>
    <t>Other Variable (Inventory Adj)</t>
  </si>
  <si>
    <t>Asset Sales</t>
  </si>
  <si>
    <t>TOTAL Others</t>
  </si>
  <si>
    <t>OVERHEAD</t>
  </si>
  <si>
    <t>IT GLOBAL</t>
  </si>
  <si>
    <t>G&amp;A(Insurance included)</t>
  </si>
  <si>
    <t>TOTAL Overhead</t>
  </si>
  <si>
    <t>TOTAL ALL</t>
  </si>
  <si>
    <t>MTD REPORT</t>
  </si>
  <si>
    <t>CHECK</t>
  </si>
  <si>
    <t>FC HARİÇ</t>
  </si>
  <si>
    <t>Cost</t>
  </si>
  <si>
    <t>COST EVOLUTION</t>
  </si>
  <si>
    <t>CPU</t>
  </si>
  <si>
    <t>Volume</t>
  </si>
  <si>
    <t>FY '25(8+4)</t>
  </si>
  <si>
    <t>2026 SIMULATION</t>
  </si>
  <si>
    <t>2026 MFG ACE LIST</t>
  </si>
  <si>
    <t>2026 SIMULATION ASSUMPTIONS</t>
  </si>
  <si>
    <t>2026 VOLUME : 1280K</t>
  </si>
  <si>
    <t>Dir Hourly Cost</t>
  </si>
  <si>
    <t>ACE DEDUCTED</t>
  </si>
  <si>
    <t>FC INCLUDED</t>
  </si>
  <si>
    <t>HDC TEMPORARY</t>
  </si>
  <si>
    <t>G&amp;A</t>
  </si>
  <si>
    <t>BASED on 2025 H2 ACTUALS</t>
  </si>
  <si>
    <t xml:space="preserve">Shares &amp; Out of Perimeter </t>
  </si>
  <si>
    <t>LABOR COST TAKEN AS 2025H2 EURO FLAT</t>
  </si>
  <si>
    <t>TOTAL MFG COST w SHARES</t>
  </si>
  <si>
    <t>2026 CAPEX NOT CONSIREDED</t>
  </si>
  <si>
    <t>D</t>
  </si>
  <si>
    <t>I</t>
  </si>
  <si>
    <t xml:space="preserve">Cooking Plant  Manufacturing Cost Saving Projects </t>
  </si>
  <si>
    <t>Key Informations</t>
  </si>
  <si>
    <t>Internal</t>
  </si>
  <si>
    <t>Project Number</t>
  </si>
  <si>
    <t xml:space="preserve">Cost Effect </t>
  </si>
  <si>
    <t>Reference Point for Before</t>
  </si>
  <si>
    <t>Before</t>
  </si>
  <si>
    <t>After</t>
  </si>
  <si>
    <t>Saving</t>
  </si>
  <si>
    <t>ACE&amp;Cost Saving/Expences Reduction Project</t>
  </si>
  <si>
    <t>Yearly Saving</t>
  </si>
  <si>
    <t>Starting Date</t>
  </si>
  <si>
    <t>2026 Effect</t>
  </si>
  <si>
    <t>Responsible</t>
  </si>
  <si>
    <t>Department</t>
  </si>
  <si>
    <t>2026 ACE</t>
  </si>
  <si>
    <t>Temporary</t>
  </si>
  <si>
    <t>Calculation Method</t>
  </si>
  <si>
    <t>Calculation</t>
  </si>
  <si>
    <t>Type</t>
  </si>
  <si>
    <t>Budget 2026 volume</t>
  </si>
  <si>
    <t>Weighted Average TC
Min.</t>
  </si>
  <si>
    <t>Weighted Average TC
Hour</t>
  </si>
  <si>
    <t>2026 ACE SAVING</t>
  </si>
  <si>
    <t>Halino Productivity Increase (System UPH is 120)</t>
  </si>
  <si>
    <t>Fatih Sarı</t>
  </si>
  <si>
    <t>Technical Team</t>
  </si>
  <si>
    <t>Average TC x 2026 BDG qty x hourly cost x saving pers.</t>
  </si>
  <si>
    <t>HALINO</t>
  </si>
  <si>
    <t>Low Cost Worker Hiring</t>
  </si>
  <si>
    <t>TITANIUM</t>
  </si>
  <si>
    <t>TRIO</t>
  </si>
  <si>
    <t>DOUBLE OVEN</t>
  </si>
  <si>
    <t>Halino Sub Door Assembly Automation Project</t>
  </si>
  <si>
    <t>12186 Direct Hours Saving x hourly cost + ( 2257 fix cost/op.x5)-1 operatorfor machine*0.25 year</t>
  </si>
  <si>
    <t>TOTAL OVEN</t>
  </si>
  <si>
    <t>Halino Cavity Sub Assembly- Full Automated Line</t>
  </si>
  <si>
    <t>18309 Direct Hours Saving x hourly cost + ( 2257 fix cost/op.x8)-2 operatorfor machine*0.25 year</t>
  </si>
  <si>
    <t>GAS HOB</t>
  </si>
  <si>
    <t>Titanium- Halino Cavity Hanging-Presses and Transfer System with Robot</t>
  </si>
  <si>
    <t>4511 Direct Hours Saving x hourly cost + ( 2257 fix cost/op.x*1)*0.5 year</t>
  </si>
  <si>
    <t>SUPERNOVA HOB</t>
  </si>
  <si>
    <t xml:space="preserve">User Manuel Pack Automation </t>
  </si>
  <si>
    <t>5200 Direct Hours Saving x hourly cost + ( 2257 fix cost/op.x3) *0.5 year</t>
  </si>
  <si>
    <t>VTC</t>
  </si>
  <si>
    <t>TOTAL HOB</t>
  </si>
  <si>
    <t>DL TOTAL SAVING</t>
  </si>
  <si>
    <t>DIRECT TOTAL SAVING</t>
  </si>
  <si>
    <t>HOB CKD</t>
  </si>
  <si>
    <t>OVEN CKD</t>
  </si>
  <si>
    <t>6+6</t>
  </si>
  <si>
    <t>2 HC Reduction-step-1</t>
  </si>
  <si>
    <t>2 Ind.Saving x  salary x 12 (month) x 1.1 (fix cost)</t>
  </si>
  <si>
    <t>PACK</t>
  </si>
  <si>
    <t>4 HC Reduction-step-2 Internal Logistic</t>
  </si>
  <si>
    <t>4 Ind.Saving x salary x 12 (month) x 1.1 (fix cost)</t>
  </si>
  <si>
    <t>Total Production</t>
  </si>
  <si>
    <t>6 HC Reduction-step-3 Internal Logistic</t>
  </si>
  <si>
    <t>6 Ind.Saving x salary x 12 (month) x 1.1 (fix cost)</t>
  </si>
  <si>
    <t>Period</t>
  </si>
  <si>
    <t>Payroll Qty</t>
  </si>
  <si>
    <t>Product/Payroll</t>
  </si>
  <si>
    <t>Ind.CPU</t>
  </si>
  <si>
    <t>Ind.MPU</t>
  </si>
  <si>
    <t xml:space="preserve">Monthly Old  Worker Salary </t>
  </si>
  <si>
    <t>5 HC Reduction-step-4 Optimization</t>
  </si>
  <si>
    <t>5 Ind.Saving x salary x 9 (month) x 1.1 (fix cost)</t>
  </si>
  <si>
    <t>Monthly New Worker Salary</t>
  </si>
  <si>
    <t>Avarage Hourly Rate</t>
  </si>
  <si>
    <t>Avarege WC Salary</t>
  </si>
  <si>
    <t xml:space="preserve"> Potantial Saving</t>
  </si>
  <si>
    <t xml:space="preserve">CK Plant Indirect Operator Saving with AGV Project </t>
  </si>
  <si>
    <t>2 Ind.Saving x  salary x 1.1 (fix cost) x 0.5 year</t>
  </si>
  <si>
    <t>HC</t>
  </si>
  <si>
    <t>IND TOTAL SAVING</t>
  </si>
  <si>
    <t>INDIRECT TOTAL SAVING</t>
  </si>
  <si>
    <t>White Collar Step-1</t>
  </si>
  <si>
    <t>WC Downsizing step-1</t>
  </si>
  <si>
    <t>Sertaç Çakar</t>
  </si>
  <si>
    <t xml:space="preserve">Factory </t>
  </si>
  <si>
    <t>4 WC Saving x  salary x 12 (month) x 1.1 (fix cost)</t>
  </si>
  <si>
    <t>White Collar  Step-2</t>
  </si>
  <si>
    <t>WC Downsizing step-2</t>
  </si>
  <si>
    <t>1 WC Saving x  salary x 12 (month) x 1.1 (fix cost)</t>
  </si>
  <si>
    <t>Energy</t>
  </si>
  <si>
    <t>Natural gas consumption reduction on enamel furnace</t>
  </si>
  <si>
    <t>Estimation</t>
  </si>
  <si>
    <t>Enamel scrap reduction (process parameter optimization)</t>
  </si>
  <si>
    <t>İsmet Özcan</t>
  </si>
  <si>
    <t>Production</t>
  </si>
  <si>
    <t>Production Consumables</t>
  </si>
  <si>
    <t>Serigraphy paint and chemical Consumption Reduction</t>
  </si>
  <si>
    <t>Semi Fix Cost</t>
  </si>
  <si>
    <t>Service bus saturation increase</t>
  </si>
  <si>
    <t>Harzem</t>
  </si>
  <si>
    <t>H&amp;R</t>
  </si>
  <si>
    <t>F&amp;SF SAVING</t>
  </si>
  <si>
    <t>WHITE COLLAR &amp; OTHER MANUF. TOTAL SAVINGS</t>
  </si>
  <si>
    <t>Fix Cost</t>
  </si>
  <si>
    <t>Suat Ergün</t>
  </si>
  <si>
    <t>Planning</t>
  </si>
  <si>
    <t>Writeoff Benefit</t>
  </si>
  <si>
    <t>Erol Yıldız</t>
  </si>
  <si>
    <t>Finance</t>
  </si>
  <si>
    <t>%10 Writeoff Benefit</t>
  </si>
  <si>
    <t>PT</t>
  </si>
  <si>
    <t>Engineering Scrap Reduction</t>
  </si>
  <si>
    <t xml:space="preserve">Estimation </t>
  </si>
  <si>
    <t>Factory Driven PC</t>
  </si>
  <si>
    <t>Low cost enamel usage for Cata models</t>
  </si>
  <si>
    <t>Making big metal components in factory instead of outsourcing</t>
  </si>
  <si>
    <t>Finance Calculation</t>
  </si>
  <si>
    <t>Indirect Labor Volume EFF.</t>
  </si>
  <si>
    <t>Ind. Eff. Increase due to the volume increase</t>
  </si>
  <si>
    <t>Ind. MPU Delta Hour x Total 2026 Volume x hourly cost</t>
  </si>
  <si>
    <t>OTHER FACTORY DRIVEN TOTAL SAVINGS GROUP-3</t>
  </si>
  <si>
    <t>OTHER MFG SAVING</t>
  </si>
  <si>
    <t>MEALS</t>
  </si>
  <si>
    <t>Unit Prices For Cooking</t>
  </si>
  <si>
    <t>Capacity</t>
  </si>
  <si>
    <t>Target Saturation rate</t>
  </si>
  <si>
    <t>Minibus Target Capacity</t>
  </si>
  <si>
    <t>Unit price per HC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</si>
</sst>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_-* #,##0_-;\-* #,##0_-;_-* &quot;-&quot;??_-;_-@_-"/>
    <numFmt numFmtId="180" formatCode="&quot;₺&quot;#,##0"/>
    <numFmt numFmtId="181" formatCode="#,##0\ [$€-1]"/>
    <numFmt numFmtId="182" formatCode="#,##0.00\ [$€-1]"/>
    <numFmt numFmtId="183" formatCode="_(* #,##0_);_(* \(#,##0\);_(* &quot;-&quot;??_);_(@_)"/>
    <numFmt numFmtId="184" formatCode="0.0%"/>
    <numFmt numFmtId="185" formatCode="_([$€-2]\ * #,##0_);_([$€-2]\ * \(#,##0\);_([$€-2]\ * &quot;-&quot;??_);_(@_)"/>
    <numFmt numFmtId="186" formatCode="_([$€-2]\ * #,##0_);_([$€-2]\ * \(#,##0\);_([$€-2]\ * &quot;-&quot;?_);_(@_)"/>
    <numFmt numFmtId="187" formatCode="_([$€-2]\ * #,##0.00_);_([$€-2]\ * \(#,##0.00\);_([$€-2]\ * &quot;-&quot;??_);_(@_)"/>
    <numFmt numFmtId="188" formatCode="0.000"/>
    <numFmt numFmtId="189" formatCode="_([$€-2]\ * #,##0.0_);_([$€-2]\ * \(#,##0.0\);_([$€-2]\ * &quot;-&quot;??_);_(@_)"/>
    <numFmt numFmtId="190" formatCode="#,##0;\(#,##0\);&quot;-&quot;"/>
    <numFmt numFmtId="191" formatCode="0.00_);[Red]\(0.00\)"/>
  </numFmts>
  <fonts count="85">
    <font>
      <sz val="11"/>
      <color theme="1"/>
      <name val="等线"/>
      <charset val="162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Calibri"/>
      <charset val="134"/>
    </font>
    <font>
      <b/>
      <sz val="10"/>
      <color theme="0"/>
      <name val="Calibri"/>
      <charset val="134"/>
    </font>
    <font>
      <b/>
      <sz val="14"/>
      <color theme="0"/>
      <name val="等线"/>
      <charset val="134"/>
      <scheme val="minor"/>
    </font>
    <font>
      <sz val="10"/>
      <color theme="0"/>
      <name val="Calibri"/>
      <charset val="134"/>
    </font>
    <font>
      <b/>
      <sz val="16"/>
      <color theme="1"/>
      <name val="等线"/>
      <charset val="134"/>
      <scheme val="minor"/>
    </font>
    <font>
      <b/>
      <sz val="12"/>
      <color rgb="FFFFFFFF"/>
      <name val="Calibri"/>
      <charset val="134"/>
    </font>
    <font>
      <sz val="11"/>
      <name val="等线"/>
      <charset val="134"/>
      <scheme val="minor"/>
    </font>
    <font>
      <b/>
      <sz val="11"/>
      <color theme="1"/>
      <name val="等线"/>
      <charset val="162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sz val="9"/>
      <color rgb="FFFFFFFF"/>
      <name val="Calibri"/>
      <charset val="162"/>
    </font>
    <font>
      <sz val="9"/>
      <name val="Calibri"/>
      <charset val="162"/>
    </font>
    <font>
      <i/>
      <sz val="9"/>
      <name val="Calibri"/>
      <charset val="134"/>
    </font>
    <font>
      <i/>
      <sz val="9"/>
      <color rgb="FF00B050"/>
      <name val="Calibri"/>
      <charset val="134"/>
    </font>
    <font>
      <b/>
      <i/>
      <sz val="9"/>
      <name val="Calibri"/>
      <charset val="134"/>
    </font>
    <font>
      <sz val="9"/>
      <color rgb="FF000000"/>
      <name val="Calibri"/>
      <charset val="162"/>
    </font>
    <font>
      <i/>
      <sz val="9"/>
      <color rgb="FF000000"/>
      <name val="Calibri"/>
      <charset val="134"/>
    </font>
    <font>
      <b/>
      <sz val="9"/>
      <color rgb="FF000000"/>
      <name val="Calibri"/>
      <charset val="134"/>
    </font>
    <font>
      <b/>
      <i/>
      <sz val="9"/>
      <color rgb="FF000000"/>
      <name val="Calibri"/>
      <charset val="134"/>
    </font>
    <font>
      <b/>
      <i/>
      <sz val="9"/>
      <color rgb="FFFFFFFF"/>
      <name val="等线"/>
      <charset val="134"/>
      <scheme val="minor"/>
    </font>
    <font>
      <b/>
      <sz val="9"/>
      <name val="Calibri"/>
      <charset val="134"/>
    </font>
    <font>
      <b/>
      <sz val="9"/>
      <name val="Calibri"/>
      <charset val="162"/>
    </font>
    <font>
      <b/>
      <i/>
      <u/>
      <sz val="9"/>
      <name val="Calibri"/>
      <charset val="134"/>
    </font>
    <font>
      <b/>
      <i/>
      <sz val="9"/>
      <color theme="7"/>
      <name val="Calibri"/>
      <charset val="134"/>
    </font>
    <font>
      <sz val="9"/>
      <color theme="1"/>
      <name val="Calibri"/>
      <charset val="134"/>
    </font>
    <font>
      <sz val="9"/>
      <color theme="1"/>
      <name val="Calibri"/>
      <charset val="162"/>
    </font>
    <font>
      <sz val="9"/>
      <name val="Calibri"/>
      <charset val="134"/>
    </font>
    <font>
      <sz val="9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b/>
      <i/>
      <sz val="9"/>
      <color theme="0"/>
      <name val="等线"/>
      <charset val="134"/>
      <scheme val="minor"/>
    </font>
    <font>
      <b/>
      <sz val="9"/>
      <color theme="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rgb="FFFFFFFF"/>
      <name val="Aptos Narrow"/>
      <charset val="134"/>
    </font>
    <font>
      <sz val="11"/>
      <name val="Calibri"/>
      <charset val="162"/>
    </font>
    <font>
      <i/>
      <sz val="11"/>
      <name val="Calibri"/>
      <charset val="134"/>
    </font>
    <font>
      <i/>
      <sz val="11"/>
      <color rgb="FF00B050"/>
      <name val="Calibri"/>
      <charset val="134"/>
    </font>
    <font>
      <b/>
      <i/>
      <sz val="11"/>
      <name val="Calibri"/>
      <charset val="134"/>
    </font>
    <font>
      <sz val="11"/>
      <color rgb="FF000000"/>
      <name val="Calibri"/>
      <charset val="162"/>
    </font>
    <font>
      <i/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i/>
      <sz val="11"/>
      <color rgb="FF000000"/>
      <name val="Calibri"/>
      <charset val="134"/>
    </font>
    <font>
      <b/>
      <i/>
      <sz val="11"/>
      <color rgb="FFFFFFFF"/>
      <name val="Aptos Narrow"/>
      <charset val="134"/>
    </font>
    <font>
      <sz val="11"/>
      <name val="Calibri"/>
      <charset val="134"/>
    </font>
    <font>
      <i/>
      <sz val="12"/>
      <name val="Calibri"/>
      <charset val="134"/>
    </font>
    <font>
      <b/>
      <sz val="8"/>
      <color theme="1"/>
      <name val="等线"/>
      <charset val="134"/>
      <scheme val="minor"/>
    </font>
    <font>
      <b/>
      <sz val="8"/>
      <color rgb="FFFFFFFF"/>
      <name val="Calibri"/>
      <charset val="134"/>
    </font>
    <font>
      <sz val="8"/>
      <color rgb="FF000000"/>
      <name val="Calibri"/>
      <charset val="134"/>
    </font>
    <font>
      <sz val="8"/>
      <color rgb="FFFFFFFF"/>
      <name val="Calibri"/>
      <charset val="134"/>
    </font>
    <font>
      <sz val="8"/>
      <name val="Calibri"/>
      <charset val="134"/>
    </font>
    <font>
      <b/>
      <sz val="8"/>
      <name val="Calibri"/>
      <charset val="134"/>
    </font>
    <font>
      <sz val="8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1"/>
      <color rgb="FF00206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000000"/>
      <name val="Calibri"/>
      <charset val="162"/>
    </font>
    <font>
      <i/>
      <sz val="11"/>
      <color rgb="FFFF0000"/>
      <name val="Calibri"/>
      <charset val="134"/>
    </font>
    <font>
      <i/>
      <sz val="9"/>
      <color rgb="FF000000"/>
      <name val="Calibri"/>
      <charset val="162"/>
    </font>
    <font>
      <i/>
      <sz val="9"/>
      <color rgb="FFFF0000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5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73763"/>
        <bgColor rgb="FF073763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8" tint="0.599993896298105"/>
        <bgColor rgb="FFFF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" fillId="24" borderId="24" applyNumberFormat="0" applyFon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5" applyNumberFormat="0" applyFill="0" applyAlignment="0" applyProtection="0">
      <alignment vertical="center"/>
    </xf>
    <xf numFmtId="0" fontId="66" fillId="0" borderId="25" applyNumberFormat="0" applyFill="0" applyAlignment="0" applyProtection="0">
      <alignment vertical="center"/>
    </xf>
    <xf numFmtId="0" fontId="67" fillId="0" borderId="26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5" borderId="27" applyNumberFormat="0" applyAlignment="0" applyProtection="0">
      <alignment vertical="center"/>
    </xf>
    <xf numFmtId="0" fontId="69" fillId="26" borderId="28" applyNumberFormat="0" applyAlignment="0" applyProtection="0">
      <alignment vertical="center"/>
    </xf>
    <xf numFmtId="0" fontId="70" fillId="26" borderId="27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2" fillId="0" borderId="30" applyNumberFormat="0" applyFill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35" borderId="0" applyNumberFormat="0" applyBorder="0" applyAlignment="0" applyProtection="0">
      <alignment vertical="center"/>
    </xf>
    <xf numFmtId="0" fontId="77" fillId="36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78" fillId="39" borderId="0" applyNumberFormat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77" fillId="41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77" fillId="46" borderId="0" applyNumberFormat="0" applyBorder="0" applyAlignment="0" applyProtection="0">
      <alignment vertical="center"/>
    </xf>
    <xf numFmtId="0" fontId="77" fillId="47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0" fontId="3" fillId="0" borderId="0"/>
    <xf numFmtId="0" fontId="0" fillId="0" borderId="0"/>
    <xf numFmtId="9" fontId="3" fillId="0" borderId="0" applyFont="0" applyFill="0" applyBorder="0" applyAlignment="0" applyProtection="0"/>
  </cellStyleXfs>
  <cellXfs count="349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79" fontId="0" fillId="0" borderId="0" xfId="1" applyNumberFormat="1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180" fontId="0" fillId="0" borderId="4" xfId="0" applyNumberFormat="1" applyBorder="1"/>
    <xf numFmtId="0" fontId="2" fillId="2" borderId="0" xfId="0" applyFont="1" applyFill="1"/>
    <xf numFmtId="0" fontId="0" fillId="0" borderId="4" xfId="0" applyBorder="1"/>
    <xf numFmtId="179" fontId="0" fillId="0" borderId="0" xfId="0" applyNumberFormat="1"/>
    <xf numFmtId="0" fontId="3" fillId="0" borderId="0" xfId="52"/>
    <xf numFmtId="0" fontId="4" fillId="0" borderId="0" xfId="52" applyFont="1"/>
    <xf numFmtId="0" fontId="4" fillId="0" borderId="0" xfId="52" applyFont="1" applyAlignment="1">
      <alignment horizontal="center"/>
    </xf>
    <xf numFmtId="0" fontId="5" fillId="0" borderId="0" xfId="52" applyFont="1"/>
    <xf numFmtId="181" fontId="4" fillId="0" borderId="0" xfId="52" applyNumberFormat="1" applyFont="1"/>
    <xf numFmtId="0" fontId="6" fillId="0" borderId="0" xfId="52" applyFont="1" applyAlignment="1">
      <alignment horizontal="left"/>
    </xf>
    <xf numFmtId="182" fontId="4" fillId="0" borderId="0" xfId="52" applyNumberFormat="1" applyFont="1"/>
    <xf numFmtId="0" fontId="7" fillId="0" borderId="0" xfId="52" applyFont="1" applyAlignment="1">
      <alignment horizontal="center"/>
    </xf>
    <xf numFmtId="0" fontId="2" fillId="0" borderId="0" xfId="52" applyFont="1" applyAlignment="1">
      <alignment horizontal="center"/>
    </xf>
    <xf numFmtId="2" fontId="4" fillId="0" borderId="0" xfId="52" applyNumberFormat="1" applyFont="1" applyAlignment="1">
      <alignment horizontal="center"/>
    </xf>
    <xf numFmtId="183" fontId="4" fillId="0" borderId="0" xfId="49" applyNumberFormat="1" applyFont="1" applyFill="1" applyBorder="1" applyAlignment="1">
      <alignment horizontal="center"/>
    </xf>
    <xf numFmtId="2" fontId="2" fillId="0" borderId="0" xfId="52" applyNumberFormat="1" applyFont="1" applyAlignment="1">
      <alignment horizontal="center"/>
    </xf>
    <xf numFmtId="0" fontId="7" fillId="0" borderId="0" xfId="52" applyFont="1"/>
    <xf numFmtId="182" fontId="2" fillId="0" borderId="0" xfId="52" applyNumberFormat="1" applyFont="1"/>
    <xf numFmtId="0" fontId="8" fillId="0" borderId="0" xfId="52" applyFont="1" applyAlignment="1">
      <alignment horizontal="left"/>
    </xf>
    <xf numFmtId="0" fontId="9" fillId="0" borderId="4" xfId="52" applyFont="1" applyBorder="1" applyAlignment="1">
      <alignment horizontal="center"/>
    </xf>
    <xf numFmtId="0" fontId="10" fillId="3" borderId="5" xfId="54" applyFont="1" applyFill="1" applyBorder="1" applyAlignment="1">
      <alignment horizontal="center" vertical="center"/>
    </xf>
    <xf numFmtId="0" fontId="10" fillId="3" borderId="5" xfId="54" applyFont="1" applyFill="1" applyBorder="1" applyAlignment="1">
      <alignment horizontal="center" vertical="center" wrapText="1"/>
    </xf>
    <xf numFmtId="0" fontId="10" fillId="3" borderId="6" xfId="54" applyFont="1" applyFill="1" applyBorder="1" applyAlignment="1">
      <alignment horizontal="center" vertical="center"/>
    </xf>
    <xf numFmtId="0" fontId="10" fillId="3" borderId="6" xfId="54" applyFont="1" applyFill="1" applyBorder="1" applyAlignment="1">
      <alignment horizontal="center" vertical="center" wrapText="1"/>
    </xf>
    <xf numFmtId="0" fontId="3" fillId="4" borderId="4" xfId="52" applyFill="1" applyBorder="1" applyAlignment="1">
      <alignment horizontal="center" vertical="center"/>
    </xf>
    <xf numFmtId="17" fontId="3" fillId="4" borderId="4" xfId="52" applyNumberFormat="1" applyFill="1" applyBorder="1" applyAlignment="1">
      <alignment horizontal="center" vertical="center"/>
    </xf>
    <xf numFmtId="184" fontId="0" fillId="4" borderId="4" xfId="55" applyNumberFormat="1" applyFont="1" applyFill="1" applyBorder="1" applyAlignment="1">
      <alignment horizontal="center" vertical="center"/>
    </xf>
    <xf numFmtId="0" fontId="3" fillId="4" borderId="4" xfId="52" applyFill="1" applyBorder="1" applyAlignment="1">
      <alignment horizontal="left" vertical="center"/>
    </xf>
    <xf numFmtId="185" fontId="11" fillId="4" borderId="4" xfId="52" applyNumberFormat="1" applyFont="1" applyFill="1" applyBorder="1" applyAlignment="1">
      <alignment horizontal="center" vertical="center"/>
    </xf>
    <xf numFmtId="0" fontId="3" fillId="4" borderId="5" xfId="52" applyFill="1" applyBorder="1" applyAlignment="1">
      <alignment horizontal="center" vertical="center"/>
    </xf>
    <xf numFmtId="185" fontId="3" fillId="4" borderId="4" xfId="52" applyNumberFormat="1" applyFill="1" applyBorder="1" applyAlignment="1">
      <alignment horizontal="center" vertical="center"/>
    </xf>
    <xf numFmtId="0" fontId="3" fillId="4" borderId="7" xfId="52" applyFill="1" applyBorder="1" applyAlignment="1">
      <alignment horizontal="center" vertical="center"/>
    </xf>
    <xf numFmtId="0" fontId="3" fillId="4" borderId="6" xfId="52" applyFill="1" applyBorder="1" applyAlignment="1">
      <alignment horizontal="center" vertical="center"/>
    </xf>
    <xf numFmtId="0" fontId="3" fillId="4" borderId="4" xfId="52" applyFill="1" applyBorder="1" applyAlignment="1">
      <alignment horizontal="left" vertical="center" wrapText="1"/>
    </xf>
    <xf numFmtId="185" fontId="0" fillId="4" borderId="4" xfId="51" applyNumberFormat="1" applyFont="1" applyFill="1" applyBorder="1" applyAlignment="1">
      <alignment horizontal="center" vertical="center"/>
    </xf>
    <xf numFmtId="0" fontId="3" fillId="0" borderId="4" xfId="52" applyBorder="1" applyAlignment="1">
      <alignment horizontal="center" vertical="center"/>
    </xf>
    <xf numFmtId="17" fontId="3" fillId="0" borderId="4" xfId="52" applyNumberFormat="1" applyBorder="1" applyAlignment="1">
      <alignment horizontal="center" vertical="center"/>
    </xf>
    <xf numFmtId="0" fontId="3" fillId="0" borderId="4" xfId="52" applyBorder="1" applyAlignment="1">
      <alignment horizontal="left" vertical="center"/>
    </xf>
    <xf numFmtId="185" fontId="3" fillId="0" borderId="4" xfId="52" applyNumberFormat="1" applyBorder="1" applyAlignment="1">
      <alignment horizontal="center" vertical="center"/>
    </xf>
    <xf numFmtId="0" fontId="3" fillId="5" borderId="4" xfId="52" applyFill="1" applyBorder="1" applyAlignment="1">
      <alignment horizontal="center" vertical="center"/>
    </xf>
    <xf numFmtId="0" fontId="3" fillId="5" borderId="4" xfId="52" applyFill="1" applyBorder="1" applyAlignment="1">
      <alignment horizontal="center" vertical="center" wrapText="1"/>
    </xf>
    <xf numFmtId="0" fontId="3" fillId="5" borderId="4" xfId="52" applyFill="1" applyBorder="1" applyAlignment="1">
      <alignment horizontal="left" vertical="center"/>
    </xf>
    <xf numFmtId="185" fontId="3" fillId="5" borderId="4" xfId="52" applyNumberFormat="1" applyFill="1" applyBorder="1" applyAlignment="1">
      <alignment horizontal="center" vertical="center"/>
    </xf>
    <xf numFmtId="17" fontId="3" fillId="5" borderId="4" xfId="52" applyNumberFormat="1" applyFill="1" applyBorder="1" applyAlignment="1">
      <alignment horizontal="center" vertical="center"/>
    </xf>
    <xf numFmtId="0" fontId="3" fillId="5" borderId="5" xfId="52" applyFill="1" applyBorder="1" applyAlignment="1">
      <alignment horizontal="center" vertical="center"/>
    </xf>
    <xf numFmtId="0" fontId="3" fillId="5" borderId="7" xfId="52" applyFill="1" applyBorder="1" applyAlignment="1">
      <alignment horizontal="center" vertical="center"/>
    </xf>
    <xf numFmtId="0" fontId="3" fillId="5" borderId="6" xfId="52" applyFill="1" applyBorder="1" applyAlignment="1">
      <alignment horizontal="center" vertical="center"/>
    </xf>
    <xf numFmtId="0" fontId="3" fillId="6" borderId="4" xfId="52" applyFill="1" applyBorder="1" applyAlignment="1">
      <alignment horizontal="center" vertical="center"/>
    </xf>
    <xf numFmtId="0" fontId="3" fillId="6" borderId="4" xfId="52" applyFill="1" applyBorder="1" applyAlignment="1">
      <alignment horizontal="left" vertical="center"/>
    </xf>
    <xf numFmtId="185" fontId="3" fillId="6" borderId="4" xfId="52" applyNumberFormat="1" applyFill="1" applyBorder="1" applyAlignment="1">
      <alignment horizontal="center" vertical="center"/>
    </xf>
    <xf numFmtId="17" fontId="3" fillId="6" borderId="4" xfId="52" applyNumberFormat="1" applyFill="1" applyBorder="1" applyAlignment="1">
      <alignment horizontal="center" vertical="center"/>
    </xf>
    <xf numFmtId="0" fontId="11" fillId="7" borderId="4" xfId="52" applyFont="1" applyFill="1" applyBorder="1" applyAlignment="1">
      <alignment horizontal="center" vertical="center"/>
    </xf>
    <xf numFmtId="0" fontId="11" fillId="7" borderId="4" xfId="52" applyFont="1" applyFill="1" applyBorder="1" applyAlignment="1">
      <alignment horizontal="left" vertical="center"/>
    </xf>
    <xf numFmtId="185" fontId="11" fillId="7" borderId="4" xfId="52" applyNumberFormat="1" applyFont="1" applyFill="1" applyBorder="1" applyAlignment="1">
      <alignment horizontal="center" vertical="center"/>
    </xf>
    <xf numFmtId="0" fontId="9" fillId="0" borderId="0" xfId="52" applyFont="1" applyAlignment="1">
      <alignment horizontal="center"/>
    </xf>
    <xf numFmtId="0" fontId="9" fillId="0" borderId="4" xfId="52" applyFont="1" applyBorder="1" applyAlignment="1">
      <alignment horizontal="center" vertical="center"/>
    </xf>
    <xf numFmtId="0" fontId="10" fillId="3" borderId="7" xfId="54" applyFont="1" applyFill="1" applyBorder="1" applyAlignment="1">
      <alignment horizontal="center" vertical="center"/>
    </xf>
    <xf numFmtId="0" fontId="1" fillId="8" borderId="4" xfId="52" applyFont="1" applyFill="1" applyBorder="1" applyAlignment="1">
      <alignment horizontal="center" vertical="center"/>
    </xf>
    <xf numFmtId="0" fontId="1" fillId="8" borderId="8" xfId="52" applyFont="1" applyFill="1" applyBorder="1" applyAlignment="1">
      <alignment horizontal="center" vertical="center"/>
    </xf>
    <xf numFmtId="0" fontId="3" fillId="0" borderId="4" xfId="52" applyBorder="1"/>
    <xf numFmtId="0" fontId="12" fillId="0" borderId="4" xfId="52" applyFont="1" applyBorder="1" applyAlignment="1">
      <alignment horizontal="center" vertical="center" wrapText="1"/>
    </xf>
    <xf numFmtId="9" fontId="0" fillId="4" borderId="4" xfId="55" applyFont="1" applyFill="1" applyBorder="1" applyAlignment="1">
      <alignment horizontal="center" vertical="center"/>
    </xf>
    <xf numFmtId="186" fontId="3" fillId="4" borderId="8" xfId="52" applyNumberFormat="1" applyFill="1" applyBorder="1"/>
    <xf numFmtId="9" fontId="0" fillId="4" borderId="5" xfId="55" applyFont="1" applyFill="1" applyBorder="1" applyAlignment="1">
      <alignment horizontal="center" vertical="center"/>
    </xf>
    <xf numFmtId="9" fontId="0" fillId="4" borderId="7" xfId="55" applyFont="1" applyFill="1" applyBorder="1" applyAlignment="1">
      <alignment horizontal="center" vertical="center"/>
    </xf>
    <xf numFmtId="9" fontId="0" fillId="4" borderId="6" xfId="55" applyFont="1" applyFill="1" applyBorder="1" applyAlignment="1">
      <alignment horizontal="center" vertical="center"/>
    </xf>
    <xf numFmtId="0" fontId="1" fillId="0" borderId="4" xfId="52" applyFont="1" applyBorder="1"/>
    <xf numFmtId="9" fontId="0" fillId="0" borderId="4" xfId="55" applyFont="1" applyFill="1" applyBorder="1" applyAlignment="1">
      <alignment horizontal="center" vertical="center"/>
    </xf>
    <xf numFmtId="9" fontId="1" fillId="0" borderId="4" xfId="55" applyFont="1" applyFill="1" applyBorder="1" applyAlignment="1">
      <alignment horizontal="right" vertical="center"/>
    </xf>
    <xf numFmtId="187" fontId="1" fillId="0" borderId="8" xfId="52" applyNumberFormat="1" applyFont="1" applyBorder="1"/>
    <xf numFmtId="9" fontId="0" fillId="5" borderId="4" xfId="55" applyFont="1" applyFill="1" applyBorder="1" applyAlignment="1">
      <alignment horizontal="center" vertical="center"/>
    </xf>
    <xf numFmtId="186" fontId="3" fillId="5" borderId="8" xfId="52" applyNumberFormat="1" applyFill="1" applyBorder="1"/>
    <xf numFmtId="0" fontId="3" fillId="0" borderId="4" xfId="52" applyBorder="1" applyAlignment="1">
      <alignment horizontal="right"/>
    </xf>
    <xf numFmtId="9" fontId="0" fillId="5" borderId="5" xfId="55" applyFont="1" applyFill="1" applyBorder="1" applyAlignment="1">
      <alignment horizontal="center" vertical="center"/>
    </xf>
    <xf numFmtId="9" fontId="0" fillId="5" borderId="7" xfId="55" applyFont="1" applyFill="1" applyBorder="1" applyAlignment="1">
      <alignment horizontal="center" vertical="center"/>
    </xf>
    <xf numFmtId="9" fontId="0" fillId="5" borderId="6" xfId="55" applyFont="1" applyFill="1" applyBorder="1" applyAlignment="1">
      <alignment horizontal="center" vertical="center"/>
    </xf>
    <xf numFmtId="186" fontId="1" fillId="0" borderId="8" xfId="52" applyNumberFormat="1" applyFont="1" applyBorder="1"/>
    <xf numFmtId="9" fontId="0" fillId="6" borderId="4" xfId="55" applyFont="1" applyFill="1" applyBorder="1" applyAlignment="1">
      <alignment horizontal="center" vertical="center"/>
    </xf>
    <xf numFmtId="186" fontId="3" fillId="6" borderId="8" xfId="52" applyNumberFormat="1" applyFill="1" applyBorder="1"/>
    <xf numFmtId="9" fontId="0" fillId="6" borderId="0" xfId="55" applyFont="1" applyFill="1" applyBorder="1" applyAlignment="1">
      <alignment horizontal="center" vertical="center"/>
    </xf>
    <xf numFmtId="185" fontId="3" fillId="0" borderId="8" xfId="52" applyNumberFormat="1" applyBorder="1" applyAlignment="1">
      <alignment horizontal="center" vertical="center"/>
    </xf>
    <xf numFmtId="9" fontId="11" fillId="7" borderId="4" xfId="55" applyFont="1" applyFill="1" applyBorder="1" applyAlignment="1">
      <alignment horizontal="center" vertical="center"/>
    </xf>
    <xf numFmtId="186" fontId="11" fillId="7" borderId="8" xfId="52" applyNumberFormat="1" applyFont="1" applyFill="1" applyBorder="1"/>
    <xf numFmtId="0" fontId="9" fillId="0" borderId="0" xfId="52" applyFont="1" applyAlignment="1">
      <alignment vertical="center"/>
    </xf>
    <xf numFmtId="0" fontId="9" fillId="0" borderId="0" xfId="52" applyFont="1" applyAlignment="1">
      <alignment horizontal="center" vertical="center"/>
    </xf>
    <xf numFmtId="183" fontId="0" fillId="0" borderId="4" xfId="49" applyNumberFormat="1" applyFont="1" applyBorder="1" applyAlignment="1">
      <alignment horizontal="center"/>
    </xf>
    <xf numFmtId="0" fontId="3" fillId="0" borderId="4" xfId="52" applyBorder="1" applyAlignment="1">
      <alignment horizontal="center"/>
    </xf>
    <xf numFmtId="2" fontId="3" fillId="0" borderId="4" xfId="52" applyNumberFormat="1" applyBorder="1" applyAlignment="1">
      <alignment horizontal="center"/>
    </xf>
    <xf numFmtId="183" fontId="0" fillId="4" borderId="4" xfId="49" applyNumberFormat="1" applyFont="1" applyFill="1" applyBorder="1" applyAlignment="1">
      <alignment horizontal="center" vertical="center"/>
    </xf>
    <xf numFmtId="183" fontId="0" fillId="4" borderId="5" xfId="49" applyNumberFormat="1" applyFont="1" applyFill="1" applyBorder="1" applyAlignment="1">
      <alignment horizontal="center" vertical="center"/>
    </xf>
    <xf numFmtId="183" fontId="0" fillId="4" borderId="7" xfId="49" applyNumberFormat="1" applyFont="1" applyFill="1" applyBorder="1" applyAlignment="1">
      <alignment horizontal="center" vertical="center"/>
    </xf>
    <xf numFmtId="183" fontId="0" fillId="4" borderId="6" xfId="49" applyNumberFormat="1" applyFont="1" applyFill="1" applyBorder="1" applyAlignment="1">
      <alignment horizontal="center" vertical="center"/>
    </xf>
    <xf numFmtId="183" fontId="1" fillId="0" borderId="4" xfId="49" applyNumberFormat="1" applyFont="1" applyBorder="1" applyAlignment="1">
      <alignment horizontal="center"/>
    </xf>
    <xf numFmtId="0" fontId="1" fillId="0" borderId="4" xfId="52" applyFont="1" applyBorder="1" applyAlignment="1">
      <alignment horizontal="center"/>
    </xf>
    <xf numFmtId="183" fontId="0" fillId="0" borderId="0" xfId="49" applyNumberFormat="1" applyFont="1"/>
    <xf numFmtId="183" fontId="0" fillId="5" borderId="4" xfId="49" applyNumberFormat="1" applyFont="1" applyFill="1" applyBorder="1" applyAlignment="1">
      <alignment horizontal="center" vertical="center"/>
    </xf>
    <xf numFmtId="183" fontId="1" fillId="0" borderId="4" xfId="49" applyNumberFormat="1" applyFont="1" applyBorder="1"/>
    <xf numFmtId="185" fontId="1" fillId="0" borderId="4" xfId="52" applyNumberFormat="1" applyFont="1" applyBorder="1"/>
    <xf numFmtId="188" fontId="1" fillId="0" borderId="4" xfId="52" applyNumberFormat="1" applyFont="1" applyBorder="1"/>
    <xf numFmtId="187" fontId="3" fillId="0" borderId="4" xfId="52" applyNumberFormat="1" applyBorder="1"/>
    <xf numFmtId="2" fontId="3" fillId="0" borderId="4" xfId="52" applyNumberFormat="1" applyBorder="1"/>
    <xf numFmtId="185" fontId="3" fillId="0" borderId="4" xfId="52" applyNumberFormat="1" applyBorder="1"/>
    <xf numFmtId="177" fontId="3" fillId="0" borderId="4" xfId="52" applyNumberFormat="1" applyBorder="1"/>
    <xf numFmtId="189" fontId="3" fillId="0" borderId="4" xfId="52" applyNumberFormat="1" applyBorder="1"/>
    <xf numFmtId="183" fontId="0" fillId="5" borderId="5" xfId="49" applyNumberFormat="1" applyFont="1" applyFill="1" applyBorder="1" applyAlignment="1">
      <alignment horizontal="center" vertical="center"/>
    </xf>
    <xf numFmtId="183" fontId="0" fillId="5" borderId="7" xfId="49" applyNumberFormat="1" applyFont="1" applyFill="1" applyBorder="1" applyAlignment="1">
      <alignment horizontal="center" vertical="center"/>
    </xf>
    <xf numFmtId="184" fontId="0" fillId="0" borderId="4" xfId="55" applyNumberFormat="1" applyFont="1" applyBorder="1"/>
    <xf numFmtId="183" fontId="0" fillId="5" borderId="6" xfId="49" applyNumberFormat="1" applyFont="1" applyFill="1" applyBorder="1" applyAlignment="1">
      <alignment horizontal="center" vertical="center"/>
    </xf>
    <xf numFmtId="183" fontId="0" fillId="6" borderId="4" xfId="49" applyNumberFormat="1" applyFont="1" applyFill="1" applyBorder="1" applyAlignment="1">
      <alignment horizontal="center" vertical="center"/>
    </xf>
    <xf numFmtId="177" fontId="0" fillId="0" borderId="0" xfId="49" applyFont="1"/>
    <xf numFmtId="183" fontId="11" fillId="7" borderId="4" xfId="49" applyNumberFormat="1" applyFont="1" applyFill="1" applyBorder="1" applyAlignment="1">
      <alignment horizontal="center" vertical="center"/>
    </xf>
    <xf numFmtId="183" fontId="3" fillId="0" borderId="0" xfId="52" applyNumberFormat="1"/>
    <xf numFmtId="0" fontId="1" fillId="0" borderId="0" xfId="52" applyFont="1"/>
    <xf numFmtId="3" fontId="3" fillId="0" borderId="0" xfId="52" applyNumberFormat="1"/>
    <xf numFmtId="2" fontId="11" fillId="7" borderId="4" xfId="52" applyNumberFormat="1" applyFont="1" applyFill="1" applyBorder="1" applyAlignment="1">
      <alignment horizontal="center" vertical="center"/>
    </xf>
    <xf numFmtId="187" fontId="1" fillId="0" borderId="0" xfId="52" applyNumberFormat="1" applyFont="1"/>
    <xf numFmtId="185" fontId="11" fillId="7" borderId="8" xfId="52" applyNumberFormat="1" applyFont="1" applyFill="1" applyBorder="1"/>
    <xf numFmtId="9" fontId="0" fillId="4" borderId="0" xfId="55" applyFont="1" applyFill="1" applyBorder="1" applyAlignment="1">
      <alignment horizontal="center" vertical="center"/>
    </xf>
    <xf numFmtId="0" fontId="13" fillId="0" borderId="0" xfId="53" applyFont="1"/>
    <xf numFmtId="0" fontId="14" fillId="0" borderId="0" xfId="53" applyFont="1"/>
    <xf numFmtId="0" fontId="15" fillId="9" borderId="5" xfId="53" applyFont="1" applyFill="1" applyBorder="1" applyAlignment="1">
      <alignment horizontal="center" vertical="center" wrapText="1"/>
    </xf>
    <xf numFmtId="0" fontId="15" fillId="9" borderId="9" xfId="53" applyFont="1" applyFill="1" applyBorder="1" applyAlignment="1">
      <alignment horizontal="center" vertical="center" wrapText="1"/>
    </xf>
    <xf numFmtId="0" fontId="15" fillId="9" borderId="10" xfId="53" applyFont="1" applyFill="1" applyBorder="1" applyAlignment="1">
      <alignment horizontal="center" vertical="center" wrapText="1"/>
    </xf>
    <xf numFmtId="0" fontId="16" fillId="0" borderId="11" xfId="53" applyFont="1" applyBorder="1" applyAlignment="1">
      <alignment horizontal="center"/>
    </xf>
    <xf numFmtId="0" fontId="15" fillId="9" borderId="12" xfId="53" applyFont="1" applyFill="1" applyBorder="1" applyAlignment="1">
      <alignment horizontal="center" vertical="center" wrapText="1"/>
    </xf>
    <xf numFmtId="0" fontId="15" fillId="9" borderId="13" xfId="53" applyFont="1" applyFill="1" applyBorder="1" applyAlignment="1">
      <alignment horizontal="center" vertical="center" wrapText="1"/>
    </xf>
    <xf numFmtId="0" fontId="17" fillId="0" borderId="0" xfId="53" applyFont="1"/>
    <xf numFmtId="0" fontId="15" fillId="9" borderId="6" xfId="53" applyFont="1" applyFill="1" applyBorder="1" applyAlignment="1">
      <alignment horizontal="center" vertical="center" wrapText="1"/>
    </xf>
    <xf numFmtId="0" fontId="15" fillId="9" borderId="14" xfId="53" applyFont="1" applyFill="1" applyBorder="1" applyAlignment="1">
      <alignment horizontal="center" vertical="center" wrapText="1"/>
    </xf>
    <xf numFmtId="0" fontId="15" fillId="9" borderId="15" xfId="53" applyFont="1" applyFill="1" applyBorder="1" applyAlignment="1">
      <alignment horizontal="center" vertical="center" wrapText="1"/>
    </xf>
    <xf numFmtId="0" fontId="15" fillId="9" borderId="11" xfId="53" applyFont="1" applyFill="1" applyBorder="1" applyAlignment="1">
      <alignment horizontal="center" vertical="center" wrapText="1"/>
    </xf>
    <xf numFmtId="3" fontId="18" fillId="10" borderId="8" xfId="53" applyNumberFormat="1" applyFont="1" applyFill="1" applyBorder="1" applyAlignment="1">
      <alignment horizontal="center" vertical="center"/>
    </xf>
    <xf numFmtId="3" fontId="18" fillId="10" borderId="16" xfId="53" applyNumberFormat="1" applyFont="1" applyFill="1" applyBorder="1" applyAlignment="1">
      <alignment horizontal="center" vertical="center"/>
    </xf>
    <xf numFmtId="0" fontId="16" fillId="0" borderId="0" xfId="53" applyFont="1" applyAlignment="1">
      <alignment horizontal="center"/>
    </xf>
    <xf numFmtId="0" fontId="19" fillId="0" borderId="0" xfId="53" applyFont="1" applyAlignment="1">
      <alignment horizontal="center" vertical="center"/>
    </xf>
    <xf numFmtId="0" fontId="17" fillId="0" borderId="9" xfId="53" applyFont="1" applyBorder="1"/>
    <xf numFmtId="0" fontId="17" fillId="0" borderId="11" xfId="53" applyFont="1" applyBorder="1"/>
    <xf numFmtId="0" fontId="17" fillId="0" borderId="10" xfId="53" applyFont="1" applyBorder="1"/>
    <xf numFmtId="0" fontId="20" fillId="11" borderId="8" xfId="53" applyFont="1" applyFill="1" applyBorder="1" applyAlignment="1">
      <alignment horizontal="center"/>
    </xf>
    <xf numFmtId="0" fontId="20" fillId="11" borderId="4" xfId="53" applyFont="1" applyFill="1" applyBorder="1" applyAlignment="1">
      <alignment horizontal="center"/>
    </xf>
    <xf numFmtId="0" fontId="20" fillId="11" borderId="11" xfId="53" applyFont="1" applyFill="1" applyBorder="1" applyAlignment="1">
      <alignment horizontal="center"/>
    </xf>
    <xf numFmtId="0" fontId="20" fillId="11" borderId="7" xfId="53" applyFont="1" applyFill="1" applyBorder="1" applyAlignment="1">
      <alignment horizontal="center"/>
    </xf>
    <xf numFmtId="0" fontId="15" fillId="9" borderId="7" xfId="53" applyFont="1" applyFill="1" applyBorder="1" applyAlignment="1">
      <alignment horizontal="center" vertical="center"/>
    </xf>
    <xf numFmtId="0" fontId="21" fillId="0" borderId="5" xfId="53" applyFont="1" applyBorder="1"/>
    <xf numFmtId="3" fontId="21" fillId="0" borderId="7" xfId="53" applyNumberFormat="1" applyFont="1" applyBorder="1" applyAlignment="1">
      <alignment horizontal="right"/>
    </xf>
    <xf numFmtId="4" fontId="22" fillId="0" borderId="7" xfId="53" applyNumberFormat="1" applyFont="1" applyBorder="1" applyAlignment="1">
      <alignment horizontal="right"/>
    </xf>
    <xf numFmtId="0" fontId="16" fillId="0" borderId="0" xfId="53" applyFont="1" applyAlignment="1">
      <alignment horizontal="right"/>
    </xf>
    <xf numFmtId="3" fontId="21" fillId="0" borderId="11" xfId="53" applyNumberFormat="1" applyFont="1" applyBorder="1" applyAlignment="1">
      <alignment horizontal="right"/>
    </xf>
    <xf numFmtId="2" fontId="22" fillId="0" borderId="7" xfId="53" applyNumberFormat="1" applyFont="1" applyBorder="1" applyAlignment="1">
      <alignment horizontal="right"/>
    </xf>
    <xf numFmtId="177" fontId="17" fillId="0" borderId="0" xfId="53" applyNumberFormat="1" applyFont="1" applyAlignment="1">
      <alignment horizontal="right"/>
    </xf>
    <xf numFmtId="0" fontId="21" fillId="0" borderId="7" xfId="53" applyFont="1" applyBorder="1"/>
    <xf numFmtId="0" fontId="23" fillId="10" borderId="7" xfId="53" applyFont="1" applyFill="1" applyBorder="1"/>
    <xf numFmtId="3" fontId="23" fillId="10" borderId="7" xfId="53" applyNumberFormat="1" applyFont="1" applyFill="1" applyBorder="1" applyAlignment="1">
      <alignment horizontal="right"/>
    </xf>
    <xf numFmtId="4" fontId="24" fillId="10" borderId="7" xfId="53" applyNumberFormat="1" applyFont="1" applyFill="1" applyBorder="1" applyAlignment="1">
      <alignment horizontal="right"/>
    </xf>
    <xf numFmtId="3" fontId="23" fillId="10" borderId="11" xfId="53" applyNumberFormat="1" applyFont="1" applyFill="1" applyBorder="1" applyAlignment="1">
      <alignment horizontal="right"/>
    </xf>
    <xf numFmtId="2" fontId="24" fillId="10" borderId="7" xfId="53" applyNumberFormat="1" applyFont="1" applyFill="1" applyBorder="1" applyAlignment="1">
      <alignment horizontal="right"/>
    </xf>
    <xf numFmtId="3" fontId="15" fillId="9" borderId="6" xfId="53" applyNumberFormat="1" applyFont="1" applyFill="1" applyBorder="1" applyAlignment="1">
      <alignment horizontal="right" vertical="center" wrapText="1"/>
    </xf>
    <xf numFmtId="4" fontId="25" fillId="9" borderId="6" xfId="53" applyNumberFormat="1" applyFont="1" applyFill="1" applyBorder="1" applyAlignment="1">
      <alignment horizontal="right" vertical="center" wrapText="1"/>
    </xf>
    <xf numFmtId="3" fontId="15" fillId="9" borderId="7" xfId="53" applyNumberFormat="1" applyFont="1" applyFill="1" applyBorder="1" applyAlignment="1">
      <alignment horizontal="right" vertical="center" wrapText="1"/>
    </xf>
    <xf numFmtId="2" fontId="25" fillId="9" borderId="7" xfId="53" applyNumberFormat="1" applyFont="1" applyFill="1" applyBorder="1" applyAlignment="1">
      <alignment horizontal="right" vertical="center" wrapText="1"/>
    </xf>
    <xf numFmtId="0" fontId="21" fillId="0" borderId="4" xfId="53" applyFont="1" applyBorder="1"/>
    <xf numFmtId="3" fontId="21" fillId="0" borderId="4" xfId="53" applyNumberFormat="1" applyFont="1" applyBorder="1" applyAlignment="1">
      <alignment horizontal="right"/>
    </xf>
    <xf numFmtId="4" fontId="22" fillId="0" borderId="4" xfId="53" applyNumberFormat="1" applyFont="1" applyBorder="1" applyAlignment="1">
      <alignment horizontal="right"/>
    </xf>
    <xf numFmtId="183" fontId="21" fillId="0" borderId="7" xfId="50" applyNumberFormat="1" applyFont="1" applyBorder="1" applyAlignment="1">
      <alignment horizontal="right"/>
    </xf>
    <xf numFmtId="0" fontId="17" fillId="0" borderId="0" xfId="53" applyFont="1" applyAlignment="1">
      <alignment horizontal="right"/>
    </xf>
    <xf numFmtId="0" fontId="15" fillId="9" borderId="6" xfId="53" applyFont="1" applyFill="1" applyBorder="1" applyAlignment="1">
      <alignment horizontal="center" vertical="center"/>
    </xf>
    <xf numFmtId="0" fontId="15" fillId="12" borderId="6" xfId="53" applyFont="1" applyFill="1" applyBorder="1" applyAlignment="1">
      <alignment horizontal="center" vertical="center" wrapText="1"/>
    </xf>
    <xf numFmtId="3" fontId="15" fillId="12" borderId="6" xfId="53" applyNumberFormat="1" applyFont="1" applyFill="1" applyBorder="1" applyAlignment="1">
      <alignment horizontal="right" vertical="center" wrapText="1"/>
    </xf>
    <xf numFmtId="177" fontId="15" fillId="12" borderId="6" xfId="50" applyFont="1" applyFill="1" applyBorder="1" applyAlignment="1">
      <alignment horizontal="right" vertical="center" wrapText="1"/>
    </xf>
    <xf numFmtId="3" fontId="17" fillId="0" borderId="0" xfId="53" applyNumberFormat="1" applyFont="1" applyAlignment="1">
      <alignment horizontal="right"/>
    </xf>
    <xf numFmtId="3" fontId="21" fillId="0" borderId="5" xfId="53" applyNumberFormat="1" applyFont="1" applyBorder="1" applyAlignment="1">
      <alignment horizontal="right"/>
    </xf>
    <xf numFmtId="4" fontId="22" fillId="0" borderId="5" xfId="53" applyNumberFormat="1" applyFont="1" applyBorder="1" applyAlignment="1">
      <alignment horizontal="right"/>
    </xf>
    <xf numFmtId="3" fontId="21" fillId="0" borderId="12" xfId="53" applyNumberFormat="1" applyFont="1" applyBorder="1" applyAlignment="1">
      <alignment horizontal="right"/>
    </xf>
    <xf numFmtId="2" fontId="22" fillId="0" borderId="5" xfId="53" applyNumberFormat="1" applyFont="1" applyBorder="1" applyAlignment="1">
      <alignment horizontal="right"/>
    </xf>
    <xf numFmtId="0" fontId="15" fillId="9" borderId="7" xfId="53" applyFont="1" applyFill="1" applyBorder="1" applyAlignment="1">
      <alignment horizontal="center" vertical="center" wrapText="1"/>
    </xf>
    <xf numFmtId="3" fontId="17" fillId="0" borderId="11" xfId="53" applyNumberFormat="1" applyFont="1" applyBorder="1" applyAlignment="1">
      <alignment horizontal="right"/>
    </xf>
    <xf numFmtId="0" fontId="21" fillId="0" borderId="6" xfId="53" applyFont="1" applyBorder="1"/>
    <xf numFmtId="3" fontId="17" fillId="0" borderId="2" xfId="53" applyNumberFormat="1" applyFont="1" applyBorder="1" applyAlignment="1">
      <alignment horizontal="right"/>
    </xf>
    <xf numFmtId="4" fontId="22" fillId="0" borderId="6" xfId="53" applyNumberFormat="1" applyFont="1" applyBorder="1" applyAlignment="1">
      <alignment horizontal="right"/>
    </xf>
    <xf numFmtId="2" fontId="22" fillId="0" borderId="6" xfId="53" applyNumberFormat="1" applyFont="1" applyBorder="1" applyAlignment="1">
      <alignment horizontal="right"/>
    </xf>
    <xf numFmtId="4" fontId="15" fillId="12" borderId="6" xfId="53" applyNumberFormat="1" applyFont="1" applyFill="1" applyBorder="1" applyAlignment="1">
      <alignment horizontal="right" vertical="center" wrapText="1"/>
    </xf>
    <xf numFmtId="0" fontId="16" fillId="13" borderId="0" xfId="53" applyFont="1" applyFill="1" applyAlignment="1">
      <alignment horizontal="right"/>
    </xf>
    <xf numFmtId="3" fontId="26" fillId="0" borderId="0" xfId="53" applyNumberFormat="1" applyFont="1" applyAlignment="1">
      <alignment horizontal="right"/>
    </xf>
    <xf numFmtId="3" fontId="17" fillId="0" borderId="12" xfId="53" applyNumberFormat="1" applyFont="1" applyBorder="1" applyAlignment="1">
      <alignment horizontal="right"/>
    </xf>
    <xf numFmtId="183" fontId="15" fillId="9" borderId="6" xfId="50" applyNumberFormat="1" applyFont="1" applyFill="1" applyBorder="1" applyAlignment="1">
      <alignment horizontal="right" vertical="center" wrapText="1"/>
    </xf>
    <xf numFmtId="4" fontId="17" fillId="0" borderId="0" xfId="53" applyNumberFormat="1" applyFont="1"/>
    <xf numFmtId="9" fontId="17" fillId="0" borderId="0" xfId="55" applyFont="1"/>
    <xf numFmtId="3" fontId="17" fillId="0" borderId="0" xfId="53" applyNumberFormat="1" applyFont="1"/>
    <xf numFmtId="183" fontId="17" fillId="0" borderId="0" xfId="53" applyNumberFormat="1" applyFont="1"/>
    <xf numFmtId="3" fontId="26" fillId="0" borderId="0" xfId="53" applyNumberFormat="1" applyFont="1" applyAlignment="1">
      <alignment horizontal="center"/>
    </xf>
    <xf numFmtId="3" fontId="17" fillId="0" borderId="0" xfId="53" applyNumberFormat="1" applyFont="1" applyAlignment="1">
      <alignment horizontal="center"/>
    </xf>
    <xf numFmtId="0" fontId="27" fillId="0" borderId="0" xfId="53" applyFont="1" applyAlignment="1">
      <alignment horizontal="center"/>
    </xf>
    <xf numFmtId="0" fontId="27" fillId="0" borderId="0" xfId="53" applyFont="1"/>
    <xf numFmtId="4" fontId="27" fillId="0" borderId="0" xfId="53" applyNumberFormat="1" applyFont="1"/>
    <xf numFmtId="3" fontId="27" fillId="0" borderId="0" xfId="53" applyNumberFormat="1" applyFont="1" applyAlignment="1">
      <alignment horizontal="center"/>
    </xf>
    <xf numFmtId="0" fontId="28" fillId="0" borderId="0" xfId="53" applyFont="1"/>
    <xf numFmtId="183" fontId="17" fillId="0" borderId="0" xfId="50" applyNumberFormat="1" applyFont="1"/>
    <xf numFmtId="0" fontId="29" fillId="0" borderId="0" xfId="53" applyFont="1"/>
    <xf numFmtId="177" fontId="14" fillId="0" borderId="0" xfId="53" applyNumberFormat="1" applyFont="1"/>
    <xf numFmtId="0" fontId="14" fillId="0" borderId="0" xfId="53" applyFont="1" applyAlignment="1">
      <alignment horizontal="left" vertical="top" wrapText="1"/>
    </xf>
    <xf numFmtId="0" fontId="14" fillId="0" borderId="0" xfId="53" applyFont="1" applyAlignment="1">
      <alignment vertical="top" wrapText="1"/>
    </xf>
    <xf numFmtId="0" fontId="30" fillId="0" borderId="0" xfId="53" applyFont="1" applyAlignment="1">
      <alignment horizontal="left" vertical="top" wrapText="1"/>
    </xf>
    <xf numFmtId="0" fontId="31" fillId="0" borderId="0" xfId="53" applyFont="1" applyAlignment="1">
      <alignment horizontal="left" vertical="top" wrapText="1"/>
    </xf>
    <xf numFmtId="0" fontId="32" fillId="0" borderId="0" xfId="53" applyFont="1" applyAlignment="1">
      <alignment vertical="top" wrapText="1"/>
    </xf>
    <xf numFmtId="0" fontId="17" fillId="0" borderId="0" xfId="53" applyFont="1" applyAlignment="1">
      <alignment horizontal="left" vertical="top" wrapText="1"/>
    </xf>
    <xf numFmtId="0" fontId="30" fillId="0" borderId="0" xfId="53" applyFont="1" applyAlignment="1">
      <alignment wrapText="1"/>
    </xf>
    <xf numFmtId="0" fontId="17" fillId="0" borderId="0" xfId="53" applyFont="1" applyAlignment="1">
      <alignment wrapText="1"/>
    </xf>
    <xf numFmtId="0" fontId="14" fillId="0" borderId="0" xfId="53" applyFont="1" applyAlignment="1">
      <alignment wrapText="1"/>
    </xf>
    <xf numFmtId="0" fontId="33" fillId="0" borderId="0" xfId="53" applyFont="1" applyAlignment="1">
      <alignment vertical="top" wrapText="1"/>
    </xf>
    <xf numFmtId="0" fontId="14" fillId="0" borderId="0" xfId="53" applyFont="1" applyAlignment="1">
      <alignment vertical="top"/>
    </xf>
    <xf numFmtId="0" fontId="14" fillId="0" borderId="0" xfId="53" applyFont="1" applyAlignment="1">
      <alignment vertical="center" wrapText="1"/>
    </xf>
    <xf numFmtId="0" fontId="34" fillId="9" borderId="11" xfId="53" applyFont="1" applyFill="1" applyBorder="1" applyAlignment="1">
      <alignment horizontal="center" vertical="center" wrapText="1"/>
    </xf>
    <xf numFmtId="0" fontId="34" fillId="9" borderId="0" xfId="53" applyFont="1" applyFill="1" applyAlignment="1">
      <alignment horizontal="center" vertical="center" wrapText="1"/>
    </xf>
    <xf numFmtId="0" fontId="34" fillId="9" borderId="2" xfId="53" applyFont="1" applyFill="1" applyBorder="1" applyAlignment="1">
      <alignment horizontal="center" vertical="center" wrapText="1"/>
    </xf>
    <xf numFmtId="0" fontId="34" fillId="9" borderId="3" xfId="53" applyFont="1" applyFill="1" applyBorder="1" applyAlignment="1">
      <alignment horizontal="center" vertical="center" wrapText="1"/>
    </xf>
    <xf numFmtId="4" fontId="20" fillId="11" borderId="8" xfId="53" applyNumberFormat="1" applyFont="1" applyFill="1" applyBorder="1" applyAlignment="1">
      <alignment horizontal="center" vertical="center"/>
    </xf>
    <xf numFmtId="0" fontId="20" fillId="11" borderId="4" xfId="53" applyFont="1" applyFill="1" applyBorder="1" applyAlignment="1">
      <alignment horizontal="center" vertical="center"/>
    </xf>
    <xf numFmtId="177" fontId="18" fillId="13" borderId="7" xfId="50" applyFont="1" applyFill="1" applyBorder="1" applyAlignment="1">
      <alignment horizontal="right"/>
    </xf>
    <xf numFmtId="0" fontId="14" fillId="0" borderId="0" xfId="53" applyFont="1" applyAlignment="1">
      <alignment horizontal="right"/>
    </xf>
    <xf numFmtId="177" fontId="20" fillId="10" borderId="7" xfId="50" applyFont="1" applyFill="1" applyBorder="1" applyAlignment="1">
      <alignment horizontal="right"/>
    </xf>
    <xf numFmtId="183" fontId="23" fillId="10" borderId="11" xfId="50" applyNumberFormat="1" applyFont="1" applyFill="1" applyBorder="1" applyAlignment="1">
      <alignment horizontal="right"/>
    </xf>
    <xf numFmtId="4" fontId="14" fillId="0" borderId="0" xfId="53" applyNumberFormat="1" applyFont="1"/>
    <xf numFmtId="177" fontId="35" fillId="9" borderId="6" xfId="50" applyFont="1" applyFill="1" applyBorder="1" applyAlignment="1">
      <alignment horizontal="right" vertical="center" wrapText="1"/>
    </xf>
    <xf numFmtId="4" fontId="14" fillId="0" borderId="4" xfId="53" applyNumberFormat="1" applyFont="1" applyBorder="1" applyAlignment="1">
      <alignment horizontal="right"/>
    </xf>
    <xf numFmtId="4" fontId="14" fillId="0" borderId="0" xfId="53" applyNumberFormat="1" applyFont="1" applyAlignment="1">
      <alignment horizontal="right"/>
    </xf>
    <xf numFmtId="177" fontId="14" fillId="0" borderId="0" xfId="50" applyFont="1" applyAlignment="1">
      <alignment horizontal="right"/>
    </xf>
    <xf numFmtId="4" fontId="36" fillId="12" borderId="6" xfId="53" applyNumberFormat="1" applyFont="1" applyFill="1" applyBorder="1" applyAlignment="1">
      <alignment horizontal="right" vertical="center" wrapText="1"/>
    </xf>
    <xf numFmtId="177" fontId="36" fillId="12" borderId="6" xfId="50" applyFont="1" applyFill="1" applyBorder="1" applyAlignment="1">
      <alignment horizontal="right" vertical="center" wrapText="1"/>
    </xf>
    <xf numFmtId="177" fontId="18" fillId="0" borderId="5" xfId="50" applyFont="1" applyFill="1" applyBorder="1" applyAlignment="1">
      <alignment horizontal="right"/>
    </xf>
    <xf numFmtId="177" fontId="18" fillId="0" borderId="7" xfId="50" applyFont="1" applyFill="1" applyBorder="1" applyAlignment="1">
      <alignment horizontal="right"/>
    </xf>
    <xf numFmtId="177" fontId="18" fillId="0" borderId="6" xfId="50" applyFont="1" applyFill="1" applyBorder="1" applyAlignment="1">
      <alignment horizontal="right"/>
    </xf>
    <xf numFmtId="3" fontId="14" fillId="0" borderId="12" xfId="53" applyNumberFormat="1" applyFont="1" applyBorder="1" applyAlignment="1">
      <alignment horizontal="right"/>
    </xf>
    <xf numFmtId="177" fontId="18" fillId="13" borderId="5" xfId="50" applyFont="1" applyFill="1" applyBorder="1" applyAlignment="1">
      <alignment horizontal="right"/>
    </xf>
    <xf numFmtId="4" fontId="14" fillId="0" borderId="2" xfId="53" applyNumberFormat="1" applyFont="1" applyBorder="1" applyAlignment="1">
      <alignment horizontal="right"/>
    </xf>
    <xf numFmtId="177" fontId="18" fillId="13" borderId="6" xfId="50" applyFont="1" applyFill="1" applyBorder="1" applyAlignment="1">
      <alignment horizontal="right"/>
    </xf>
    <xf numFmtId="183" fontId="14" fillId="0" borderId="0" xfId="50" applyNumberFormat="1" applyFont="1"/>
    <xf numFmtId="0" fontId="14" fillId="0" borderId="0" xfId="53" applyFont="1" applyAlignment="1">
      <alignment horizontal="center" vertical="center" wrapText="1"/>
    </xf>
    <xf numFmtId="0" fontId="33" fillId="0" borderId="0" xfId="53" applyFont="1" applyAlignment="1">
      <alignment wrapText="1"/>
    </xf>
    <xf numFmtId="0" fontId="14" fillId="13" borderId="0" xfId="53" applyFont="1" applyFill="1" applyAlignment="1">
      <alignment vertical="center" wrapText="1"/>
    </xf>
    <xf numFmtId="0" fontId="14" fillId="13" borderId="0" xfId="53" applyFont="1" applyFill="1"/>
    <xf numFmtId="0" fontId="37" fillId="9" borderId="5" xfId="0" applyFont="1" applyFill="1" applyBorder="1" applyAlignment="1">
      <alignment horizontal="center" vertical="center" wrapText="1"/>
    </xf>
    <xf numFmtId="0" fontId="38" fillId="9" borderId="11" xfId="0" applyFont="1" applyFill="1" applyBorder="1" applyAlignment="1">
      <alignment horizontal="center" vertical="center" wrapText="1"/>
    </xf>
    <xf numFmtId="0" fontId="38" fillId="9" borderId="0" xfId="0" applyFont="1" applyFill="1" applyAlignment="1">
      <alignment horizontal="center" vertical="center" wrapText="1"/>
    </xf>
    <xf numFmtId="0" fontId="37" fillId="9" borderId="6" xfId="0" applyFont="1" applyFill="1" applyBorder="1" applyAlignment="1">
      <alignment horizontal="center" vertical="center" wrapText="1"/>
    </xf>
    <xf numFmtId="0" fontId="38" fillId="9" borderId="2" xfId="0" applyFont="1" applyFill="1" applyBorder="1" applyAlignment="1">
      <alignment horizontal="center" vertical="center" wrapText="1"/>
    </xf>
    <xf numFmtId="0" fontId="38" fillId="9" borderId="3" xfId="0" applyFont="1" applyFill="1" applyBorder="1" applyAlignment="1">
      <alignment horizontal="center" vertical="center" wrapText="1"/>
    </xf>
    <xf numFmtId="0" fontId="39" fillId="0" borderId="0" xfId="0" applyFont="1"/>
    <xf numFmtId="3" fontId="40" fillId="10" borderId="8" xfId="0" applyNumberFormat="1" applyFont="1" applyFill="1" applyBorder="1" applyAlignment="1">
      <alignment horizontal="center" vertical="center"/>
    </xf>
    <xf numFmtId="3" fontId="40" fillId="10" borderId="16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9" fillId="0" borderId="17" xfId="0" applyFont="1" applyBorder="1"/>
    <xf numFmtId="0" fontId="42" fillId="11" borderId="1" xfId="0" applyFont="1" applyFill="1" applyBorder="1" applyAlignment="1">
      <alignment horizontal="center"/>
    </xf>
    <xf numFmtId="0" fontId="42" fillId="11" borderId="4" xfId="0" applyFont="1" applyFill="1" applyBorder="1" applyAlignment="1">
      <alignment horizontal="center"/>
    </xf>
    <xf numFmtId="0" fontId="43" fillId="0" borderId="5" xfId="0" applyFont="1" applyBorder="1"/>
    <xf numFmtId="3" fontId="43" fillId="0" borderId="0" xfId="0" applyNumberFormat="1" applyFont="1" applyAlignment="1">
      <alignment horizontal="center"/>
    </xf>
    <xf numFmtId="2" fontId="44" fillId="0" borderId="7" xfId="0" applyNumberFormat="1" applyFont="1" applyBorder="1" applyAlignment="1">
      <alignment horizontal="center"/>
    </xf>
    <xf numFmtId="0" fontId="43" fillId="0" borderId="7" xfId="0" applyFont="1" applyBorder="1"/>
    <xf numFmtId="0" fontId="45" fillId="10" borderId="7" xfId="0" applyFont="1" applyFill="1" applyBorder="1"/>
    <xf numFmtId="3" fontId="45" fillId="10" borderId="0" xfId="0" applyNumberFormat="1" applyFont="1" applyFill="1" applyAlignment="1">
      <alignment horizontal="center"/>
    </xf>
    <xf numFmtId="2" fontId="46" fillId="10" borderId="7" xfId="0" applyNumberFormat="1" applyFont="1" applyFill="1" applyBorder="1" applyAlignment="1">
      <alignment horizontal="center"/>
    </xf>
    <xf numFmtId="183" fontId="38" fillId="9" borderId="15" xfId="1" applyNumberFormat="1" applyFont="1" applyFill="1" applyBorder="1" applyAlignment="1">
      <alignment horizontal="center" vertical="center" wrapText="1"/>
    </xf>
    <xf numFmtId="177" fontId="47" fillId="9" borderId="6" xfId="1" applyNumberFormat="1" applyFont="1" applyFill="1" applyBorder="1" applyAlignment="1">
      <alignment horizontal="center" vertical="center" wrapText="1"/>
    </xf>
    <xf numFmtId="0" fontId="48" fillId="0" borderId="7" xfId="0" applyFont="1" applyBorder="1"/>
    <xf numFmtId="183" fontId="48" fillId="0" borderId="0" xfId="1" applyNumberFormat="1" applyFont="1" applyFill="1" applyBorder="1" applyAlignment="1">
      <alignment horizontal="center"/>
    </xf>
    <xf numFmtId="177" fontId="40" fillId="0" borderId="7" xfId="1" applyNumberFormat="1" applyFont="1" applyFill="1" applyBorder="1" applyAlignment="1">
      <alignment horizontal="center"/>
    </xf>
    <xf numFmtId="0" fontId="49" fillId="0" borderId="7" xfId="0" applyFont="1" applyBorder="1"/>
    <xf numFmtId="0" fontId="50" fillId="14" borderId="0" xfId="52" applyFont="1" applyFill="1" applyAlignment="1">
      <alignment horizontal="center" vertical="center"/>
    </xf>
    <xf numFmtId="37" fontId="51" fillId="3" borderId="18" xfId="52" applyNumberFormat="1" applyFont="1" applyFill="1" applyBorder="1" applyAlignment="1">
      <alignment horizontal="left"/>
    </xf>
    <xf numFmtId="37" fontId="51" fillId="3" borderId="19" xfId="52" applyNumberFormat="1" applyFont="1" applyFill="1" applyBorder="1" applyAlignment="1">
      <alignment horizontal="left"/>
    </xf>
    <xf numFmtId="37" fontId="51" fillId="3" borderId="18" xfId="52" applyNumberFormat="1" applyFont="1" applyFill="1" applyBorder="1" applyAlignment="1">
      <alignment horizontal="center"/>
    </xf>
    <xf numFmtId="0" fontId="50" fillId="0" borderId="0" xfId="52" applyFont="1"/>
    <xf numFmtId="0" fontId="52" fillId="15" borderId="20" xfId="52" applyFont="1" applyFill="1" applyBorder="1" applyAlignment="1">
      <alignment horizontal="left"/>
    </xf>
    <xf numFmtId="0" fontId="53" fillId="3" borderId="20" xfId="52" applyFont="1" applyFill="1" applyBorder="1" applyAlignment="1">
      <alignment horizontal="left"/>
    </xf>
    <xf numFmtId="183" fontId="54" fillId="16" borderId="20" xfId="49" applyNumberFormat="1" applyFont="1" applyFill="1" applyBorder="1" applyAlignment="1">
      <alignment horizontal="right"/>
    </xf>
    <xf numFmtId="0" fontId="52" fillId="16" borderId="20" xfId="52" applyFont="1" applyFill="1" applyBorder="1" applyAlignment="1">
      <alignment horizontal="left"/>
    </xf>
    <xf numFmtId="0" fontId="52" fillId="17" borderId="20" xfId="52" applyFont="1" applyFill="1" applyBorder="1" applyAlignment="1">
      <alignment horizontal="left"/>
    </xf>
    <xf numFmtId="0" fontId="53" fillId="18" borderId="20" xfId="52" applyFont="1" applyFill="1" applyBorder="1" applyAlignment="1">
      <alignment horizontal="left"/>
    </xf>
    <xf numFmtId="183" fontId="54" fillId="17" borderId="20" xfId="49" applyNumberFormat="1" applyFont="1" applyFill="1" applyBorder="1" applyAlignment="1">
      <alignment horizontal="right"/>
    </xf>
    <xf numFmtId="0" fontId="51" fillId="3" borderId="21" xfId="52" applyFont="1" applyFill="1" applyBorder="1" applyAlignment="1">
      <alignment horizontal="center"/>
    </xf>
    <xf numFmtId="190" fontId="55" fillId="19" borderId="22" xfId="52" applyNumberFormat="1" applyFont="1" applyFill="1" applyBorder="1" applyAlignment="1">
      <alignment horizontal="right"/>
    </xf>
    <xf numFmtId="0" fontId="56" fillId="0" borderId="0" xfId="52" applyFont="1"/>
    <xf numFmtId="190" fontId="55" fillId="20" borderId="22" xfId="52" applyNumberFormat="1" applyFont="1" applyFill="1" applyBorder="1" applyAlignment="1">
      <alignment horizontal="right"/>
    </xf>
    <xf numFmtId="179" fontId="50" fillId="0" borderId="0" xfId="1" applyNumberFormat="1" applyFont="1"/>
    <xf numFmtId="0" fontId="57" fillId="0" borderId="0" xfId="52" applyFont="1"/>
    <xf numFmtId="0" fontId="58" fillId="0" borderId="0" xfId="52" applyFont="1"/>
    <xf numFmtId="179" fontId="57" fillId="0" borderId="0" xfId="1" applyNumberFormat="1" applyFont="1"/>
    <xf numFmtId="0" fontId="59" fillId="0" borderId="3" xfId="0" applyFont="1" applyBorder="1" applyAlignment="1">
      <alignment horizontal="center"/>
    </xf>
    <xf numFmtId="0" fontId="1" fillId="0" borderId="8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23" xfId="0" applyFont="1" applyBorder="1"/>
    <xf numFmtId="179" fontId="1" fillId="0" borderId="23" xfId="1" applyNumberFormat="1" applyFont="1" applyBorder="1"/>
    <xf numFmtId="0" fontId="1" fillId="0" borderId="11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/>
    <xf numFmtId="179" fontId="1" fillId="0" borderId="0" xfId="1" applyNumberFormat="1" applyFont="1" applyBorder="1"/>
    <xf numFmtId="0" fontId="1" fillId="0" borderId="2" xfId="0" applyFont="1" applyBorder="1" applyAlignment="1">
      <alignment horizontal="center"/>
    </xf>
    <xf numFmtId="0" fontId="1" fillId="0" borderId="15" xfId="0" applyFont="1" applyBorder="1"/>
    <xf numFmtId="0" fontId="1" fillId="0" borderId="11" xfId="0" applyFont="1" applyBorder="1"/>
    <xf numFmtId="0" fontId="1" fillId="0" borderId="3" xfId="0" applyFont="1" applyBorder="1"/>
    <xf numFmtId="179" fontId="1" fillId="0" borderId="3" xfId="1" applyNumberFormat="1" applyFont="1" applyBorder="1"/>
    <xf numFmtId="0" fontId="1" fillId="0" borderId="12" xfId="0" applyFont="1" applyBorder="1"/>
    <xf numFmtId="179" fontId="1" fillId="0" borderId="0" xfId="1" applyNumberFormat="1" applyFont="1" applyFill="1"/>
    <xf numFmtId="179" fontId="1" fillId="0" borderId="0" xfId="1" applyNumberFormat="1" applyFont="1" applyFill="1" applyBorder="1"/>
    <xf numFmtId="176" fontId="0" fillId="0" borderId="0" xfId="1" applyFont="1"/>
    <xf numFmtId="0" fontId="1" fillId="0" borderId="16" xfId="0" applyFont="1" applyBorder="1"/>
    <xf numFmtId="179" fontId="1" fillId="0" borderId="5" xfId="0" applyNumberFormat="1" applyFont="1" applyBorder="1"/>
    <xf numFmtId="179" fontId="1" fillId="0" borderId="0" xfId="1" applyNumberFormat="1" applyFont="1"/>
    <xf numFmtId="176" fontId="1" fillId="0" borderId="0" xfId="1" applyFont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23" xfId="0" applyBorder="1"/>
    <xf numFmtId="179" fontId="1" fillId="21" borderId="23" xfId="1" applyNumberFormat="1" applyFont="1" applyFill="1" applyBorder="1"/>
    <xf numFmtId="179" fontId="1" fillId="0" borderId="7" xfId="0" applyNumberFormat="1" applyFont="1" applyBorder="1"/>
    <xf numFmtId="9" fontId="0" fillId="0" borderId="0" xfId="3" applyFont="1" applyFill="1" applyBorder="1"/>
    <xf numFmtId="0" fontId="0" fillId="0" borderId="11" xfId="0" applyBorder="1" applyAlignment="1">
      <alignment horizontal="center"/>
    </xf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15" xfId="0" applyBorder="1"/>
    <xf numFmtId="0" fontId="1" fillId="0" borderId="7" xfId="0" applyFont="1" applyBorder="1"/>
    <xf numFmtId="0" fontId="0" fillId="0" borderId="11" xfId="0" applyBorder="1"/>
    <xf numFmtId="179" fontId="1" fillId="22" borderId="7" xfId="0" applyNumberFormat="1" applyFont="1" applyFill="1" applyBorder="1"/>
    <xf numFmtId="179" fontId="1" fillId="23" borderId="7" xfId="0" applyNumberFormat="1" applyFont="1" applyFill="1" applyBorder="1"/>
    <xf numFmtId="179" fontId="1" fillId="0" borderId="0" xfId="0" applyNumberFormat="1" applyFont="1"/>
    <xf numFmtId="9" fontId="1" fillId="0" borderId="0" xfId="3" applyFont="1"/>
    <xf numFmtId="9" fontId="0" fillId="0" borderId="0" xfId="3" applyFont="1"/>
    <xf numFmtId="179" fontId="1" fillId="0" borderId="6" xfId="0" applyNumberFormat="1" applyFont="1" applyBorder="1"/>
    <xf numFmtId="0" fontId="0" fillId="0" borderId="3" xfId="0" applyBorder="1"/>
    <xf numFmtId="179" fontId="1" fillId="0" borderId="7" xfId="1" applyNumberFormat="1" applyFont="1" applyFill="1" applyBorder="1"/>
    <xf numFmtId="191" fontId="1" fillId="0" borderId="0" xfId="0" applyNumberFormat="1" applyFont="1"/>
    <xf numFmtId="179" fontId="0" fillId="0" borderId="23" xfId="1" applyNumberFormat="1" applyFont="1" applyBorder="1"/>
    <xf numFmtId="191" fontId="1" fillId="0" borderId="0" xfId="3" applyNumberFormat="1" applyFont="1"/>
    <xf numFmtId="179" fontId="0" fillId="0" borderId="0" xfId="1" applyNumberFormat="1" applyFont="1" applyBorder="1"/>
    <xf numFmtId="179" fontId="0" fillId="0" borderId="3" xfId="1" applyNumberFormat="1" applyFont="1" applyBorder="1"/>
    <xf numFmtId="2" fontId="0" fillId="0" borderId="0" xfId="0" applyNumberFormat="1"/>
    <xf numFmtId="179" fontId="1" fillId="21" borderId="0" xfId="1" applyNumberFormat="1" applyFont="1" applyFill="1" applyBorder="1"/>
    <xf numFmtId="179" fontId="0" fillId="0" borderId="0" xfId="1" applyNumberFormat="1" applyFont="1" applyFill="1" applyBorder="1"/>
    <xf numFmtId="179" fontId="0" fillId="0" borderId="5" xfId="1" applyNumberFormat="1" applyFont="1" applyBorder="1"/>
    <xf numFmtId="179" fontId="0" fillId="0" borderId="7" xfId="1" applyNumberFormat="1" applyFont="1" applyBorder="1"/>
    <xf numFmtId="0" fontId="0" fillId="0" borderId="7" xfId="0" applyBorder="1"/>
    <xf numFmtId="179" fontId="0" fillId="0" borderId="7" xfId="0" applyNumberFormat="1" applyBorder="1"/>
    <xf numFmtId="179" fontId="0" fillId="0" borderId="6" xfId="0" applyNumberFormat="1" applyBorder="1"/>
    <xf numFmtId="0" fontId="56" fillId="0" borderId="0" xfId="52" applyFont="1" quotePrefix="1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3" xfId="50"/>
    <cellStyle name="Currency 2" xfId="51"/>
    <cellStyle name="Normal 2" xfId="52"/>
    <cellStyle name="Normal 3" xfId="53"/>
    <cellStyle name="Normal 3 2" xfId="54"/>
    <cellStyle name="Percent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01485637\Downloads\ACE%20ROUND2%20C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CE Seasonality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62"/>
  <sheetViews>
    <sheetView tabSelected="1" zoomScale="70" zoomScaleNormal="70" topLeftCell="A7" workbookViewId="0">
      <selection activeCell="P57" sqref="E57:P57"/>
    </sheetView>
  </sheetViews>
  <sheetFormatPr defaultColWidth="9" defaultRowHeight="13.8"/>
  <cols>
    <col min="2" max="2" width="16.1111111111111" customWidth="1"/>
    <col min="5" max="18" width="10" customWidth="1"/>
    <col min="19" max="19" width="16" customWidth="1"/>
    <col min="20" max="20" width="14.1111111111111" customWidth="1"/>
    <col min="21" max="21" width="16.1111111111111" customWidth="1"/>
    <col min="22" max="22" width="12.8888888888889"/>
    <col min="24" max="36" width="10" customWidth="1"/>
    <col min="38" max="38" width="12.8888888888889"/>
  </cols>
  <sheetData>
    <row r="1" spans="5:36">
      <c r="E1" s="293" t="s">
        <v>0</v>
      </c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X1" s="293" t="s">
        <v>1</v>
      </c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</row>
    <row r="2" spans="2:39">
      <c r="B2" s="294"/>
      <c r="C2" s="1"/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312" t="s">
        <v>14</v>
      </c>
      <c r="R2" s="301" t="s">
        <v>15</v>
      </c>
      <c r="S2" s="301" t="s">
        <v>16</v>
      </c>
      <c r="T2" s="301" t="s">
        <v>17</v>
      </c>
      <c r="U2" s="294"/>
      <c r="V2" s="1"/>
      <c r="W2" s="1"/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312" t="s">
        <v>14</v>
      </c>
      <c r="AK2" s="301" t="s">
        <v>15</v>
      </c>
      <c r="AL2" s="301" t="s">
        <v>16</v>
      </c>
      <c r="AM2" s="301" t="s">
        <v>17</v>
      </c>
    </row>
    <row r="3" spans="2:38">
      <c r="B3" s="295" t="s">
        <v>18</v>
      </c>
      <c r="C3" s="296">
        <v>2024</v>
      </c>
      <c r="D3" s="297"/>
      <c r="E3" s="298">
        <v>303</v>
      </c>
      <c r="F3" s="298">
        <v>305</v>
      </c>
      <c r="G3" s="298">
        <v>348</v>
      </c>
      <c r="H3" s="298">
        <v>466</v>
      </c>
      <c r="I3" s="298">
        <v>457</v>
      </c>
      <c r="J3" s="298">
        <v>448</v>
      </c>
      <c r="K3" s="298">
        <v>443</v>
      </c>
      <c r="L3" s="298">
        <v>410</v>
      </c>
      <c r="M3" s="298">
        <v>333</v>
      </c>
      <c r="N3" s="298">
        <v>336</v>
      </c>
      <c r="O3" s="298">
        <v>320</v>
      </c>
      <c r="P3" s="298">
        <v>294</v>
      </c>
      <c r="Q3" s="313">
        <f>AVERAGE(E3:P3)</f>
        <v>371.916666666667</v>
      </c>
      <c r="R3" s="314">
        <v>1287.462</v>
      </c>
      <c r="S3" s="315">
        <f>R3/Q3</f>
        <v>3.46169482410934</v>
      </c>
      <c r="U3" s="316" t="s">
        <v>18</v>
      </c>
      <c r="V3" s="317">
        <v>2024</v>
      </c>
      <c r="W3" s="318"/>
      <c r="X3" s="319">
        <v>122</v>
      </c>
      <c r="Y3" s="319">
        <v>120</v>
      </c>
      <c r="Z3" s="319">
        <v>119</v>
      </c>
      <c r="AA3" s="319">
        <v>196</v>
      </c>
      <c r="AB3" s="298">
        <v>226</v>
      </c>
      <c r="AC3" s="298">
        <v>223</v>
      </c>
      <c r="AD3" s="298">
        <v>229</v>
      </c>
      <c r="AE3" s="298">
        <v>229</v>
      </c>
      <c r="AF3" s="298">
        <v>227</v>
      </c>
      <c r="AG3" s="298">
        <v>224</v>
      </c>
      <c r="AH3" s="298">
        <v>221</v>
      </c>
      <c r="AI3" s="298">
        <v>215</v>
      </c>
      <c r="AJ3" s="313">
        <f>AVERAGE(X3:AI3)</f>
        <v>195.916666666667</v>
      </c>
      <c r="AK3" s="3">
        <v>366.256</v>
      </c>
      <c r="AL3" s="311">
        <f>AK3/AJ3</f>
        <v>1.86944789451297</v>
      </c>
    </row>
    <row r="4" spans="2:39">
      <c r="B4" s="299"/>
      <c r="C4" s="300">
        <v>2025</v>
      </c>
      <c r="D4" s="301"/>
      <c r="E4" s="301">
        <v>279</v>
      </c>
      <c r="F4" s="302">
        <v>296</v>
      </c>
      <c r="G4" s="302">
        <v>293</v>
      </c>
      <c r="H4" s="302">
        <v>296</v>
      </c>
      <c r="I4" s="302">
        <v>293</v>
      </c>
      <c r="J4" s="302">
        <v>260</v>
      </c>
      <c r="K4" s="302">
        <v>247</v>
      </c>
      <c r="L4" s="302">
        <v>239</v>
      </c>
      <c r="M4" s="302">
        <v>248</v>
      </c>
      <c r="N4" s="302">
        <v>310</v>
      </c>
      <c r="O4" s="302">
        <v>310</v>
      </c>
      <c r="P4" s="302">
        <v>280</v>
      </c>
      <c r="Q4" s="320">
        <f>AVERAGE(E4:P4)</f>
        <v>279.25</v>
      </c>
      <c r="R4" s="310">
        <v>1048</v>
      </c>
      <c r="S4" s="315">
        <f t="shared" ref="S4:S5" si="0">R4/Q4</f>
        <v>3.75290957923008</v>
      </c>
      <c r="T4" s="321">
        <f>S4/S3-1</f>
        <v>0.084124906994268</v>
      </c>
      <c r="U4" s="322"/>
      <c r="V4" s="323">
        <v>2025</v>
      </c>
      <c r="X4" s="301">
        <v>218</v>
      </c>
      <c r="Y4" s="302">
        <v>218</v>
      </c>
      <c r="Z4" s="302">
        <v>218</v>
      </c>
      <c r="AA4" s="302">
        <v>218</v>
      </c>
      <c r="AB4" s="302">
        <v>226</v>
      </c>
      <c r="AC4" s="302">
        <v>239</v>
      </c>
      <c r="AD4" s="302">
        <v>222</v>
      </c>
      <c r="AE4" s="342">
        <v>133</v>
      </c>
      <c r="AF4" s="342">
        <v>132</v>
      </c>
      <c r="AG4" s="342">
        <v>132</v>
      </c>
      <c r="AH4" s="302">
        <v>182</v>
      </c>
      <c r="AI4" s="302">
        <v>234</v>
      </c>
      <c r="AJ4" s="320">
        <f>AVERAGE(X4:AI4)</f>
        <v>197.666666666667</v>
      </c>
      <c r="AK4" s="343">
        <v>478.102</v>
      </c>
      <c r="AL4" s="311">
        <f t="shared" ref="AL4:AL5" si="1">AK4/AJ4</f>
        <v>2.41872849915683</v>
      </c>
      <c r="AM4" s="321">
        <f>AL4/AL3-1</f>
        <v>0.293819692036378</v>
      </c>
    </row>
    <row r="5" spans="2:39">
      <c r="B5" s="303"/>
      <c r="C5" s="304">
        <v>2026</v>
      </c>
      <c r="D5" s="301"/>
      <c r="E5" s="302">
        <v>286</v>
      </c>
      <c r="F5" s="302">
        <v>317</v>
      </c>
      <c r="G5" s="302">
        <v>316.696466622677</v>
      </c>
      <c r="H5" s="302">
        <v>257.855325785546</v>
      </c>
      <c r="I5" s="302">
        <v>257.93475536698</v>
      </c>
      <c r="J5" s="302">
        <v>257.848104914507</v>
      </c>
      <c r="K5" s="302">
        <v>257.892704412103</v>
      </c>
      <c r="L5" s="302">
        <v>257.904969273943</v>
      </c>
      <c r="M5" s="302">
        <v>295</v>
      </c>
      <c r="N5" s="302">
        <v>295</v>
      </c>
      <c r="O5" s="302">
        <v>342.808757229748</v>
      </c>
      <c r="P5" s="302">
        <v>343.376137382249</v>
      </c>
      <c r="Q5" s="320">
        <f>AVERAGE(E5:P5)</f>
        <v>290.443101748979</v>
      </c>
      <c r="R5" s="310">
        <v>1253</v>
      </c>
      <c r="S5" s="315">
        <f t="shared" si="0"/>
        <v>4.31409798495723</v>
      </c>
      <c r="T5" s="321">
        <f>S5/S4-1</f>
        <v>0.149534219751247</v>
      </c>
      <c r="U5" s="324"/>
      <c r="V5" s="325">
        <v>2026</v>
      </c>
      <c r="X5" s="302">
        <v>244</v>
      </c>
      <c r="Y5" s="302">
        <v>244</v>
      </c>
      <c r="Z5" s="302">
        <v>244</v>
      </c>
      <c r="AA5" s="302">
        <v>244</v>
      </c>
      <c r="AB5" s="302">
        <v>247</v>
      </c>
      <c r="AC5" s="302">
        <v>245</v>
      </c>
      <c r="AD5" s="302">
        <v>245</v>
      </c>
      <c r="AE5" s="302">
        <v>251</v>
      </c>
      <c r="AF5" s="302">
        <v>252</v>
      </c>
      <c r="AG5" s="302">
        <v>250</v>
      </c>
      <c r="AH5" s="302">
        <v>251</v>
      </c>
      <c r="AI5" s="302">
        <v>252</v>
      </c>
      <c r="AJ5" s="320">
        <f>AVERAGE(X5:AI5)</f>
        <v>247.416666666667</v>
      </c>
      <c r="AK5" s="343">
        <v>565.022</v>
      </c>
      <c r="AL5" s="311">
        <f t="shared" si="1"/>
        <v>2.28368608959246</v>
      </c>
      <c r="AM5" s="321">
        <f>AL5/AL4-1</f>
        <v>-0.055831983462158</v>
      </c>
    </row>
    <row r="6" spans="2:36">
      <c r="B6" s="305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26"/>
      <c r="R6" s="301"/>
      <c r="S6" s="301"/>
      <c r="U6" s="327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26"/>
    </row>
    <row r="7" spans="2:36">
      <c r="B7" s="305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26"/>
      <c r="R7" s="301"/>
      <c r="S7" s="301"/>
      <c r="U7" s="327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26"/>
    </row>
    <row r="8" spans="2:38">
      <c r="B8" s="295" t="s">
        <v>19</v>
      </c>
      <c r="C8" s="296">
        <v>2024</v>
      </c>
      <c r="D8" s="301"/>
      <c r="E8" s="302">
        <v>188</v>
      </c>
      <c r="F8" s="302">
        <v>188</v>
      </c>
      <c r="G8" s="302">
        <v>198</v>
      </c>
      <c r="H8" s="302">
        <v>216</v>
      </c>
      <c r="I8" s="302">
        <v>218</v>
      </c>
      <c r="J8" s="302">
        <v>218</v>
      </c>
      <c r="K8" s="302">
        <v>215</v>
      </c>
      <c r="L8" s="302">
        <v>213</v>
      </c>
      <c r="M8" s="302">
        <v>204</v>
      </c>
      <c r="N8" s="302">
        <v>203</v>
      </c>
      <c r="O8" s="302">
        <v>200</v>
      </c>
      <c r="P8" s="302">
        <v>192</v>
      </c>
      <c r="Q8" s="320">
        <f>AVERAGE(E8:P8)</f>
        <v>204.416666666667</v>
      </c>
      <c r="R8" s="314">
        <v>1287.462</v>
      </c>
      <c r="S8" s="315">
        <f>R8/Q8</f>
        <v>6.29822421524664</v>
      </c>
      <c r="U8" s="316" t="s">
        <v>19</v>
      </c>
      <c r="V8" s="317">
        <v>2024</v>
      </c>
      <c r="X8" s="302">
        <v>86</v>
      </c>
      <c r="Y8" s="302">
        <v>87</v>
      </c>
      <c r="Z8" s="302">
        <v>87</v>
      </c>
      <c r="AA8" s="302">
        <v>100</v>
      </c>
      <c r="AB8" s="302">
        <v>101</v>
      </c>
      <c r="AC8" s="302">
        <v>102</v>
      </c>
      <c r="AD8" s="302">
        <v>101</v>
      </c>
      <c r="AE8" s="302">
        <v>98.5</v>
      </c>
      <c r="AF8" s="302">
        <v>94</v>
      </c>
      <c r="AG8" s="302">
        <v>93</v>
      </c>
      <c r="AH8" s="302">
        <v>87</v>
      </c>
      <c r="AI8" s="302">
        <v>87</v>
      </c>
      <c r="AJ8" s="320">
        <f>AVERAGE(X8:AI8)</f>
        <v>93.625</v>
      </c>
      <c r="AK8" s="3">
        <v>366.256</v>
      </c>
      <c r="AL8" s="311">
        <f>AK8/AJ8</f>
        <v>3.91194659546061</v>
      </c>
    </row>
    <row r="9" spans="2:39">
      <c r="B9" s="299"/>
      <c r="C9" s="300">
        <v>2025</v>
      </c>
      <c r="D9" s="301"/>
      <c r="E9" s="302">
        <v>170</v>
      </c>
      <c r="F9" s="302">
        <v>181</v>
      </c>
      <c r="G9" s="302">
        <v>180</v>
      </c>
      <c r="H9" s="302">
        <v>182</v>
      </c>
      <c r="I9" s="302">
        <v>178</v>
      </c>
      <c r="J9" s="302">
        <v>148</v>
      </c>
      <c r="K9" s="302">
        <v>126</v>
      </c>
      <c r="L9" s="302">
        <v>127</v>
      </c>
      <c r="M9" s="302">
        <v>120</v>
      </c>
      <c r="N9" s="302">
        <v>132</v>
      </c>
      <c r="O9" s="302">
        <v>134</v>
      </c>
      <c r="P9" s="302">
        <v>133</v>
      </c>
      <c r="Q9" s="328">
        <f>AVERAGE(E9:P9)</f>
        <v>150.916666666667</v>
      </c>
      <c r="R9" s="310">
        <v>1048</v>
      </c>
      <c r="S9" s="315">
        <f t="shared" ref="S9:S10" si="2">R9/Q9</f>
        <v>6.94422970734401</v>
      </c>
      <c r="T9" s="321">
        <f>S9/S8-1</f>
        <v>0.102569465617552</v>
      </c>
      <c r="U9" s="322"/>
      <c r="V9" s="323">
        <v>2025</v>
      </c>
      <c r="X9" s="302">
        <v>87</v>
      </c>
      <c r="Y9" s="302">
        <v>85</v>
      </c>
      <c r="Z9" s="302">
        <v>94</v>
      </c>
      <c r="AA9" s="302">
        <v>93</v>
      </c>
      <c r="AB9" s="302">
        <v>93</v>
      </c>
      <c r="AC9" s="302">
        <v>91</v>
      </c>
      <c r="AD9" s="302">
        <v>85</v>
      </c>
      <c r="AE9" s="302">
        <v>70</v>
      </c>
      <c r="AF9" s="302">
        <v>70</v>
      </c>
      <c r="AG9" s="302">
        <v>70</v>
      </c>
      <c r="AH9" s="302">
        <v>77</v>
      </c>
      <c r="AI9" s="302">
        <v>85</v>
      </c>
      <c r="AJ9" s="320">
        <f>AVERAGE(X9:AI9)</f>
        <v>83.3333333333333</v>
      </c>
      <c r="AK9" s="343">
        <v>478.102</v>
      </c>
      <c r="AL9" s="311">
        <f t="shared" ref="AL9:AL10" si="3">AK9/AJ9</f>
        <v>5.737224</v>
      </c>
      <c r="AM9" s="321">
        <f>AL9/AL8-1</f>
        <v>0.466590573260234</v>
      </c>
    </row>
    <row r="10" spans="2:39">
      <c r="B10" s="303"/>
      <c r="C10" s="304">
        <v>2026</v>
      </c>
      <c r="D10" s="301"/>
      <c r="E10" s="302">
        <v>133</v>
      </c>
      <c r="F10" s="302">
        <v>136</v>
      </c>
      <c r="G10" s="302">
        <v>136</v>
      </c>
      <c r="H10" s="302">
        <v>127</v>
      </c>
      <c r="I10" s="302">
        <v>127</v>
      </c>
      <c r="J10" s="302">
        <v>127</v>
      </c>
      <c r="K10" s="302">
        <v>127</v>
      </c>
      <c r="L10" s="302">
        <v>127</v>
      </c>
      <c r="M10" s="302">
        <v>133</v>
      </c>
      <c r="N10" s="302">
        <v>133</v>
      </c>
      <c r="O10" s="302">
        <v>142</v>
      </c>
      <c r="P10" s="302">
        <v>142</v>
      </c>
      <c r="Q10" s="329">
        <f>AVERAGE(E10:P10)</f>
        <v>132.5</v>
      </c>
      <c r="R10" s="310">
        <v>1253</v>
      </c>
      <c r="S10" s="315">
        <f t="shared" si="2"/>
        <v>9.45660377358491</v>
      </c>
      <c r="T10" s="321">
        <f>S10/S9-1</f>
        <v>0.361793052955015</v>
      </c>
      <c r="U10" s="324"/>
      <c r="V10" s="325">
        <v>2026</v>
      </c>
      <c r="X10" s="302">
        <v>85</v>
      </c>
      <c r="Y10" s="302">
        <v>85</v>
      </c>
      <c r="Z10" s="302">
        <v>85</v>
      </c>
      <c r="AA10" s="302">
        <v>85</v>
      </c>
      <c r="AB10" s="302">
        <v>85</v>
      </c>
      <c r="AC10" s="302">
        <v>85</v>
      </c>
      <c r="AD10" s="302">
        <v>85</v>
      </c>
      <c r="AE10" s="302">
        <v>85</v>
      </c>
      <c r="AF10" s="302">
        <v>85</v>
      </c>
      <c r="AG10" s="302">
        <v>85</v>
      </c>
      <c r="AH10" s="302">
        <v>85</v>
      </c>
      <c r="AI10" s="302">
        <v>85</v>
      </c>
      <c r="AJ10" s="320">
        <f>AVERAGE(X10:AI10)</f>
        <v>85</v>
      </c>
      <c r="AK10" s="343">
        <v>565.022</v>
      </c>
      <c r="AL10" s="311">
        <f t="shared" si="3"/>
        <v>6.64731764705882</v>
      </c>
      <c r="AM10" s="321">
        <f>AL10/AL9-1</f>
        <v>0.158629617225826</v>
      </c>
    </row>
    <row r="11" spans="2:36">
      <c r="B11" s="305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26"/>
      <c r="R11" s="330">
        <f>Q10-Q9</f>
        <v>-18.4166666666667</v>
      </c>
      <c r="S11" s="330">
        <f>R11*2470*12</f>
        <v>-545870</v>
      </c>
      <c r="U11" s="327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26"/>
    </row>
    <row r="12" spans="2:39">
      <c r="B12" s="305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26"/>
      <c r="R12" s="331"/>
      <c r="S12" s="331"/>
      <c r="T12" s="332"/>
      <c r="U12" s="327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26"/>
      <c r="AK12" s="332"/>
      <c r="AL12" s="332"/>
      <c r="AM12" s="332"/>
    </row>
    <row r="13" spans="2:38">
      <c r="B13" s="295" t="s">
        <v>20</v>
      </c>
      <c r="C13" s="296">
        <v>2024</v>
      </c>
      <c r="D13" s="301"/>
      <c r="E13" s="302">
        <v>53.38</v>
      </c>
      <c r="F13" s="302">
        <v>53.38</v>
      </c>
      <c r="G13" s="302">
        <v>55</v>
      </c>
      <c r="H13" s="302">
        <v>61</v>
      </c>
      <c r="I13" s="302">
        <v>62</v>
      </c>
      <c r="J13" s="302">
        <v>61</v>
      </c>
      <c r="K13" s="302">
        <v>61.5</v>
      </c>
      <c r="L13" s="302">
        <v>61</v>
      </c>
      <c r="M13" s="302">
        <v>58</v>
      </c>
      <c r="N13" s="302">
        <v>56.5</v>
      </c>
      <c r="O13" s="302">
        <v>57.5</v>
      </c>
      <c r="P13" s="302">
        <v>57.5</v>
      </c>
      <c r="Q13" s="320">
        <f>AVERAGE(E13:P13)</f>
        <v>58.1466666666667</v>
      </c>
      <c r="R13" s="314">
        <v>1287.462</v>
      </c>
      <c r="S13" s="315">
        <f>R13/Q13</f>
        <v>22.1416303600092</v>
      </c>
      <c r="U13" s="316" t="s">
        <v>20</v>
      </c>
      <c r="V13" s="317">
        <v>2024</v>
      </c>
      <c r="X13" s="302">
        <v>27</v>
      </c>
      <c r="Y13" s="302">
        <v>26</v>
      </c>
      <c r="Z13" s="302">
        <v>26</v>
      </c>
      <c r="AA13" s="302">
        <v>25</v>
      </c>
      <c r="AB13" s="302">
        <v>23</v>
      </c>
      <c r="AC13" s="302">
        <v>23</v>
      </c>
      <c r="AD13" s="302">
        <v>25.25</v>
      </c>
      <c r="AE13" s="302">
        <v>25.5</v>
      </c>
      <c r="AF13" s="302">
        <v>24.95</v>
      </c>
      <c r="AG13" s="302">
        <v>24.25</v>
      </c>
      <c r="AH13" s="302">
        <v>24.25</v>
      </c>
      <c r="AI13" s="302">
        <v>24.75</v>
      </c>
      <c r="AJ13" s="320">
        <f>AVERAGE(X13:AI13)</f>
        <v>24.9125</v>
      </c>
      <c r="AK13" s="3">
        <v>366.256</v>
      </c>
      <c r="AL13" s="311">
        <f>AK13/AJ13</f>
        <v>14.7016959357752</v>
      </c>
    </row>
    <row r="14" spans="2:39">
      <c r="B14" s="299"/>
      <c r="C14" s="300">
        <v>2025</v>
      </c>
      <c r="D14" s="301"/>
      <c r="E14" s="302">
        <v>58</v>
      </c>
      <c r="F14" s="302">
        <v>58</v>
      </c>
      <c r="G14" s="302">
        <v>55.5</v>
      </c>
      <c r="H14" s="302">
        <v>54.5</v>
      </c>
      <c r="I14" s="302">
        <v>53</v>
      </c>
      <c r="J14" s="302">
        <v>38.29</v>
      </c>
      <c r="K14" s="302">
        <v>34.96</v>
      </c>
      <c r="L14" s="302">
        <v>38.3333333</v>
      </c>
      <c r="M14" s="302">
        <v>33</v>
      </c>
      <c r="N14" s="302">
        <v>31</v>
      </c>
      <c r="O14" s="302">
        <v>31</v>
      </c>
      <c r="P14" s="302">
        <v>31</v>
      </c>
      <c r="Q14" s="320">
        <f>AVERAGE(E14:P14)</f>
        <v>43.0486111083333</v>
      </c>
      <c r="R14" s="310">
        <v>1048</v>
      </c>
      <c r="S14" s="315">
        <f t="shared" ref="S14:S15" si="4">R14/Q14</f>
        <v>24.3445717066846</v>
      </c>
      <c r="T14" s="321">
        <f>S14/S13-1</f>
        <v>0.0994931859513941</v>
      </c>
      <c r="U14" s="322"/>
      <c r="V14" s="323">
        <v>2025</v>
      </c>
      <c r="X14" s="302">
        <v>24.5</v>
      </c>
      <c r="Y14" s="302">
        <v>22.5</v>
      </c>
      <c r="Z14" s="302">
        <v>22</v>
      </c>
      <c r="AA14" s="302">
        <v>23</v>
      </c>
      <c r="AB14" s="302">
        <v>22</v>
      </c>
      <c r="AC14" s="302">
        <v>26.79</v>
      </c>
      <c r="AD14" s="302">
        <v>26.5</v>
      </c>
      <c r="AE14" s="302">
        <v>25.33</v>
      </c>
      <c r="AF14" s="302">
        <v>25</v>
      </c>
      <c r="AG14" s="302">
        <v>25</v>
      </c>
      <c r="AH14" s="302">
        <v>25</v>
      </c>
      <c r="AI14" s="302">
        <v>25</v>
      </c>
      <c r="AJ14" s="320">
        <f>AVERAGE(X14:AI14)</f>
        <v>24.385</v>
      </c>
      <c r="AK14" s="343">
        <v>478.102</v>
      </c>
      <c r="AL14" s="311">
        <f t="shared" ref="AL14:AL15" si="5">AK14/AJ14</f>
        <v>19.6063973754357</v>
      </c>
      <c r="AM14" s="321">
        <f>AL14/AL13-1</f>
        <v>0.333614670109274</v>
      </c>
    </row>
    <row r="15" spans="2:39">
      <c r="B15" s="303"/>
      <c r="C15" s="304">
        <v>2026</v>
      </c>
      <c r="D15" s="306"/>
      <c r="E15" s="307">
        <v>34</v>
      </c>
      <c r="F15" s="307">
        <v>34</v>
      </c>
      <c r="G15" s="307">
        <v>34</v>
      </c>
      <c r="H15" s="307">
        <v>34</v>
      </c>
      <c r="I15" s="307">
        <v>34</v>
      </c>
      <c r="J15" s="307">
        <v>34</v>
      </c>
      <c r="K15" s="307">
        <v>34</v>
      </c>
      <c r="L15" s="307">
        <v>34</v>
      </c>
      <c r="M15" s="307">
        <v>34</v>
      </c>
      <c r="N15" s="307">
        <v>34</v>
      </c>
      <c r="O15" s="307">
        <v>34</v>
      </c>
      <c r="P15" s="307">
        <v>34</v>
      </c>
      <c r="Q15" s="333">
        <f>AVERAGE(E15:P15)</f>
        <v>34</v>
      </c>
      <c r="R15" s="310">
        <v>1253</v>
      </c>
      <c r="S15" s="315">
        <f t="shared" si="4"/>
        <v>36.8529411764706</v>
      </c>
      <c r="T15" s="321">
        <f>S15/S14-1</f>
        <v>0.513805279488709</v>
      </c>
      <c r="U15" s="324"/>
      <c r="V15" s="325">
        <v>2026</v>
      </c>
      <c r="W15" s="334"/>
      <c r="X15" s="307">
        <v>26.5</v>
      </c>
      <c r="Y15" s="307">
        <v>26.5</v>
      </c>
      <c r="Z15" s="307">
        <v>26.5</v>
      </c>
      <c r="AA15" s="307">
        <v>26.5</v>
      </c>
      <c r="AB15" s="307">
        <v>26.5</v>
      </c>
      <c r="AC15" s="307">
        <v>26.5</v>
      </c>
      <c r="AD15" s="307">
        <v>26.5</v>
      </c>
      <c r="AE15" s="307">
        <v>27.5</v>
      </c>
      <c r="AF15" s="307">
        <v>27.5</v>
      </c>
      <c r="AG15" s="307">
        <v>27.5</v>
      </c>
      <c r="AH15" s="307">
        <v>27.5</v>
      </c>
      <c r="AI15" s="307">
        <v>27.5</v>
      </c>
      <c r="AJ15" s="333">
        <f>AVERAGE(X15:AI15)</f>
        <v>26.9166666666667</v>
      </c>
      <c r="AK15" s="343">
        <v>565.022</v>
      </c>
      <c r="AL15" s="311">
        <f t="shared" si="5"/>
        <v>20.9915294117647</v>
      </c>
      <c r="AM15" s="321">
        <f>AL15/AL14-1</f>
        <v>0.0706469429240673</v>
      </c>
    </row>
    <row r="16" spans="2:20"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31"/>
      <c r="S16" s="331"/>
      <c r="T16" s="332"/>
    </row>
    <row r="17" spans="2:19"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</row>
    <row r="18" spans="2:36">
      <c r="B18" s="308"/>
      <c r="C18" s="297"/>
      <c r="D18" s="1"/>
      <c r="E18" s="1" t="s">
        <v>2</v>
      </c>
      <c r="F18" s="1" t="s">
        <v>3</v>
      </c>
      <c r="G18" s="1" t="s">
        <v>4</v>
      </c>
      <c r="H18" s="1" t="s">
        <v>5</v>
      </c>
      <c r="I18" s="1" t="s">
        <v>6</v>
      </c>
      <c r="J18" s="1" t="s">
        <v>7</v>
      </c>
      <c r="K18" s="1" t="s">
        <v>8</v>
      </c>
      <c r="L18" s="1" t="s">
        <v>9</v>
      </c>
      <c r="M18" s="1" t="s">
        <v>10</v>
      </c>
      <c r="N18" s="1" t="s">
        <v>11</v>
      </c>
      <c r="O18" s="1" t="s">
        <v>12</v>
      </c>
      <c r="P18" s="1" t="s">
        <v>13</v>
      </c>
      <c r="Q18" s="312" t="s">
        <v>14</v>
      </c>
      <c r="R18" s="301" t="s">
        <v>21</v>
      </c>
      <c r="S18" s="301"/>
      <c r="U18" s="294"/>
      <c r="V18" s="1"/>
      <c r="W18" s="1"/>
      <c r="X18" s="1" t="s">
        <v>2</v>
      </c>
      <c r="Y18" s="1" t="s">
        <v>3</v>
      </c>
      <c r="Z18" s="1" t="s">
        <v>4</v>
      </c>
      <c r="AA18" s="1" t="s">
        <v>5</v>
      </c>
      <c r="AB18" s="1" t="s">
        <v>6</v>
      </c>
      <c r="AC18" s="1" t="s">
        <v>7</v>
      </c>
      <c r="AD18" s="1" t="s">
        <v>8</v>
      </c>
      <c r="AE18" s="1" t="s">
        <v>9</v>
      </c>
      <c r="AF18" s="1" t="s">
        <v>10</v>
      </c>
      <c r="AG18" s="1" t="s">
        <v>11</v>
      </c>
      <c r="AH18" s="1" t="s">
        <v>12</v>
      </c>
      <c r="AI18" s="1" t="s">
        <v>13</v>
      </c>
      <c r="AJ18" s="312" t="s">
        <v>14</v>
      </c>
    </row>
    <row r="19" spans="2:36">
      <c r="B19" s="308"/>
      <c r="C19" s="296">
        <v>2023</v>
      </c>
      <c r="D19" s="309"/>
      <c r="E19" s="298">
        <v>1062.08407798743</v>
      </c>
      <c r="F19" s="298">
        <v>953.808727702409</v>
      </c>
      <c r="G19" s="298">
        <v>1093.43877540929</v>
      </c>
      <c r="H19" s="298">
        <v>1149.38271252229</v>
      </c>
      <c r="I19" s="298">
        <v>1052.95054711719</v>
      </c>
      <c r="J19" s="298">
        <v>1220.20376317274</v>
      </c>
      <c r="K19" s="298">
        <v>923.551877653249</v>
      </c>
      <c r="L19" s="298">
        <v>765.610131966315</v>
      </c>
      <c r="M19" s="298">
        <v>760.344704128737</v>
      </c>
      <c r="N19" s="298">
        <v>856.635651920939</v>
      </c>
      <c r="O19" s="298">
        <v>799.400255693603</v>
      </c>
      <c r="P19" s="298">
        <v>744.764201850191</v>
      </c>
      <c r="Q19" s="313">
        <f>AVERAGE(E19:P19)</f>
        <v>948.514618927032</v>
      </c>
      <c r="R19" s="301"/>
      <c r="S19" s="301"/>
      <c r="U19" s="308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  <c r="AJ19" s="296"/>
    </row>
    <row r="20" spans="2:36">
      <c r="B20" s="299" t="s">
        <v>22</v>
      </c>
      <c r="C20" s="300">
        <v>2024</v>
      </c>
      <c r="D20" s="309"/>
      <c r="E20" s="309">
        <v>1375.81785115783</v>
      </c>
      <c r="F20" s="310">
        <v>1289.33346512327</v>
      </c>
      <c r="G20" s="310">
        <v>1806.57773765078</v>
      </c>
      <c r="H20" s="310">
        <v>1693.93922600173</v>
      </c>
      <c r="I20" s="310">
        <v>1650.4507035284</v>
      </c>
      <c r="J20" s="310">
        <v>1959.51067507841</v>
      </c>
      <c r="K20" s="310">
        <v>1615.8017464986</v>
      </c>
      <c r="L20" s="310">
        <v>1565.7915541633</v>
      </c>
      <c r="M20" s="310">
        <v>1849.6976606293</v>
      </c>
      <c r="N20" s="310">
        <v>1898.01882563588</v>
      </c>
      <c r="O20" s="310">
        <v>1854.54880359093</v>
      </c>
      <c r="P20" s="310">
        <v>1913.46096563011</v>
      </c>
      <c r="Q20" s="335">
        <f>AVERAGE(E20:P20)</f>
        <v>1706.07910122404</v>
      </c>
      <c r="R20" s="331">
        <f>Q20/Q19-1</f>
        <v>0.798685088432244</v>
      </c>
      <c r="S20" s="336"/>
      <c r="U20" s="316" t="s">
        <v>23</v>
      </c>
      <c r="V20" s="317">
        <v>2024</v>
      </c>
      <c r="W20" s="318"/>
      <c r="X20" s="337">
        <v>1375.81785115783</v>
      </c>
      <c r="Y20" s="337">
        <v>1289.33346512327</v>
      </c>
      <c r="Z20" s="337">
        <v>1806.57773765078</v>
      </c>
      <c r="AA20" s="337">
        <v>1693.93922600173</v>
      </c>
      <c r="AB20" s="337">
        <v>1650.4507035284</v>
      </c>
      <c r="AC20" s="337">
        <v>1959.51067507841</v>
      </c>
      <c r="AD20" s="337">
        <v>1615.8017464986</v>
      </c>
      <c r="AE20" s="337">
        <v>1565.7915541633</v>
      </c>
      <c r="AF20" s="337">
        <v>1849.6976606293</v>
      </c>
      <c r="AG20" s="337">
        <v>1898.01882563588</v>
      </c>
      <c r="AH20" s="337">
        <v>1854.54880359093</v>
      </c>
      <c r="AI20" s="337">
        <v>1913.46096563011</v>
      </c>
      <c r="AJ20" s="344">
        <f>AVERAGE(X20:AI20)</f>
        <v>1706.07910122404</v>
      </c>
    </row>
    <row r="21" spans="2:37">
      <c r="B21" s="299"/>
      <c r="C21" s="300">
        <v>2025</v>
      </c>
      <c r="D21" s="309"/>
      <c r="E21" s="309">
        <v>1985.25962524816</v>
      </c>
      <c r="F21" s="310">
        <v>1845.94562470493</v>
      </c>
      <c r="G21" s="310">
        <v>2303.65882043581</v>
      </c>
      <c r="H21" s="310">
        <v>1920.39186596998</v>
      </c>
      <c r="I21" s="310">
        <v>2191.9746732465</v>
      </c>
      <c r="J21" s="310">
        <v>2003.05782006924</v>
      </c>
      <c r="K21" s="310">
        <v>1812.74635734848</v>
      </c>
      <c r="L21" s="310">
        <v>1791.91113795866</v>
      </c>
      <c r="M21" s="310">
        <f>L21*1.25</f>
        <v>2239.88892244833</v>
      </c>
      <c r="N21" s="310">
        <f>M21</f>
        <v>2239.88892244833</v>
      </c>
      <c r="O21" s="310">
        <f>N21</f>
        <v>2239.88892244833</v>
      </c>
      <c r="P21" s="310">
        <f>O21</f>
        <v>2239.88892244833</v>
      </c>
      <c r="Q21" s="335">
        <f>AVERAGE(E21:P21)</f>
        <v>2067.87513456459</v>
      </c>
      <c r="R21" s="331">
        <f>Q21/Q20-1</f>
        <v>0.212062871575515</v>
      </c>
      <c r="S21" s="338">
        <f>Q21-Q20</f>
        <v>361.79603334055</v>
      </c>
      <c r="T21" s="332"/>
      <c r="U21" s="322"/>
      <c r="V21" s="323">
        <v>2025</v>
      </c>
      <c r="X21" s="339">
        <v>1985.25962524816</v>
      </c>
      <c r="Y21" s="339">
        <v>1845.94562470493</v>
      </c>
      <c r="Z21" s="339">
        <v>2303.65882043581</v>
      </c>
      <c r="AA21" s="339">
        <v>1920.39186596998</v>
      </c>
      <c r="AB21" s="339">
        <v>2191.9746732465</v>
      </c>
      <c r="AC21" s="339">
        <v>2003.05782006924</v>
      </c>
      <c r="AD21" s="339">
        <v>1812.74635734848</v>
      </c>
      <c r="AE21" s="339">
        <v>1791.91113795866</v>
      </c>
      <c r="AF21" s="339">
        <v>2239.88892244833</v>
      </c>
      <c r="AG21" s="339">
        <v>2239.88892244833</v>
      </c>
      <c r="AH21" s="339">
        <v>2239.88892244833</v>
      </c>
      <c r="AI21" s="339">
        <v>2239.88892244833</v>
      </c>
      <c r="AJ21" s="345">
        <f>AVERAGE(X21:AI21)</f>
        <v>2067.87513456459</v>
      </c>
      <c r="AK21" s="332">
        <f>AJ21/AJ20-1</f>
        <v>0.212062871575515</v>
      </c>
    </row>
    <row r="22" spans="2:38">
      <c r="B22" s="303"/>
      <c r="C22" s="304">
        <v>2026</v>
      </c>
      <c r="D22" s="309"/>
      <c r="E22" s="310">
        <v>2117.668</v>
      </c>
      <c r="F22" s="310">
        <v>2276.062</v>
      </c>
      <c r="G22" s="310">
        <v>2306.434</v>
      </c>
      <c r="H22" s="310">
        <v>2222.106</v>
      </c>
      <c r="I22" s="310">
        <v>2528.921</v>
      </c>
      <c r="J22" s="310">
        <v>2373.462</v>
      </c>
      <c r="K22" s="310">
        <v>2157.959</v>
      </c>
      <c r="L22" s="310">
        <v>2172.295</v>
      </c>
      <c r="M22" s="310">
        <v>2563.7</v>
      </c>
      <c r="N22" s="310">
        <v>2384.267</v>
      </c>
      <c r="O22" s="310">
        <v>2296.286</v>
      </c>
      <c r="P22" s="310">
        <v>2304.874</v>
      </c>
      <c r="Q22" s="335">
        <f>AVERAGE(E22:P22)</f>
        <v>2308.6695</v>
      </c>
      <c r="R22" s="331">
        <f>Q22/Q21-1</f>
        <v>0.116445312103486</v>
      </c>
      <c r="S22" s="331"/>
      <c r="T22" s="332"/>
      <c r="U22" s="324"/>
      <c r="V22" s="325">
        <v>2026</v>
      </c>
      <c r="X22" s="339">
        <v>2117.668</v>
      </c>
      <c r="Y22" s="339">
        <v>2276.062</v>
      </c>
      <c r="Z22" s="339">
        <v>2306.434</v>
      </c>
      <c r="AA22" s="339">
        <v>2222.106</v>
      </c>
      <c r="AB22" s="339">
        <v>2528.921</v>
      </c>
      <c r="AC22" s="339">
        <v>2373.462</v>
      </c>
      <c r="AD22" s="339">
        <v>2157.959</v>
      </c>
      <c r="AE22" s="339">
        <v>2172.295</v>
      </c>
      <c r="AF22" s="339">
        <v>2563.7</v>
      </c>
      <c r="AG22" s="339">
        <v>2384.267</v>
      </c>
      <c r="AH22" s="339">
        <v>2296.286</v>
      </c>
      <c r="AI22" s="339">
        <v>2304.874</v>
      </c>
      <c r="AJ22" s="345">
        <f>AVERAGE(X22:AI22)</f>
        <v>2308.6695</v>
      </c>
      <c r="AK22" s="332">
        <f>AJ22/AJ21-1</f>
        <v>0.116445312103486</v>
      </c>
      <c r="AL22">
        <f>AJ21-AJ20</f>
        <v>361.79603334055</v>
      </c>
    </row>
    <row r="23" spans="2:36">
      <c r="B23" s="305"/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U23" s="327"/>
      <c r="AJ23" s="346"/>
    </row>
    <row r="24" spans="2:36">
      <c r="B24" s="305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26"/>
      <c r="R24" s="301"/>
      <c r="S24" s="301"/>
      <c r="U24" s="327"/>
      <c r="AJ24" s="346"/>
    </row>
    <row r="25" hidden="1" spans="2:36">
      <c r="B25" s="295" t="s">
        <v>24</v>
      </c>
      <c r="C25" s="296">
        <v>2024</v>
      </c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20">
        <v>1914.08293505763</v>
      </c>
      <c r="R25" s="301"/>
      <c r="S25" s="301"/>
      <c r="U25" s="316" t="s">
        <v>24</v>
      </c>
      <c r="V25" s="317">
        <v>2024</v>
      </c>
      <c r="X25" s="339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47">
        <v>1914.08293505763</v>
      </c>
    </row>
    <row r="26" hidden="1" spans="2:36">
      <c r="B26" s="299"/>
      <c r="C26" s="300">
        <v>2025</v>
      </c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20" t="e">
        <f>AVERAGE(E26:P26)</f>
        <v>#DIV/0!</v>
      </c>
      <c r="R26" s="301"/>
      <c r="S26" s="301"/>
      <c r="U26" s="322"/>
      <c r="V26" s="323">
        <v>2025</v>
      </c>
      <c r="X26" s="339"/>
      <c r="Y26" s="339"/>
      <c r="Z26" s="339"/>
      <c r="AA26" s="339"/>
      <c r="AB26" s="339"/>
      <c r="AC26" s="339"/>
      <c r="AD26" s="339"/>
      <c r="AE26" s="339"/>
      <c r="AF26" s="339"/>
      <c r="AG26" s="339"/>
      <c r="AH26" s="339"/>
      <c r="AI26" s="339"/>
      <c r="AJ26" s="347" t="e">
        <f>AVERAGE(X26:AI26)</f>
        <v>#DIV/0!</v>
      </c>
    </row>
    <row r="27" hidden="1" spans="2:36">
      <c r="B27" s="303"/>
      <c r="C27" s="304">
        <v>2026</v>
      </c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20" t="e">
        <f>AVERAGE(E27:P27)</f>
        <v>#DIV/0!</v>
      </c>
      <c r="R27" s="301"/>
      <c r="S27" s="301"/>
      <c r="U27" s="324"/>
      <c r="V27" s="325">
        <v>2026</v>
      </c>
      <c r="X27" s="339"/>
      <c r="Y27" s="339"/>
      <c r="Z27" s="339"/>
      <c r="AA27" s="339"/>
      <c r="AB27" s="339"/>
      <c r="AC27" s="339"/>
      <c r="AD27" s="339"/>
      <c r="AE27" s="339"/>
      <c r="AF27" s="339"/>
      <c r="AG27" s="339"/>
      <c r="AH27" s="339"/>
      <c r="AI27" s="339"/>
      <c r="AJ27" s="347" t="e">
        <f>AVERAGE(X27:AI27)</f>
        <v>#DIV/0!</v>
      </c>
    </row>
    <row r="28" hidden="1" spans="2:36">
      <c r="B28" s="305"/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26"/>
      <c r="R28" s="301"/>
      <c r="S28" s="301"/>
      <c r="U28" s="327"/>
      <c r="AJ28" s="346"/>
    </row>
    <row r="29" hidden="1" spans="2:36">
      <c r="B29" s="305"/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26"/>
      <c r="R29" s="301"/>
      <c r="S29" s="301"/>
      <c r="U29" s="327"/>
      <c r="AJ29" s="346"/>
    </row>
    <row r="30" spans="2:38">
      <c r="B30" s="295" t="s">
        <v>25</v>
      </c>
      <c r="C30" s="296">
        <v>2024</v>
      </c>
      <c r="D30" s="301"/>
      <c r="E30" s="302">
        <v>2618.62902066829</v>
      </c>
      <c r="F30" s="302">
        <v>2900.55853943894</v>
      </c>
      <c r="G30" s="302">
        <v>3024.13926279159</v>
      </c>
      <c r="H30" s="302">
        <v>2699.39721620734</v>
      </c>
      <c r="I30" s="302">
        <v>2877.85588115937</v>
      </c>
      <c r="J30" s="302">
        <v>3086.31339901177</v>
      </c>
      <c r="K30" s="302">
        <v>3167.37543873363</v>
      </c>
      <c r="L30" s="302">
        <v>3115.80914297152</v>
      </c>
      <c r="M30" s="302">
        <v>3204.30746998942</v>
      </c>
      <c r="N30" s="302">
        <v>3209.09919187863</v>
      </c>
      <c r="O30" s="302">
        <v>3316.09491551372</v>
      </c>
      <c r="P30" s="302">
        <v>3262.24001703192</v>
      </c>
      <c r="Q30" s="320">
        <f>AVERAGE(E30:P30)</f>
        <v>3040.15162461635</v>
      </c>
      <c r="R30" s="301"/>
      <c r="S30" s="301">
        <f>Q31-Q30</f>
        <v>461.38984531775</v>
      </c>
      <c r="U30" s="316" t="s">
        <v>25</v>
      </c>
      <c r="V30" s="317">
        <v>2024</v>
      </c>
      <c r="X30" s="339">
        <v>2787.12380446104</v>
      </c>
      <c r="Y30" s="339">
        <v>2809.48952194829</v>
      </c>
      <c r="Z30" s="339">
        <v>2801.19973186277</v>
      </c>
      <c r="AA30" s="339">
        <v>2777.78261154154</v>
      </c>
      <c r="AB30" s="339">
        <v>2774.13925725458</v>
      </c>
      <c r="AC30" s="339">
        <v>3115.91941592679</v>
      </c>
      <c r="AD30" s="339">
        <v>3145.98095726319</v>
      </c>
      <c r="AE30" s="339">
        <v>3033.08337778967</v>
      </c>
      <c r="AF30" s="339">
        <v>3136.18016400633</v>
      </c>
      <c r="AG30" s="339">
        <v>3113.00455435778</v>
      </c>
      <c r="AH30" s="339">
        <v>3201.05827263328</v>
      </c>
      <c r="AI30" s="339">
        <v>3102.97517730496</v>
      </c>
      <c r="AJ30" s="347">
        <f>AVERAGE(X30:AI30)</f>
        <v>2983.16140386252</v>
      </c>
      <c r="AL30">
        <f>AJ31-AJ30</f>
        <v>308.20898295091</v>
      </c>
    </row>
    <row r="31" spans="2:38">
      <c r="B31" s="299"/>
      <c r="C31" s="300">
        <v>2025</v>
      </c>
      <c r="D31" s="301"/>
      <c r="E31" s="302">
        <v>3816.91945798855</v>
      </c>
      <c r="F31" s="302">
        <v>3743.70191194833</v>
      </c>
      <c r="G31" s="302">
        <v>3781.40509467441</v>
      </c>
      <c r="H31" s="302">
        <v>3349.27853483098</v>
      </c>
      <c r="I31" s="302">
        <v>3737.51330273954</v>
      </c>
      <c r="J31" s="302">
        <v>3574.97457444378</v>
      </c>
      <c r="K31" s="302">
        <v>3459.25327081105</v>
      </c>
      <c r="L31" s="302">
        <v>3884.33957218825</v>
      </c>
      <c r="M31" s="302">
        <v>3138.9772347949</v>
      </c>
      <c r="N31" s="302">
        <v>3316.2891481804</v>
      </c>
      <c r="O31" s="302">
        <v>3169.81049686398</v>
      </c>
      <c r="P31" s="302">
        <v>3046.03503974498</v>
      </c>
      <c r="Q31" s="320">
        <f>AVERAGE(E31:P31)</f>
        <v>3501.5414699341</v>
      </c>
      <c r="R31" s="331">
        <f>Q31/Q30-1</f>
        <v>0.15176540590339</v>
      </c>
      <c r="S31" s="331"/>
      <c r="T31" s="332"/>
      <c r="U31" s="322"/>
      <c r="V31" s="323">
        <v>2025</v>
      </c>
      <c r="X31" s="339">
        <v>3595.58624976522</v>
      </c>
      <c r="Y31" s="339">
        <v>3831.84534293034</v>
      </c>
      <c r="Z31" s="339">
        <v>3760.37055459529</v>
      </c>
      <c r="AA31" s="339">
        <v>3273.25993348148</v>
      </c>
      <c r="AB31" s="339">
        <v>3453.52887847393</v>
      </c>
      <c r="AC31" s="339">
        <v>3369.47932367271</v>
      </c>
      <c r="AD31" s="339">
        <v>3101.32783594035</v>
      </c>
      <c r="AE31" s="339">
        <v>3034.33067309178</v>
      </c>
      <c r="AF31" s="339">
        <v>3013.73965107027</v>
      </c>
      <c r="AG31" s="339">
        <v>3199.19706454088</v>
      </c>
      <c r="AH31" s="339">
        <v>2935.77777100377</v>
      </c>
      <c r="AI31" s="339">
        <v>2928.00136319518</v>
      </c>
      <c r="AJ31" s="347">
        <f>AVERAGE(X31:AI31)</f>
        <v>3291.37038681343</v>
      </c>
      <c r="AK31" s="332">
        <f>AJ31/AJ30-1</f>
        <v>0.103316227728026</v>
      </c>
      <c r="AL31">
        <f>AJ31-AJ30</f>
        <v>308.20898295091</v>
      </c>
    </row>
    <row r="32" spans="2:37">
      <c r="B32" s="303"/>
      <c r="C32" s="304">
        <v>2026</v>
      </c>
      <c r="D32" s="306"/>
      <c r="E32" s="307">
        <v>3820.67807164462</v>
      </c>
      <c r="F32" s="307">
        <v>4064.24157078854</v>
      </c>
      <c r="G32" s="307">
        <v>3679.52770919229</v>
      </c>
      <c r="H32" s="307">
        <v>3724.70539514963</v>
      </c>
      <c r="I32" s="307">
        <v>3969.53003681959</v>
      </c>
      <c r="J32" s="307">
        <v>3854.60250994119</v>
      </c>
      <c r="K32" s="307">
        <v>3586.73517068589</v>
      </c>
      <c r="L32" s="307">
        <v>3558.26901853759</v>
      </c>
      <c r="M32" s="307">
        <v>3755.74655732773</v>
      </c>
      <c r="N32" s="307">
        <v>3513.59827977926</v>
      </c>
      <c r="O32" s="307">
        <v>3453.1678425349</v>
      </c>
      <c r="P32" s="307">
        <v>3393.77674942005</v>
      </c>
      <c r="Q32" s="333">
        <f>AVERAGE(E32:P32)</f>
        <v>3697.88157598511</v>
      </c>
      <c r="R32" s="331">
        <f>Q32/Q31-1</f>
        <v>0.056072477717851</v>
      </c>
      <c r="S32" s="331"/>
      <c r="T32" s="332"/>
      <c r="U32" s="324"/>
      <c r="V32" s="325">
        <v>2026</v>
      </c>
      <c r="W32" s="334"/>
      <c r="X32" s="340">
        <v>3571.05461445852</v>
      </c>
      <c r="Y32" s="340">
        <v>3820.83737510287</v>
      </c>
      <c r="Z32" s="340">
        <v>3439.12629081651</v>
      </c>
      <c r="AA32" s="340">
        <v>3501.55893007854</v>
      </c>
      <c r="AB32" s="340">
        <v>3751.17192070564</v>
      </c>
      <c r="AC32" s="340">
        <v>3639.19167642548</v>
      </c>
      <c r="AD32" s="340">
        <v>3371.85447823517</v>
      </c>
      <c r="AE32" s="340">
        <v>3280.89338188744</v>
      </c>
      <c r="AF32" s="340">
        <v>3482.29632170602</v>
      </c>
      <c r="AG32" s="340">
        <v>3243.75859565213</v>
      </c>
      <c r="AH32" s="340">
        <v>3187.96913577605</v>
      </c>
      <c r="AI32" s="340">
        <v>3133.1391997799</v>
      </c>
      <c r="AJ32" s="348">
        <f>AVERAGE(X32:AI32)</f>
        <v>3451.90432671869</v>
      </c>
      <c r="AK32" s="332">
        <f>AJ32/AJ31-1</f>
        <v>0.0487741946480462</v>
      </c>
    </row>
    <row r="33" spans="5:16"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</row>
    <row r="34" spans="5:37"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10">
        <f>Q4+Q9+Q14</f>
        <v>473.215277775</v>
      </c>
      <c r="S34">
        <f>(1200+120)</f>
        <v>1320</v>
      </c>
      <c r="AK34">
        <v>600</v>
      </c>
    </row>
    <row r="35" spans="5:37"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>
        <f>R4/Q34</f>
        <v>2.21463686660238</v>
      </c>
      <c r="R35">
        <f>Q35*T5+Q35</f>
        <v>2.54580086248211</v>
      </c>
      <c r="S35">
        <v>3300</v>
      </c>
      <c r="AJ35" s="10">
        <f>AJ4+AJ9+AJ14</f>
        <v>305.385</v>
      </c>
      <c r="AK35">
        <v>690</v>
      </c>
    </row>
    <row r="36" spans="5:37">
      <c r="E36">
        <f t="shared" ref="E36:R36" si="6">E10+E5</f>
        <v>419</v>
      </c>
      <c r="F36">
        <f t="shared" si="6"/>
        <v>453</v>
      </c>
      <c r="G36">
        <f t="shared" si="6"/>
        <v>452.696466622677</v>
      </c>
      <c r="H36">
        <f t="shared" si="6"/>
        <v>384.855325785546</v>
      </c>
      <c r="I36">
        <f t="shared" si="6"/>
        <v>384.93475536698</v>
      </c>
      <c r="J36">
        <f t="shared" si="6"/>
        <v>384.848104914507</v>
      </c>
      <c r="K36">
        <f t="shared" si="6"/>
        <v>384.892704412103</v>
      </c>
      <c r="L36">
        <f t="shared" si="6"/>
        <v>384.904969273943</v>
      </c>
      <c r="M36">
        <f t="shared" si="6"/>
        <v>428</v>
      </c>
      <c r="N36">
        <f t="shared" si="6"/>
        <v>428</v>
      </c>
      <c r="O36">
        <f t="shared" si="6"/>
        <v>484.808757229748</v>
      </c>
      <c r="P36">
        <f t="shared" si="6"/>
        <v>485.376137382249</v>
      </c>
      <c r="S36" s="341">
        <f>S35/S34</f>
        <v>2.5</v>
      </c>
      <c r="V36">
        <f>AJ32-AJ31</f>
        <v>160.53393990526</v>
      </c>
      <c r="W36">
        <v>102</v>
      </c>
      <c r="X36">
        <f>V36*W36</f>
        <v>16374.4618703365</v>
      </c>
      <c r="AJ36">
        <f>AK4/AJ35</f>
        <v>1.56557132799581</v>
      </c>
      <c r="AK36">
        <f>AK35/AK34</f>
        <v>1.15</v>
      </c>
    </row>
    <row r="37" hidden="1" spans="4:18">
      <c r="D37" t="s">
        <v>26</v>
      </c>
      <c r="E37" t="s">
        <v>2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8</v>
      </c>
      <c r="L37" t="s">
        <v>9</v>
      </c>
      <c r="M37" t="s">
        <v>10</v>
      </c>
      <c r="N37" t="s">
        <v>11</v>
      </c>
      <c r="O37" t="s">
        <v>12</v>
      </c>
      <c r="P37" t="s">
        <v>13</v>
      </c>
      <c r="Q37" t="s">
        <v>14</v>
      </c>
      <c r="R37" t="s">
        <v>27</v>
      </c>
    </row>
    <row r="38" hidden="1" spans="4:21">
      <c r="D38">
        <v>2024</v>
      </c>
      <c r="E38" s="3">
        <v>100</v>
      </c>
      <c r="F38" s="3">
        <f>E38</f>
        <v>100</v>
      </c>
      <c r="G38" s="3">
        <f>F38*1.3</f>
        <v>130</v>
      </c>
      <c r="H38" s="3">
        <f>G38</f>
        <v>130</v>
      </c>
      <c r="I38" s="3">
        <f t="shared" ref="I38:L38" si="7">H38</f>
        <v>130</v>
      </c>
      <c r="J38" s="3">
        <f t="shared" si="7"/>
        <v>130</v>
      </c>
      <c r="K38" s="3">
        <f t="shared" si="7"/>
        <v>130</v>
      </c>
      <c r="L38" s="3">
        <f t="shared" si="7"/>
        <v>130</v>
      </c>
      <c r="M38" s="3">
        <f>L38*1.21</f>
        <v>157.3</v>
      </c>
      <c r="N38" s="3">
        <f>M38</f>
        <v>157.3</v>
      </c>
      <c r="O38" s="3">
        <f t="shared" ref="O38:P38" si="8">N38</f>
        <v>157.3</v>
      </c>
      <c r="P38" s="3">
        <f t="shared" si="8"/>
        <v>157.3</v>
      </c>
      <c r="Q38" s="3">
        <f>AVERAGE(E38:P38)</f>
        <v>134.1</v>
      </c>
      <c r="R38" s="3">
        <v>35.57</v>
      </c>
      <c r="S38" s="3"/>
      <c r="T38" s="3"/>
      <c r="U38" s="311"/>
    </row>
    <row r="39" hidden="1" spans="4:22">
      <c r="D39">
        <v>2025</v>
      </c>
      <c r="E39" s="3">
        <f>P38</f>
        <v>157.3</v>
      </c>
      <c r="F39" s="3">
        <f>E39</f>
        <v>157.3</v>
      </c>
      <c r="G39" s="3">
        <f>F39*1.18</f>
        <v>185.614</v>
      </c>
      <c r="H39" s="3">
        <f>G39</f>
        <v>185.614</v>
      </c>
      <c r="I39" s="3">
        <f t="shared" ref="I39:L39" si="9">H39</f>
        <v>185.614</v>
      </c>
      <c r="J39" s="3">
        <f t="shared" si="9"/>
        <v>185.614</v>
      </c>
      <c r="K39" s="3">
        <f t="shared" si="9"/>
        <v>185.614</v>
      </c>
      <c r="L39" s="3">
        <f t="shared" si="9"/>
        <v>185.614</v>
      </c>
      <c r="M39" s="3">
        <f>L39*1.25</f>
        <v>232.0175</v>
      </c>
      <c r="N39" s="3">
        <f>M39</f>
        <v>232.0175</v>
      </c>
      <c r="O39" s="3">
        <f t="shared" ref="O39:P39" si="10">N39</f>
        <v>232.0175</v>
      </c>
      <c r="P39" s="3">
        <f t="shared" si="10"/>
        <v>232.0175</v>
      </c>
      <c r="Q39" s="3">
        <f>AVERAGE(E39:P39)</f>
        <v>196.362833333333</v>
      </c>
      <c r="R39" s="3">
        <v>44.76</v>
      </c>
      <c r="S39" s="3"/>
      <c r="T39" s="3"/>
      <c r="U39" s="311"/>
      <c r="V39" s="311"/>
    </row>
    <row r="40" hidden="1" spans="4:22">
      <c r="D40">
        <v>2026</v>
      </c>
      <c r="E40" s="10">
        <f>P39</f>
        <v>232.0175</v>
      </c>
      <c r="F40" s="10">
        <f>E40</f>
        <v>232.0175</v>
      </c>
      <c r="G40" s="10">
        <f>F40*1.138</f>
        <v>264.035915</v>
      </c>
      <c r="H40" s="10">
        <f>G40</f>
        <v>264.035915</v>
      </c>
      <c r="I40" s="10">
        <f>H40</f>
        <v>264.035915</v>
      </c>
      <c r="J40" s="10">
        <f t="shared" ref="J40:L40" si="11">I40</f>
        <v>264.035915</v>
      </c>
      <c r="K40" s="10">
        <f t="shared" si="11"/>
        <v>264.035915</v>
      </c>
      <c r="L40" s="10">
        <f t="shared" si="11"/>
        <v>264.035915</v>
      </c>
      <c r="M40" s="10">
        <f>L40*1.117</f>
        <v>294.928117055</v>
      </c>
      <c r="N40" s="10">
        <f>M40</f>
        <v>294.928117055</v>
      </c>
      <c r="O40" s="10">
        <f t="shared" ref="O40:P40" si="12">N40</f>
        <v>294.928117055</v>
      </c>
      <c r="P40" s="10">
        <f t="shared" si="12"/>
        <v>294.928117055</v>
      </c>
      <c r="Q40" s="3">
        <f>AVERAGE(E40:P40)</f>
        <v>268.996913185</v>
      </c>
      <c r="R40" s="3">
        <v>57</v>
      </c>
      <c r="S40" s="3"/>
      <c r="T40" s="3"/>
      <c r="U40" s="311"/>
      <c r="V40" s="311"/>
    </row>
    <row r="41" hidden="1" spans="7:13">
      <c r="G41">
        <v>13.8</v>
      </c>
      <c r="M41">
        <v>11.7</v>
      </c>
    </row>
    <row r="42" hidden="1" spans="5:17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3"/>
    </row>
    <row r="43" hidden="1" spans="4:18">
      <c r="D43" t="s">
        <v>28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12</v>
      </c>
      <c r="P43" t="s">
        <v>13</v>
      </c>
      <c r="Q43" t="s">
        <v>14</v>
      </c>
      <c r="R43" t="s">
        <v>27</v>
      </c>
    </row>
    <row r="44" hidden="1" spans="4:21">
      <c r="D44">
        <v>2024</v>
      </c>
      <c r="E44" s="3">
        <v>160</v>
      </c>
      <c r="F44" s="3">
        <f>E44</f>
        <v>160</v>
      </c>
      <c r="G44" s="3">
        <f>F44</f>
        <v>160</v>
      </c>
      <c r="H44" s="3">
        <f>G44</f>
        <v>160</v>
      </c>
      <c r="I44" s="3">
        <f t="shared" ref="I44:J44" si="13">H44</f>
        <v>160</v>
      </c>
      <c r="J44" s="3">
        <f t="shared" si="13"/>
        <v>160</v>
      </c>
      <c r="K44" s="3">
        <f>J44*1.18</f>
        <v>188.8</v>
      </c>
      <c r="L44" s="3">
        <f>K44</f>
        <v>188.8</v>
      </c>
      <c r="M44" s="3">
        <f t="shared" ref="M44:P44" si="14">L44</f>
        <v>188.8</v>
      </c>
      <c r="N44" s="3">
        <f t="shared" si="14"/>
        <v>188.8</v>
      </c>
      <c r="O44" s="3">
        <f t="shared" si="14"/>
        <v>188.8</v>
      </c>
      <c r="P44" s="3">
        <f t="shared" si="14"/>
        <v>188.8</v>
      </c>
      <c r="Q44" s="3">
        <f>AVERAGE(E44:P44)</f>
        <v>174.4</v>
      </c>
      <c r="R44" s="3">
        <v>35.57</v>
      </c>
      <c r="S44" s="3"/>
      <c r="T44" s="3"/>
      <c r="U44" s="311"/>
    </row>
    <row r="45" hidden="1" spans="4:22">
      <c r="D45">
        <v>2025</v>
      </c>
      <c r="E45" s="3">
        <f>P44*1.19</f>
        <v>224.672</v>
      </c>
      <c r="F45" s="3">
        <f>E45</f>
        <v>224.672</v>
      </c>
      <c r="G45" s="3">
        <f t="shared" ref="G45:P45" si="15">F45</f>
        <v>224.672</v>
      </c>
      <c r="H45" s="3">
        <f t="shared" si="15"/>
        <v>224.672</v>
      </c>
      <c r="I45" s="3">
        <f t="shared" si="15"/>
        <v>224.672</v>
      </c>
      <c r="J45" s="3">
        <f t="shared" si="15"/>
        <v>224.672</v>
      </c>
      <c r="K45" s="3">
        <f t="shared" si="15"/>
        <v>224.672</v>
      </c>
      <c r="L45" s="3">
        <f t="shared" si="15"/>
        <v>224.672</v>
      </c>
      <c r="M45" s="3">
        <f t="shared" si="15"/>
        <v>224.672</v>
      </c>
      <c r="N45" s="3">
        <f t="shared" si="15"/>
        <v>224.672</v>
      </c>
      <c r="O45" s="3">
        <f t="shared" si="15"/>
        <v>224.672</v>
      </c>
      <c r="P45" s="3">
        <f t="shared" si="15"/>
        <v>224.672</v>
      </c>
      <c r="Q45" s="3">
        <f>AVERAGE(E45:P45)</f>
        <v>224.672</v>
      </c>
      <c r="R45" s="3">
        <v>44.76</v>
      </c>
      <c r="S45" s="3"/>
      <c r="T45" s="3"/>
      <c r="U45" s="311"/>
      <c r="V45" s="311"/>
    </row>
    <row r="46" hidden="1" spans="4:22">
      <c r="D46">
        <v>2026</v>
      </c>
      <c r="E46" s="10">
        <f>P45*1.3</f>
        <v>292.0736</v>
      </c>
      <c r="F46" s="10">
        <f>E46</f>
        <v>292.0736</v>
      </c>
      <c r="G46" s="10">
        <f t="shared" ref="G46:P46" si="16">F46</f>
        <v>292.0736</v>
      </c>
      <c r="H46" s="10">
        <f t="shared" si="16"/>
        <v>292.0736</v>
      </c>
      <c r="I46" s="10">
        <f t="shared" si="16"/>
        <v>292.0736</v>
      </c>
      <c r="J46" s="10">
        <f t="shared" si="16"/>
        <v>292.0736</v>
      </c>
      <c r="K46" s="10">
        <f t="shared" si="16"/>
        <v>292.0736</v>
      </c>
      <c r="L46" s="10">
        <f t="shared" si="16"/>
        <v>292.0736</v>
      </c>
      <c r="M46" s="10">
        <f t="shared" si="16"/>
        <v>292.0736</v>
      </c>
      <c r="N46" s="10">
        <f t="shared" si="16"/>
        <v>292.0736</v>
      </c>
      <c r="O46" s="10">
        <f t="shared" si="16"/>
        <v>292.0736</v>
      </c>
      <c r="P46" s="10">
        <f t="shared" si="16"/>
        <v>292.0736</v>
      </c>
      <c r="Q46" s="3">
        <f>AVERAGE(E46:P46)</f>
        <v>292.0736</v>
      </c>
      <c r="R46" s="3">
        <v>57</v>
      </c>
      <c r="S46" s="3"/>
      <c r="T46" s="3"/>
      <c r="U46" s="311"/>
      <c r="V46" s="311"/>
    </row>
    <row r="47" spans="36:36">
      <c r="AJ47">
        <f>AJ36/AK36</f>
        <v>1.36136637217027</v>
      </c>
    </row>
    <row r="49" spans="5:16">
      <c r="E49">
        <f>E9+E4</f>
        <v>449</v>
      </c>
      <c r="F49">
        <f t="shared" ref="F49:P49" si="17">F9+F4</f>
        <v>477</v>
      </c>
      <c r="G49">
        <f t="shared" si="17"/>
        <v>473</v>
      </c>
      <c r="H49">
        <f t="shared" si="17"/>
        <v>478</v>
      </c>
      <c r="I49">
        <f t="shared" si="17"/>
        <v>471</v>
      </c>
      <c r="J49">
        <f t="shared" si="17"/>
        <v>408</v>
      </c>
      <c r="K49">
        <f t="shared" si="17"/>
        <v>373</v>
      </c>
      <c r="L49">
        <f t="shared" si="17"/>
        <v>366</v>
      </c>
      <c r="M49">
        <f t="shared" si="17"/>
        <v>368</v>
      </c>
      <c r="N49">
        <f t="shared" si="17"/>
        <v>442</v>
      </c>
      <c r="O49">
        <f t="shared" si="17"/>
        <v>444</v>
      </c>
      <c r="P49">
        <f t="shared" si="17"/>
        <v>413</v>
      </c>
    </row>
    <row r="50" spans="24:35">
      <c r="X50">
        <f>X5+X10</f>
        <v>329</v>
      </c>
      <c r="Y50">
        <f t="shared" ref="Y50:AI50" si="18">Y5+Y10</f>
        <v>329</v>
      </c>
      <c r="Z50">
        <f t="shared" si="18"/>
        <v>329</v>
      </c>
      <c r="AA50">
        <f t="shared" si="18"/>
        <v>329</v>
      </c>
      <c r="AB50">
        <f t="shared" si="18"/>
        <v>332</v>
      </c>
      <c r="AC50">
        <f t="shared" si="18"/>
        <v>330</v>
      </c>
      <c r="AD50">
        <f t="shared" si="18"/>
        <v>330</v>
      </c>
      <c r="AE50">
        <f t="shared" si="18"/>
        <v>336</v>
      </c>
      <c r="AF50">
        <f t="shared" si="18"/>
        <v>337</v>
      </c>
      <c r="AG50">
        <f t="shared" si="18"/>
        <v>335</v>
      </c>
      <c r="AH50">
        <f t="shared" si="18"/>
        <v>336</v>
      </c>
      <c r="AI50">
        <f t="shared" si="18"/>
        <v>337</v>
      </c>
    </row>
    <row r="51" spans="5:16">
      <c r="E51">
        <f t="shared" ref="E51:P51" si="19">E49*$S$21</f>
        <v>162446.418969907</v>
      </c>
      <c r="F51">
        <f t="shared" si="19"/>
        <v>172576.707903442</v>
      </c>
      <c r="G51">
        <f t="shared" si="19"/>
        <v>171129.52377008</v>
      </c>
      <c r="H51">
        <f t="shared" si="19"/>
        <v>172938.503936783</v>
      </c>
      <c r="I51">
        <f t="shared" si="19"/>
        <v>170405.931703399</v>
      </c>
      <c r="J51">
        <f t="shared" si="19"/>
        <v>147612.781602944</v>
      </c>
      <c r="K51">
        <f t="shared" si="19"/>
        <v>134949.920436025</v>
      </c>
      <c r="L51">
        <f t="shared" si="19"/>
        <v>132417.348202641</v>
      </c>
      <c r="M51">
        <f t="shared" si="19"/>
        <v>133140.940269322</v>
      </c>
      <c r="N51">
        <f t="shared" si="19"/>
        <v>159913.846736523</v>
      </c>
      <c r="O51">
        <f t="shared" si="19"/>
        <v>160637.438803204</v>
      </c>
      <c r="P51">
        <f t="shared" si="19"/>
        <v>149421.761769647</v>
      </c>
    </row>
    <row r="54" spans="5:16">
      <c r="E54">
        <v>-162446.418969907</v>
      </c>
      <c r="F54">
        <v>-172576.707903442</v>
      </c>
      <c r="G54">
        <v>-171129.52377008</v>
      </c>
      <c r="H54">
        <v>-172938.503936783</v>
      </c>
      <c r="I54">
        <v>-170405.931703399</v>
      </c>
      <c r="J54">
        <v>-147612.781602944</v>
      </c>
      <c r="K54">
        <v>-134949.920436025</v>
      </c>
      <c r="L54">
        <v>-132417.348202641</v>
      </c>
      <c r="M54">
        <v>-133140.940269322</v>
      </c>
      <c r="N54">
        <v>-159913.846736523</v>
      </c>
      <c r="O54">
        <v>-160637.438803204</v>
      </c>
      <c r="P54">
        <v>-149421.761769647</v>
      </c>
    </row>
    <row r="56" spans="24:35">
      <c r="X56">
        <f t="shared" ref="X56:AI56" si="20">X4+X9</f>
        <v>305</v>
      </c>
      <c r="Y56">
        <f t="shared" si="20"/>
        <v>303</v>
      </c>
      <c r="Z56">
        <f t="shared" si="20"/>
        <v>312</v>
      </c>
      <c r="AA56">
        <f t="shared" si="20"/>
        <v>311</v>
      </c>
      <c r="AB56">
        <f t="shared" si="20"/>
        <v>319</v>
      </c>
      <c r="AC56">
        <f t="shared" si="20"/>
        <v>330</v>
      </c>
      <c r="AD56">
        <f t="shared" si="20"/>
        <v>307</v>
      </c>
      <c r="AE56">
        <f t="shared" si="20"/>
        <v>203</v>
      </c>
      <c r="AF56">
        <f t="shared" si="20"/>
        <v>202</v>
      </c>
      <c r="AG56">
        <f t="shared" si="20"/>
        <v>202</v>
      </c>
      <c r="AH56">
        <f t="shared" si="20"/>
        <v>259</v>
      </c>
      <c r="AI56">
        <f t="shared" si="20"/>
        <v>319</v>
      </c>
    </row>
    <row r="57" spans="5:16">
      <c r="E57">
        <f t="shared" ref="E57:P57" si="21">E14*$S$30</f>
        <v>26760.6110284295</v>
      </c>
      <c r="F57">
        <f t="shared" si="21"/>
        <v>26760.6110284295</v>
      </c>
      <c r="G57">
        <f t="shared" si="21"/>
        <v>25607.1364151351</v>
      </c>
      <c r="H57">
        <f t="shared" si="21"/>
        <v>25145.7465698174</v>
      </c>
      <c r="I57">
        <f t="shared" si="21"/>
        <v>24453.6618018407</v>
      </c>
      <c r="J57">
        <f t="shared" si="21"/>
        <v>17666.6171772166</v>
      </c>
      <c r="K57">
        <f t="shared" si="21"/>
        <v>16130.1889923085</v>
      </c>
      <c r="L57">
        <f t="shared" si="21"/>
        <v>17686.6107218007</v>
      </c>
      <c r="M57">
        <f t="shared" si="21"/>
        <v>15225.8648954857</v>
      </c>
      <c r="N57">
        <f t="shared" si="21"/>
        <v>14303.0852048502</v>
      </c>
      <c r="O57">
        <f t="shared" si="21"/>
        <v>14303.0852048502</v>
      </c>
      <c r="P57">
        <f t="shared" si="21"/>
        <v>14303.0852048502</v>
      </c>
    </row>
    <row r="58" spans="24:35">
      <c r="X58">
        <f t="shared" ref="X58:AI58" si="22">X56*$AL$22</f>
        <v>110347.790168868</v>
      </c>
      <c r="Y58">
        <f t="shared" si="22"/>
        <v>109624.198102187</v>
      </c>
      <c r="Z58">
        <f t="shared" si="22"/>
        <v>112880.362402252</v>
      </c>
      <c r="AA58">
        <f t="shared" si="22"/>
        <v>112518.566368911</v>
      </c>
      <c r="AB58">
        <f t="shared" si="22"/>
        <v>115412.934635635</v>
      </c>
      <c r="AC58">
        <f t="shared" si="22"/>
        <v>119392.691002382</v>
      </c>
      <c r="AD58">
        <f t="shared" si="22"/>
        <v>111071.382235549</v>
      </c>
      <c r="AE58">
        <f t="shared" si="22"/>
        <v>73444.5947681317</v>
      </c>
      <c r="AF58">
        <f t="shared" si="22"/>
        <v>73082.7987347911</v>
      </c>
      <c r="AG58">
        <f t="shared" si="22"/>
        <v>73082.7987347911</v>
      </c>
      <c r="AH58">
        <f t="shared" si="22"/>
        <v>93705.1726352025</v>
      </c>
      <c r="AI58">
        <f t="shared" si="22"/>
        <v>115412.934635635</v>
      </c>
    </row>
    <row r="62" spans="24:35">
      <c r="X62">
        <f t="shared" ref="X62:AI62" si="23">$AL$30*X14</f>
        <v>7551.1200822973</v>
      </c>
      <c r="Y62">
        <f t="shared" si="23"/>
        <v>6934.70211639548</v>
      </c>
      <c r="Z62">
        <f t="shared" si="23"/>
        <v>6780.59762492002</v>
      </c>
      <c r="AA62">
        <f t="shared" si="23"/>
        <v>7088.80660787093</v>
      </c>
      <c r="AB62">
        <f t="shared" si="23"/>
        <v>6780.59762492002</v>
      </c>
      <c r="AC62">
        <f t="shared" si="23"/>
        <v>8256.91865325488</v>
      </c>
      <c r="AD62">
        <f t="shared" si="23"/>
        <v>8167.53804819912</v>
      </c>
      <c r="AE62">
        <f t="shared" si="23"/>
        <v>7806.93353814655</v>
      </c>
      <c r="AF62">
        <f t="shared" si="23"/>
        <v>7705.22457377275</v>
      </c>
      <c r="AG62">
        <f t="shared" si="23"/>
        <v>7705.22457377275</v>
      </c>
      <c r="AH62">
        <f t="shared" si="23"/>
        <v>7705.22457377275</v>
      </c>
      <c r="AI62">
        <f t="shared" si="23"/>
        <v>7705.22457377275</v>
      </c>
    </row>
  </sheetData>
  <mergeCells count="14">
    <mergeCell ref="E1:Q1"/>
    <mergeCell ref="X1:AJ1"/>
    <mergeCell ref="B3:B5"/>
    <mergeCell ref="B8:B10"/>
    <mergeCell ref="B13:B15"/>
    <mergeCell ref="B20:B22"/>
    <mergeCell ref="B25:B27"/>
    <mergeCell ref="B30:B32"/>
    <mergeCell ref="U3:U5"/>
    <mergeCell ref="U8:U10"/>
    <mergeCell ref="U13:U15"/>
    <mergeCell ref="U20:U22"/>
    <mergeCell ref="U25:U27"/>
    <mergeCell ref="U30:U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4" sqref="J14"/>
    </sheetView>
  </sheetViews>
  <sheetFormatPr defaultColWidth="9" defaultRowHeight="13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0"/>
  <sheetViews>
    <sheetView zoomScale="70" zoomScaleNormal="70" workbookViewId="0">
      <selection activeCell="E5" sqref="E5"/>
    </sheetView>
  </sheetViews>
  <sheetFormatPr defaultColWidth="9" defaultRowHeight="13.8"/>
  <cols>
    <col min="4" max="4" width="55.1111111111111" customWidth="1"/>
    <col min="6" max="17" width="11.2222222222222" customWidth="1"/>
    <col min="18" max="18" width="12.7777777777778" customWidth="1"/>
  </cols>
  <sheetData>
    <row r="1" spans="1:19">
      <c r="A1" s="11"/>
      <c r="B1" s="273" t="s">
        <v>1</v>
      </c>
      <c r="C1" s="11"/>
      <c r="D1" s="274" t="s">
        <v>29</v>
      </c>
      <c r="E1" s="275" t="s">
        <v>30</v>
      </c>
      <c r="F1" s="276" t="s">
        <v>31</v>
      </c>
      <c r="G1" s="276" t="s">
        <v>32</v>
      </c>
      <c r="H1" s="276" t="s">
        <v>33</v>
      </c>
      <c r="I1" s="276" t="s">
        <v>34</v>
      </c>
      <c r="J1" s="276" t="s">
        <v>6</v>
      </c>
      <c r="K1" s="276" t="s">
        <v>35</v>
      </c>
      <c r="L1" s="276" t="s">
        <v>36</v>
      </c>
      <c r="M1" s="276" t="s">
        <v>37</v>
      </c>
      <c r="N1" s="276" t="s">
        <v>38</v>
      </c>
      <c r="O1" s="276" t="s">
        <v>39</v>
      </c>
      <c r="P1" s="276" t="s">
        <v>40</v>
      </c>
      <c r="Q1" s="276" t="s">
        <v>41</v>
      </c>
      <c r="R1" s="285" t="s">
        <v>42</v>
      </c>
      <c r="S1" s="11"/>
    </row>
    <row r="2" spans="1:19">
      <c r="A2" s="277" t="s">
        <v>43</v>
      </c>
      <c r="B2" s="277" t="s">
        <v>44</v>
      </c>
      <c r="C2" s="277" t="s">
        <v>45</v>
      </c>
      <c r="D2" s="278" t="s">
        <v>46</v>
      </c>
      <c r="E2" s="279" t="s">
        <v>47</v>
      </c>
      <c r="F2" s="280">
        <v>50529.4314170687</v>
      </c>
      <c r="G2" s="280">
        <v>50529.4314170687</v>
      </c>
      <c r="H2" s="280">
        <v>50529.4314170687</v>
      </c>
      <c r="I2" s="280">
        <v>42415.2243668951</v>
      </c>
      <c r="J2" s="280">
        <v>42415.2243668951</v>
      </c>
      <c r="K2" s="280">
        <v>42415.2243668951</v>
      </c>
      <c r="L2" s="280">
        <v>25264.7157085344</v>
      </c>
      <c r="M2" s="280">
        <v>25264.7157085344</v>
      </c>
      <c r="N2" s="280">
        <v>25264.7157085344</v>
      </c>
      <c r="O2" s="280">
        <v>17150.5086583607</v>
      </c>
      <c r="P2" s="280">
        <v>17150.5086583607</v>
      </c>
      <c r="Q2" s="280">
        <v>17150.5086583607</v>
      </c>
      <c r="R2" s="286">
        <v>406079.640452577</v>
      </c>
      <c r="S2" s="287" t="s">
        <v>48</v>
      </c>
    </row>
    <row r="3" spans="1:19">
      <c r="A3" s="277" t="s">
        <v>43</v>
      </c>
      <c r="B3" s="277" t="s">
        <v>44</v>
      </c>
      <c r="C3" s="277" t="s">
        <v>49</v>
      </c>
      <c r="D3" s="281" t="s">
        <v>50</v>
      </c>
      <c r="E3" s="279" t="s">
        <v>51</v>
      </c>
      <c r="F3" s="280"/>
      <c r="G3" s="280">
        <v>23796.1750517083</v>
      </c>
      <c r="H3" s="280">
        <v>23796.1750517083</v>
      </c>
      <c r="I3" s="280">
        <v>24985.9838017083</v>
      </c>
      <c r="J3" s="280">
        <v>27769.4433333333</v>
      </c>
      <c r="K3" s="280">
        <v>15338.76</v>
      </c>
      <c r="L3" s="280">
        <v>21643.5570833333</v>
      </c>
      <c r="M3" s="280">
        <v>16534.77375</v>
      </c>
      <c r="N3" s="280">
        <v>14927.1616666667</v>
      </c>
      <c r="O3" s="280">
        <v>13444.16718375</v>
      </c>
      <c r="P3" s="280">
        <v>17593.2433333333</v>
      </c>
      <c r="Q3" s="280">
        <v>21200.41718375</v>
      </c>
      <c r="R3" s="286">
        <v>221029.857439292</v>
      </c>
      <c r="S3" s="287" t="s">
        <v>52</v>
      </c>
    </row>
    <row r="4" spans="1:19">
      <c r="A4" s="277" t="s">
        <v>53</v>
      </c>
      <c r="B4" s="277" t="s">
        <v>54</v>
      </c>
      <c r="C4" s="277" t="s">
        <v>55</v>
      </c>
      <c r="D4" s="281" t="s">
        <v>56</v>
      </c>
      <c r="E4" s="279" t="s">
        <v>57</v>
      </c>
      <c r="F4" s="280">
        <v>17698.23</v>
      </c>
      <c r="G4" s="280">
        <v>17134.14</v>
      </c>
      <c r="H4" s="280">
        <v>17874.5</v>
      </c>
      <c r="I4" s="280">
        <v>17874.5</v>
      </c>
      <c r="J4" s="280">
        <v>18619.27</v>
      </c>
      <c r="K4" s="280">
        <v>6400.18</v>
      </c>
      <c r="L4" s="280">
        <v>18725.04</v>
      </c>
      <c r="M4" s="280">
        <v>18619.27</v>
      </c>
      <c r="N4" s="280">
        <v>19364.05</v>
      </c>
      <c r="O4" s="280">
        <v>17874.5</v>
      </c>
      <c r="P4" s="280">
        <v>18619.27</v>
      </c>
      <c r="Q4" s="280">
        <v>13405.88</v>
      </c>
      <c r="R4" s="286">
        <v>202208.83</v>
      </c>
      <c r="S4" s="287" t="s">
        <v>58</v>
      </c>
    </row>
    <row r="5" spans="1:19">
      <c r="A5" s="277" t="s">
        <v>53</v>
      </c>
      <c r="B5" s="277" t="s">
        <v>54</v>
      </c>
      <c r="C5" s="277" t="s">
        <v>49</v>
      </c>
      <c r="D5" s="281" t="s">
        <v>59</v>
      </c>
      <c r="E5" s="279" t="s">
        <v>57</v>
      </c>
      <c r="F5" s="280">
        <v>12459.64</v>
      </c>
      <c r="G5" s="280">
        <v>12062.52</v>
      </c>
      <c r="H5" s="280">
        <v>12583.74</v>
      </c>
      <c r="I5" s="280">
        <v>12583.74</v>
      </c>
      <c r="J5" s="280">
        <v>13108.06</v>
      </c>
      <c r="K5" s="280">
        <v>4505.76</v>
      </c>
      <c r="L5" s="280">
        <v>13182.52</v>
      </c>
      <c r="M5" s="280">
        <v>13108.06</v>
      </c>
      <c r="N5" s="280">
        <v>13632.39</v>
      </c>
      <c r="O5" s="280">
        <v>12583.74</v>
      </c>
      <c r="P5" s="280">
        <v>13108.06</v>
      </c>
      <c r="Q5" s="280">
        <v>9437.81</v>
      </c>
      <c r="R5" s="286">
        <v>142356.04</v>
      </c>
      <c r="S5" s="11"/>
    </row>
    <row r="6" spans="1:19">
      <c r="A6" s="277" t="s">
        <v>43</v>
      </c>
      <c r="B6" s="277" t="s">
        <v>44</v>
      </c>
      <c r="C6" s="277" t="s">
        <v>45</v>
      </c>
      <c r="D6" s="278" t="s">
        <v>60</v>
      </c>
      <c r="E6" s="279" t="s">
        <v>61</v>
      </c>
      <c r="F6" s="280">
        <v>10000</v>
      </c>
      <c r="G6" s="280">
        <v>10000</v>
      </c>
      <c r="H6" s="280">
        <v>10000</v>
      </c>
      <c r="I6" s="280">
        <v>10000</v>
      </c>
      <c r="J6" s="280">
        <v>10000</v>
      </c>
      <c r="K6" s="280">
        <v>10000</v>
      </c>
      <c r="L6" s="280">
        <v>10000</v>
      </c>
      <c r="M6" s="280">
        <v>10000</v>
      </c>
      <c r="N6" s="280">
        <v>10000</v>
      </c>
      <c r="O6" s="280">
        <v>10000</v>
      </c>
      <c r="P6" s="280">
        <v>10000</v>
      </c>
      <c r="Q6" s="280">
        <v>20000</v>
      </c>
      <c r="R6" s="286">
        <v>130000</v>
      </c>
      <c r="S6" s="11"/>
    </row>
    <row r="7" spans="1:19">
      <c r="A7" s="277" t="s">
        <v>43</v>
      </c>
      <c r="B7" s="277" t="s">
        <v>44</v>
      </c>
      <c r="C7" s="277" t="s">
        <v>49</v>
      </c>
      <c r="D7" s="278" t="s">
        <v>62</v>
      </c>
      <c r="E7" s="279" t="s">
        <v>63</v>
      </c>
      <c r="F7" s="280">
        <v>7456</v>
      </c>
      <c r="G7" s="280">
        <v>11000</v>
      </c>
      <c r="H7" s="280">
        <v>11000</v>
      </c>
      <c r="I7" s="280">
        <v>11000</v>
      </c>
      <c r="J7" s="280">
        <v>11000</v>
      </c>
      <c r="K7" s="280">
        <v>11000</v>
      </c>
      <c r="L7" s="280">
        <v>11000</v>
      </c>
      <c r="M7" s="280">
        <v>11000</v>
      </c>
      <c r="N7" s="280">
        <v>11000</v>
      </c>
      <c r="O7" s="280">
        <v>11000</v>
      </c>
      <c r="P7" s="280">
        <v>11000</v>
      </c>
      <c r="Q7" s="280">
        <v>11000</v>
      </c>
      <c r="R7" s="286">
        <v>128456</v>
      </c>
      <c r="S7" s="349" t="s">
        <v>64</v>
      </c>
    </row>
    <row r="8" spans="1:19">
      <c r="A8" s="277" t="s">
        <v>53</v>
      </c>
      <c r="B8" s="277" t="s">
        <v>54</v>
      </c>
      <c r="C8" s="277" t="s">
        <v>55</v>
      </c>
      <c r="D8" s="281" t="s">
        <v>65</v>
      </c>
      <c r="E8" s="279" t="s">
        <v>57</v>
      </c>
      <c r="F8" s="280">
        <v>10150.45</v>
      </c>
      <c r="G8" s="280">
        <v>9826.93</v>
      </c>
      <c r="H8" s="280">
        <v>10251.55</v>
      </c>
      <c r="I8" s="280">
        <v>10251.55</v>
      </c>
      <c r="J8" s="280">
        <v>10678.7</v>
      </c>
      <c r="K8" s="280">
        <v>3670.69</v>
      </c>
      <c r="L8" s="280">
        <v>10739.36</v>
      </c>
      <c r="M8" s="280">
        <v>10678.7</v>
      </c>
      <c r="N8" s="280">
        <v>11105.85</v>
      </c>
      <c r="O8" s="280">
        <v>10251.55</v>
      </c>
      <c r="P8" s="280">
        <v>10678.7</v>
      </c>
      <c r="Q8" s="280">
        <v>7688.67</v>
      </c>
      <c r="R8" s="286">
        <v>115972.7</v>
      </c>
      <c r="S8" s="11"/>
    </row>
    <row r="9" spans="1:19">
      <c r="A9" s="277" t="s">
        <v>53</v>
      </c>
      <c r="B9" s="277" t="s">
        <v>54</v>
      </c>
      <c r="C9" s="277" t="s">
        <v>55</v>
      </c>
      <c r="D9" s="281" t="s">
        <v>66</v>
      </c>
      <c r="E9" s="279" t="s">
        <v>57</v>
      </c>
      <c r="F9" s="280">
        <v>9540.17</v>
      </c>
      <c r="G9" s="280">
        <v>9236.1</v>
      </c>
      <c r="H9" s="280">
        <v>9635.19</v>
      </c>
      <c r="I9" s="280">
        <v>9635.19</v>
      </c>
      <c r="J9" s="280">
        <v>10036.66</v>
      </c>
      <c r="K9" s="280">
        <v>3450</v>
      </c>
      <c r="L9" s="280">
        <v>10093.67</v>
      </c>
      <c r="M9" s="280">
        <v>10036.66</v>
      </c>
      <c r="N9" s="280">
        <v>10438.12</v>
      </c>
      <c r="O9" s="280">
        <v>9635.19</v>
      </c>
      <c r="P9" s="280">
        <v>10036.66</v>
      </c>
      <c r="Q9" s="280">
        <v>7226.39</v>
      </c>
      <c r="R9" s="286">
        <v>109000</v>
      </c>
      <c r="S9" s="11"/>
    </row>
    <row r="10" spans="1:19">
      <c r="A10" s="277" t="s">
        <v>53</v>
      </c>
      <c r="B10" s="277" t="s">
        <v>54</v>
      </c>
      <c r="C10" s="277" t="s">
        <v>55</v>
      </c>
      <c r="D10" s="281" t="s">
        <v>67</v>
      </c>
      <c r="E10" s="279" t="s">
        <v>57</v>
      </c>
      <c r="F10" s="280">
        <v>6229.82</v>
      </c>
      <c r="G10" s="280">
        <v>6031.26</v>
      </c>
      <c r="H10" s="280">
        <v>6291.87</v>
      </c>
      <c r="I10" s="280">
        <v>6291.87</v>
      </c>
      <c r="J10" s="280">
        <v>6554.03</v>
      </c>
      <c r="K10" s="280">
        <v>2252.88</v>
      </c>
      <c r="L10" s="280">
        <v>6591.26</v>
      </c>
      <c r="M10" s="280">
        <v>6554.03</v>
      </c>
      <c r="N10" s="280">
        <v>6816.19</v>
      </c>
      <c r="O10" s="280">
        <v>6291.87</v>
      </c>
      <c r="P10" s="280">
        <v>6554.03</v>
      </c>
      <c r="Q10" s="280">
        <v>4718.9</v>
      </c>
      <c r="R10" s="286">
        <v>71178.01</v>
      </c>
      <c r="S10" s="11"/>
    </row>
    <row r="11" spans="1:19">
      <c r="A11" s="277" t="s">
        <v>43</v>
      </c>
      <c r="B11" s="277" t="s">
        <v>44</v>
      </c>
      <c r="C11" s="277" t="s">
        <v>45</v>
      </c>
      <c r="D11" s="278" t="s">
        <v>68</v>
      </c>
      <c r="E11" s="279" t="s">
        <v>69</v>
      </c>
      <c r="F11" s="280">
        <v>0</v>
      </c>
      <c r="G11" s="280">
        <v>0</v>
      </c>
      <c r="H11" s="280">
        <v>10000</v>
      </c>
      <c r="I11" s="280">
        <v>10000</v>
      </c>
      <c r="J11" s="280">
        <v>10000</v>
      </c>
      <c r="K11" s="280">
        <v>10000</v>
      </c>
      <c r="L11" s="280">
        <v>10000</v>
      </c>
      <c r="M11" s="280">
        <v>10000</v>
      </c>
      <c r="N11" s="280">
        <v>0</v>
      </c>
      <c r="O11" s="280">
        <v>0</v>
      </c>
      <c r="P11" s="280">
        <v>0</v>
      </c>
      <c r="Q11" s="280">
        <v>10000</v>
      </c>
      <c r="R11" s="286">
        <v>70000</v>
      </c>
      <c r="S11" s="11"/>
    </row>
    <row r="12" spans="1:19">
      <c r="A12" s="277" t="s">
        <v>43</v>
      </c>
      <c r="B12" s="277" t="s">
        <v>44</v>
      </c>
      <c r="C12" s="277" t="s">
        <v>49</v>
      </c>
      <c r="D12" s="281" t="s">
        <v>70</v>
      </c>
      <c r="E12" s="279" t="s">
        <v>71</v>
      </c>
      <c r="F12" s="280"/>
      <c r="G12" s="280">
        <v>2600</v>
      </c>
      <c r="H12" s="280">
        <v>4100</v>
      </c>
      <c r="I12" s="280">
        <v>6150</v>
      </c>
      <c r="J12" s="280">
        <v>6150</v>
      </c>
      <c r="K12" s="280">
        <v>6150</v>
      </c>
      <c r="L12" s="280">
        <v>6150</v>
      </c>
      <c r="M12" s="280">
        <v>6150</v>
      </c>
      <c r="N12" s="280">
        <v>6150</v>
      </c>
      <c r="O12" s="280">
        <v>6150</v>
      </c>
      <c r="P12" s="280">
        <v>6150</v>
      </c>
      <c r="Q12" s="280">
        <v>6150</v>
      </c>
      <c r="R12" s="286">
        <v>62050</v>
      </c>
      <c r="S12" s="349" t="s">
        <v>72</v>
      </c>
    </row>
    <row r="13" spans="1:19">
      <c r="A13" s="277" t="s">
        <v>53</v>
      </c>
      <c r="B13" s="277" t="s">
        <v>54</v>
      </c>
      <c r="C13" s="277" t="s">
        <v>45</v>
      </c>
      <c r="D13" s="278" t="s">
        <v>73</v>
      </c>
      <c r="E13" s="279" t="s">
        <v>61</v>
      </c>
      <c r="F13" s="280">
        <v>5000</v>
      </c>
      <c r="G13" s="280">
        <v>5000</v>
      </c>
      <c r="H13" s="280">
        <v>5000</v>
      </c>
      <c r="I13" s="280">
        <v>5000</v>
      </c>
      <c r="J13" s="280">
        <v>5000</v>
      </c>
      <c r="K13" s="280">
        <v>5000</v>
      </c>
      <c r="L13" s="280">
        <v>5000</v>
      </c>
      <c r="M13" s="280">
        <v>5000</v>
      </c>
      <c r="N13" s="280">
        <v>5000</v>
      </c>
      <c r="O13" s="280">
        <v>5000</v>
      </c>
      <c r="P13" s="280">
        <v>5000</v>
      </c>
      <c r="Q13" s="280">
        <v>5000</v>
      </c>
      <c r="R13" s="286">
        <v>60000</v>
      </c>
      <c r="S13" s="11"/>
    </row>
    <row r="14" spans="1:19">
      <c r="A14" s="277" t="s">
        <v>43</v>
      </c>
      <c r="B14" s="277" t="s">
        <v>44</v>
      </c>
      <c r="C14" s="277" t="s">
        <v>49</v>
      </c>
      <c r="D14" s="282"/>
      <c r="E14" s="283" t="s">
        <v>69</v>
      </c>
      <c r="F14" s="284">
        <v>0</v>
      </c>
      <c r="G14" s="284">
        <v>0</v>
      </c>
      <c r="H14" s="284">
        <v>10000</v>
      </c>
      <c r="I14" s="284">
        <v>10000</v>
      </c>
      <c r="J14" s="284">
        <v>10000</v>
      </c>
      <c r="K14" s="284">
        <v>10000</v>
      </c>
      <c r="L14" s="284">
        <v>10000</v>
      </c>
      <c r="M14" s="284">
        <v>10000</v>
      </c>
      <c r="N14" s="284">
        <v>0</v>
      </c>
      <c r="O14" s="284">
        <v>0</v>
      </c>
      <c r="P14" s="284">
        <v>0</v>
      </c>
      <c r="Q14" s="284">
        <v>0</v>
      </c>
      <c r="R14" s="288">
        <v>60000</v>
      </c>
      <c r="S14" s="287" t="s">
        <v>74</v>
      </c>
    </row>
    <row r="15" spans="1:19">
      <c r="A15" s="277" t="s">
        <v>53</v>
      </c>
      <c r="B15" s="277" t="s">
        <v>54</v>
      </c>
      <c r="C15" s="277" t="s">
        <v>55</v>
      </c>
      <c r="D15" s="281" t="s">
        <v>75</v>
      </c>
      <c r="E15" s="279" t="s">
        <v>57</v>
      </c>
      <c r="F15" s="280">
        <v>4942.32</v>
      </c>
      <c r="G15" s="280">
        <v>4784.8</v>
      </c>
      <c r="H15" s="280">
        <v>4991.55</v>
      </c>
      <c r="I15" s="280">
        <v>4991.55</v>
      </c>
      <c r="J15" s="280">
        <v>5199.53</v>
      </c>
      <c r="K15" s="280">
        <v>1787.29</v>
      </c>
      <c r="L15" s="280">
        <v>5229.07</v>
      </c>
      <c r="M15" s="280">
        <v>5199.53</v>
      </c>
      <c r="N15" s="280">
        <v>5407.51</v>
      </c>
      <c r="O15" s="280">
        <v>4991.55</v>
      </c>
      <c r="P15" s="280">
        <v>5199.53</v>
      </c>
      <c r="Q15" s="280">
        <v>3743.66</v>
      </c>
      <c r="R15" s="286">
        <v>56467.89</v>
      </c>
      <c r="S15" s="11"/>
    </row>
    <row r="16" spans="1:19">
      <c r="A16" s="277" t="s">
        <v>53</v>
      </c>
      <c r="B16" s="277" t="s">
        <v>54</v>
      </c>
      <c r="C16" s="277" t="s">
        <v>55</v>
      </c>
      <c r="D16" s="281" t="s">
        <v>76</v>
      </c>
      <c r="E16" s="279" t="s">
        <v>61</v>
      </c>
      <c r="F16" s="280">
        <v>4339.37</v>
      </c>
      <c r="G16" s="280">
        <v>4339.37</v>
      </c>
      <c r="H16" s="280">
        <v>4339.37</v>
      </c>
      <c r="I16" s="280">
        <v>4339.37</v>
      </c>
      <c r="J16" s="280">
        <v>4339.37</v>
      </c>
      <c r="K16" s="280">
        <v>4339.37</v>
      </c>
      <c r="L16" s="280">
        <v>4339.37</v>
      </c>
      <c r="M16" s="280">
        <v>4339.37</v>
      </c>
      <c r="N16" s="280">
        <v>4339.37</v>
      </c>
      <c r="O16" s="280">
        <v>4339.37</v>
      </c>
      <c r="P16" s="280">
        <v>4339.37</v>
      </c>
      <c r="Q16" s="280">
        <v>4339.37</v>
      </c>
      <c r="R16" s="286">
        <v>52072.44</v>
      </c>
      <c r="S16" s="11"/>
    </row>
    <row r="17" spans="1:16384">
      <c r="A17" s="277" t="s">
        <v>53</v>
      </c>
      <c r="B17" s="277" t="s">
        <v>54</v>
      </c>
      <c r="C17" s="277" t="s">
        <v>55</v>
      </c>
      <c r="D17" s="281" t="s">
        <v>77</v>
      </c>
      <c r="E17" s="279" t="s">
        <v>78</v>
      </c>
      <c r="F17" s="280">
        <v>4166.67</v>
      </c>
      <c r="G17" s="280">
        <v>4166.67</v>
      </c>
      <c r="H17" s="280">
        <v>4166.67</v>
      </c>
      <c r="I17" s="280">
        <v>4166.67</v>
      </c>
      <c r="J17" s="280">
        <v>4166.67</v>
      </c>
      <c r="K17" s="280">
        <v>4166.67</v>
      </c>
      <c r="L17" s="280">
        <v>4166.67</v>
      </c>
      <c r="M17" s="280">
        <v>4166.67</v>
      </c>
      <c r="N17" s="280">
        <v>4166.67</v>
      </c>
      <c r="O17" s="280">
        <v>4166.67</v>
      </c>
      <c r="P17" s="280">
        <v>4166.67</v>
      </c>
      <c r="Q17" s="280">
        <v>4166.67</v>
      </c>
      <c r="R17" s="286">
        <v>50000.04</v>
      </c>
      <c r="S17" s="11"/>
      <c r="XFD17" s="11"/>
    </row>
    <row r="18" spans="1:16384">
      <c r="A18" s="277" t="s">
        <v>53</v>
      </c>
      <c r="B18" s="277" t="s">
        <v>54</v>
      </c>
      <c r="C18" s="277" t="s">
        <v>55</v>
      </c>
      <c r="D18" s="281" t="s">
        <v>79</v>
      </c>
      <c r="E18" s="279" t="s">
        <v>80</v>
      </c>
      <c r="F18" s="280">
        <v>4143.75</v>
      </c>
      <c r="G18" s="280">
        <v>4143.75</v>
      </c>
      <c r="H18" s="280">
        <v>4143.75</v>
      </c>
      <c r="I18" s="280">
        <v>4143.75</v>
      </c>
      <c r="J18" s="280">
        <v>4143.75</v>
      </c>
      <c r="K18" s="280">
        <v>4143.75</v>
      </c>
      <c r="L18" s="280">
        <v>4143.75</v>
      </c>
      <c r="M18" s="280">
        <v>4143.75</v>
      </c>
      <c r="N18" s="280">
        <v>4143.75</v>
      </c>
      <c r="O18" s="280">
        <v>4143.75</v>
      </c>
      <c r="P18" s="280">
        <v>4143.75</v>
      </c>
      <c r="Q18" s="280">
        <v>4143.75</v>
      </c>
      <c r="R18" s="286">
        <v>49725</v>
      </c>
      <c r="S18" s="11"/>
      <c r="XFD18" s="277"/>
    </row>
    <row r="19" spans="1:16384">
      <c r="A19" s="277" t="s">
        <v>53</v>
      </c>
      <c r="B19" s="277" t="s">
        <v>54</v>
      </c>
      <c r="C19" s="277" t="s">
        <v>55</v>
      </c>
      <c r="D19" s="281" t="s">
        <v>81</v>
      </c>
      <c r="E19" s="279" t="s">
        <v>63</v>
      </c>
      <c r="F19" s="280">
        <v>3727.58</v>
      </c>
      <c r="G19" s="280">
        <v>3727.58</v>
      </c>
      <c r="H19" s="280">
        <v>3727.58</v>
      </c>
      <c r="I19" s="280">
        <v>3727.58</v>
      </c>
      <c r="J19" s="280">
        <v>3727.58</v>
      </c>
      <c r="K19" s="280">
        <v>3727.58</v>
      </c>
      <c r="L19" s="280">
        <v>3727.58</v>
      </c>
      <c r="M19" s="280">
        <v>3727.58</v>
      </c>
      <c r="N19" s="280">
        <v>3727.58</v>
      </c>
      <c r="O19" s="280">
        <v>3727.58</v>
      </c>
      <c r="P19" s="280">
        <v>3727.58</v>
      </c>
      <c r="Q19" s="280">
        <v>3727.58</v>
      </c>
      <c r="R19" s="286">
        <v>44730.96</v>
      </c>
      <c r="S19" s="11"/>
      <c r="XFD19" s="277"/>
    </row>
    <row r="20" spans="1:16384">
      <c r="A20" s="277" t="s">
        <v>43</v>
      </c>
      <c r="B20" s="277" t="s">
        <v>44</v>
      </c>
      <c r="C20" s="277" t="s">
        <v>49</v>
      </c>
      <c r="D20" s="278" t="s">
        <v>82</v>
      </c>
      <c r="E20" s="279" t="s">
        <v>83</v>
      </c>
      <c r="F20" s="280">
        <v>3649.01397079629</v>
      </c>
      <c r="G20" s="280">
        <v>3593.725880448</v>
      </c>
      <c r="H20" s="280">
        <v>3593.725880448</v>
      </c>
      <c r="I20" s="280">
        <v>3773.41217407995</v>
      </c>
      <c r="J20" s="280">
        <v>3773.41217407995</v>
      </c>
      <c r="K20" s="280">
        <v>1437.17799477227</v>
      </c>
      <c r="L20" s="280">
        <v>4132.78476134384</v>
      </c>
      <c r="M20" s="280">
        <v>3773.41217407995</v>
      </c>
      <c r="N20" s="280">
        <v>3953.0984677119</v>
      </c>
      <c r="O20" s="280">
        <v>4132.78476134384</v>
      </c>
      <c r="P20" s="280">
        <v>3593.725880448</v>
      </c>
      <c r="Q20" s="280">
        <v>3593.725880448</v>
      </c>
      <c r="R20" s="286">
        <v>43000</v>
      </c>
      <c r="S20" s="11"/>
      <c r="XFD20" s="11"/>
    </row>
    <row r="21" spans="1:16384">
      <c r="A21" s="277" t="s">
        <v>53</v>
      </c>
      <c r="B21" s="277" t="s">
        <v>54</v>
      </c>
      <c r="C21" s="277" t="s">
        <v>55</v>
      </c>
      <c r="D21" s="281" t="s">
        <v>84</v>
      </c>
      <c r="E21" s="279" t="s">
        <v>63</v>
      </c>
      <c r="F21" s="280">
        <v>3445.58</v>
      </c>
      <c r="G21" s="280">
        <v>3445.58</v>
      </c>
      <c r="H21" s="280">
        <v>3445.58</v>
      </c>
      <c r="I21" s="280">
        <v>3445.58</v>
      </c>
      <c r="J21" s="280">
        <v>3445.58</v>
      </c>
      <c r="K21" s="280">
        <v>3445.58</v>
      </c>
      <c r="L21" s="280">
        <v>3445.58</v>
      </c>
      <c r="M21" s="280">
        <v>3445.58</v>
      </c>
      <c r="N21" s="280">
        <v>3445.58</v>
      </c>
      <c r="O21" s="280">
        <v>3445.58</v>
      </c>
      <c r="P21" s="280">
        <v>3445.58</v>
      </c>
      <c r="Q21" s="280">
        <v>3445.58</v>
      </c>
      <c r="R21" s="286">
        <v>41346.96</v>
      </c>
      <c r="S21" s="11"/>
      <c r="XFD21" s="11"/>
    </row>
    <row r="22" spans="1:16384">
      <c r="A22" s="277" t="s">
        <v>43</v>
      </c>
      <c r="B22" s="277" t="s">
        <v>44</v>
      </c>
      <c r="C22" s="277" t="s">
        <v>49</v>
      </c>
      <c r="D22" s="281" t="s">
        <v>70</v>
      </c>
      <c r="E22" s="279" t="s">
        <v>71</v>
      </c>
      <c r="F22" s="280"/>
      <c r="G22" s="280"/>
      <c r="H22" s="280"/>
      <c r="I22" s="280">
        <v>4100</v>
      </c>
      <c r="J22" s="280">
        <v>4100</v>
      </c>
      <c r="K22" s="280">
        <v>4100</v>
      </c>
      <c r="L22" s="280">
        <v>4100</v>
      </c>
      <c r="M22" s="280">
        <v>4100</v>
      </c>
      <c r="N22" s="280">
        <v>4100</v>
      </c>
      <c r="O22" s="280">
        <v>4100</v>
      </c>
      <c r="P22" s="280">
        <v>4100</v>
      </c>
      <c r="Q22" s="280">
        <v>4100</v>
      </c>
      <c r="R22" s="286">
        <v>36900</v>
      </c>
      <c r="S22" s="349" t="s">
        <v>85</v>
      </c>
      <c r="XFD22" s="11"/>
    </row>
    <row r="23" spans="1:16384">
      <c r="A23" s="277" t="s">
        <v>43</v>
      </c>
      <c r="B23" s="277" t="s">
        <v>44</v>
      </c>
      <c r="C23" s="277" t="s">
        <v>49</v>
      </c>
      <c r="D23" s="281" t="s">
        <v>86</v>
      </c>
      <c r="E23" s="279" t="s">
        <v>61</v>
      </c>
      <c r="F23" s="280">
        <v>2500</v>
      </c>
      <c r="G23" s="280">
        <v>2500</v>
      </c>
      <c r="H23" s="280">
        <v>2500</v>
      </c>
      <c r="I23" s="280">
        <v>2500</v>
      </c>
      <c r="J23" s="280">
        <v>2500</v>
      </c>
      <c r="K23" s="280">
        <v>2500</v>
      </c>
      <c r="L23" s="280">
        <v>2500</v>
      </c>
      <c r="M23" s="280">
        <v>2500</v>
      </c>
      <c r="N23" s="280">
        <v>2500</v>
      </c>
      <c r="O23" s="280">
        <v>2500</v>
      </c>
      <c r="P23" s="280">
        <v>2500</v>
      </c>
      <c r="Q23" s="280">
        <v>2500</v>
      </c>
      <c r="R23" s="286">
        <v>30000</v>
      </c>
      <c r="S23" s="287" t="s">
        <v>87</v>
      </c>
      <c r="XFD23" s="11"/>
    </row>
    <row r="24" spans="1:16384">
      <c r="A24" s="277" t="s">
        <v>53</v>
      </c>
      <c r="B24" s="277" t="s">
        <v>54</v>
      </c>
      <c r="C24" s="277" t="s">
        <v>49</v>
      </c>
      <c r="D24" s="281" t="s">
        <v>88</v>
      </c>
      <c r="E24" s="279" t="s">
        <v>61</v>
      </c>
      <c r="F24" s="280">
        <v>2364.17</v>
      </c>
      <c r="G24" s="280">
        <v>2364.17</v>
      </c>
      <c r="H24" s="280">
        <v>2364.17</v>
      </c>
      <c r="I24" s="280">
        <v>2364.17</v>
      </c>
      <c r="J24" s="280">
        <v>2364.17</v>
      </c>
      <c r="K24" s="280">
        <v>2364.17</v>
      </c>
      <c r="L24" s="280">
        <v>2364.17</v>
      </c>
      <c r="M24" s="280">
        <v>2364.17</v>
      </c>
      <c r="N24" s="280">
        <v>2364.17</v>
      </c>
      <c r="O24" s="280">
        <v>2364.17</v>
      </c>
      <c r="P24" s="280">
        <v>2364.17</v>
      </c>
      <c r="Q24" s="280">
        <v>2364.17</v>
      </c>
      <c r="R24" s="286">
        <v>28370.04</v>
      </c>
      <c r="S24" s="287" t="s">
        <v>87</v>
      </c>
      <c r="XFD24" s="11"/>
    </row>
    <row r="25" spans="1:16384">
      <c r="A25" s="277" t="s">
        <v>53</v>
      </c>
      <c r="B25" s="277" t="s">
        <v>54</v>
      </c>
      <c r="C25" s="277" t="s">
        <v>55</v>
      </c>
      <c r="D25" s="281" t="s">
        <v>89</v>
      </c>
      <c r="E25" s="279" t="s">
        <v>57</v>
      </c>
      <c r="F25" s="280">
        <v>2166.67</v>
      </c>
      <c r="G25" s="280">
        <v>2166.67</v>
      </c>
      <c r="H25" s="280">
        <v>2166.67</v>
      </c>
      <c r="I25" s="280">
        <v>2166.67</v>
      </c>
      <c r="J25" s="280">
        <v>2166.67</v>
      </c>
      <c r="K25" s="280">
        <v>2166.67</v>
      </c>
      <c r="L25" s="280">
        <v>2166.67</v>
      </c>
      <c r="M25" s="280">
        <v>2166.67</v>
      </c>
      <c r="N25" s="280">
        <v>2166.67</v>
      </c>
      <c r="O25" s="280">
        <v>2166.67</v>
      </c>
      <c r="P25" s="280">
        <v>2166.67</v>
      </c>
      <c r="Q25" s="280">
        <v>2166.67</v>
      </c>
      <c r="R25" s="286">
        <v>26000.04</v>
      </c>
      <c r="S25" s="11"/>
      <c r="XFD25" s="11"/>
    </row>
    <row r="26" spans="1:16384">
      <c r="A26" s="277" t="s">
        <v>53</v>
      </c>
      <c r="B26" s="277" t="s">
        <v>54</v>
      </c>
      <c r="C26" s="277" t="s">
        <v>55</v>
      </c>
      <c r="D26" s="281" t="s">
        <v>90</v>
      </c>
      <c r="E26" s="279" t="s">
        <v>80</v>
      </c>
      <c r="F26" s="280">
        <v>2166.67</v>
      </c>
      <c r="G26" s="280">
        <v>2166.67</v>
      </c>
      <c r="H26" s="280">
        <v>2166.67</v>
      </c>
      <c r="I26" s="280">
        <v>2166.67</v>
      </c>
      <c r="J26" s="280">
        <v>2166.67</v>
      </c>
      <c r="K26" s="280">
        <v>2166.67</v>
      </c>
      <c r="L26" s="280">
        <v>2166.67</v>
      </c>
      <c r="M26" s="280">
        <v>2166.67</v>
      </c>
      <c r="N26" s="280">
        <v>2166.67</v>
      </c>
      <c r="O26" s="280">
        <v>2166.67</v>
      </c>
      <c r="P26" s="280">
        <v>2166.67</v>
      </c>
      <c r="Q26" s="280">
        <v>2166.67</v>
      </c>
      <c r="R26" s="286">
        <v>26000.04</v>
      </c>
      <c r="S26" s="11"/>
      <c r="XFD26" s="11"/>
    </row>
    <row r="27" spans="1:16384">
      <c r="A27" s="277" t="s">
        <v>53</v>
      </c>
      <c r="B27" s="277" t="s">
        <v>54</v>
      </c>
      <c r="C27" s="277" t="s">
        <v>55</v>
      </c>
      <c r="D27" s="281" t="s">
        <v>91</v>
      </c>
      <c r="E27" s="279" t="s">
        <v>80</v>
      </c>
      <c r="F27" s="280">
        <v>2166.67</v>
      </c>
      <c r="G27" s="280">
        <v>2166.67</v>
      </c>
      <c r="H27" s="280">
        <v>2166.67</v>
      </c>
      <c r="I27" s="280">
        <v>2166.67</v>
      </c>
      <c r="J27" s="280">
        <v>2166.67</v>
      </c>
      <c r="K27" s="280">
        <v>2166.67</v>
      </c>
      <c r="L27" s="280">
        <v>2166.67</v>
      </c>
      <c r="M27" s="280">
        <v>2166.67</v>
      </c>
      <c r="N27" s="280">
        <v>2166.67</v>
      </c>
      <c r="O27" s="280">
        <v>2166.67</v>
      </c>
      <c r="P27" s="280">
        <v>2166.67</v>
      </c>
      <c r="Q27" s="280">
        <v>2166.67</v>
      </c>
      <c r="R27" s="286">
        <v>26000.04</v>
      </c>
      <c r="S27" s="11"/>
      <c r="XFD27" s="11"/>
    </row>
    <row r="28" spans="1:16384">
      <c r="A28" s="277" t="s">
        <v>53</v>
      </c>
      <c r="B28" s="277" t="s">
        <v>54</v>
      </c>
      <c r="C28" s="277" t="s">
        <v>55</v>
      </c>
      <c r="D28" s="281" t="s">
        <v>92</v>
      </c>
      <c r="E28" s="279" t="s">
        <v>80</v>
      </c>
      <c r="F28" s="280">
        <v>2166.67</v>
      </c>
      <c r="G28" s="280">
        <v>2166.67</v>
      </c>
      <c r="H28" s="280">
        <v>2166.67</v>
      </c>
      <c r="I28" s="280">
        <v>2166.67</v>
      </c>
      <c r="J28" s="280">
        <v>2166.67</v>
      </c>
      <c r="K28" s="280">
        <v>2166.67</v>
      </c>
      <c r="L28" s="280">
        <v>2166.67</v>
      </c>
      <c r="M28" s="280">
        <v>2166.67</v>
      </c>
      <c r="N28" s="280">
        <v>2166.67</v>
      </c>
      <c r="O28" s="280">
        <v>2166.67</v>
      </c>
      <c r="P28" s="280">
        <v>2166.67</v>
      </c>
      <c r="Q28" s="280">
        <v>2166.67</v>
      </c>
      <c r="R28" s="286">
        <v>26000.04</v>
      </c>
      <c r="S28" s="11"/>
      <c r="XFD28" s="11"/>
    </row>
    <row r="29" spans="1:16384">
      <c r="A29" s="277" t="s">
        <v>53</v>
      </c>
      <c r="B29" s="277" t="s">
        <v>54</v>
      </c>
      <c r="C29" s="277" t="s">
        <v>55</v>
      </c>
      <c r="D29" s="281" t="s">
        <v>93</v>
      </c>
      <c r="E29" s="279" t="s">
        <v>80</v>
      </c>
      <c r="F29" s="280">
        <v>2166.67</v>
      </c>
      <c r="G29" s="280">
        <v>2166.67</v>
      </c>
      <c r="H29" s="280">
        <v>2166.67</v>
      </c>
      <c r="I29" s="280">
        <v>2166.67</v>
      </c>
      <c r="J29" s="280">
        <v>2166.67</v>
      </c>
      <c r="K29" s="280">
        <v>2166.67</v>
      </c>
      <c r="L29" s="280">
        <v>2166.67</v>
      </c>
      <c r="M29" s="280">
        <v>2166.67</v>
      </c>
      <c r="N29" s="280">
        <v>2166.67</v>
      </c>
      <c r="O29" s="280">
        <v>2166.67</v>
      </c>
      <c r="P29" s="280">
        <v>2166.67</v>
      </c>
      <c r="Q29" s="280">
        <v>2166.67</v>
      </c>
      <c r="R29" s="286">
        <v>26000.04</v>
      </c>
      <c r="S29" s="11"/>
      <c r="XFD29" s="11"/>
    </row>
    <row r="30" spans="1:16384">
      <c r="A30" s="277" t="s">
        <v>53</v>
      </c>
      <c r="B30" s="277" t="s">
        <v>54</v>
      </c>
      <c r="C30" s="277" t="s">
        <v>55</v>
      </c>
      <c r="D30" s="281" t="s">
        <v>94</v>
      </c>
      <c r="E30" s="279" t="s">
        <v>80</v>
      </c>
      <c r="F30" s="280">
        <v>2166.67</v>
      </c>
      <c r="G30" s="280">
        <v>2166.67</v>
      </c>
      <c r="H30" s="280">
        <v>2166.67</v>
      </c>
      <c r="I30" s="280">
        <v>2166.67</v>
      </c>
      <c r="J30" s="280">
        <v>2166.67</v>
      </c>
      <c r="K30" s="280">
        <v>2166.67</v>
      </c>
      <c r="L30" s="280">
        <v>2166.67</v>
      </c>
      <c r="M30" s="280">
        <v>2166.67</v>
      </c>
      <c r="N30" s="280">
        <v>2166.67</v>
      </c>
      <c r="O30" s="280">
        <v>2166.67</v>
      </c>
      <c r="P30" s="280">
        <v>2166.67</v>
      </c>
      <c r="Q30" s="280">
        <v>2166.67</v>
      </c>
      <c r="R30" s="286">
        <v>26000.04</v>
      </c>
      <c r="S30" s="11"/>
      <c r="XFD30" s="11"/>
    </row>
    <row r="31" spans="1:16384">
      <c r="A31" s="277" t="s">
        <v>53</v>
      </c>
      <c r="B31" s="277" t="s">
        <v>54</v>
      </c>
      <c r="C31" s="277" t="s">
        <v>55</v>
      </c>
      <c r="D31" s="281" t="s">
        <v>95</v>
      </c>
      <c r="E31" s="279" t="s">
        <v>80</v>
      </c>
      <c r="F31" s="280">
        <v>2166.67</v>
      </c>
      <c r="G31" s="280">
        <v>2166.67</v>
      </c>
      <c r="H31" s="280">
        <v>2166.67</v>
      </c>
      <c r="I31" s="280">
        <v>2166.67</v>
      </c>
      <c r="J31" s="280">
        <v>2166.67</v>
      </c>
      <c r="K31" s="280">
        <v>2166.67</v>
      </c>
      <c r="L31" s="280">
        <v>2166.67</v>
      </c>
      <c r="M31" s="280">
        <v>2166.67</v>
      </c>
      <c r="N31" s="280">
        <v>2166.67</v>
      </c>
      <c r="O31" s="280">
        <v>2166.67</v>
      </c>
      <c r="P31" s="280">
        <v>2166.67</v>
      </c>
      <c r="Q31" s="280">
        <v>2166.67</v>
      </c>
      <c r="R31" s="286">
        <v>26000.04</v>
      </c>
      <c r="S31" s="11"/>
      <c r="XFD31" s="11"/>
    </row>
    <row r="32" spans="1:16384">
      <c r="A32" s="277" t="s">
        <v>53</v>
      </c>
      <c r="B32" s="277" t="s">
        <v>54</v>
      </c>
      <c r="C32" s="277" t="s">
        <v>55</v>
      </c>
      <c r="D32" s="281" t="s">
        <v>96</v>
      </c>
      <c r="E32" s="279" t="s">
        <v>80</v>
      </c>
      <c r="F32" s="280">
        <v>2166.67</v>
      </c>
      <c r="G32" s="280">
        <v>2166.67</v>
      </c>
      <c r="H32" s="280">
        <v>2166.67</v>
      </c>
      <c r="I32" s="280">
        <v>2166.67</v>
      </c>
      <c r="J32" s="280">
        <v>2166.67</v>
      </c>
      <c r="K32" s="280">
        <v>2166.67</v>
      </c>
      <c r="L32" s="280">
        <v>2166.67</v>
      </c>
      <c r="M32" s="280">
        <v>2166.67</v>
      </c>
      <c r="N32" s="280">
        <v>2166.67</v>
      </c>
      <c r="O32" s="280">
        <v>2166.67</v>
      </c>
      <c r="P32" s="280">
        <v>2166.67</v>
      </c>
      <c r="Q32" s="280">
        <v>2166.67</v>
      </c>
      <c r="R32" s="286">
        <v>26000.04</v>
      </c>
      <c r="S32" s="11"/>
      <c r="XFD32" s="11"/>
    </row>
    <row r="33" spans="1:18">
      <c r="A33" s="277" t="s">
        <v>53</v>
      </c>
      <c r="B33" s="277" t="s">
        <v>54</v>
      </c>
      <c r="C33" s="277" t="s">
        <v>55</v>
      </c>
      <c r="D33" s="281" t="s">
        <v>97</v>
      </c>
      <c r="E33" s="279" t="s">
        <v>80</v>
      </c>
      <c r="F33" s="280">
        <v>2166.67</v>
      </c>
      <c r="G33" s="280">
        <v>2166.67</v>
      </c>
      <c r="H33" s="280">
        <v>2166.67</v>
      </c>
      <c r="I33" s="280">
        <v>2166.67</v>
      </c>
      <c r="J33" s="280">
        <v>2166.67</v>
      </c>
      <c r="K33" s="280">
        <v>2166.67</v>
      </c>
      <c r="L33" s="280">
        <v>2166.67</v>
      </c>
      <c r="M33" s="280">
        <v>2166.67</v>
      </c>
      <c r="N33" s="280">
        <v>2166.67</v>
      </c>
      <c r="O33" s="280">
        <v>2166.67</v>
      </c>
      <c r="P33" s="280">
        <v>2166.67</v>
      </c>
      <c r="Q33" s="280">
        <v>2166.67</v>
      </c>
      <c r="R33" s="286">
        <v>26000.04</v>
      </c>
    </row>
    <row r="34" spans="1:18">
      <c r="A34" s="277" t="s">
        <v>53</v>
      </c>
      <c r="B34" s="11"/>
      <c r="C34" s="277" t="s">
        <v>55</v>
      </c>
      <c r="D34" s="281" t="s">
        <v>98</v>
      </c>
      <c r="E34" s="279" t="s">
        <v>80</v>
      </c>
      <c r="F34" s="280">
        <v>6500.01</v>
      </c>
      <c r="G34" s="280">
        <v>6500.01</v>
      </c>
      <c r="H34" s="280">
        <v>6500.01</v>
      </c>
      <c r="I34" s="280">
        <v>6500.01</v>
      </c>
      <c r="J34" s="280">
        <v>6500.01</v>
      </c>
      <c r="K34" s="280">
        <v>6500.01</v>
      </c>
      <c r="L34" s="280">
        <v>6500.01</v>
      </c>
      <c r="M34" s="280">
        <v>6500.01</v>
      </c>
      <c r="N34" s="280">
        <v>6500.01</v>
      </c>
      <c r="O34" s="280">
        <v>6500.01</v>
      </c>
      <c r="P34" s="280">
        <v>6500.01</v>
      </c>
      <c r="Q34" s="280">
        <v>6500.01</v>
      </c>
      <c r="R34" s="286">
        <v>78000.12</v>
      </c>
    </row>
    <row r="35" spans="1:18">
      <c r="A35" s="277" t="s">
        <v>53</v>
      </c>
      <c r="B35" s="11"/>
      <c r="C35" s="277" t="s">
        <v>55</v>
      </c>
      <c r="D35" s="281" t="s">
        <v>99</v>
      </c>
      <c r="E35" s="279" t="s">
        <v>80</v>
      </c>
      <c r="F35" s="280">
        <v>6500.01</v>
      </c>
      <c r="G35" s="280">
        <v>6500.01</v>
      </c>
      <c r="H35" s="280">
        <v>6500.01</v>
      </c>
      <c r="I35" s="280">
        <v>6500.01</v>
      </c>
      <c r="J35" s="280">
        <v>6500.01</v>
      </c>
      <c r="K35" s="280">
        <v>6500.01</v>
      </c>
      <c r="L35" s="280">
        <v>6500.01</v>
      </c>
      <c r="M35" s="280">
        <v>6500.01</v>
      </c>
      <c r="N35" s="280">
        <v>6500.01</v>
      </c>
      <c r="O35" s="280">
        <v>6500.01</v>
      </c>
      <c r="P35" s="280">
        <v>6500.01</v>
      </c>
      <c r="Q35" s="280">
        <v>6500.01</v>
      </c>
      <c r="R35" s="286">
        <v>78000.12</v>
      </c>
    </row>
    <row r="36" spans="1:18">
      <c r="A36" s="277" t="s">
        <v>53</v>
      </c>
      <c r="B36" s="11"/>
      <c r="C36" s="277" t="s">
        <v>55</v>
      </c>
      <c r="D36" s="281" t="s">
        <v>100</v>
      </c>
      <c r="E36" s="279" t="s">
        <v>61</v>
      </c>
      <c r="F36" s="280">
        <v>5760</v>
      </c>
      <c r="G36" s="280">
        <v>5760</v>
      </c>
      <c r="H36" s="280">
        <v>5760</v>
      </c>
      <c r="I36" s="280">
        <v>5760</v>
      </c>
      <c r="J36" s="280">
        <v>5760</v>
      </c>
      <c r="K36" s="280">
        <v>5760</v>
      </c>
      <c r="L36" s="280">
        <v>5760</v>
      </c>
      <c r="M36" s="280">
        <v>5760</v>
      </c>
      <c r="N36" s="280">
        <v>5760</v>
      </c>
      <c r="O36" s="280">
        <v>5760</v>
      </c>
      <c r="P36" s="280">
        <v>5760</v>
      </c>
      <c r="Q36" s="280">
        <v>5760</v>
      </c>
      <c r="R36" s="286">
        <v>69120</v>
      </c>
    </row>
    <row r="37" spans="1:18">
      <c r="A37" s="277" t="s">
        <v>53</v>
      </c>
      <c r="B37" s="11"/>
      <c r="C37" s="277" t="s">
        <v>55</v>
      </c>
      <c r="D37" s="281" t="s">
        <v>101</v>
      </c>
      <c r="E37" s="279" t="s">
        <v>61</v>
      </c>
      <c r="F37" s="280">
        <v>760</v>
      </c>
      <c r="G37" s="280">
        <v>760</v>
      </c>
      <c r="H37" s="280">
        <v>760</v>
      </c>
      <c r="I37" s="280">
        <v>760</v>
      </c>
      <c r="J37" s="280">
        <v>760</v>
      </c>
      <c r="K37" s="280">
        <v>760</v>
      </c>
      <c r="L37" s="280">
        <v>760</v>
      </c>
      <c r="M37" s="280">
        <v>760</v>
      </c>
      <c r="N37" s="280">
        <v>760</v>
      </c>
      <c r="O37" s="280">
        <v>760</v>
      </c>
      <c r="P37" s="280">
        <v>760</v>
      </c>
      <c r="Q37" s="280">
        <v>760</v>
      </c>
      <c r="R37" s="286">
        <v>9120</v>
      </c>
    </row>
    <row r="38" spans="1:18">
      <c r="A38" s="277" t="s">
        <v>43</v>
      </c>
      <c r="B38" s="277" t="s">
        <v>44</v>
      </c>
      <c r="C38" s="277" t="s">
        <v>49</v>
      </c>
      <c r="D38" s="281" t="s">
        <v>102</v>
      </c>
      <c r="E38" s="279" t="s">
        <v>103</v>
      </c>
      <c r="F38" s="280">
        <v>2121.51975046296</v>
      </c>
      <c r="G38" s="280">
        <v>2089.37551188837</v>
      </c>
      <c r="H38" s="280">
        <v>2089.37551188837</v>
      </c>
      <c r="I38" s="280">
        <v>2193.84428725578</v>
      </c>
      <c r="J38" s="280">
        <v>2193.84428725578</v>
      </c>
      <c r="K38" s="280">
        <v>835.568601611784</v>
      </c>
      <c r="L38" s="280">
        <v>2402.78183799061</v>
      </c>
      <c r="M38" s="280">
        <v>2193.84428725578</v>
      </c>
      <c r="N38" s="280">
        <v>2298.3130626232</v>
      </c>
      <c r="O38" s="280">
        <v>2402.78183799061</v>
      </c>
      <c r="P38" s="280">
        <v>2089.37551188837</v>
      </c>
      <c r="Q38" s="280">
        <v>2089.37551188837</v>
      </c>
      <c r="R38" s="286">
        <v>25000</v>
      </c>
    </row>
    <row r="39" spans="1:18">
      <c r="A39" s="277" t="s">
        <v>53</v>
      </c>
      <c r="B39" s="277" t="s">
        <v>54</v>
      </c>
      <c r="C39" s="277" t="s">
        <v>104</v>
      </c>
      <c r="D39" s="281" t="s">
        <v>105</v>
      </c>
      <c r="E39" s="279" t="s">
        <v>57</v>
      </c>
      <c r="F39" s="280"/>
      <c r="G39" s="280"/>
      <c r="H39" s="280"/>
      <c r="I39" s="280"/>
      <c r="J39" s="280"/>
      <c r="K39" s="280">
        <v>1293.61</v>
      </c>
      <c r="L39" s="280">
        <v>3784.72</v>
      </c>
      <c r="M39" s="280">
        <v>3763.34</v>
      </c>
      <c r="N39" s="280">
        <v>3913.87</v>
      </c>
      <c r="O39" s="280">
        <v>3612.8</v>
      </c>
      <c r="P39" s="280">
        <v>3763.34</v>
      </c>
      <c r="Q39" s="280">
        <v>2709.6</v>
      </c>
      <c r="R39" s="286">
        <v>22841.28</v>
      </c>
    </row>
    <row r="40" spans="1:18">
      <c r="A40" s="277" t="s">
        <v>53</v>
      </c>
      <c r="B40" s="277" t="s">
        <v>54</v>
      </c>
      <c r="C40" s="277" t="s">
        <v>55</v>
      </c>
      <c r="D40" s="281" t="s">
        <v>106</v>
      </c>
      <c r="E40" s="279" t="s">
        <v>61</v>
      </c>
      <c r="F40" s="280">
        <v>1666.67</v>
      </c>
      <c r="G40" s="280">
        <v>1666.67</v>
      </c>
      <c r="H40" s="280">
        <v>1666.67</v>
      </c>
      <c r="I40" s="280">
        <v>1666.67</v>
      </c>
      <c r="J40" s="280">
        <v>1666.67</v>
      </c>
      <c r="K40" s="280">
        <v>1666.67</v>
      </c>
      <c r="L40" s="280">
        <v>1666.67</v>
      </c>
      <c r="M40" s="280">
        <v>1666.67</v>
      </c>
      <c r="N40" s="280">
        <v>1666.67</v>
      </c>
      <c r="O40" s="280">
        <v>1666.67</v>
      </c>
      <c r="P40" s="280">
        <v>1666.67</v>
      </c>
      <c r="Q40" s="280">
        <v>1666.67</v>
      </c>
      <c r="R40" s="286">
        <v>20000.04</v>
      </c>
    </row>
    <row r="41" spans="1:18">
      <c r="A41" s="277" t="s">
        <v>53</v>
      </c>
      <c r="B41" s="277" t="s">
        <v>54</v>
      </c>
      <c r="C41" s="277" t="s">
        <v>55</v>
      </c>
      <c r="D41" s="282" t="s">
        <v>107</v>
      </c>
      <c r="E41" s="283" t="s">
        <v>61</v>
      </c>
      <c r="F41" s="284">
        <v>1666.67</v>
      </c>
      <c r="G41" s="284">
        <v>1666.67</v>
      </c>
      <c r="H41" s="284">
        <v>1666.67</v>
      </c>
      <c r="I41" s="284">
        <v>1666.67</v>
      </c>
      <c r="J41" s="284">
        <v>1666.67</v>
      </c>
      <c r="K41" s="284">
        <v>1666.67</v>
      </c>
      <c r="L41" s="284">
        <v>1666.67</v>
      </c>
      <c r="M41" s="284">
        <v>1666.67</v>
      </c>
      <c r="N41" s="284">
        <v>1666.67</v>
      </c>
      <c r="O41" s="284">
        <v>1666.67</v>
      </c>
      <c r="P41" s="284">
        <v>1666.67</v>
      </c>
      <c r="Q41" s="284">
        <v>1666.67</v>
      </c>
      <c r="R41" s="288">
        <v>20000.04</v>
      </c>
    </row>
    <row r="42" spans="1:18">
      <c r="A42" s="277" t="s">
        <v>43</v>
      </c>
      <c r="B42" s="277" t="s">
        <v>44</v>
      </c>
      <c r="C42" s="277" t="s">
        <v>49</v>
      </c>
      <c r="D42" s="281" t="s">
        <v>108</v>
      </c>
      <c r="E42" s="279" t="s">
        <v>61</v>
      </c>
      <c r="F42" s="280">
        <v>1650</v>
      </c>
      <c r="G42" s="280">
        <v>1650</v>
      </c>
      <c r="H42" s="280">
        <v>1650</v>
      </c>
      <c r="I42" s="280">
        <v>1650</v>
      </c>
      <c r="J42" s="280">
        <v>1650</v>
      </c>
      <c r="K42" s="280">
        <v>1650</v>
      </c>
      <c r="L42" s="280">
        <v>1650</v>
      </c>
      <c r="M42" s="280">
        <v>1650</v>
      </c>
      <c r="N42" s="280">
        <v>1650</v>
      </c>
      <c r="O42" s="280">
        <v>1650</v>
      </c>
      <c r="P42" s="280">
        <v>1650</v>
      </c>
      <c r="Q42" s="280">
        <v>1650</v>
      </c>
      <c r="R42" s="286">
        <v>19800</v>
      </c>
    </row>
    <row r="43" spans="1:18">
      <c r="A43" s="277" t="s">
        <v>43</v>
      </c>
      <c r="B43" s="277" t="s">
        <v>44</v>
      </c>
      <c r="C43" s="277" t="s">
        <v>49</v>
      </c>
      <c r="D43" s="281" t="s">
        <v>109</v>
      </c>
      <c r="E43" s="279" t="s">
        <v>61</v>
      </c>
      <c r="F43" s="280">
        <v>1500</v>
      </c>
      <c r="G43" s="280">
        <v>1500</v>
      </c>
      <c r="H43" s="280">
        <v>1500</v>
      </c>
      <c r="I43" s="280">
        <v>1500</v>
      </c>
      <c r="J43" s="280">
        <v>1500</v>
      </c>
      <c r="K43" s="280">
        <v>1500</v>
      </c>
      <c r="L43" s="280">
        <v>1500</v>
      </c>
      <c r="M43" s="280">
        <v>1500</v>
      </c>
      <c r="N43" s="280">
        <v>1500</v>
      </c>
      <c r="O43" s="280">
        <v>1500</v>
      </c>
      <c r="P43" s="280">
        <v>1500</v>
      </c>
      <c r="Q43" s="280">
        <v>1500</v>
      </c>
      <c r="R43" s="286">
        <v>18000</v>
      </c>
    </row>
    <row r="44" spans="1:18">
      <c r="A44" s="277" t="s">
        <v>53</v>
      </c>
      <c r="B44" s="277" t="s">
        <v>54</v>
      </c>
      <c r="C44" s="277" t="s">
        <v>55</v>
      </c>
      <c r="D44" s="281" t="s">
        <v>110</v>
      </c>
      <c r="E44" s="279" t="s">
        <v>111</v>
      </c>
      <c r="F44" s="280">
        <v>1416.67</v>
      </c>
      <c r="G44" s="280">
        <v>1416.67</v>
      </c>
      <c r="H44" s="280">
        <v>1416.67</v>
      </c>
      <c r="I44" s="280">
        <v>1416.67</v>
      </c>
      <c r="J44" s="280">
        <v>1416.67</v>
      </c>
      <c r="K44" s="280">
        <v>1416.67</v>
      </c>
      <c r="L44" s="280">
        <v>1416.67</v>
      </c>
      <c r="M44" s="280">
        <v>1416.67</v>
      </c>
      <c r="N44" s="280">
        <v>1416.67</v>
      </c>
      <c r="O44" s="280">
        <v>1416.67</v>
      </c>
      <c r="P44" s="280">
        <v>1416.67</v>
      </c>
      <c r="Q44" s="280">
        <v>1416.67</v>
      </c>
      <c r="R44" s="286">
        <v>17000.04</v>
      </c>
    </row>
    <row r="45" spans="1:18">
      <c r="A45" s="277" t="s">
        <v>43</v>
      </c>
      <c r="B45" s="277" t="s">
        <v>44</v>
      </c>
      <c r="C45" s="277" t="s">
        <v>49</v>
      </c>
      <c r="D45" s="281" t="s">
        <v>112</v>
      </c>
      <c r="E45" s="279" t="s">
        <v>61</v>
      </c>
      <c r="F45" s="280"/>
      <c r="G45" s="280">
        <v>560</v>
      </c>
      <c r="H45" s="280">
        <v>1120</v>
      </c>
      <c r="I45" s="280">
        <v>1680</v>
      </c>
      <c r="J45" s="280">
        <v>1680</v>
      </c>
      <c r="K45" s="280">
        <v>1680</v>
      </c>
      <c r="L45" s="280">
        <v>1680</v>
      </c>
      <c r="M45" s="280">
        <v>1680</v>
      </c>
      <c r="N45" s="280">
        <v>1680</v>
      </c>
      <c r="O45" s="280">
        <v>1680</v>
      </c>
      <c r="P45" s="280">
        <v>1680</v>
      </c>
      <c r="Q45" s="280">
        <v>1680</v>
      </c>
      <c r="R45" s="286">
        <v>16800</v>
      </c>
    </row>
    <row r="46" spans="1:18">
      <c r="A46" s="277" t="s">
        <v>53</v>
      </c>
      <c r="B46" s="277" t="s">
        <v>54</v>
      </c>
      <c r="C46" s="277" t="s">
        <v>104</v>
      </c>
      <c r="D46" s="281" t="s">
        <v>113</v>
      </c>
      <c r="E46" s="279" t="s">
        <v>57</v>
      </c>
      <c r="F46" s="280"/>
      <c r="G46" s="280"/>
      <c r="H46" s="280"/>
      <c r="I46" s="280"/>
      <c r="J46" s="280"/>
      <c r="K46" s="280">
        <v>852.26</v>
      </c>
      <c r="L46" s="280">
        <v>2493.46</v>
      </c>
      <c r="M46" s="280">
        <v>2479.38</v>
      </c>
      <c r="N46" s="280">
        <v>2578.55</v>
      </c>
      <c r="O46" s="280">
        <v>2380.2</v>
      </c>
      <c r="P46" s="280">
        <v>2479.38</v>
      </c>
      <c r="Q46" s="280">
        <v>1785.15</v>
      </c>
      <c r="R46" s="286">
        <v>15048.38</v>
      </c>
    </row>
    <row r="47" spans="1:18">
      <c r="A47" s="277" t="s">
        <v>43</v>
      </c>
      <c r="B47" s="277" t="s">
        <v>44</v>
      </c>
      <c r="C47" s="277" t="s">
        <v>49</v>
      </c>
      <c r="D47" s="281" t="s">
        <v>114</v>
      </c>
      <c r="E47" s="279" t="s">
        <v>111</v>
      </c>
      <c r="F47" s="280">
        <v>1000</v>
      </c>
      <c r="G47" s="280">
        <v>1000</v>
      </c>
      <c r="H47" s="280">
        <v>1000</v>
      </c>
      <c r="I47" s="280">
        <v>1000</v>
      </c>
      <c r="J47" s="280">
        <v>1000</v>
      </c>
      <c r="K47" s="280">
        <v>1000</v>
      </c>
      <c r="L47" s="280">
        <v>1000</v>
      </c>
      <c r="M47" s="280">
        <v>1000</v>
      </c>
      <c r="N47" s="280">
        <v>1000</v>
      </c>
      <c r="O47" s="280">
        <v>1000</v>
      </c>
      <c r="P47" s="280">
        <v>1000</v>
      </c>
      <c r="Q47" s="280">
        <v>1000</v>
      </c>
      <c r="R47" s="286">
        <v>12000</v>
      </c>
    </row>
    <row r="48" spans="1:18">
      <c r="A48" s="277" t="s">
        <v>53</v>
      </c>
      <c r="B48" s="277" t="s">
        <v>54</v>
      </c>
      <c r="C48" s="277" t="s">
        <v>104</v>
      </c>
      <c r="D48" s="281" t="s">
        <v>115</v>
      </c>
      <c r="E48" s="279" t="s">
        <v>111</v>
      </c>
      <c r="F48" s="280">
        <v>700</v>
      </c>
      <c r="G48" s="280">
        <v>700</v>
      </c>
      <c r="H48" s="280">
        <v>700</v>
      </c>
      <c r="I48" s="280">
        <v>700</v>
      </c>
      <c r="J48" s="280">
        <v>700</v>
      </c>
      <c r="K48" s="280">
        <v>700</v>
      </c>
      <c r="L48" s="280">
        <v>700</v>
      </c>
      <c r="M48" s="280">
        <v>700</v>
      </c>
      <c r="N48" s="280">
        <v>700</v>
      </c>
      <c r="O48" s="280">
        <v>700</v>
      </c>
      <c r="P48" s="280">
        <v>700</v>
      </c>
      <c r="Q48" s="280">
        <v>700</v>
      </c>
      <c r="R48" s="286">
        <v>8400</v>
      </c>
    </row>
    <row r="49" spans="1:18">
      <c r="A49" s="277" t="s">
        <v>53</v>
      </c>
      <c r="B49" s="277" t="s">
        <v>54</v>
      </c>
      <c r="C49" s="277" t="s">
        <v>55</v>
      </c>
      <c r="D49" s="281" t="s">
        <v>116</v>
      </c>
      <c r="E49" s="279" t="s">
        <v>117</v>
      </c>
      <c r="F49" s="280">
        <v>195.64</v>
      </c>
      <c r="G49" s="280">
        <v>195.64</v>
      </c>
      <c r="H49" s="280">
        <v>195.64</v>
      </c>
      <c r="I49" s="280">
        <v>195.64</v>
      </c>
      <c r="J49" s="280">
        <v>195.64</v>
      </c>
      <c r="K49" s="280">
        <v>195.64</v>
      </c>
      <c r="L49" s="280">
        <v>195.64</v>
      </c>
      <c r="M49" s="280">
        <v>195.64</v>
      </c>
      <c r="N49" s="280">
        <v>195.64</v>
      </c>
      <c r="O49" s="280">
        <v>195.64</v>
      </c>
      <c r="P49" s="280">
        <v>195.64</v>
      </c>
      <c r="Q49" s="280">
        <v>195.64</v>
      </c>
      <c r="R49" s="286">
        <v>2347.68</v>
      </c>
    </row>
    <row r="50" spans="1:18">
      <c r="A50" s="277" t="s">
        <v>53</v>
      </c>
      <c r="B50" s="277" t="s">
        <v>54</v>
      </c>
      <c r="C50" s="277" t="s">
        <v>104</v>
      </c>
      <c r="D50" s="281" t="s">
        <v>118</v>
      </c>
      <c r="E50" s="279" t="s">
        <v>117</v>
      </c>
      <c r="F50" s="280">
        <v>178</v>
      </c>
      <c r="G50" s="280">
        <v>178</v>
      </c>
      <c r="H50" s="280">
        <v>178</v>
      </c>
      <c r="I50" s="280">
        <v>178</v>
      </c>
      <c r="J50" s="280">
        <v>178</v>
      </c>
      <c r="K50" s="280">
        <v>178</v>
      </c>
      <c r="L50" s="280">
        <v>178</v>
      </c>
      <c r="M50" s="280">
        <v>178</v>
      </c>
      <c r="N50" s="280">
        <v>178</v>
      </c>
      <c r="O50" s="280">
        <v>178</v>
      </c>
      <c r="P50" s="280">
        <v>178</v>
      </c>
      <c r="Q50" s="280">
        <v>178</v>
      </c>
      <c r="R50" s="286">
        <v>2136</v>
      </c>
    </row>
    <row r="51" spans="1:18">
      <c r="A51" s="277" t="s">
        <v>53</v>
      </c>
      <c r="B51" s="277" t="s">
        <v>54</v>
      </c>
      <c r="C51" s="277" t="s">
        <v>55</v>
      </c>
      <c r="D51" s="281" t="s">
        <v>119</v>
      </c>
      <c r="E51" s="279" t="s">
        <v>111</v>
      </c>
      <c r="F51" s="280">
        <v>53.86</v>
      </c>
      <c r="G51" s="280">
        <v>53.86</v>
      </c>
      <c r="H51" s="280">
        <v>53.86</v>
      </c>
      <c r="I51" s="280">
        <v>53.86</v>
      </c>
      <c r="J51" s="280">
        <v>53.86</v>
      </c>
      <c r="K51" s="280">
        <v>53.86</v>
      </c>
      <c r="L51" s="280">
        <v>53.86</v>
      </c>
      <c r="M51" s="280">
        <v>53.86</v>
      </c>
      <c r="N51" s="280">
        <v>53.86</v>
      </c>
      <c r="O51" s="280">
        <v>53.86</v>
      </c>
      <c r="P51" s="280">
        <v>53.86</v>
      </c>
      <c r="Q51" s="280">
        <v>53.86</v>
      </c>
      <c r="R51" s="286">
        <v>646.32</v>
      </c>
    </row>
    <row r="52" spans="1:18">
      <c r="A52" s="277" t="s">
        <v>43</v>
      </c>
      <c r="B52" s="277" t="s">
        <v>44</v>
      </c>
      <c r="C52" s="277" t="s">
        <v>55</v>
      </c>
      <c r="D52" s="282" t="s">
        <v>107</v>
      </c>
      <c r="E52" s="283" t="s">
        <v>61</v>
      </c>
      <c r="F52" s="284">
        <v>-1666.67</v>
      </c>
      <c r="G52" s="284">
        <v>-1666.67</v>
      </c>
      <c r="H52" s="284">
        <v>-1666.67</v>
      </c>
      <c r="I52" s="284">
        <v>-1666.67</v>
      </c>
      <c r="J52" s="284">
        <v>-1666.67</v>
      </c>
      <c r="K52" s="284">
        <v>-1666.67</v>
      </c>
      <c r="L52" s="284">
        <v>-1666.67</v>
      </c>
      <c r="M52" s="284">
        <v>-1666.67</v>
      </c>
      <c r="N52" s="284">
        <v>-1666.67</v>
      </c>
      <c r="O52" s="284">
        <v>-1666.67</v>
      </c>
      <c r="P52" s="284">
        <v>-1666.67</v>
      </c>
      <c r="Q52" s="284">
        <v>-1666.67</v>
      </c>
      <c r="R52" s="288">
        <v>-20000.04</v>
      </c>
    </row>
    <row r="53" spans="1:18">
      <c r="A53" s="277" t="s">
        <v>43</v>
      </c>
      <c r="B53" s="11"/>
      <c r="C53" s="277" t="s">
        <v>120</v>
      </c>
      <c r="D53" s="281" t="s">
        <v>121</v>
      </c>
      <c r="E53" s="279" t="s">
        <v>83</v>
      </c>
      <c r="F53" s="280">
        <v>6500</v>
      </c>
      <c r="G53" s="280">
        <v>6500</v>
      </c>
      <c r="H53" s="280">
        <v>6500</v>
      </c>
      <c r="I53" s="280">
        <v>6500</v>
      </c>
      <c r="J53" s="280">
        <v>6500</v>
      </c>
      <c r="K53" s="280">
        <v>6500</v>
      </c>
      <c r="L53" s="280">
        <v>6500</v>
      </c>
      <c r="M53" s="280">
        <v>6500</v>
      </c>
      <c r="N53" s="280">
        <v>6500</v>
      </c>
      <c r="O53" s="280">
        <v>6500</v>
      </c>
      <c r="P53" s="280">
        <v>6500</v>
      </c>
      <c r="Q53" s="280">
        <v>6500</v>
      </c>
      <c r="R53" s="286">
        <v>78000</v>
      </c>
    </row>
    <row r="54" spans="1:18">
      <c r="A54" s="277" t="s">
        <v>43</v>
      </c>
      <c r="B54" s="11"/>
      <c r="C54" s="277" t="s">
        <v>120</v>
      </c>
      <c r="D54" s="281" t="s">
        <v>121</v>
      </c>
      <c r="E54" s="279" t="s">
        <v>122</v>
      </c>
      <c r="F54" s="280">
        <v>4916.66666666667</v>
      </c>
      <c r="G54" s="280">
        <v>4916.66666666667</v>
      </c>
      <c r="H54" s="280">
        <v>4916.66666666667</v>
      </c>
      <c r="I54" s="280">
        <v>4916.66666666667</v>
      </c>
      <c r="J54" s="280">
        <v>4916.66666666667</v>
      </c>
      <c r="K54" s="280">
        <v>4916.66666666667</v>
      </c>
      <c r="L54" s="280">
        <v>4916.66666666667</v>
      </c>
      <c r="M54" s="280">
        <v>4916.66666666667</v>
      </c>
      <c r="N54" s="280">
        <v>4916.66666666667</v>
      </c>
      <c r="O54" s="280">
        <v>4916.66666666667</v>
      </c>
      <c r="P54" s="280">
        <v>4916.66666666667</v>
      </c>
      <c r="Q54" s="280">
        <v>4916.66666666667</v>
      </c>
      <c r="R54" s="286">
        <v>59000</v>
      </c>
    </row>
    <row r="55" spans="1:18">
      <c r="A55" s="277" t="s">
        <v>43</v>
      </c>
      <c r="B55" s="11"/>
      <c r="C55" s="277" t="s">
        <v>120</v>
      </c>
      <c r="D55" s="281" t="s">
        <v>121</v>
      </c>
      <c r="E55" s="279" t="s">
        <v>80</v>
      </c>
      <c r="F55" s="280">
        <v>9295</v>
      </c>
      <c r="G55" s="280">
        <v>9295</v>
      </c>
      <c r="H55" s="280">
        <v>9295</v>
      </c>
      <c r="I55" s="280">
        <v>9295</v>
      </c>
      <c r="J55" s="280">
        <v>9295</v>
      </c>
      <c r="K55" s="280">
        <v>9295</v>
      </c>
      <c r="L55" s="280">
        <v>9295</v>
      </c>
      <c r="M55" s="280">
        <v>9295</v>
      </c>
      <c r="N55" s="280">
        <v>9295</v>
      </c>
      <c r="O55" s="280">
        <v>9295</v>
      </c>
      <c r="P55" s="280">
        <v>9295</v>
      </c>
      <c r="Q55" s="280">
        <v>9295</v>
      </c>
      <c r="R55" s="286">
        <v>111540</v>
      </c>
    </row>
    <row r="56" spans="1:18">
      <c r="A56" s="277" t="s">
        <v>43</v>
      </c>
      <c r="B56" s="11"/>
      <c r="C56" s="277" t="s">
        <v>120</v>
      </c>
      <c r="D56" s="281" t="s">
        <v>121</v>
      </c>
      <c r="E56" s="279" t="s">
        <v>63</v>
      </c>
      <c r="F56" s="280">
        <v>4461.66666666667</v>
      </c>
      <c r="G56" s="280">
        <v>4461.66666666667</v>
      </c>
      <c r="H56" s="280">
        <v>4461.66666666667</v>
      </c>
      <c r="I56" s="280">
        <v>4461.66666666667</v>
      </c>
      <c r="J56" s="280">
        <v>4461.66666666667</v>
      </c>
      <c r="K56" s="280">
        <v>4461.66666666667</v>
      </c>
      <c r="L56" s="280">
        <v>4461.66666666667</v>
      </c>
      <c r="M56" s="280">
        <v>4461.66666666667</v>
      </c>
      <c r="N56" s="280">
        <v>4461.66666666667</v>
      </c>
      <c r="O56" s="280">
        <v>4461.66666666667</v>
      </c>
      <c r="P56" s="280">
        <v>4461.66666666667</v>
      </c>
      <c r="Q56" s="280">
        <v>4461.66666666667</v>
      </c>
      <c r="R56" s="286">
        <v>53540</v>
      </c>
    </row>
    <row r="57" spans="1:18">
      <c r="A57" s="277" t="s">
        <v>43</v>
      </c>
      <c r="B57" s="11"/>
      <c r="C57" s="277" t="s">
        <v>120</v>
      </c>
      <c r="D57" s="281" t="s">
        <v>123</v>
      </c>
      <c r="E57" s="279" t="s">
        <v>61</v>
      </c>
      <c r="F57" s="280">
        <v>11700</v>
      </c>
      <c r="G57" s="280">
        <v>11700</v>
      </c>
      <c r="H57" s="280">
        <v>11700</v>
      </c>
      <c r="I57" s="280">
        <v>11700</v>
      </c>
      <c r="J57" s="280">
        <v>11700</v>
      </c>
      <c r="K57" s="280">
        <v>11700</v>
      </c>
      <c r="L57" s="280">
        <v>11700</v>
      </c>
      <c r="M57" s="280">
        <v>11700</v>
      </c>
      <c r="N57" s="280">
        <v>11700</v>
      </c>
      <c r="O57" s="280">
        <v>11700</v>
      </c>
      <c r="P57" s="280">
        <v>11700</v>
      </c>
      <c r="Q57" s="280">
        <v>11700</v>
      </c>
      <c r="R57" s="286">
        <v>140400</v>
      </c>
    </row>
    <row r="58" spans="1:18">
      <c r="A58" s="277" t="s">
        <v>43</v>
      </c>
      <c r="B58" s="11"/>
      <c r="C58" s="277" t="s">
        <v>120</v>
      </c>
      <c r="D58" s="281" t="s">
        <v>124</v>
      </c>
      <c r="E58" s="279" t="s">
        <v>61</v>
      </c>
      <c r="F58" s="280">
        <v>5333.33333333333</v>
      </c>
      <c r="G58" s="280">
        <v>5333.33333333333</v>
      </c>
      <c r="H58" s="280">
        <v>5333.33333333333</v>
      </c>
      <c r="I58" s="280">
        <v>5333.33333333333</v>
      </c>
      <c r="J58" s="280">
        <v>5333.33333333333</v>
      </c>
      <c r="K58" s="280">
        <v>5333.33333333333</v>
      </c>
      <c r="L58" s="280">
        <v>5333.33333333333</v>
      </c>
      <c r="M58" s="280">
        <v>5333.33333333333</v>
      </c>
      <c r="N58" s="280">
        <v>5333.33333333333</v>
      </c>
      <c r="O58" s="280">
        <v>5333.33333333333</v>
      </c>
      <c r="P58" s="280">
        <v>5333.33333333333</v>
      </c>
      <c r="Q58" s="280">
        <v>5333.33333333333</v>
      </c>
      <c r="R58" s="286">
        <v>64000</v>
      </c>
    </row>
    <row r="59" spans="1:18">
      <c r="A59" s="277" t="s">
        <v>43</v>
      </c>
      <c r="B59" s="11"/>
      <c r="C59" s="277" t="s">
        <v>120</v>
      </c>
      <c r="D59" s="281" t="s">
        <v>125</v>
      </c>
      <c r="E59" s="279" t="s">
        <v>61</v>
      </c>
      <c r="F59" s="280">
        <v>5416.66666666667</v>
      </c>
      <c r="G59" s="280">
        <v>5416.66666666667</v>
      </c>
      <c r="H59" s="280">
        <v>5416.66666666667</v>
      </c>
      <c r="I59" s="280">
        <v>5416.66666666667</v>
      </c>
      <c r="J59" s="280">
        <v>5416.66666666667</v>
      </c>
      <c r="K59" s="280">
        <v>5416.66666666667</v>
      </c>
      <c r="L59" s="280">
        <v>5416.66666666667</v>
      </c>
      <c r="M59" s="280">
        <v>5416.66666666667</v>
      </c>
      <c r="N59" s="280">
        <v>5416.66666666667</v>
      </c>
      <c r="O59" s="280">
        <v>5416.66666666667</v>
      </c>
      <c r="P59" s="280">
        <v>5416.66666666667</v>
      </c>
      <c r="Q59" s="280">
        <v>5416.66666666667</v>
      </c>
      <c r="R59" s="286">
        <v>65000</v>
      </c>
    </row>
    <row r="60" spans="1:18">
      <c r="A60" s="277" t="s">
        <v>43</v>
      </c>
      <c r="B60" s="11"/>
      <c r="C60" s="277" t="s">
        <v>120</v>
      </c>
      <c r="D60" s="281" t="s">
        <v>126</v>
      </c>
      <c r="E60" s="279" t="s">
        <v>61</v>
      </c>
      <c r="F60" s="280">
        <v>2833.33333333333</v>
      </c>
      <c r="G60" s="280">
        <v>2833.33333333333</v>
      </c>
      <c r="H60" s="280">
        <v>2833.33333333333</v>
      </c>
      <c r="I60" s="280">
        <v>2833.33333333333</v>
      </c>
      <c r="J60" s="280">
        <v>2833.33333333333</v>
      </c>
      <c r="K60" s="280">
        <v>2833.33333333333</v>
      </c>
      <c r="L60" s="280">
        <v>2833.33333333333</v>
      </c>
      <c r="M60" s="280">
        <v>2833.33333333333</v>
      </c>
      <c r="N60" s="280">
        <v>2833.33333333333</v>
      </c>
      <c r="O60" s="280">
        <v>2833.33333333333</v>
      </c>
      <c r="P60" s="280">
        <v>2833.33333333333</v>
      </c>
      <c r="Q60" s="280">
        <v>2833.33333333333</v>
      </c>
      <c r="R60" s="286">
        <v>34000</v>
      </c>
    </row>
    <row r="61" spans="1:18">
      <c r="A61" s="277" t="s">
        <v>43</v>
      </c>
      <c r="B61" s="11"/>
      <c r="C61" s="277" t="s">
        <v>120</v>
      </c>
      <c r="D61" s="281" t="s">
        <v>127</v>
      </c>
      <c r="E61" s="279" t="s">
        <v>61</v>
      </c>
      <c r="F61" s="280">
        <v>4416.66666666667</v>
      </c>
      <c r="G61" s="280">
        <v>4416.66666666667</v>
      </c>
      <c r="H61" s="280">
        <v>4416.66666666667</v>
      </c>
      <c r="I61" s="280">
        <v>4416.66666666667</v>
      </c>
      <c r="J61" s="280">
        <v>4416.66666666667</v>
      </c>
      <c r="K61" s="280">
        <v>4416.66666666667</v>
      </c>
      <c r="L61" s="280">
        <v>4416.66666666667</v>
      </c>
      <c r="M61" s="280">
        <v>4416.66666666667</v>
      </c>
      <c r="N61" s="280">
        <v>4416.66666666667</v>
      </c>
      <c r="O61" s="280">
        <v>4416.66666666667</v>
      </c>
      <c r="P61" s="280">
        <v>4416.66666666667</v>
      </c>
      <c r="Q61" s="280">
        <v>4416.66666666667</v>
      </c>
      <c r="R61" s="286">
        <v>53000</v>
      </c>
    </row>
    <row r="62" spans="1:18">
      <c r="A62" s="277" t="s">
        <v>43</v>
      </c>
      <c r="B62" s="11"/>
      <c r="C62" s="277" t="s">
        <v>120</v>
      </c>
      <c r="D62" s="281" t="s">
        <v>128</v>
      </c>
      <c r="E62" s="279" t="s">
        <v>111</v>
      </c>
      <c r="F62" s="280">
        <v>1500</v>
      </c>
      <c r="G62" s="280">
        <v>1500</v>
      </c>
      <c r="H62" s="280">
        <v>1500</v>
      </c>
      <c r="I62" s="280">
        <v>1500</v>
      </c>
      <c r="J62" s="280">
        <v>1500</v>
      </c>
      <c r="K62" s="280">
        <v>1500</v>
      </c>
      <c r="L62" s="280">
        <v>1500</v>
      </c>
      <c r="M62" s="280">
        <v>1500</v>
      </c>
      <c r="N62" s="280">
        <v>1500</v>
      </c>
      <c r="O62" s="280">
        <v>1500</v>
      </c>
      <c r="P62" s="280">
        <v>1500</v>
      </c>
      <c r="Q62" s="280">
        <v>1500</v>
      </c>
      <c r="R62" s="286">
        <v>18000</v>
      </c>
    </row>
    <row r="65" spans="3:18">
      <c r="C65" s="277" t="s">
        <v>45</v>
      </c>
      <c r="D65" s="11"/>
      <c r="E65" s="11"/>
      <c r="F65" s="289">
        <v>65529.4314170687</v>
      </c>
      <c r="G65" s="289">
        <v>65529.4314170687</v>
      </c>
      <c r="H65" s="289">
        <v>75529.4314170687</v>
      </c>
      <c r="I65" s="289">
        <v>67415.2243668951</v>
      </c>
      <c r="J65" s="289">
        <v>67415.2243668951</v>
      </c>
      <c r="K65" s="289">
        <v>67415.2243668951</v>
      </c>
      <c r="L65" s="289">
        <v>50264.7157085343</v>
      </c>
      <c r="M65" s="289">
        <v>50264.7157085343</v>
      </c>
      <c r="N65" s="289">
        <v>40264.7157085343</v>
      </c>
      <c r="O65" s="289">
        <v>32150.5086583607</v>
      </c>
      <c r="P65" s="289">
        <v>32150.5086583607</v>
      </c>
      <c r="Q65" s="289">
        <v>52150.5086583607</v>
      </c>
      <c r="R65" s="289">
        <v>666079.640452577</v>
      </c>
    </row>
    <row r="66" spans="3:18">
      <c r="C66" s="277" t="s">
        <v>55</v>
      </c>
      <c r="D66" s="11"/>
      <c r="E66" s="11"/>
      <c r="F66" s="289">
        <v>110736.83</v>
      </c>
      <c r="G66" s="289">
        <v>109189.07</v>
      </c>
      <c r="H66" s="289">
        <v>111220.5</v>
      </c>
      <c r="I66" s="289">
        <v>111220.5</v>
      </c>
      <c r="J66" s="289">
        <v>113264.03</v>
      </c>
      <c r="K66" s="289">
        <v>79736.88</v>
      </c>
      <c r="L66" s="289">
        <v>113554.24</v>
      </c>
      <c r="M66" s="289">
        <v>113264.03</v>
      </c>
      <c r="N66" s="289">
        <v>115307.56</v>
      </c>
      <c r="O66" s="289">
        <v>111220.5</v>
      </c>
      <c r="P66" s="289">
        <v>113264.03</v>
      </c>
      <c r="Q66" s="289">
        <v>98959.34</v>
      </c>
      <c r="R66" s="289">
        <v>1300937.51</v>
      </c>
    </row>
    <row r="67" spans="3:18">
      <c r="C67" s="277" t="s">
        <v>49</v>
      </c>
      <c r="D67" s="11"/>
      <c r="E67" s="11"/>
      <c r="F67" s="289">
        <v>34700.3437212593</v>
      </c>
      <c r="G67" s="289">
        <v>64715.9664440447</v>
      </c>
      <c r="H67" s="289">
        <v>77297.1864440447</v>
      </c>
      <c r="I67" s="289">
        <v>85481.1502630441</v>
      </c>
      <c r="J67" s="289">
        <v>88788.929794669</v>
      </c>
      <c r="K67" s="289">
        <v>64061.4365963841</v>
      </c>
      <c r="L67" s="289">
        <v>83305.8136826678</v>
      </c>
      <c r="M67" s="289">
        <v>77554.2602113357</v>
      </c>
      <c r="N67" s="289">
        <v>66755.1331970018</v>
      </c>
      <c r="O67" s="289">
        <v>64507.6437830845</v>
      </c>
      <c r="P67" s="289">
        <v>68328.5747256697</v>
      </c>
      <c r="Q67" s="289">
        <v>68265.4985760864</v>
      </c>
      <c r="R67" s="289">
        <v>843761.937439292</v>
      </c>
    </row>
    <row r="68" spans="3:18">
      <c r="C68" s="277" t="s">
        <v>104</v>
      </c>
      <c r="D68" s="11"/>
      <c r="E68" s="11"/>
      <c r="F68" s="289">
        <v>878</v>
      </c>
      <c r="G68" s="289">
        <v>878</v>
      </c>
      <c r="H68" s="289">
        <v>878</v>
      </c>
      <c r="I68" s="289">
        <v>878</v>
      </c>
      <c r="J68" s="289">
        <v>878</v>
      </c>
      <c r="K68" s="289">
        <v>3023.87</v>
      </c>
      <c r="L68" s="289">
        <v>7156.18</v>
      </c>
      <c r="M68" s="289">
        <v>7120.72</v>
      </c>
      <c r="N68" s="289">
        <v>7370.42</v>
      </c>
      <c r="O68" s="289">
        <v>6871</v>
      </c>
      <c r="P68" s="289">
        <v>7120.72</v>
      </c>
      <c r="Q68" s="289">
        <v>5372.75</v>
      </c>
      <c r="R68" s="289">
        <v>48425.66</v>
      </c>
    </row>
    <row r="69" spans="3:18">
      <c r="C69" s="277" t="s">
        <v>120</v>
      </c>
      <c r="D69" s="11"/>
      <c r="E69" s="11"/>
      <c r="F69" s="289">
        <v>56373.3333333333</v>
      </c>
      <c r="G69" s="289">
        <v>56373.3333333333</v>
      </c>
      <c r="H69" s="289">
        <v>56373.3333333333</v>
      </c>
      <c r="I69" s="289">
        <v>56373.3333333333</v>
      </c>
      <c r="J69" s="289">
        <v>56373.3333333333</v>
      </c>
      <c r="K69" s="289">
        <v>56373.3333333333</v>
      </c>
      <c r="L69" s="289">
        <v>56373.3333333333</v>
      </c>
      <c r="M69" s="289">
        <v>56373.3333333333</v>
      </c>
      <c r="N69" s="289">
        <v>56373.3333333333</v>
      </c>
      <c r="O69" s="289">
        <v>56373.3333333333</v>
      </c>
      <c r="P69" s="289">
        <v>56373.3333333333</v>
      </c>
      <c r="Q69" s="289">
        <v>56373.3333333333</v>
      </c>
      <c r="R69" s="289">
        <v>676480</v>
      </c>
    </row>
    <row r="70" spans="3:18">
      <c r="C70" s="290" t="s">
        <v>129</v>
      </c>
      <c r="D70" s="291"/>
      <c r="E70" s="291"/>
      <c r="F70" s="292">
        <v>268217.938471661</v>
      </c>
      <c r="G70" s="292">
        <v>296685.801194447</v>
      </c>
      <c r="H70" s="292">
        <v>321298.451194447</v>
      </c>
      <c r="I70" s="292">
        <v>321368.207963272</v>
      </c>
      <c r="J70" s="292">
        <v>326719.517494897</v>
      </c>
      <c r="K70" s="292">
        <v>270610.744296612</v>
      </c>
      <c r="L70" s="292">
        <v>310654.282724535</v>
      </c>
      <c r="M70" s="292">
        <v>304577.059253203</v>
      </c>
      <c r="N70" s="292">
        <v>286071.162238869</v>
      </c>
      <c r="O70" s="292">
        <v>271122.985774778</v>
      </c>
      <c r="P70" s="292">
        <v>277237.166717364</v>
      </c>
      <c r="Q70" s="292">
        <v>281121.43056778</v>
      </c>
      <c r="R70" s="292">
        <v>3535684.74789187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25"/>
  <sheetViews>
    <sheetView topLeftCell="A4" workbookViewId="0">
      <selection activeCell="D4" sqref="D4:E4"/>
    </sheetView>
  </sheetViews>
  <sheetFormatPr defaultColWidth="9" defaultRowHeight="13.8" outlineLevelCol="4"/>
  <cols>
    <col min="3" max="3" width="46.7777777777778" customWidth="1"/>
  </cols>
  <sheetData>
    <row r="2" ht="14.4" customHeight="1" spans="3:5">
      <c r="C2" s="247" t="s">
        <v>130</v>
      </c>
      <c r="D2" s="248" t="s">
        <v>131</v>
      </c>
      <c r="E2" s="249"/>
    </row>
    <row r="3" spans="3:5">
      <c r="C3" s="250"/>
      <c r="D3" s="251"/>
      <c r="E3" s="252"/>
    </row>
    <row r="4" ht="14.4" spans="3:5">
      <c r="C4" s="253"/>
      <c r="D4" s="254">
        <v>478102</v>
      </c>
      <c r="E4" s="255"/>
    </row>
    <row r="5" ht="14.4" spans="3:5">
      <c r="C5" s="256" t="s">
        <v>132</v>
      </c>
      <c r="D5" s="253"/>
      <c r="E5" s="257"/>
    </row>
    <row r="6" ht="14.4" spans="3:5">
      <c r="C6" s="253"/>
      <c r="D6" s="258" t="s">
        <v>133</v>
      </c>
      <c r="E6" s="259" t="s">
        <v>134</v>
      </c>
    </row>
    <row r="7" ht="14.4" spans="3:5">
      <c r="C7" s="260" t="s">
        <v>51</v>
      </c>
      <c r="D7" s="261">
        <v>5181.007</v>
      </c>
      <c r="E7" s="262">
        <v>10.8366143626255</v>
      </c>
    </row>
    <row r="8" ht="14.4" spans="3:5">
      <c r="C8" s="263" t="s">
        <v>83</v>
      </c>
      <c r="D8" s="261">
        <v>301.09657</v>
      </c>
      <c r="E8" s="262">
        <v>0.629774755177765</v>
      </c>
    </row>
    <row r="9" ht="14.4" spans="3:5">
      <c r="C9" s="263" t="s">
        <v>103</v>
      </c>
      <c r="D9" s="261">
        <v>272.38737</v>
      </c>
      <c r="E9" s="262">
        <v>0.56972648096013</v>
      </c>
    </row>
    <row r="10" ht="14.4" spans="3:5">
      <c r="C10" s="263" t="s">
        <v>122</v>
      </c>
      <c r="D10" s="261">
        <v>-636.57822</v>
      </c>
      <c r="E10" s="262">
        <v>-1.33146947722453</v>
      </c>
    </row>
    <row r="11" ht="14.4" spans="3:5">
      <c r="C11" s="263" t="s">
        <v>69</v>
      </c>
      <c r="D11" s="261">
        <v>135.37222</v>
      </c>
      <c r="E11" s="262">
        <v>0.283145061095749</v>
      </c>
    </row>
    <row r="12" ht="14.4" spans="3:5">
      <c r="C12" s="264" t="s">
        <v>135</v>
      </c>
      <c r="D12" s="265">
        <v>5253.28494</v>
      </c>
      <c r="E12" s="266">
        <v>10.9877911826347</v>
      </c>
    </row>
    <row r="13" ht="14.4" spans="3:5">
      <c r="C13" s="263" t="s">
        <v>80</v>
      </c>
      <c r="D13" s="261">
        <v>2574.93792</v>
      </c>
      <c r="E13" s="262">
        <v>5.38575015373288</v>
      </c>
    </row>
    <row r="14" ht="14.4" spans="3:5">
      <c r="C14" s="263" t="s">
        <v>136</v>
      </c>
      <c r="D14" s="261">
        <v>1046.67094</v>
      </c>
      <c r="E14" s="262">
        <v>2.18922100304956</v>
      </c>
    </row>
    <row r="15" ht="14.4" spans="3:5">
      <c r="C15" s="263" t="s">
        <v>61</v>
      </c>
      <c r="D15" s="261">
        <v>1552.39647</v>
      </c>
      <c r="E15" s="262">
        <v>3.24699848567879</v>
      </c>
    </row>
    <row r="16" ht="14.4" spans="3:5">
      <c r="C16" s="263" t="s">
        <v>117</v>
      </c>
      <c r="D16" s="261">
        <v>72.95354</v>
      </c>
      <c r="E16" s="262">
        <v>0.15258990759294</v>
      </c>
    </row>
    <row r="17" ht="14.4" spans="3:5">
      <c r="C17" s="263" t="s">
        <v>111</v>
      </c>
      <c r="D17" s="261">
        <v>470.19722</v>
      </c>
      <c r="E17" s="262">
        <v>0.983466331452284</v>
      </c>
    </row>
    <row r="18" ht="14.4" spans="3:5">
      <c r="C18" s="263" t="s">
        <v>137</v>
      </c>
      <c r="D18" s="261">
        <v>238.79033</v>
      </c>
      <c r="E18" s="262">
        <v>0.499454781615638</v>
      </c>
    </row>
    <row r="19" ht="14.4" spans="3:5">
      <c r="C19" s="263" t="s">
        <v>47</v>
      </c>
      <c r="D19" s="261">
        <v>2107.51972844444</v>
      </c>
      <c r="E19" s="262">
        <v>4.40809644896788</v>
      </c>
    </row>
    <row r="20" ht="14.4" spans="3:5">
      <c r="C20" s="264" t="s">
        <v>138</v>
      </c>
      <c r="D20" s="265">
        <v>8063.46614844444</v>
      </c>
      <c r="E20" s="266">
        <v>16.86557711209</v>
      </c>
    </row>
    <row r="21" spans="3:5">
      <c r="C21" s="250" t="s">
        <v>139</v>
      </c>
      <c r="D21" s="267">
        <v>13316.7510884444</v>
      </c>
      <c r="E21" s="268">
        <v>27.8533682947246</v>
      </c>
    </row>
    <row r="22" ht="14.4" spans="3:5">
      <c r="C22" s="269" t="s">
        <v>140</v>
      </c>
      <c r="D22" s="270">
        <v>2111.23444</v>
      </c>
      <c r="E22" s="271">
        <v>4.41586615408427</v>
      </c>
    </row>
    <row r="23" spans="3:5">
      <c r="C23" s="250" t="s">
        <v>141</v>
      </c>
      <c r="D23" s="267">
        <v>15427.9855284444</v>
      </c>
      <c r="E23" s="268">
        <v>32.2692344488089</v>
      </c>
    </row>
    <row r="24" ht="15.6" spans="3:5">
      <c r="C24" s="272" t="s">
        <v>142</v>
      </c>
      <c r="D24" s="270">
        <v>4406.29650155556</v>
      </c>
      <c r="E24" s="271">
        <v>9.21622687534366</v>
      </c>
    </row>
    <row r="25" spans="3:5">
      <c r="C25" s="250" t="s">
        <v>143</v>
      </c>
      <c r="D25" s="267">
        <v>19834.28203</v>
      </c>
      <c r="E25" s="268">
        <v>41.4854613241526</v>
      </c>
    </row>
  </sheetData>
  <mergeCells count="3">
    <mergeCell ref="D4:E4"/>
    <mergeCell ref="C2:C3"/>
    <mergeCell ref="D2:E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66"/>
  </sheetPr>
  <dimension ref="A1:O85"/>
  <sheetViews>
    <sheetView showGridLines="0" zoomScale="80" zoomScaleNormal="80" workbookViewId="0">
      <selection activeCell="D4" sqref="D4:E4"/>
    </sheetView>
  </sheetViews>
  <sheetFormatPr defaultColWidth="9" defaultRowHeight="11.4"/>
  <cols>
    <col min="1" max="1" width="13" style="126" customWidth="1"/>
    <col min="2" max="2" width="39.2222222222222" style="126" customWidth="1"/>
    <col min="3" max="3" width="10.3333333333333" style="126" customWidth="1"/>
    <col min="4" max="4" width="10.1111111111111" style="126" customWidth="1"/>
    <col min="5" max="5" width="4" style="126" customWidth="1"/>
    <col min="6" max="6" width="9.77777777777778" style="126" customWidth="1"/>
    <col min="7" max="7" width="8.77777777777778" style="126" customWidth="1"/>
    <col min="8" max="8" width="2.55555555555556" style="126" customWidth="1"/>
    <col min="9" max="9" width="9.33333333333333" style="126" customWidth="1"/>
    <col min="10" max="10" width="8.88888888888889" style="126"/>
    <col min="11" max="11" width="3.22222222222222" style="126" customWidth="1"/>
    <col min="12" max="12" width="8.77777777777778" style="126" customWidth="1"/>
    <col min="13" max="13" width="11.1111111111111" style="126" customWidth="1"/>
    <col min="14" max="16384" width="8.88888888888889" style="126"/>
  </cols>
  <sheetData>
    <row r="1" ht="14.55" customHeight="1" spans="2:13">
      <c r="B1" s="127" t="s">
        <v>144</v>
      </c>
      <c r="C1" s="128" t="s">
        <v>145</v>
      </c>
      <c r="D1" s="129"/>
      <c r="E1" s="130"/>
      <c r="F1" s="131" t="s">
        <v>131</v>
      </c>
      <c r="G1" s="132"/>
      <c r="H1" s="133"/>
      <c r="I1" s="131" t="s">
        <v>146</v>
      </c>
      <c r="J1" s="132"/>
      <c r="L1" s="218" t="s">
        <v>147</v>
      </c>
      <c r="M1" s="219"/>
    </row>
    <row r="2" ht="12" spans="2:13">
      <c r="B2" s="134"/>
      <c r="C2" s="135"/>
      <c r="D2" s="136"/>
      <c r="E2" s="130"/>
      <c r="F2" s="137"/>
      <c r="G2" s="129"/>
      <c r="H2" s="133"/>
      <c r="I2" s="137"/>
      <c r="J2" s="129"/>
      <c r="L2" s="220"/>
      <c r="M2" s="221"/>
    </row>
    <row r="3" ht="36" customHeight="1" spans="2:13">
      <c r="B3" s="133"/>
      <c r="C3" s="138">
        <v>458843</v>
      </c>
      <c r="D3" s="139"/>
      <c r="E3" s="140"/>
      <c r="F3" s="138">
        <v>478102</v>
      </c>
      <c r="G3" s="139"/>
      <c r="H3" s="133"/>
      <c r="I3" s="138">
        <v>550000</v>
      </c>
      <c r="J3" s="139"/>
      <c r="L3" s="138">
        <v>477009</v>
      </c>
      <c r="M3" s="139"/>
    </row>
    <row r="4" ht="12" spans="2:8">
      <c r="B4" s="141" t="s">
        <v>148</v>
      </c>
      <c r="C4" s="142"/>
      <c r="D4" s="133"/>
      <c r="E4" s="140"/>
      <c r="F4" s="143"/>
      <c r="G4" s="144"/>
      <c r="H4" s="133"/>
    </row>
    <row r="5" ht="12" spans="2:13">
      <c r="B5" s="133"/>
      <c r="C5" s="145" t="s">
        <v>133</v>
      </c>
      <c r="D5" s="146" t="s">
        <v>134</v>
      </c>
      <c r="E5" s="140"/>
      <c r="F5" s="147" t="s">
        <v>133</v>
      </c>
      <c r="G5" s="148" t="s">
        <v>134</v>
      </c>
      <c r="H5" s="133"/>
      <c r="I5" s="222" t="s">
        <v>133</v>
      </c>
      <c r="J5" s="223" t="s">
        <v>134</v>
      </c>
      <c r="L5" s="222" t="s">
        <v>133</v>
      </c>
      <c r="M5" s="223" t="s">
        <v>134</v>
      </c>
    </row>
    <row r="6" ht="12" spans="1:13">
      <c r="A6" s="149" t="s">
        <v>149</v>
      </c>
      <c r="B6" s="150" t="s">
        <v>51</v>
      </c>
      <c r="C6" s="151">
        <v>4373</v>
      </c>
      <c r="D6" s="152">
        <f>C6/$C$3*1000</f>
        <v>9.53049300087394</v>
      </c>
      <c r="E6" s="153">
        <v>0.423</v>
      </c>
      <c r="F6" s="154">
        <v>5181.007</v>
      </c>
      <c r="G6" s="155">
        <f>F6/$F$3*1000</f>
        <v>10.8366143626255</v>
      </c>
      <c r="H6" s="156"/>
      <c r="I6" s="154">
        <v>4397.71263</v>
      </c>
      <c r="J6" s="224">
        <f>I6/$I$3*1000</f>
        <v>7.99584114545455</v>
      </c>
      <c r="K6" s="225"/>
      <c r="L6" s="154">
        <v>5232.61049808452</v>
      </c>
      <c r="M6" s="224">
        <f>+L6*1000/$L$3</f>
        <v>10.9696263552355</v>
      </c>
    </row>
    <row r="7" ht="12" spans="1:13">
      <c r="A7" s="149"/>
      <c r="B7" s="157" t="s">
        <v>83</v>
      </c>
      <c r="C7" s="151">
        <v>432</v>
      </c>
      <c r="D7" s="152">
        <f t="shared" ref="D7:D19" si="0">C7/$C$3*1000</f>
        <v>0.941498508204331</v>
      </c>
      <c r="E7" s="153">
        <v>0.062</v>
      </c>
      <c r="F7" s="154">
        <v>301.09657</v>
      </c>
      <c r="G7" s="155">
        <f t="shared" ref="G7:G19" si="1">F7/$F$3*1000</f>
        <v>0.629774755177765</v>
      </c>
      <c r="H7" s="156"/>
      <c r="I7" s="154">
        <v>365.37027</v>
      </c>
      <c r="J7" s="224">
        <f t="shared" ref="J7:J10" si="2">I7/$I$3*1000</f>
        <v>0.664309581818182</v>
      </c>
      <c r="K7" s="225"/>
      <c r="L7" s="154">
        <v>300.815294151646</v>
      </c>
      <c r="M7" s="224">
        <f t="shared" ref="M7:M34" si="3">+L7*1000/$L$3</f>
        <v>0.630628131024039</v>
      </c>
    </row>
    <row r="8" ht="12" spans="1:13">
      <c r="A8" s="149"/>
      <c r="B8" s="157" t="s">
        <v>150</v>
      </c>
      <c r="C8" s="151">
        <v>252</v>
      </c>
      <c r="D8" s="152">
        <f t="shared" si="0"/>
        <v>0.549207463119193</v>
      </c>
      <c r="E8" s="153">
        <v>0.102</v>
      </c>
      <c r="F8" s="154">
        <v>144.84735</v>
      </c>
      <c r="G8" s="155">
        <f t="shared" si="1"/>
        <v>0.302963279802218</v>
      </c>
      <c r="H8" s="156"/>
      <c r="I8" s="154">
        <v>173.3058</v>
      </c>
      <c r="J8" s="224">
        <f t="shared" si="2"/>
        <v>0.315101454545455</v>
      </c>
      <c r="K8" s="225"/>
      <c r="L8" s="154">
        <v>159.212504889478</v>
      </c>
      <c r="M8" s="224">
        <f t="shared" si="3"/>
        <v>0.333772538651217</v>
      </c>
    </row>
    <row r="9" ht="12" spans="1:13">
      <c r="A9" s="149"/>
      <c r="B9" s="158" t="s">
        <v>135</v>
      </c>
      <c r="C9" s="159">
        <f>SUM(C6:C8)</f>
        <v>5057</v>
      </c>
      <c r="D9" s="160">
        <f t="shared" si="0"/>
        <v>11.0211989721975</v>
      </c>
      <c r="E9" s="153">
        <v>0.593</v>
      </c>
      <c r="F9" s="161">
        <f t="shared" ref="F9" si="4">SUM(F6:F8)</f>
        <v>5626.95092</v>
      </c>
      <c r="G9" s="162">
        <f t="shared" si="1"/>
        <v>11.7693523976055</v>
      </c>
      <c r="H9" s="156"/>
      <c r="I9" s="161">
        <f>SUM(I6:I8)</f>
        <v>4936.3887</v>
      </c>
      <c r="J9" s="226">
        <f t="shared" si="2"/>
        <v>8.97525218181818</v>
      </c>
      <c r="K9" s="225"/>
      <c r="L9" s="161">
        <v>5692.63829712564</v>
      </c>
      <c r="M9" s="226">
        <f t="shared" si="3"/>
        <v>11.9340270249107</v>
      </c>
    </row>
    <row r="10" ht="12" spans="1:13">
      <c r="A10" s="149"/>
      <c r="B10" s="157" t="s">
        <v>80</v>
      </c>
      <c r="C10" s="151">
        <v>2185.07912</v>
      </c>
      <c r="D10" s="152">
        <f t="shared" si="0"/>
        <v>4.76214984210285</v>
      </c>
      <c r="E10" s="153">
        <v>0.228</v>
      </c>
      <c r="F10" s="154">
        <v>2574.93792</v>
      </c>
      <c r="G10" s="155">
        <f t="shared" si="1"/>
        <v>5.38575015373288</v>
      </c>
      <c r="H10" s="156"/>
      <c r="I10" s="154">
        <v>1933.53896</v>
      </c>
      <c r="J10" s="224">
        <f t="shared" si="2"/>
        <v>3.51552538181818</v>
      </c>
      <c r="K10" s="225"/>
      <c r="L10" s="154">
        <v>2551.66753293882</v>
      </c>
      <c r="M10" s="224">
        <f t="shared" si="3"/>
        <v>5.34930689554877</v>
      </c>
    </row>
    <row r="11" ht="12" spans="1:13">
      <c r="A11" s="149"/>
      <c r="B11" s="157" t="s">
        <v>136</v>
      </c>
      <c r="C11" s="151">
        <v>985.92088</v>
      </c>
      <c r="D11" s="152">
        <f t="shared" si="0"/>
        <v>2.14871073548033</v>
      </c>
      <c r="E11" s="153">
        <v>0</v>
      </c>
      <c r="F11" s="154">
        <v>1046.67094</v>
      </c>
      <c r="G11" s="155">
        <f t="shared" si="1"/>
        <v>2.18922100304956</v>
      </c>
      <c r="H11" s="156"/>
      <c r="I11" s="154">
        <v>983.72062</v>
      </c>
      <c r="J11" s="224">
        <f t="shared" ref="J11:J17" si="5">I11/$I$3*1000</f>
        <v>1.78858294545454</v>
      </c>
      <c r="K11" s="225"/>
      <c r="L11" s="154">
        <v>1043.42962844906</v>
      </c>
      <c r="M11" s="224">
        <f t="shared" si="3"/>
        <v>2.18744222530196</v>
      </c>
    </row>
    <row r="12" ht="12" spans="1:13">
      <c r="A12" s="149"/>
      <c r="B12" s="157" t="s">
        <v>61</v>
      </c>
      <c r="C12" s="151">
        <v>1549</v>
      </c>
      <c r="D12" s="152">
        <f t="shared" si="0"/>
        <v>3.3758823824271</v>
      </c>
      <c r="E12" s="153">
        <v>0.14</v>
      </c>
      <c r="F12" s="154">
        <v>1552.39647</v>
      </c>
      <c r="G12" s="155">
        <f t="shared" si="1"/>
        <v>3.24699848567879</v>
      </c>
      <c r="H12" s="156"/>
      <c r="I12" s="154">
        <v>1443.27777</v>
      </c>
      <c r="J12" s="224">
        <f t="shared" si="5"/>
        <v>2.6241414</v>
      </c>
      <c r="K12" s="225"/>
      <c r="L12" s="154">
        <v>1529.14241533217</v>
      </c>
      <c r="M12" s="224">
        <f t="shared" si="3"/>
        <v>3.20568881369569</v>
      </c>
    </row>
    <row r="13" ht="12" spans="1:13">
      <c r="A13" s="149"/>
      <c r="B13" s="157" t="s">
        <v>117</v>
      </c>
      <c r="C13" s="151">
        <v>124</v>
      </c>
      <c r="D13" s="152">
        <f t="shared" si="0"/>
        <v>0.270244942169762</v>
      </c>
      <c r="E13" s="153">
        <v>0.004</v>
      </c>
      <c r="F13" s="154">
        <v>72.95354</v>
      </c>
      <c r="G13" s="155">
        <f t="shared" si="1"/>
        <v>0.15258990759294</v>
      </c>
      <c r="H13" s="156"/>
      <c r="I13" s="154">
        <v>110.88761</v>
      </c>
      <c r="J13" s="224">
        <f t="shared" si="5"/>
        <v>0.201613836363636</v>
      </c>
      <c r="K13" s="225"/>
      <c r="L13" s="154">
        <v>75.0057827541611</v>
      </c>
      <c r="M13" s="224">
        <f t="shared" si="3"/>
        <v>0.157241860749296</v>
      </c>
    </row>
    <row r="14" ht="12" spans="1:13">
      <c r="A14" s="149"/>
      <c r="B14" s="157" t="s">
        <v>111</v>
      </c>
      <c r="C14" s="151">
        <v>369.042181227273</v>
      </c>
      <c r="D14" s="152">
        <f t="shared" si="0"/>
        <v>0.804288571967476</v>
      </c>
      <c r="E14" s="153">
        <v>0.035</v>
      </c>
      <c r="F14" s="154">
        <v>393.96847</v>
      </c>
      <c r="G14" s="155">
        <f t="shared" si="1"/>
        <v>0.824025981903443</v>
      </c>
      <c r="H14" s="156"/>
      <c r="I14" s="154">
        <v>288.97125</v>
      </c>
      <c r="J14" s="224">
        <f t="shared" si="5"/>
        <v>0.525402272727273</v>
      </c>
      <c r="K14" s="225"/>
      <c r="L14" s="154">
        <v>436.270133906681</v>
      </c>
      <c r="M14" s="224">
        <f t="shared" si="3"/>
        <v>0.914595183543038</v>
      </c>
    </row>
    <row r="15" ht="12" spans="1:13">
      <c r="A15" s="149"/>
      <c r="B15" s="157" t="s">
        <v>47</v>
      </c>
      <c r="C15" s="151">
        <v>2349</v>
      </c>
      <c r="D15" s="152">
        <f t="shared" si="0"/>
        <v>5.11939813836105</v>
      </c>
      <c r="E15" s="153">
        <v>0</v>
      </c>
      <c r="F15" s="154">
        <v>2107.51972844444</v>
      </c>
      <c r="G15" s="155">
        <f t="shared" si="1"/>
        <v>4.40809644896788</v>
      </c>
      <c r="H15" s="156"/>
      <c r="I15" s="154">
        <v>1761.95712</v>
      </c>
      <c r="J15" s="224">
        <f t="shared" si="5"/>
        <v>3.2035584</v>
      </c>
      <c r="K15" s="225"/>
      <c r="L15" s="154">
        <v>2116.12056378024</v>
      </c>
      <c r="M15" s="224">
        <f t="shared" si="3"/>
        <v>4.43622775205549</v>
      </c>
    </row>
    <row r="16" ht="12" spans="1:15">
      <c r="A16" s="149"/>
      <c r="B16" s="158" t="s">
        <v>138</v>
      </c>
      <c r="C16" s="159">
        <f>SUM(C10:C15)</f>
        <v>7562.04218122727</v>
      </c>
      <c r="D16" s="160">
        <f t="shared" si="0"/>
        <v>16.4806746125086</v>
      </c>
      <c r="E16" s="153">
        <v>0.407</v>
      </c>
      <c r="F16" s="161">
        <f t="shared" ref="F16" si="6">SUM(F10:F15)</f>
        <v>7748.44706844444</v>
      </c>
      <c r="G16" s="162">
        <f t="shared" si="1"/>
        <v>16.2066819809255</v>
      </c>
      <c r="H16" s="156"/>
      <c r="I16" s="161">
        <f>SUM(I10:I15)</f>
        <v>6522.35333</v>
      </c>
      <c r="J16" s="226">
        <f t="shared" si="5"/>
        <v>11.8588242363636</v>
      </c>
      <c r="K16" s="225"/>
      <c r="L16" s="227">
        <v>7751.63605716113</v>
      </c>
      <c r="M16" s="226">
        <f t="shared" si="3"/>
        <v>16.2505027308942</v>
      </c>
      <c r="O16" s="228"/>
    </row>
    <row r="17" ht="12" spans="1:13">
      <c r="A17" s="149"/>
      <c r="B17" s="134" t="s">
        <v>139</v>
      </c>
      <c r="C17" s="163">
        <f>C16+C9</f>
        <v>12619.0421812273</v>
      </c>
      <c r="D17" s="164">
        <f t="shared" si="0"/>
        <v>27.501873584706</v>
      </c>
      <c r="E17" s="153">
        <v>1</v>
      </c>
      <c r="F17" s="165">
        <f t="shared" ref="F17" si="7">F9+F16</f>
        <v>13375.3979884444</v>
      </c>
      <c r="G17" s="166">
        <f t="shared" si="1"/>
        <v>27.976034378531</v>
      </c>
      <c r="H17" s="156"/>
      <c r="I17" s="165">
        <f t="shared" ref="I17" si="8">I9+I16</f>
        <v>11458.74203</v>
      </c>
      <c r="J17" s="229">
        <f t="shared" si="5"/>
        <v>20.8340764181818</v>
      </c>
      <c r="K17" s="225"/>
      <c r="L17" s="191">
        <v>13444.2743542868</v>
      </c>
      <c r="M17" s="229">
        <f t="shared" si="3"/>
        <v>28.184529755805</v>
      </c>
    </row>
    <row r="18" ht="12" spans="1:13">
      <c r="A18" s="149"/>
      <c r="B18" s="157" t="s">
        <v>140</v>
      </c>
      <c r="C18" s="151">
        <v>172.244017176011</v>
      </c>
      <c r="D18" s="152">
        <f t="shared" si="0"/>
        <v>0.375387697264666</v>
      </c>
      <c r="E18" s="153">
        <v>0</v>
      </c>
      <c r="F18" s="154">
        <v>131.2136</v>
      </c>
      <c r="G18" s="155">
        <f t="shared" si="1"/>
        <v>0.274446875352958</v>
      </c>
      <c r="H18" s="156"/>
      <c r="I18" s="154">
        <v>131.2136</v>
      </c>
      <c r="J18" s="224">
        <f t="shared" ref="J18:J19" si="9">I18/$I$3*1000</f>
        <v>0.238570181818182</v>
      </c>
      <c r="K18" s="225"/>
      <c r="L18" s="230">
        <v>149.750749523975</v>
      </c>
      <c r="M18" s="224">
        <f t="shared" si="3"/>
        <v>0.313936947780808</v>
      </c>
    </row>
    <row r="19" ht="12" spans="1:13">
      <c r="A19" s="149"/>
      <c r="B19" s="134" t="s">
        <v>141</v>
      </c>
      <c r="C19" s="163">
        <f>C17+C18</f>
        <v>12791.2861984033</v>
      </c>
      <c r="D19" s="164">
        <f t="shared" si="0"/>
        <v>27.8772612819707</v>
      </c>
      <c r="E19" s="153">
        <v>1</v>
      </c>
      <c r="F19" s="165">
        <f>F17+F18</f>
        <v>13506.6115884444</v>
      </c>
      <c r="G19" s="166">
        <f t="shared" si="1"/>
        <v>28.250481253884</v>
      </c>
      <c r="H19" s="156"/>
      <c r="I19" s="165">
        <f>I17+I18</f>
        <v>11589.95563</v>
      </c>
      <c r="J19" s="229">
        <f t="shared" si="9"/>
        <v>21.0726466</v>
      </c>
      <c r="K19" s="225"/>
      <c r="L19" s="191">
        <v>13594.0251038107</v>
      </c>
      <c r="M19" s="229">
        <f t="shared" si="3"/>
        <v>28.4984667035858</v>
      </c>
    </row>
    <row r="20" ht="12" spans="1:13">
      <c r="A20" s="149"/>
      <c r="B20" s="167" t="s">
        <v>151</v>
      </c>
      <c r="C20" s="168"/>
      <c r="D20" s="169"/>
      <c r="E20" s="153"/>
      <c r="F20" s="170">
        <v>4406.29650155556</v>
      </c>
      <c r="G20" s="155">
        <f t="shared" ref="G20" si="10">F20/$F$3*1000</f>
        <v>9.21622687534366</v>
      </c>
      <c r="H20" s="171"/>
      <c r="I20" s="170"/>
      <c r="J20" s="225"/>
      <c r="K20" s="225"/>
      <c r="L20" s="231">
        <v>4408.50188</v>
      </c>
      <c r="M20" s="232">
        <f t="shared" si="3"/>
        <v>9.24196792932628</v>
      </c>
    </row>
    <row r="21" ht="12" spans="1:13">
      <c r="A21" s="172"/>
      <c r="B21" s="173" t="s">
        <v>152</v>
      </c>
      <c r="C21" s="174">
        <f>C19+C20</f>
        <v>12791.2861984033</v>
      </c>
      <c r="D21" s="175">
        <f>D19+D20</f>
        <v>27.8772612819707</v>
      </c>
      <c r="E21" s="153"/>
      <c r="F21" s="174">
        <f t="shared" ref="F21:G21" si="11">F19+F20</f>
        <v>17912.90809</v>
      </c>
      <c r="G21" s="175">
        <f t="shared" si="11"/>
        <v>37.4667081292276</v>
      </c>
      <c r="H21" s="171"/>
      <c r="I21" s="174">
        <f t="shared" ref="I21" si="12">I19+I20</f>
        <v>11589.95563</v>
      </c>
      <c r="J21" s="233">
        <f>+I21*1000/I3</f>
        <v>21.0726466</v>
      </c>
      <c r="K21" s="225"/>
      <c r="L21" s="174">
        <v>18002.5269838107</v>
      </c>
      <c r="M21" s="234">
        <f t="shared" si="3"/>
        <v>37.7404346329121</v>
      </c>
    </row>
    <row r="22" ht="12" spans="2:13">
      <c r="B22" s="133"/>
      <c r="C22" s="171"/>
      <c r="D22" s="171"/>
      <c r="E22" s="153"/>
      <c r="F22" s="176"/>
      <c r="G22" s="171"/>
      <c r="H22" s="171"/>
      <c r="I22" s="231"/>
      <c r="J22" s="225"/>
      <c r="K22" s="225"/>
      <c r="L22" s="231"/>
      <c r="M22" s="225"/>
    </row>
    <row r="23" ht="12" spans="1:13">
      <c r="A23" s="127" t="s">
        <v>153</v>
      </c>
      <c r="B23" s="157" t="s">
        <v>103</v>
      </c>
      <c r="C23" s="177">
        <v>267</v>
      </c>
      <c r="D23" s="178">
        <f>C23/$C$3*1000</f>
        <v>0.581898383542955</v>
      </c>
      <c r="E23" s="153">
        <v>0.006</v>
      </c>
      <c r="F23" s="179">
        <v>272.38737</v>
      </c>
      <c r="G23" s="180">
        <f>F23/$F$3*1000</f>
        <v>0.56972648096013</v>
      </c>
      <c r="H23" s="156"/>
      <c r="I23" s="179">
        <v>270.71737</v>
      </c>
      <c r="J23" s="235">
        <f t="shared" ref="J23:J31" si="13">I23/$I$3*1000</f>
        <v>0.4922134</v>
      </c>
      <c r="K23" s="225"/>
      <c r="L23" s="179">
        <v>260.5849</v>
      </c>
      <c r="M23" s="235">
        <f t="shared" si="3"/>
        <v>0.546289273368008</v>
      </c>
    </row>
    <row r="24" ht="12" spans="1:13">
      <c r="A24" s="181"/>
      <c r="B24" s="157" t="s">
        <v>122</v>
      </c>
      <c r="C24" s="151">
        <v>-446</v>
      </c>
      <c r="D24" s="152">
        <f>C24/$C$3*1000</f>
        <v>-0.972010033933175</v>
      </c>
      <c r="E24" s="153">
        <v>0</v>
      </c>
      <c r="F24" s="154">
        <v>-636.57822</v>
      </c>
      <c r="G24" s="155">
        <f>F24/$F$3*1000</f>
        <v>-1.33146947722453</v>
      </c>
      <c r="H24" s="156"/>
      <c r="I24" s="154">
        <v>-539</v>
      </c>
      <c r="J24" s="236">
        <f t="shared" si="13"/>
        <v>-0.98</v>
      </c>
      <c r="K24" s="225"/>
      <c r="L24" s="154">
        <v>-633.225875781008</v>
      </c>
      <c r="M24" s="236">
        <f t="shared" si="3"/>
        <v>-1.32749251226079</v>
      </c>
    </row>
    <row r="25" ht="12" spans="1:13">
      <c r="A25" s="181"/>
      <c r="B25" s="157" t="s">
        <v>154</v>
      </c>
      <c r="C25" s="182">
        <v>0</v>
      </c>
      <c r="D25" s="152">
        <f t="shared" ref="D25:D31" si="14">C25/$C$3*1000</f>
        <v>0</v>
      </c>
      <c r="E25" s="153"/>
      <c r="F25" s="182">
        <v>-9.47513000000001</v>
      </c>
      <c r="G25" s="155">
        <f t="shared" ref="G25:G27" si="15">F25/$F$3*1000</f>
        <v>-0.0198182187064685</v>
      </c>
      <c r="H25" s="171"/>
      <c r="I25" s="182">
        <v>0</v>
      </c>
      <c r="J25" s="236">
        <f t="shared" si="13"/>
        <v>0</v>
      </c>
      <c r="K25" s="225"/>
      <c r="L25" s="182">
        <v>26.83581</v>
      </c>
      <c r="M25" s="236">
        <f t="shared" si="3"/>
        <v>0.0562584982673283</v>
      </c>
    </row>
    <row r="26" ht="12" spans="1:13">
      <c r="A26" s="181"/>
      <c r="B26" s="157" t="s">
        <v>137</v>
      </c>
      <c r="C26" s="151">
        <v>106</v>
      </c>
      <c r="D26" s="152">
        <f t="shared" si="14"/>
        <v>0.231015837661248</v>
      </c>
      <c r="E26" s="153">
        <v>0</v>
      </c>
      <c r="F26" s="154">
        <v>238.79033</v>
      </c>
      <c r="G26" s="155">
        <f t="shared" si="15"/>
        <v>0.499454781615638</v>
      </c>
      <c r="H26" s="156"/>
      <c r="I26" s="154">
        <v>105.53389</v>
      </c>
      <c r="J26" s="236">
        <f t="shared" si="13"/>
        <v>0.1918798</v>
      </c>
      <c r="K26" s="225"/>
      <c r="L26" s="154">
        <v>25.4435474489963</v>
      </c>
      <c r="M26" s="236">
        <f t="shared" si="3"/>
        <v>0.0533397639226856</v>
      </c>
    </row>
    <row r="27" ht="12" spans="1:13">
      <c r="A27" s="181"/>
      <c r="B27" s="183" t="s">
        <v>155</v>
      </c>
      <c r="C27" s="184">
        <v>0</v>
      </c>
      <c r="D27" s="185">
        <f t="shared" si="14"/>
        <v>0</v>
      </c>
      <c r="E27" s="153"/>
      <c r="F27" s="184">
        <v>0</v>
      </c>
      <c r="G27" s="186">
        <f t="shared" si="15"/>
        <v>0</v>
      </c>
      <c r="H27" s="171"/>
      <c r="I27" s="184"/>
      <c r="J27" s="237">
        <f t="shared" si="13"/>
        <v>0</v>
      </c>
      <c r="K27" s="225"/>
      <c r="L27" s="184">
        <v>0</v>
      </c>
      <c r="M27" s="237">
        <f t="shared" si="3"/>
        <v>0</v>
      </c>
    </row>
    <row r="28" ht="12" spans="1:13">
      <c r="A28" s="134"/>
      <c r="B28" s="173" t="s">
        <v>156</v>
      </c>
      <c r="C28" s="174">
        <f>SUM(C23:C27)</f>
        <v>-73</v>
      </c>
      <c r="D28" s="187">
        <f>+C28*1000/C3</f>
        <v>-0.159095812728973</v>
      </c>
      <c r="E28" s="188"/>
      <c r="F28" s="174">
        <f>SUM(F23:F27)</f>
        <v>-134.87565</v>
      </c>
      <c r="G28" s="187">
        <f>+F28*1000/F3</f>
        <v>-0.282106433355226</v>
      </c>
      <c r="H28" s="189"/>
      <c r="I28" s="174">
        <f>SUM(I23:I27)</f>
        <v>-162.74874</v>
      </c>
      <c r="J28" s="187">
        <f>+I28*1000/I3</f>
        <v>-0.2959068</v>
      </c>
      <c r="K28" s="225"/>
      <c r="L28" s="174">
        <v>-320.361618332011</v>
      </c>
      <c r="M28" s="187">
        <f t="shared" si="3"/>
        <v>-0.671604976702769</v>
      </c>
    </row>
    <row r="29" ht="12" spans="2:13">
      <c r="B29" s="133"/>
      <c r="C29" s="171"/>
      <c r="D29" s="171"/>
      <c r="E29" s="153"/>
      <c r="F29" s="176"/>
      <c r="G29" s="171"/>
      <c r="H29" s="171"/>
      <c r="I29" s="231"/>
      <c r="J29" s="225"/>
      <c r="K29" s="225"/>
      <c r="L29" s="231"/>
      <c r="M29" s="225"/>
    </row>
    <row r="30" ht="12" spans="1:13">
      <c r="A30" s="127" t="s">
        <v>157</v>
      </c>
      <c r="B30" s="150" t="s">
        <v>158</v>
      </c>
      <c r="C30" s="190">
        <v>1270.36947694164</v>
      </c>
      <c r="D30" s="178">
        <f t="shared" si="14"/>
        <v>2.76863649863165</v>
      </c>
      <c r="E30" s="153"/>
      <c r="F30" s="190">
        <v>1012.03863</v>
      </c>
      <c r="G30" s="180">
        <f t="shared" ref="G30:G31" si="16">F30/$F$3*1000</f>
        <v>2.1167839289524</v>
      </c>
      <c r="H30" s="171"/>
      <c r="I30" s="238">
        <v>1950.15906</v>
      </c>
      <c r="J30" s="239">
        <f t="shared" si="13"/>
        <v>3.54574374545455</v>
      </c>
      <c r="K30" s="225"/>
      <c r="L30" s="238">
        <v>1056.97451</v>
      </c>
      <c r="M30" s="239">
        <f t="shared" si="3"/>
        <v>2.21583766763311</v>
      </c>
    </row>
    <row r="31" ht="12" spans="1:13">
      <c r="A31" s="181"/>
      <c r="B31" s="183" t="s">
        <v>159</v>
      </c>
      <c r="C31" s="184">
        <v>678.344324655076</v>
      </c>
      <c r="D31" s="185">
        <f t="shared" si="14"/>
        <v>1.47838002248062</v>
      </c>
      <c r="E31" s="153"/>
      <c r="F31" s="184">
        <v>1044.21096</v>
      </c>
      <c r="G31" s="186">
        <f t="shared" si="16"/>
        <v>2.18407569932776</v>
      </c>
      <c r="H31" s="171"/>
      <c r="I31" s="240"/>
      <c r="J31" s="241">
        <f t="shared" si="13"/>
        <v>0</v>
      </c>
      <c r="K31" s="225"/>
      <c r="L31" s="240">
        <v>1049.08735</v>
      </c>
      <c r="M31" s="241">
        <f t="shared" si="3"/>
        <v>2.19930305298223</v>
      </c>
    </row>
    <row r="32" ht="12" spans="1:13">
      <c r="A32" s="134"/>
      <c r="B32" s="173" t="s">
        <v>160</v>
      </c>
      <c r="C32" s="174">
        <f>SUM(C30:C31)</f>
        <v>1948.71380159672</v>
      </c>
      <c r="D32" s="187">
        <f>+C32*1000/C3</f>
        <v>4.24701652111227</v>
      </c>
      <c r="E32" s="188"/>
      <c r="F32" s="174">
        <f>SUM(F30:F31)</f>
        <v>2056.24959</v>
      </c>
      <c r="G32" s="187">
        <f>+F32*1000/F3</f>
        <v>4.30085962828016</v>
      </c>
      <c r="H32" s="189"/>
      <c r="I32" s="174">
        <f>SUM(I30:I31)</f>
        <v>1950.15906</v>
      </c>
      <c r="J32" s="187">
        <f>+I32*1000/I3</f>
        <v>3.54574374545455</v>
      </c>
      <c r="K32" s="225"/>
      <c r="L32" s="174">
        <v>2106.06186</v>
      </c>
      <c r="M32" s="187">
        <f t="shared" si="3"/>
        <v>4.41514072061533</v>
      </c>
    </row>
    <row r="33" ht="12" spans="2:14">
      <c r="B33" s="133"/>
      <c r="C33" s="171"/>
      <c r="D33" s="171"/>
      <c r="E33" s="153"/>
      <c r="F33" s="176"/>
      <c r="G33" s="171"/>
      <c r="H33" s="171"/>
      <c r="I33" s="231"/>
      <c r="J33" s="225"/>
      <c r="K33" s="225"/>
      <c r="L33" s="231">
        <v>0</v>
      </c>
      <c r="M33" s="225"/>
      <c r="N33" s="205"/>
    </row>
    <row r="34" ht="12" spans="2:13">
      <c r="B34" s="134" t="s">
        <v>161</v>
      </c>
      <c r="C34" s="191">
        <f>+C32+C28+C21</f>
        <v>14667</v>
      </c>
      <c r="D34" s="164">
        <f>+C34*1000/C3</f>
        <v>31.965181990354</v>
      </c>
      <c r="E34" s="153"/>
      <c r="F34" s="191">
        <f>+F32+F28+F21</f>
        <v>19834.28203</v>
      </c>
      <c r="G34" s="164">
        <f>+F34*1000/F3</f>
        <v>41.4854613241526</v>
      </c>
      <c r="H34" s="189"/>
      <c r="I34" s="191">
        <f>+I32+I28+I21</f>
        <v>13377.36595</v>
      </c>
      <c r="J34" s="164">
        <f>+I34*1000/I3</f>
        <v>24.3224835454545</v>
      </c>
      <c r="K34" s="225"/>
      <c r="L34" s="191">
        <v>19788.2272254787</v>
      </c>
      <c r="M34" s="164">
        <f t="shared" si="3"/>
        <v>41.4839703768246</v>
      </c>
    </row>
    <row r="35" ht="12" spans="2:9">
      <c r="B35" s="133" t="s">
        <v>162</v>
      </c>
      <c r="C35" s="192">
        <v>14667</v>
      </c>
      <c r="D35" s="193"/>
      <c r="E35" s="140"/>
      <c r="F35" s="194">
        <v>19834.28203</v>
      </c>
      <c r="G35" s="195"/>
      <c r="H35" s="196"/>
      <c r="I35" s="242">
        <f>13377362.67/1000</f>
        <v>13377.36267</v>
      </c>
    </row>
    <row r="36" ht="12" spans="2:9">
      <c r="B36" s="133" t="s">
        <v>163</v>
      </c>
      <c r="C36" s="192">
        <f>+C34-C35</f>
        <v>0</v>
      </c>
      <c r="D36" s="193"/>
      <c r="E36" s="140"/>
      <c r="F36" s="192">
        <f>+F34-F35</f>
        <v>0</v>
      </c>
      <c r="G36" s="195"/>
      <c r="H36" s="196"/>
      <c r="I36" s="192">
        <f>+I34-I35</f>
        <v>0.00327999999899475</v>
      </c>
    </row>
    <row r="37" ht="12" spans="2:9">
      <c r="B37" s="133"/>
      <c r="C37" s="133"/>
      <c r="D37" s="133"/>
      <c r="E37" s="140"/>
      <c r="F37" s="197"/>
      <c r="G37" s="133"/>
      <c r="H37" s="133"/>
      <c r="I37" s="228"/>
    </row>
    <row r="38" s="125" customFormat="1" ht="12" spans="2:10">
      <c r="B38" s="198" t="s">
        <v>164</v>
      </c>
      <c r="C38" s="199"/>
      <c r="D38" s="200">
        <f>+D34-D20</f>
        <v>31.965181990354</v>
      </c>
      <c r="F38" s="201"/>
      <c r="G38" s="200">
        <f>+G34-G20</f>
        <v>32.2692344488089</v>
      </c>
      <c r="H38" s="199"/>
      <c r="I38" s="200"/>
      <c r="J38" s="200">
        <f>+J34-J20</f>
        <v>24.3224835454545</v>
      </c>
    </row>
    <row r="39" ht="16.2" customHeight="1" spans="2:8">
      <c r="B39" s="202"/>
      <c r="C39" s="133"/>
      <c r="D39" s="194"/>
      <c r="E39" s="140"/>
      <c r="F39" s="203"/>
      <c r="G39" s="203"/>
      <c r="H39" s="133"/>
    </row>
    <row r="40" ht="14.4" customHeight="1" spans="2:8">
      <c r="B40" s="133"/>
      <c r="C40" s="133"/>
      <c r="D40" s="133"/>
      <c r="E40" s="140"/>
      <c r="F40" s="195"/>
      <c r="G40" s="195"/>
      <c r="H40" s="133"/>
    </row>
    <row r="41" ht="12" spans="2:6">
      <c r="B41" s="204"/>
      <c r="F41" s="205"/>
    </row>
    <row r="42" ht="169.8" customHeight="1" spans="2:5">
      <c r="B42" s="206"/>
      <c r="C42" s="206"/>
      <c r="D42" s="206"/>
      <c r="E42" s="206"/>
    </row>
    <row r="43" ht="147" customHeight="1" spans="2:5">
      <c r="B43" s="206"/>
      <c r="C43" s="206"/>
      <c r="D43" s="207"/>
      <c r="E43" s="206"/>
    </row>
    <row r="44" ht="12" spans="2:2">
      <c r="B44" s="204"/>
    </row>
    <row r="45" ht="87.6" customHeight="1" spans="2:5">
      <c r="B45" s="208"/>
      <c r="C45" s="208"/>
      <c r="D45" s="209"/>
      <c r="E45" s="209"/>
    </row>
    <row r="46" ht="12" spans="2:2">
      <c r="B46" s="204"/>
    </row>
    <row r="47" ht="12" spans="2:2">
      <c r="B47" s="204"/>
    </row>
    <row r="48" ht="98.4" customHeight="1" spans="2:5">
      <c r="B48" s="208"/>
      <c r="C48" s="208"/>
      <c r="D48" s="210"/>
      <c r="E48" s="210"/>
    </row>
    <row r="49" ht="18" customHeight="1" spans="2:5">
      <c r="B49" s="204"/>
      <c r="D49" s="211"/>
      <c r="E49" s="211"/>
    </row>
    <row r="50" ht="173.4" customHeight="1" spans="2:5">
      <c r="B50" s="208"/>
      <c r="C50" s="208"/>
      <c r="D50" s="211"/>
      <c r="E50" s="211"/>
    </row>
    <row r="51" ht="12" spans="2:2">
      <c r="B51" s="204"/>
    </row>
    <row r="52" ht="12" spans="2:5">
      <c r="B52" s="212"/>
      <c r="D52" s="213"/>
      <c r="E52" s="214"/>
    </row>
    <row r="53" ht="12" spans="2:2">
      <c r="B53" s="133"/>
    </row>
    <row r="54" ht="12" spans="2:2">
      <c r="B54" s="133"/>
    </row>
    <row r="55" ht="12" spans="2:2">
      <c r="B55" s="204"/>
    </row>
    <row r="56" ht="184.8" customHeight="1" spans="2:6">
      <c r="B56" s="207"/>
      <c r="C56" s="215"/>
      <c r="D56" s="214"/>
      <c r="E56" s="215"/>
      <c r="F56" s="216"/>
    </row>
    <row r="57" ht="177" customHeight="1" spans="2:6">
      <c r="B57" s="207"/>
      <c r="C57" s="215"/>
      <c r="D57" s="217"/>
      <c r="E57" s="215"/>
      <c r="F57" s="216"/>
    </row>
    <row r="60" ht="12" spans="2:2">
      <c r="B60" s="204"/>
    </row>
    <row r="61" ht="97.2" customHeight="1" spans="2:5">
      <c r="B61" s="206"/>
      <c r="C61" s="206"/>
      <c r="D61" s="207"/>
      <c r="E61" s="207"/>
    </row>
    <row r="62" ht="150.6" customHeight="1" spans="2:5">
      <c r="B62" s="206"/>
      <c r="C62" s="206"/>
      <c r="D62" s="215"/>
      <c r="E62" s="207"/>
    </row>
    <row r="64" ht="12" spans="2:2">
      <c r="B64" s="204"/>
    </row>
    <row r="65" ht="172.8" customHeight="1" spans="2:5">
      <c r="B65" s="207"/>
      <c r="C65" s="215"/>
      <c r="D65" s="243"/>
      <c r="E65" s="243"/>
    </row>
    <row r="66" spans="2:4">
      <c r="B66" s="214"/>
      <c r="C66" s="215"/>
      <c r="D66" s="244"/>
    </row>
    <row r="68" ht="12" spans="2:2">
      <c r="B68" s="204"/>
    </row>
    <row r="69" spans="2:4">
      <c r="B69" s="214"/>
      <c r="C69" s="214"/>
      <c r="D69" s="214"/>
    </row>
    <row r="72" ht="15" customHeight="1" spans="2:2">
      <c r="B72" s="204"/>
    </row>
    <row r="73" ht="292.2" customHeight="1" spans="2:5">
      <c r="B73" s="207"/>
      <c r="C73" s="215"/>
      <c r="D73" s="215"/>
      <c r="E73" s="214"/>
    </row>
    <row r="74" ht="12" spans="2:2">
      <c r="B74" s="204"/>
    </row>
    <row r="75" ht="12" spans="2:2">
      <c r="B75" s="204"/>
    </row>
    <row r="78" ht="12" spans="2:2">
      <c r="B78" s="204"/>
    </row>
    <row r="79" spans="2:4">
      <c r="B79" s="214"/>
      <c r="D79" s="214"/>
    </row>
    <row r="81" spans="3:3">
      <c r="C81" s="214"/>
    </row>
    <row r="82" ht="12" spans="2:2">
      <c r="B82" s="204"/>
    </row>
    <row r="83" spans="2:4">
      <c r="B83" s="214"/>
      <c r="C83" s="214"/>
      <c r="D83" s="245"/>
    </row>
    <row r="84" spans="2:4">
      <c r="B84" s="214"/>
      <c r="D84" s="246"/>
    </row>
    <row r="85" spans="4:4">
      <c r="D85" s="246"/>
    </row>
  </sheetData>
  <mergeCells count="25">
    <mergeCell ref="C3:D3"/>
    <mergeCell ref="F3:G3"/>
    <mergeCell ref="I3:J3"/>
    <mergeCell ref="L3:M3"/>
    <mergeCell ref="B42:C42"/>
    <mergeCell ref="D42:E42"/>
    <mergeCell ref="B43:C43"/>
    <mergeCell ref="B45:C45"/>
    <mergeCell ref="D45:E45"/>
    <mergeCell ref="B48:C48"/>
    <mergeCell ref="D49:E49"/>
    <mergeCell ref="B50:C50"/>
    <mergeCell ref="D50:E50"/>
    <mergeCell ref="B61:C61"/>
    <mergeCell ref="B62:C62"/>
    <mergeCell ref="D65:E65"/>
    <mergeCell ref="A6:A21"/>
    <mergeCell ref="A23:A28"/>
    <mergeCell ref="A30:A32"/>
    <mergeCell ref="B1:B2"/>
    <mergeCell ref="E1:E2"/>
    <mergeCell ref="C1:D2"/>
    <mergeCell ref="I1:J2"/>
    <mergeCell ref="F1:G2"/>
    <mergeCell ref="L1:M2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2"/>
  <sheetViews>
    <sheetView zoomScale="55" zoomScaleNormal="55" topLeftCell="A19" workbookViewId="0">
      <pane xSplit="7" topLeftCell="I1" activePane="topRight" state="frozen"/>
      <selection/>
      <selection pane="topRight" activeCell="AA62" sqref="AA62"/>
    </sheetView>
  </sheetViews>
  <sheetFormatPr defaultColWidth="9" defaultRowHeight="13.8"/>
  <cols>
    <col min="1" max="1" width="6.77777777777778" style="11" customWidth="1"/>
    <col min="2" max="2" width="18.6666666666667" style="11" customWidth="1"/>
    <col min="3" max="3" width="14.2222222222222" style="11" hidden="1" customWidth="1"/>
    <col min="4" max="4" width="18.7777777777778" style="11" hidden="1" customWidth="1"/>
    <col min="5" max="5" width="14.8888888888889" style="11" hidden="1" customWidth="1"/>
    <col min="6" max="6" width="18.4444444444444" style="11" hidden="1" customWidth="1"/>
    <col min="7" max="7" width="61.8888888888889" style="11" customWidth="1"/>
    <col min="8" max="8" width="27.3333333333333" style="11" hidden="1" customWidth="1"/>
    <col min="9" max="9" width="14.6666666666667" style="11" customWidth="1"/>
    <col min="10" max="10" width="15.6666666666667" style="11" hidden="1" customWidth="1"/>
    <col min="11" max="11" width="18.7777777777778" style="11" customWidth="1"/>
    <col min="12" max="12" width="13.7777777777778" style="11" customWidth="1"/>
    <col min="13" max="13" width="83.7777777777778" style="11" hidden="1" customWidth="1"/>
    <col min="14" max="14" width="23.3333333333333" style="11" hidden="1" customWidth="1"/>
    <col min="15" max="15" width="8.88888888888889" style="11" hidden="1" customWidth="1" outlineLevel="1"/>
    <col min="16" max="16" width="15.4444444444444" style="11" hidden="1" customWidth="1" outlineLevel="1"/>
    <col min="17" max="17" width="15.5555555555556" style="11" hidden="1" customWidth="1" outlineLevel="1"/>
    <col min="18" max="18" width="12.5555555555556" style="11" hidden="1" customWidth="1" outlineLevel="1"/>
    <col min="19" max="19" width="14.4444444444444" style="11" hidden="1" customWidth="1" outlineLevel="1"/>
    <col min="20" max="20" width="25.4444444444444" style="11" hidden="1" customWidth="1" outlineLevel="1"/>
    <col min="21" max="21" width="8.88888888888889" style="11" hidden="1" customWidth="1" outlineLevel="1"/>
    <col min="22" max="22" width="12.2222222222222" style="11" customWidth="1" collapsed="1"/>
    <col min="23" max="23" width="8.88888888888889" style="11"/>
    <col min="24" max="25" width="9" style="11" hidden="1" customWidth="1"/>
    <col min="26" max="26" width="11.4444444444444" style="11" hidden="1" customWidth="1"/>
    <col min="27" max="27" width="10.8888888888889" style="11" customWidth="1"/>
    <col min="28" max="38" width="9.77777777777778" style="11" customWidth="1"/>
    <col min="39" max="39" width="10.7777777777778" style="11" customWidth="1"/>
    <col min="40" max="16384" width="8.88888888888889" style="11"/>
  </cols>
  <sheetData>
    <row r="1" hidden="1" spans="1:7">
      <c r="A1" s="12"/>
      <c r="B1" s="13" t="s">
        <v>165</v>
      </c>
      <c r="C1" s="12"/>
      <c r="D1" s="12"/>
      <c r="E1" s="12"/>
      <c r="F1" s="12"/>
      <c r="G1" s="12"/>
    </row>
    <row r="2" ht="14.4" hidden="1" spans="1:7">
      <c r="A2" s="14" t="s">
        <v>51</v>
      </c>
      <c r="B2" s="15">
        <f>N35</f>
        <v>1429831.26936</v>
      </c>
      <c r="C2" s="12"/>
      <c r="D2" s="12"/>
      <c r="E2" s="12"/>
      <c r="F2" s="12"/>
      <c r="G2" s="12"/>
    </row>
    <row r="3" ht="14.4" hidden="1" spans="1:7">
      <c r="A3" s="14" t="s">
        <v>83</v>
      </c>
      <c r="B3" s="15">
        <f ca="1">SUMIF($F$21:$J$52,$C3,$J$21:$J$52)</f>
        <v>0</v>
      </c>
      <c r="C3" s="12"/>
      <c r="D3" s="12"/>
      <c r="E3" s="12"/>
      <c r="F3" s="12"/>
      <c r="G3" s="12"/>
    </row>
    <row r="4" ht="14.4" hidden="1" spans="1:7">
      <c r="A4" s="14" t="s">
        <v>103</v>
      </c>
      <c r="B4" s="15">
        <f>N54</f>
        <v>10000</v>
      </c>
      <c r="C4" s="12"/>
      <c r="D4" s="12"/>
      <c r="E4" s="12"/>
      <c r="F4" s="12"/>
      <c r="G4" s="12"/>
    </row>
    <row r="5" ht="14.4" hidden="1" spans="1:7">
      <c r="A5" s="14" t="s">
        <v>122</v>
      </c>
      <c r="B5" s="15">
        <f ca="1">SUMIF($F$21:$J$52,$C5,$J$21:$J$52)</f>
        <v>0</v>
      </c>
      <c r="C5" s="12"/>
      <c r="D5" s="12"/>
      <c r="E5" s="12"/>
      <c r="F5" s="12"/>
      <c r="G5" s="12"/>
    </row>
    <row r="6" ht="14.4" hidden="1" spans="1:7">
      <c r="A6" s="14" t="s">
        <v>69</v>
      </c>
      <c r="B6" s="15">
        <f>N55</f>
        <v>10000</v>
      </c>
      <c r="C6" s="12"/>
      <c r="D6" s="12"/>
      <c r="E6" s="12"/>
      <c r="F6" s="12"/>
      <c r="G6" s="12"/>
    </row>
    <row r="7" ht="17.4" hidden="1" spans="1:7">
      <c r="A7" s="16" t="s">
        <v>135</v>
      </c>
      <c r="B7" s="17">
        <f ca="1">SUM(B2:B6)</f>
        <v>1449831.26936</v>
      </c>
      <c r="C7" s="12"/>
      <c r="D7" s="18" t="s">
        <v>166</v>
      </c>
      <c r="E7" s="18"/>
      <c r="F7" s="18"/>
      <c r="G7" s="12"/>
    </row>
    <row r="8" ht="14.4" hidden="1" spans="1:7">
      <c r="A8" s="14" t="s">
        <v>71</v>
      </c>
      <c r="B8" s="15">
        <f>N45</f>
        <v>573620</v>
      </c>
      <c r="C8" s="12"/>
      <c r="D8" s="13"/>
      <c r="E8" s="19" t="s">
        <v>167</v>
      </c>
      <c r="F8" s="19" t="s">
        <v>168</v>
      </c>
      <c r="G8" s="12"/>
    </row>
    <row r="9" ht="14.4" hidden="1" spans="1:7">
      <c r="A9" s="14" t="s">
        <v>63</v>
      </c>
      <c r="B9" s="15">
        <f>N53+N51+N52</f>
        <v>208000</v>
      </c>
      <c r="C9" s="12"/>
      <c r="D9" s="13" t="s">
        <v>169</v>
      </c>
      <c r="E9" s="20">
        <v>30.06</v>
      </c>
      <c r="F9" s="21">
        <v>1039601.004</v>
      </c>
      <c r="G9" s="12"/>
    </row>
    <row r="10" ht="14.4" hidden="1" spans="1:7">
      <c r="A10" s="14" t="s">
        <v>61</v>
      </c>
      <c r="B10" s="15">
        <f>N56</f>
        <v>20000</v>
      </c>
      <c r="C10" s="12"/>
      <c r="D10" s="13" t="s">
        <v>170</v>
      </c>
      <c r="E10" s="20">
        <f>24.68+0.5</f>
        <v>25.18</v>
      </c>
      <c r="F10" s="21">
        <v>1280000</v>
      </c>
      <c r="G10" s="12"/>
    </row>
    <row r="11" ht="14.4" hidden="1" spans="1:7">
      <c r="A11" s="14" t="s">
        <v>117</v>
      </c>
      <c r="B11" s="15">
        <f ca="1">SUMIF($F$21:$J$52,$C11,$J$21:$J$52)</f>
        <v>0</v>
      </c>
      <c r="C11" s="12"/>
      <c r="D11" s="19" t="s">
        <v>171</v>
      </c>
      <c r="E11" s="22">
        <f>22.92+0.5</f>
        <v>23.42</v>
      </c>
      <c r="F11" s="21">
        <v>1280000</v>
      </c>
      <c r="G11" s="12"/>
    </row>
    <row r="12" ht="14.4" hidden="1" spans="1:7">
      <c r="A12" s="14" t="s">
        <v>111</v>
      </c>
      <c r="B12" s="15">
        <f ca="1">SUMIF($F$21:$J$52,$C12,$J$21:$J$52)</f>
        <v>0</v>
      </c>
      <c r="C12" s="12"/>
      <c r="D12" s="12"/>
      <c r="E12" s="12"/>
      <c r="F12" s="12"/>
      <c r="G12" s="12"/>
    </row>
    <row r="13" ht="17.4" hidden="1" spans="1:7">
      <c r="A13" s="14" t="s">
        <v>137</v>
      </c>
      <c r="B13" s="15">
        <f ca="1">SUMIF($F$21:$J$52,$C13,$J$21:$J$52)</f>
        <v>0</v>
      </c>
      <c r="C13" s="12"/>
      <c r="D13" s="12"/>
      <c r="E13" s="12"/>
      <c r="F13" s="12"/>
      <c r="G13" s="23" t="s">
        <v>172</v>
      </c>
    </row>
    <row r="14" ht="17.4" spans="1:55">
      <c r="A14" s="14" t="s">
        <v>47</v>
      </c>
      <c r="B14" s="15">
        <f ca="1">SUMIF($F$21:$J$52,$C14,$J$21:$J$52)</f>
        <v>0</v>
      </c>
      <c r="C14" s="12"/>
      <c r="D14" s="12"/>
      <c r="E14" s="12"/>
      <c r="F14" s="12"/>
      <c r="G14" s="23" t="s">
        <v>173</v>
      </c>
      <c r="AP14" s="11" t="s">
        <v>174</v>
      </c>
      <c r="AQ14" s="11">
        <v>14.4296590800929</v>
      </c>
      <c r="AR14" s="11">
        <v>15.3433385969174</v>
      </c>
      <c r="AS14" s="11">
        <v>16.2291342791158</v>
      </c>
      <c r="AT14" s="11">
        <v>13.5808721060395</v>
      </c>
      <c r="AU14" s="11">
        <v>21.8465555747011</v>
      </c>
      <c r="AV14" s="11">
        <v>13.0214233331539</v>
      </c>
      <c r="AW14" s="11">
        <v>16.4079985172732</v>
      </c>
      <c r="AX14" s="11">
        <v>19.5925590196199</v>
      </c>
      <c r="AY14" s="11">
        <v>13.3753823800234</v>
      </c>
      <c r="AZ14" s="11">
        <v>13.8651557263534</v>
      </c>
      <c r="BA14" s="11">
        <v>13.33784394248</v>
      </c>
      <c r="BB14" s="11">
        <v>19.5484097137938</v>
      </c>
      <c r="BC14" s="11">
        <v>15.4369293791893</v>
      </c>
    </row>
    <row r="15" ht="17.4" spans="1:54">
      <c r="A15" s="16" t="s">
        <v>138</v>
      </c>
      <c r="B15" s="17">
        <f ca="1">SUM(B8:B14)</f>
        <v>801620</v>
      </c>
      <c r="C15" s="12"/>
      <c r="D15" s="12"/>
      <c r="E15" s="12"/>
      <c r="F15" s="12"/>
      <c r="G15" s="23" t="s">
        <v>175</v>
      </c>
      <c r="AQ15" s="11">
        <v>480.668627568009</v>
      </c>
      <c r="AR15" s="11">
        <v>480.668627568009</v>
      </c>
      <c r="AS15" s="11">
        <v>480.668627568009</v>
      </c>
      <c r="AT15" s="11">
        <v>500.696487050009</v>
      </c>
      <c r="AU15" s="11">
        <v>500.696487050009</v>
      </c>
      <c r="AV15" s="11">
        <v>500.696487050009</v>
      </c>
      <c r="AW15" s="11">
        <v>500.696487050009</v>
      </c>
      <c r="AX15" s="11">
        <v>500.696487050009</v>
      </c>
      <c r="AY15" s="11">
        <v>520.724346532009</v>
      </c>
      <c r="AZ15" s="11">
        <v>520.724346532009</v>
      </c>
      <c r="BA15" s="11">
        <v>520.724346532009</v>
      </c>
      <c r="BB15" s="11">
        <v>520.724346532009</v>
      </c>
    </row>
    <row r="16" ht="17.4" spans="1:54">
      <c r="A16" s="16" t="s">
        <v>139</v>
      </c>
      <c r="B16" s="24">
        <f ca="1">B15+B7</f>
        <v>2251451.26936</v>
      </c>
      <c r="C16" s="12"/>
      <c r="D16" s="12"/>
      <c r="E16" s="12"/>
      <c r="F16" s="12"/>
      <c r="G16" s="23" t="s">
        <v>176</v>
      </c>
      <c r="AP16" s="11" t="s">
        <v>177</v>
      </c>
      <c r="AQ16" s="11">
        <v>76.7</v>
      </c>
      <c r="AR16" s="11">
        <v>76.7</v>
      </c>
      <c r="AS16" s="11">
        <v>76.7</v>
      </c>
      <c r="AT16" s="11">
        <v>14.16</v>
      </c>
      <c r="AU16" s="11">
        <v>22</v>
      </c>
      <c r="AV16" s="11">
        <v>22</v>
      </c>
      <c r="AW16" s="11">
        <v>22</v>
      </c>
      <c r="AX16" s="11">
        <v>22</v>
      </c>
      <c r="AY16" s="11">
        <v>22</v>
      </c>
      <c r="AZ16" s="11">
        <v>22</v>
      </c>
      <c r="BA16" s="11">
        <v>60</v>
      </c>
      <c r="BB16" s="11">
        <v>60</v>
      </c>
    </row>
    <row r="17" ht="17.4" spans="1:54">
      <c r="A17" s="25" t="s">
        <v>178</v>
      </c>
      <c r="B17" s="15">
        <f ca="1">SUMIF($F$21:$J$52,$C17,$J$21:$J$52)</f>
        <v>0</v>
      </c>
      <c r="C17" s="12"/>
      <c r="D17" s="12"/>
      <c r="E17" s="12"/>
      <c r="F17" s="12"/>
      <c r="G17" s="23" t="s">
        <v>179</v>
      </c>
      <c r="AQ17" s="101">
        <v>21</v>
      </c>
      <c r="AR17" s="101">
        <v>21</v>
      </c>
      <c r="AS17" s="101">
        <v>21</v>
      </c>
      <c r="AT17" s="101">
        <v>0</v>
      </c>
      <c r="AU17" s="101">
        <v>0</v>
      </c>
      <c r="AV17" s="101">
        <v>0</v>
      </c>
      <c r="AW17" s="101">
        <v>0</v>
      </c>
      <c r="AX17" s="101">
        <v>0.499999999999996</v>
      </c>
      <c r="AY17" s="101">
        <v>0.499999999999996</v>
      </c>
      <c r="AZ17" s="101">
        <v>0.999999999999972</v>
      </c>
      <c r="BA17" s="101">
        <v>14</v>
      </c>
      <c r="BB17" s="101">
        <v>14</v>
      </c>
    </row>
    <row r="18" ht="17.4" spans="1:7">
      <c r="A18" s="16" t="s">
        <v>180</v>
      </c>
      <c r="B18" s="17">
        <f ca="1">B17</f>
        <v>0</v>
      </c>
      <c r="C18" s="12"/>
      <c r="D18" s="12"/>
      <c r="E18" s="12"/>
      <c r="F18" s="12"/>
      <c r="G18" s="23" t="s">
        <v>181</v>
      </c>
    </row>
    <row r="19" ht="17.4" spans="1:7">
      <c r="A19" s="16" t="s">
        <v>182</v>
      </c>
      <c r="B19" s="24">
        <f ca="1">+B18+B16</f>
        <v>2251451.26936</v>
      </c>
      <c r="C19" s="12"/>
      <c r="D19" s="12"/>
      <c r="E19" s="12"/>
      <c r="F19" s="12"/>
      <c r="G19" s="23" t="s">
        <v>183</v>
      </c>
    </row>
    <row r="20" spans="1:7">
      <c r="A20" s="12"/>
      <c r="B20" s="12"/>
      <c r="C20" s="12"/>
      <c r="D20" s="12"/>
      <c r="E20" s="12"/>
      <c r="F20" s="12"/>
      <c r="G20" s="12"/>
    </row>
    <row r="22" spans="30:39">
      <c r="AD22" s="118"/>
      <c r="AE22" s="118"/>
      <c r="AL22" s="11" t="s">
        <v>184</v>
      </c>
      <c r="AM22" s="11" t="s">
        <v>185</v>
      </c>
    </row>
    <row r="23" ht="20.4" spans="1:39">
      <c r="A23" s="26" t="s">
        <v>186</v>
      </c>
      <c r="B23" s="26"/>
      <c r="C23" s="26"/>
      <c r="D23" s="26"/>
      <c r="E23" s="26"/>
      <c r="F23" s="26"/>
      <c r="G23" s="26"/>
      <c r="H23" s="26"/>
      <c r="I23" s="26"/>
      <c r="J23" s="26"/>
      <c r="K23" s="61"/>
      <c r="L23" s="61"/>
      <c r="O23" s="62" t="s">
        <v>187</v>
      </c>
      <c r="P23" s="62"/>
      <c r="Q23" s="62"/>
      <c r="R23" s="62"/>
      <c r="S23" s="62"/>
      <c r="T23" s="62"/>
      <c r="U23" s="62"/>
      <c r="V23" s="90"/>
      <c r="W23" s="90"/>
      <c r="AK23" s="11" t="s">
        <v>188</v>
      </c>
      <c r="AL23" s="120">
        <v>2234</v>
      </c>
      <c r="AM23" s="120">
        <v>2470</v>
      </c>
    </row>
    <row r="24" ht="20.4" spans="1:41">
      <c r="A24" s="27" t="s">
        <v>189</v>
      </c>
      <c r="B24" s="27" t="s">
        <v>190</v>
      </c>
      <c r="C24" s="28" t="s">
        <v>191</v>
      </c>
      <c r="D24" s="27" t="s">
        <v>192</v>
      </c>
      <c r="E24" s="27" t="s">
        <v>193</v>
      </c>
      <c r="F24" s="27" t="s">
        <v>194</v>
      </c>
      <c r="G24" s="27" t="s">
        <v>195</v>
      </c>
      <c r="H24" s="27" t="s">
        <v>196</v>
      </c>
      <c r="I24" s="27" t="s">
        <v>197</v>
      </c>
      <c r="J24" s="27" t="s">
        <v>198</v>
      </c>
      <c r="K24" s="27" t="s">
        <v>199</v>
      </c>
      <c r="L24" s="63" t="s">
        <v>200</v>
      </c>
      <c r="O24" s="62"/>
      <c r="P24" s="62"/>
      <c r="Q24" s="62"/>
      <c r="R24" s="62"/>
      <c r="S24" s="62"/>
      <c r="T24" s="62"/>
      <c r="U24" s="62"/>
      <c r="V24" s="63" t="s">
        <v>201</v>
      </c>
      <c r="W24" s="91"/>
      <c r="AK24" s="11" t="s">
        <v>202</v>
      </c>
      <c r="AL24" s="120">
        <v>1400</v>
      </c>
      <c r="AM24" s="120">
        <v>1079</v>
      </c>
      <c r="AO24" s="120"/>
    </row>
    <row r="25" ht="42" customHeight="1" spans="1:54">
      <c r="A25" s="29"/>
      <c r="B25" s="29"/>
      <c r="C25" s="30"/>
      <c r="D25" s="29"/>
      <c r="E25" s="29"/>
      <c r="F25" s="29"/>
      <c r="G25" s="29"/>
      <c r="H25" s="29"/>
      <c r="I25" s="29"/>
      <c r="J25" s="29"/>
      <c r="K25" s="29"/>
      <c r="L25" s="29"/>
      <c r="M25" s="64" t="s">
        <v>203</v>
      </c>
      <c r="N25" s="65" t="s">
        <v>204</v>
      </c>
      <c r="O25" s="66"/>
      <c r="P25" s="67" t="s">
        <v>205</v>
      </c>
      <c r="Q25" s="67" t="s">
        <v>206</v>
      </c>
      <c r="R25" s="67" t="s">
        <v>207</v>
      </c>
      <c r="S25" s="67" t="s">
        <v>208</v>
      </c>
      <c r="T25" s="66"/>
      <c r="U25" s="66"/>
      <c r="V25" s="29" t="s">
        <v>209</v>
      </c>
      <c r="AA25" s="119">
        <v>1</v>
      </c>
      <c r="AB25" s="119">
        <v>2</v>
      </c>
      <c r="AC25" s="119">
        <v>3</v>
      </c>
      <c r="AD25" s="119">
        <v>4</v>
      </c>
      <c r="AE25" s="119">
        <v>5</v>
      </c>
      <c r="AF25" s="119">
        <v>6</v>
      </c>
      <c r="AG25" s="119">
        <v>7</v>
      </c>
      <c r="AH25" s="119">
        <v>8</v>
      </c>
      <c r="AI25" s="119">
        <v>9</v>
      </c>
      <c r="AJ25" s="119">
        <v>10</v>
      </c>
      <c r="AK25" s="119">
        <v>11</v>
      </c>
      <c r="AL25" s="119">
        <v>12</v>
      </c>
      <c r="AM25" s="120"/>
      <c r="AQ25" s="11">
        <v>1</v>
      </c>
      <c r="AR25" s="11">
        <v>2</v>
      </c>
      <c r="AS25" s="11">
        <v>3</v>
      </c>
      <c r="AT25" s="11">
        <v>4</v>
      </c>
      <c r="AU25" s="11">
        <v>5</v>
      </c>
      <c r="AV25" s="11">
        <v>6</v>
      </c>
      <c r="AW25" s="11">
        <v>7</v>
      </c>
      <c r="AX25" s="11">
        <v>8</v>
      </c>
      <c r="AY25" s="11">
        <v>9</v>
      </c>
      <c r="AZ25" s="11">
        <v>10</v>
      </c>
      <c r="BA25" s="11">
        <v>11</v>
      </c>
      <c r="BB25" s="11">
        <v>12</v>
      </c>
    </row>
    <row r="26" spans="1:54">
      <c r="A26" s="31">
        <v>1</v>
      </c>
      <c r="B26" s="31" t="s">
        <v>51</v>
      </c>
      <c r="C26" s="32">
        <v>45901</v>
      </c>
      <c r="D26" s="31">
        <v>100</v>
      </c>
      <c r="E26" s="31">
        <v>125</v>
      </c>
      <c r="F26" s="33">
        <f>1-(D26/E26)</f>
        <v>0.2</v>
      </c>
      <c r="G26" s="34" t="s">
        <v>210</v>
      </c>
      <c r="H26" s="35">
        <v>779012.31936</v>
      </c>
      <c r="I26" s="31" t="s">
        <v>2</v>
      </c>
      <c r="J26" s="68">
        <f t="shared" ref="J26:J56" si="0">12/12</f>
        <v>1</v>
      </c>
      <c r="K26" s="68" t="s">
        <v>211</v>
      </c>
      <c r="L26" s="68" t="s">
        <v>212</v>
      </c>
      <c r="M26" s="68" t="s">
        <v>213</v>
      </c>
      <c r="N26" s="69">
        <f>S26*Q26*U41*F26</f>
        <v>779012.31936</v>
      </c>
      <c r="O26" s="66"/>
      <c r="P26" s="66" t="s">
        <v>214</v>
      </c>
      <c r="Q26" s="92">
        <v>604673</v>
      </c>
      <c r="R26" s="93">
        <v>29.28</v>
      </c>
      <c r="S26" s="94">
        <f t="shared" ref="S26:S37" si="1">R26/60</f>
        <v>0.488</v>
      </c>
      <c r="T26" s="66"/>
      <c r="U26" s="66"/>
      <c r="V26" s="95">
        <f>SUM(AA26:AL26)</f>
        <v>95704.7881770563</v>
      </c>
      <c r="AA26" s="95">
        <f>AQ15*AQ14</f>
        <v>6935.88442630253</v>
      </c>
      <c r="AB26" s="95">
        <f t="shared" ref="AB26:AL26" si="2">AR15*AR14</f>
        <v>7375.06150569154</v>
      </c>
      <c r="AC26" s="95">
        <f t="shared" si="2"/>
        <v>7800.83570055951</v>
      </c>
      <c r="AD26" s="95">
        <f t="shared" si="2"/>
        <v>6799.89495456944</v>
      </c>
      <c r="AE26" s="95">
        <f t="shared" si="2"/>
        <v>10938.4936303956</v>
      </c>
      <c r="AF26" s="95">
        <f t="shared" si="2"/>
        <v>6519.78091930117</v>
      </c>
      <c r="AG26" s="95">
        <f t="shared" si="2"/>
        <v>8215.42721712043</v>
      </c>
      <c r="AH26" s="95">
        <f t="shared" si="2"/>
        <v>9809.92547344365</v>
      </c>
      <c r="AI26" s="95">
        <f t="shared" si="2"/>
        <v>6964.88724945345</v>
      </c>
      <c r="AJ26" s="95">
        <f t="shared" si="2"/>
        <v>7219.92415516991</v>
      </c>
      <c r="AK26" s="95">
        <f t="shared" si="2"/>
        <v>6945.34007109381</v>
      </c>
      <c r="AL26" s="95">
        <f t="shared" si="2"/>
        <v>10179.3328739553</v>
      </c>
      <c r="AQ26" s="101">
        <f>AQ15*AQ14</f>
        <v>6935.88442630253</v>
      </c>
      <c r="AR26" s="101">
        <f t="shared" ref="AR26:BB26" si="3">AR15*AR14</f>
        <v>7375.06150569154</v>
      </c>
      <c r="AS26" s="101">
        <f t="shared" si="3"/>
        <v>7800.83570055951</v>
      </c>
      <c r="AT26" s="101">
        <f t="shared" si="3"/>
        <v>6799.89495456944</v>
      </c>
      <c r="AU26" s="101">
        <f t="shared" si="3"/>
        <v>10938.4936303956</v>
      </c>
      <c r="AV26" s="101">
        <f t="shared" si="3"/>
        <v>6519.78091930117</v>
      </c>
      <c r="AW26" s="101">
        <f t="shared" si="3"/>
        <v>8215.42721712043</v>
      </c>
      <c r="AX26" s="101">
        <f t="shared" si="3"/>
        <v>9809.92547344365</v>
      </c>
      <c r="AY26" s="101">
        <f t="shared" si="3"/>
        <v>6964.88724945345</v>
      </c>
      <c r="AZ26" s="101">
        <f t="shared" si="3"/>
        <v>7219.92415516991</v>
      </c>
      <c r="BA26" s="101">
        <f t="shared" si="3"/>
        <v>6945.34007109381</v>
      </c>
      <c r="BB26" s="101">
        <f t="shared" si="3"/>
        <v>10179.3328739553</v>
      </c>
    </row>
    <row r="27" spans="1:38">
      <c r="A27" s="31">
        <v>2</v>
      </c>
      <c r="B27" s="31" t="s">
        <v>51</v>
      </c>
      <c r="C27" s="32">
        <v>45931</v>
      </c>
      <c r="D27" s="31">
        <v>0</v>
      </c>
      <c r="E27" s="31">
        <v>72</v>
      </c>
      <c r="F27" s="31"/>
      <c r="G27" s="36" t="s">
        <v>215</v>
      </c>
      <c r="H27" s="37">
        <v>144000</v>
      </c>
      <c r="I27" s="31" t="s">
        <v>2</v>
      </c>
      <c r="J27" s="68">
        <f t="shared" si="0"/>
        <v>1</v>
      </c>
      <c r="K27" s="68" t="s">
        <v>211</v>
      </c>
      <c r="L27" s="68" t="s">
        <v>212</v>
      </c>
      <c r="M27" s="70"/>
      <c r="N27" s="69">
        <f>E27*(U39-U40)*2.5</f>
        <v>144000</v>
      </c>
      <c r="O27" s="66"/>
      <c r="P27" s="66" t="s">
        <v>216</v>
      </c>
      <c r="Q27" s="92">
        <v>139647</v>
      </c>
      <c r="R27" s="93">
        <v>37.29</v>
      </c>
      <c r="S27" s="94">
        <f t="shared" si="1"/>
        <v>0.6215</v>
      </c>
      <c r="T27" s="66"/>
      <c r="U27" s="66"/>
      <c r="V27" s="96">
        <f>SUM(AA27:AL27)</f>
        <v>413880.84</v>
      </c>
      <c r="AA27" s="95">
        <f>AQ16*($AL$23-$AL$24)</f>
        <v>63967.8</v>
      </c>
      <c r="AB27" s="95">
        <f t="shared" ref="AB27:AL27" si="4">AR16*($AL$23-$AL$24)</f>
        <v>63967.8</v>
      </c>
      <c r="AC27" s="95">
        <f t="shared" si="4"/>
        <v>63967.8</v>
      </c>
      <c r="AD27" s="95">
        <f t="shared" si="4"/>
        <v>11809.44</v>
      </c>
      <c r="AE27" s="95">
        <f t="shared" si="4"/>
        <v>18348</v>
      </c>
      <c r="AF27" s="95">
        <f t="shared" si="4"/>
        <v>18348</v>
      </c>
      <c r="AG27" s="95">
        <f t="shared" si="4"/>
        <v>18348</v>
      </c>
      <c r="AH27" s="95">
        <f t="shared" si="4"/>
        <v>18348</v>
      </c>
      <c r="AI27" s="95">
        <f t="shared" si="4"/>
        <v>18348</v>
      </c>
      <c r="AJ27" s="95">
        <f t="shared" si="4"/>
        <v>18348</v>
      </c>
      <c r="AK27" s="95">
        <f t="shared" si="4"/>
        <v>50040</v>
      </c>
      <c r="AL27" s="95">
        <f t="shared" si="4"/>
        <v>50040</v>
      </c>
    </row>
    <row r="28" spans="1:38">
      <c r="A28" s="31">
        <v>3</v>
      </c>
      <c r="B28" s="31" t="s">
        <v>51</v>
      </c>
      <c r="C28" s="31">
        <v>2026</v>
      </c>
      <c r="D28" s="31">
        <v>0</v>
      </c>
      <c r="E28" s="31">
        <v>72</v>
      </c>
      <c r="F28" s="31"/>
      <c r="G28" s="38"/>
      <c r="H28" s="37">
        <v>259200</v>
      </c>
      <c r="I28" s="31" t="s">
        <v>9</v>
      </c>
      <c r="J28" s="68">
        <f t="shared" si="0"/>
        <v>1</v>
      </c>
      <c r="K28" s="68" t="s">
        <v>211</v>
      </c>
      <c r="L28" s="68" t="s">
        <v>212</v>
      </c>
      <c r="M28" s="71"/>
      <c r="N28" s="69">
        <f>E28*(U39-U40)*4.5</f>
        <v>259200</v>
      </c>
      <c r="O28" s="66"/>
      <c r="P28" s="66" t="s">
        <v>217</v>
      </c>
      <c r="Q28" s="92">
        <v>4232</v>
      </c>
      <c r="R28" s="93">
        <v>126.03</v>
      </c>
      <c r="S28" s="94">
        <f t="shared" si="1"/>
        <v>2.1005</v>
      </c>
      <c r="T28" s="66"/>
      <c r="U28" s="66"/>
      <c r="V28" s="97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1:38">
      <c r="A29" s="31">
        <v>4</v>
      </c>
      <c r="B29" s="31" t="s">
        <v>51</v>
      </c>
      <c r="C29" s="31">
        <v>2026</v>
      </c>
      <c r="D29" s="31">
        <v>0</v>
      </c>
      <c r="E29" s="31">
        <v>38</v>
      </c>
      <c r="F29" s="31"/>
      <c r="G29" s="39"/>
      <c r="H29" s="37">
        <v>91200</v>
      </c>
      <c r="I29" s="31" t="s">
        <v>11</v>
      </c>
      <c r="J29" s="68">
        <f t="shared" si="0"/>
        <v>1</v>
      </c>
      <c r="K29" s="68" t="s">
        <v>211</v>
      </c>
      <c r="L29" s="68" t="s">
        <v>212</v>
      </c>
      <c r="M29" s="72"/>
      <c r="N29" s="69">
        <f>E29*(U39-U40)*3</f>
        <v>91200</v>
      </c>
      <c r="O29" s="66"/>
      <c r="P29" s="66" t="s">
        <v>218</v>
      </c>
      <c r="Q29" s="92">
        <v>4626</v>
      </c>
      <c r="R29" s="93">
        <v>77.09</v>
      </c>
      <c r="S29" s="94">
        <f t="shared" si="1"/>
        <v>1.28483333333333</v>
      </c>
      <c r="T29" s="66"/>
      <c r="U29" s="66"/>
      <c r="V29" s="98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1:39">
      <c r="A30" s="31">
        <v>5</v>
      </c>
      <c r="B30" s="31" t="s">
        <v>51</v>
      </c>
      <c r="C30" s="31">
        <v>2026</v>
      </c>
      <c r="D30" s="31"/>
      <c r="E30" s="31"/>
      <c r="F30" s="31"/>
      <c r="G30" s="40" t="s">
        <v>219</v>
      </c>
      <c r="H30" s="37">
        <v>36435.05</v>
      </c>
      <c r="I30" s="31" t="s">
        <v>11</v>
      </c>
      <c r="J30" s="68">
        <f>3/12</f>
        <v>0.25</v>
      </c>
      <c r="K30" s="68" t="s">
        <v>211</v>
      </c>
      <c r="L30" s="68" t="s">
        <v>212</v>
      </c>
      <c r="M30" s="68" t="s">
        <v>220</v>
      </c>
      <c r="N30" s="69">
        <f>(12186*U41+(2257*5)-26400)*0.25</f>
        <v>36435.05</v>
      </c>
      <c r="O30" s="66"/>
      <c r="P30" s="73" t="s">
        <v>221</v>
      </c>
      <c r="Q30" s="99">
        <v>753178</v>
      </c>
      <c r="R30" s="93"/>
      <c r="S30" s="94">
        <f t="shared" si="1"/>
        <v>0</v>
      </c>
      <c r="T30" s="66"/>
      <c r="U30" s="66"/>
      <c r="V30" s="95">
        <f>SUM(AA30:AL30)</f>
        <v>39684.1546642867</v>
      </c>
      <c r="Y30" s="11">
        <f>12186-2000</f>
        <v>10186</v>
      </c>
      <c r="AA30" s="95"/>
      <c r="AB30" s="95"/>
      <c r="AC30" s="95"/>
      <c r="AD30" s="95"/>
      <c r="AE30" s="95"/>
      <c r="AF30" s="95"/>
      <c r="AG30" s="95"/>
      <c r="AH30" s="95"/>
      <c r="AI30" s="95"/>
      <c r="AJ30" s="95">
        <f>($Y$30/12)*AZ14</f>
        <v>11769.2063523863</v>
      </c>
      <c r="AK30" s="95">
        <f t="shared" ref="AK30:AL30" si="5">($Y$30/12)*BA14</f>
        <v>11321.6065331751</v>
      </c>
      <c r="AL30" s="95">
        <f t="shared" si="5"/>
        <v>16593.3417787253</v>
      </c>
      <c r="AM30" s="101">
        <f>SUM(AJ30:AL30)</f>
        <v>39684.1546642867</v>
      </c>
    </row>
    <row r="31" spans="1:39">
      <c r="A31" s="31">
        <v>6</v>
      </c>
      <c r="B31" s="31" t="s">
        <v>51</v>
      </c>
      <c r="C31" s="31">
        <v>2026</v>
      </c>
      <c r="D31" s="31"/>
      <c r="E31" s="31"/>
      <c r="F31" s="31"/>
      <c r="G31" s="40" t="s">
        <v>222</v>
      </c>
      <c r="H31" s="37">
        <v>51733.7</v>
      </c>
      <c r="I31" s="31" t="s">
        <v>11</v>
      </c>
      <c r="J31" s="68">
        <f>3/12</f>
        <v>0.25</v>
      </c>
      <c r="K31" s="68" t="s">
        <v>211</v>
      </c>
      <c r="L31" s="68" t="s">
        <v>212</v>
      </c>
      <c r="M31" s="68" t="s">
        <v>223</v>
      </c>
      <c r="N31" s="69">
        <f>(18309*U41+(2257*8)-(26400*2))*0.25</f>
        <v>51733.7</v>
      </c>
      <c r="O31" s="66"/>
      <c r="P31" s="66" t="s">
        <v>224</v>
      </c>
      <c r="Q31" s="92">
        <f>287031+10926</f>
        <v>297957</v>
      </c>
      <c r="R31" s="93">
        <v>17.76</v>
      </c>
      <c r="S31" s="94">
        <f t="shared" si="1"/>
        <v>0.296</v>
      </c>
      <c r="T31" s="66"/>
      <c r="U31" s="66"/>
      <c r="V31" s="95">
        <f>SUM(AA31:AL31)</f>
        <v>55747.159738001</v>
      </c>
      <c r="Y31" s="11">
        <f>18309-4000</f>
        <v>14309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>
        <f>($Y$31/12)*AZ14</f>
        <v>16533.0427740325</v>
      </c>
      <c r="AK31" s="95">
        <f t="shared" ref="AK31:AL31" si="6">($Y$31/12)*BA14</f>
        <v>15904.2674144122</v>
      </c>
      <c r="AL31" s="95">
        <f t="shared" si="6"/>
        <v>23309.8495495563</v>
      </c>
      <c r="AM31" s="101">
        <f>SUM(AJ31:AL31)</f>
        <v>55747.159738001</v>
      </c>
    </row>
    <row r="32" ht="27.6" spans="1:39">
      <c r="A32" s="31">
        <v>7</v>
      </c>
      <c r="B32" s="31" t="s">
        <v>51</v>
      </c>
      <c r="C32" s="31">
        <v>2026</v>
      </c>
      <c r="D32" s="31"/>
      <c r="E32" s="31"/>
      <c r="F32" s="31"/>
      <c r="G32" s="40" t="s">
        <v>225</v>
      </c>
      <c r="H32" s="41">
        <v>30544.7</v>
      </c>
      <c r="I32" s="31" t="s">
        <v>8</v>
      </c>
      <c r="J32" s="68">
        <f>6/12</f>
        <v>0.5</v>
      </c>
      <c r="K32" s="68" t="s">
        <v>211</v>
      </c>
      <c r="L32" s="68" t="s">
        <v>212</v>
      </c>
      <c r="M32" s="68" t="s">
        <v>226</v>
      </c>
      <c r="N32" s="69">
        <f>(4457*U41+(2257*1))/2</f>
        <v>30544.7</v>
      </c>
      <c r="O32" s="66"/>
      <c r="P32" s="66" t="s">
        <v>227</v>
      </c>
      <c r="Q32" s="92">
        <v>27951</v>
      </c>
      <c r="R32" s="93">
        <v>27.59</v>
      </c>
      <c r="S32" s="94">
        <f t="shared" si="1"/>
        <v>0.459833333333333</v>
      </c>
      <c r="T32" s="66"/>
      <c r="U32" s="66"/>
      <c r="V32" s="95">
        <f>SUM(AA32:AL32)</f>
        <v>36135.8727241868</v>
      </c>
      <c r="Y32" s="11">
        <f>4511</f>
        <v>4511</v>
      </c>
      <c r="AA32" s="95"/>
      <c r="AB32" s="95"/>
      <c r="AC32" s="95"/>
      <c r="AD32" s="95"/>
      <c r="AE32" s="95"/>
      <c r="AF32" s="95"/>
      <c r="AG32" s="95">
        <f>($Y$32/12)*AW14</f>
        <v>6168.04010928494</v>
      </c>
      <c r="AH32" s="95">
        <f t="shared" ref="AH32:AL32" si="7">($Y$32/12)*AX14</f>
        <v>7365.16947812545</v>
      </c>
      <c r="AI32" s="95">
        <f t="shared" si="7"/>
        <v>5028.02915969047</v>
      </c>
      <c r="AJ32" s="95">
        <f t="shared" si="7"/>
        <v>5212.14312346501</v>
      </c>
      <c r="AK32" s="95">
        <f t="shared" si="7"/>
        <v>5013.91783537727</v>
      </c>
      <c r="AL32" s="95">
        <f t="shared" si="7"/>
        <v>7348.57301824366</v>
      </c>
      <c r="AM32" s="101">
        <f>SUM(AG32:AL32)</f>
        <v>36135.8727241868</v>
      </c>
    </row>
    <row r="33" spans="1:39">
      <c r="A33" s="31">
        <v>8</v>
      </c>
      <c r="B33" s="31" t="s">
        <v>51</v>
      </c>
      <c r="C33" s="31">
        <v>2026</v>
      </c>
      <c r="D33" s="31"/>
      <c r="E33" s="31"/>
      <c r="F33" s="31"/>
      <c r="G33" s="40" t="s">
        <v>228</v>
      </c>
      <c r="H33" s="37">
        <v>37705.5</v>
      </c>
      <c r="I33" s="31" t="s">
        <v>8</v>
      </c>
      <c r="J33" s="68">
        <f>6/12</f>
        <v>0.5</v>
      </c>
      <c r="K33" s="68" t="s">
        <v>211</v>
      </c>
      <c r="L33" s="68" t="s">
        <v>212</v>
      </c>
      <c r="M33" s="68" t="s">
        <v>229</v>
      </c>
      <c r="N33" s="69">
        <f>(5200*U41+(2257*3))/2</f>
        <v>37705.5</v>
      </c>
      <c r="O33" s="66"/>
      <c r="P33" s="66" t="s">
        <v>230</v>
      </c>
      <c r="Q33" s="92">
        <v>149249</v>
      </c>
      <c r="R33" s="93">
        <v>11.13</v>
      </c>
      <c r="S33" s="94">
        <f t="shared" si="1"/>
        <v>0.1855</v>
      </c>
      <c r="T33" s="66"/>
      <c r="U33" s="66"/>
      <c r="V33" s="95">
        <f>SUM(AA33:AL33)</f>
        <v>41655.1846964689</v>
      </c>
      <c r="Y33" s="11">
        <v>5200</v>
      </c>
      <c r="AA33" s="95"/>
      <c r="AB33" s="95"/>
      <c r="AC33" s="95"/>
      <c r="AD33" s="95"/>
      <c r="AE33" s="95"/>
      <c r="AF33" s="95"/>
      <c r="AG33" s="95">
        <f>($Y$33/12)*AW14</f>
        <v>7110.13269081837</v>
      </c>
      <c r="AH33" s="95">
        <f t="shared" ref="AH33:AL33" si="8">($Y$33/12)*AX14</f>
        <v>8490.10890850196</v>
      </c>
      <c r="AI33" s="95">
        <f t="shared" si="8"/>
        <v>5795.99903134348</v>
      </c>
      <c r="AJ33" s="95">
        <f t="shared" si="8"/>
        <v>6008.23414808647</v>
      </c>
      <c r="AK33" s="95">
        <f t="shared" si="8"/>
        <v>5779.73237507466</v>
      </c>
      <c r="AL33" s="95">
        <f t="shared" si="8"/>
        <v>8470.97754264399</v>
      </c>
      <c r="AM33" s="101">
        <f>SUM(AG33:AL33)</f>
        <v>41655.1846964689</v>
      </c>
    </row>
    <row r="34" spans="15:22">
      <c r="O34" s="66"/>
      <c r="P34" s="73" t="s">
        <v>231</v>
      </c>
      <c r="Q34" s="99">
        <v>475157</v>
      </c>
      <c r="R34" s="100"/>
      <c r="S34" s="94">
        <f t="shared" si="1"/>
        <v>0</v>
      </c>
      <c r="T34" s="66"/>
      <c r="U34" s="66"/>
      <c r="V34" s="101"/>
    </row>
    <row r="35" spans="1:22">
      <c r="A35" s="42"/>
      <c r="B35" s="42"/>
      <c r="C35" s="43"/>
      <c r="D35" s="42"/>
      <c r="E35" s="42"/>
      <c r="F35" s="42"/>
      <c r="G35" s="44"/>
      <c r="H35" s="45"/>
      <c r="I35" s="42"/>
      <c r="J35" s="74"/>
      <c r="K35" s="74"/>
      <c r="L35" s="74" t="s">
        <v>232</v>
      </c>
      <c r="M35" s="75" t="s">
        <v>233</v>
      </c>
      <c r="N35" s="76">
        <f>SUM(N26:N33)</f>
        <v>1429831.26936</v>
      </c>
      <c r="O35" s="66"/>
      <c r="P35" s="66" t="s">
        <v>234</v>
      </c>
      <c r="Q35" s="92">
        <v>51884</v>
      </c>
      <c r="R35" s="93">
        <v>6.24</v>
      </c>
      <c r="S35" s="94">
        <f t="shared" si="1"/>
        <v>0.104</v>
      </c>
      <c r="T35" s="66"/>
      <c r="U35" s="66"/>
      <c r="V35" s="101">
        <f>SUM(V26:V33)</f>
        <v>682808</v>
      </c>
    </row>
    <row r="36" spans="15:22">
      <c r="O36" s="66"/>
      <c r="P36" s="66" t="s">
        <v>235</v>
      </c>
      <c r="Q36" s="92">
        <v>0</v>
      </c>
      <c r="R36" s="93"/>
      <c r="S36" s="94">
        <f t="shared" si="1"/>
        <v>0</v>
      </c>
      <c r="T36" s="66"/>
      <c r="U36" s="66"/>
      <c r="V36" s="101"/>
    </row>
    <row r="37" spans="1:38">
      <c r="A37" s="46">
        <v>9</v>
      </c>
      <c r="B37" s="46" t="s">
        <v>71</v>
      </c>
      <c r="C37" s="47" t="s">
        <v>236</v>
      </c>
      <c r="D37" s="46">
        <v>127</v>
      </c>
      <c r="E37" s="46">
        <v>125</v>
      </c>
      <c r="F37" s="46">
        <f>D37-E37</f>
        <v>2</v>
      </c>
      <c r="G37" s="48" t="s">
        <v>237</v>
      </c>
      <c r="H37" s="49">
        <v>58080</v>
      </c>
      <c r="I37" s="46" t="s">
        <v>2</v>
      </c>
      <c r="J37" s="77">
        <f>12/12</f>
        <v>1</v>
      </c>
      <c r="K37" s="77" t="s">
        <v>211</v>
      </c>
      <c r="L37" s="77" t="s">
        <v>212</v>
      </c>
      <c r="M37" s="77" t="s">
        <v>238</v>
      </c>
      <c r="N37" s="78">
        <f>F37*U39*1.1*12</f>
        <v>58080</v>
      </c>
      <c r="O37" s="66"/>
      <c r="P37" s="66" t="s">
        <v>239</v>
      </c>
      <c r="Q37" s="92"/>
      <c r="R37" s="93">
        <v>44.24</v>
      </c>
      <c r="S37" s="94">
        <f t="shared" si="1"/>
        <v>0.737333333333333</v>
      </c>
      <c r="T37" s="66"/>
      <c r="U37" s="66"/>
      <c r="V37" s="102">
        <f>SUM(AA37:AL37)</f>
        <v>59291.52</v>
      </c>
      <c r="AA37" s="102">
        <f>2*2470.48</f>
        <v>4940.96</v>
      </c>
      <c r="AB37" s="102">
        <f t="shared" ref="AB37:AL37" si="9">2*2470.48</f>
        <v>4940.96</v>
      </c>
      <c r="AC37" s="102">
        <f t="shared" si="9"/>
        <v>4940.96</v>
      </c>
      <c r="AD37" s="102">
        <f t="shared" si="9"/>
        <v>4940.96</v>
      </c>
      <c r="AE37" s="102">
        <f t="shared" si="9"/>
        <v>4940.96</v>
      </c>
      <c r="AF37" s="102">
        <f t="shared" si="9"/>
        <v>4940.96</v>
      </c>
      <c r="AG37" s="102">
        <f t="shared" si="9"/>
        <v>4940.96</v>
      </c>
      <c r="AH37" s="102">
        <f t="shared" si="9"/>
        <v>4940.96</v>
      </c>
      <c r="AI37" s="102">
        <f t="shared" si="9"/>
        <v>4940.96</v>
      </c>
      <c r="AJ37" s="102">
        <f t="shared" si="9"/>
        <v>4940.96</v>
      </c>
      <c r="AK37" s="102">
        <f t="shared" si="9"/>
        <v>4940.96</v>
      </c>
      <c r="AL37" s="102">
        <f t="shared" si="9"/>
        <v>4940.96</v>
      </c>
    </row>
    <row r="38" spans="1:38">
      <c r="A38" s="46">
        <v>10</v>
      </c>
      <c r="B38" s="46" t="s">
        <v>71</v>
      </c>
      <c r="C38" s="50">
        <v>45901</v>
      </c>
      <c r="D38" s="46">
        <v>125</v>
      </c>
      <c r="E38" s="46">
        <v>121</v>
      </c>
      <c r="F38" s="46">
        <f>D38-E38</f>
        <v>4</v>
      </c>
      <c r="G38" s="48" t="s">
        <v>240</v>
      </c>
      <c r="H38" s="49">
        <v>116160</v>
      </c>
      <c r="I38" s="46" t="s">
        <v>2</v>
      </c>
      <c r="J38" s="77">
        <f t="shared" si="0"/>
        <v>1</v>
      </c>
      <c r="K38" s="77" t="s">
        <v>211</v>
      </c>
      <c r="L38" s="77" t="s">
        <v>212</v>
      </c>
      <c r="M38" s="77" t="s">
        <v>241</v>
      </c>
      <c r="N38" s="78">
        <f>F38*U39*1.1*12</f>
        <v>116160</v>
      </c>
      <c r="O38" s="66"/>
      <c r="P38" s="73" t="s">
        <v>242</v>
      </c>
      <c r="Q38" s="103">
        <f>SUM(Q30+Q34+Q35)</f>
        <v>1280219</v>
      </c>
      <c r="R38" s="66"/>
      <c r="S38" s="66"/>
      <c r="T38" s="66"/>
      <c r="U38" s="66"/>
      <c r="V38" s="102">
        <f>SUM(AA38:AL38)</f>
        <v>118583.04</v>
      </c>
      <c r="AA38" s="102">
        <f>4*2470.48</f>
        <v>9881.92</v>
      </c>
      <c r="AB38" s="102">
        <f t="shared" ref="AB38:AL40" si="10">AA38</f>
        <v>9881.92</v>
      </c>
      <c r="AC38" s="102">
        <f t="shared" si="10"/>
        <v>9881.92</v>
      </c>
      <c r="AD38" s="102">
        <f t="shared" si="10"/>
        <v>9881.92</v>
      </c>
      <c r="AE38" s="102">
        <f t="shared" si="10"/>
        <v>9881.92</v>
      </c>
      <c r="AF38" s="102">
        <f t="shared" si="10"/>
        <v>9881.92</v>
      </c>
      <c r="AG38" s="102">
        <f t="shared" si="10"/>
        <v>9881.92</v>
      </c>
      <c r="AH38" s="102">
        <f t="shared" si="10"/>
        <v>9881.92</v>
      </c>
      <c r="AI38" s="102">
        <f t="shared" si="10"/>
        <v>9881.92</v>
      </c>
      <c r="AJ38" s="102">
        <f t="shared" si="10"/>
        <v>9881.92</v>
      </c>
      <c r="AK38" s="102">
        <f t="shared" si="10"/>
        <v>9881.92</v>
      </c>
      <c r="AL38" s="102">
        <f t="shared" si="10"/>
        <v>9881.92</v>
      </c>
    </row>
    <row r="39" spans="1:38">
      <c r="A39" s="46">
        <v>11</v>
      </c>
      <c r="B39" s="46" t="s">
        <v>71</v>
      </c>
      <c r="C39" s="46">
        <v>2026</v>
      </c>
      <c r="D39" s="46">
        <v>121</v>
      </c>
      <c r="E39" s="46">
        <v>115</v>
      </c>
      <c r="F39" s="46">
        <f>D39-E39</f>
        <v>6</v>
      </c>
      <c r="G39" s="48" t="s">
        <v>243</v>
      </c>
      <c r="H39" s="49">
        <v>174240</v>
      </c>
      <c r="I39" s="46" t="s">
        <v>5</v>
      </c>
      <c r="J39" s="77">
        <f t="shared" si="0"/>
        <v>1</v>
      </c>
      <c r="K39" s="77" t="s">
        <v>211</v>
      </c>
      <c r="L39" s="77" t="s">
        <v>212</v>
      </c>
      <c r="M39" s="77" t="s">
        <v>244</v>
      </c>
      <c r="N39" s="78">
        <f>F39*U39*1.1*12</f>
        <v>174240</v>
      </c>
      <c r="O39" s="73" t="s">
        <v>245</v>
      </c>
      <c r="P39" s="73" t="s">
        <v>246</v>
      </c>
      <c r="Q39" s="73" t="s">
        <v>247</v>
      </c>
      <c r="R39" s="73" t="s">
        <v>248</v>
      </c>
      <c r="S39" s="73" t="s">
        <v>249</v>
      </c>
      <c r="T39" s="73" t="s">
        <v>250</v>
      </c>
      <c r="U39" s="104">
        <v>2200</v>
      </c>
      <c r="V39" s="102">
        <f>SUM(AA39:AL39)</f>
        <v>59280</v>
      </c>
      <c r="AA39" s="102"/>
      <c r="AB39" s="102"/>
      <c r="AC39" s="102"/>
      <c r="AD39" s="102"/>
      <c r="AE39" s="102">
        <f t="shared" ref="AE39:AL39" si="11">3*2470</f>
        <v>7410</v>
      </c>
      <c r="AF39" s="102">
        <f t="shared" si="11"/>
        <v>7410</v>
      </c>
      <c r="AG39" s="102">
        <f t="shared" si="11"/>
        <v>7410</v>
      </c>
      <c r="AH39" s="102">
        <f t="shared" si="11"/>
        <v>7410</v>
      </c>
      <c r="AI39" s="102">
        <f t="shared" si="11"/>
        <v>7410</v>
      </c>
      <c r="AJ39" s="102">
        <f t="shared" si="11"/>
        <v>7410</v>
      </c>
      <c r="AK39" s="102">
        <f t="shared" si="11"/>
        <v>7410</v>
      </c>
      <c r="AL39" s="102">
        <f t="shared" si="11"/>
        <v>7410</v>
      </c>
    </row>
    <row r="40" spans="1:38">
      <c r="A40" s="46">
        <v>12</v>
      </c>
      <c r="B40" s="46" t="s">
        <v>71</v>
      </c>
      <c r="C40" s="46">
        <v>2026</v>
      </c>
      <c r="D40" s="46">
        <v>115</v>
      </c>
      <c r="E40" s="46">
        <v>110</v>
      </c>
      <c r="F40" s="46">
        <f>D40-E40</f>
        <v>5</v>
      </c>
      <c r="G40" s="48" t="s">
        <v>251</v>
      </c>
      <c r="H40" s="49">
        <v>108900</v>
      </c>
      <c r="I40" s="46" t="s">
        <v>4</v>
      </c>
      <c r="J40" s="77">
        <f>9/12</f>
        <v>0.75</v>
      </c>
      <c r="K40" s="77" t="s">
        <v>211</v>
      </c>
      <c r="L40" s="77" t="s">
        <v>212</v>
      </c>
      <c r="M40" s="77" t="s">
        <v>252</v>
      </c>
      <c r="N40" s="78">
        <f>F40*U39*1.1*9</f>
        <v>108900</v>
      </c>
      <c r="O40" s="79" t="s">
        <v>236</v>
      </c>
      <c r="P40" s="73">
        <v>1801</v>
      </c>
      <c r="Q40" s="105">
        <f>1035000/P40</f>
        <v>574.680732926152</v>
      </c>
      <c r="R40" s="106">
        <f>P40*U39/1035000</f>
        <v>3.82821256038647</v>
      </c>
      <c r="S40" s="107">
        <f>R40/U41*60</f>
        <v>17.4009661835749</v>
      </c>
      <c r="T40" s="73" t="s">
        <v>253</v>
      </c>
      <c r="U40" s="108">
        <v>1400</v>
      </c>
      <c r="V40" s="102">
        <f>SUM(AA40:AL40)</f>
        <v>123500</v>
      </c>
      <c r="AA40" s="102">
        <v>0</v>
      </c>
      <c r="AB40" s="102">
        <v>0</v>
      </c>
      <c r="AC40" s="102">
        <f>5*2470</f>
        <v>12350</v>
      </c>
      <c r="AD40" s="102">
        <f>AC40</f>
        <v>12350</v>
      </c>
      <c r="AE40" s="102">
        <f t="shared" si="10"/>
        <v>12350</v>
      </c>
      <c r="AF40" s="102">
        <f t="shared" si="10"/>
        <v>12350</v>
      </c>
      <c r="AG40" s="102">
        <f t="shared" si="10"/>
        <v>12350</v>
      </c>
      <c r="AH40" s="102">
        <f t="shared" si="10"/>
        <v>12350</v>
      </c>
      <c r="AI40" s="102">
        <f t="shared" si="10"/>
        <v>12350</v>
      </c>
      <c r="AJ40" s="102">
        <f t="shared" si="10"/>
        <v>12350</v>
      </c>
      <c r="AK40" s="102">
        <f t="shared" si="10"/>
        <v>12350</v>
      </c>
      <c r="AL40" s="102">
        <f t="shared" si="10"/>
        <v>12350</v>
      </c>
    </row>
    <row r="41" spans="1:38">
      <c r="A41" s="46">
        <v>13</v>
      </c>
      <c r="B41" s="46" t="s">
        <v>71</v>
      </c>
      <c r="C41" s="50">
        <v>45931</v>
      </c>
      <c r="D41" s="46">
        <v>0</v>
      </c>
      <c r="E41" s="46">
        <v>13</v>
      </c>
      <c r="F41" s="46"/>
      <c r="G41" s="51" t="s">
        <v>215</v>
      </c>
      <c r="H41" s="49">
        <v>26000</v>
      </c>
      <c r="I41" s="46" t="s">
        <v>2</v>
      </c>
      <c r="J41" s="77">
        <f t="shared" si="0"/>
        <v>1</v>
      </c>
      <c r="K41" s="77" t="s">
        <v>211</v>
      </c>
      <c r="L41" s="77" t="s">
        <v>212</v>
      </c>
      <c r="M41" s="80"/>
      <c r="N41" s="78">
        <f>E41*(U39-U40)*2.5</f>
        <v>26000</v>
      </c>
      <c r="O41" s="66">
        <v>2026</v>
      </c>
      <c r="P41" s="66">
        <v>1686</v>
      </c>
      <c r="Q41" s="109">
        <f>Q38/P41</f>
        <v>759.32325029656</v>
      </c>
      <c r="R41" s="106">
        <f>P41*2100/1280000</f>
        <v>2.76609375</v>
      </c>
      <c r="S41" s="107">
        <f>R41/U41*60</f>
        <v>12.5731534090909</v>
      </c>
      <c r="T41" s="66" t="s">
        <v>254</v>
      </c>
      <c r="U41" s="110">
        <f>U39*12/2000</f>
        <v>13.2</v>
      </c>
      <c r="V41" s="111">
        <f>SUM(AA42:AL42)</f>
        <v>99509.9999999999</v>
      </c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</row>
    <row r="42" spans="1:38">
      <c r="A42" s="46">
        <v>14</v>
      </c>
      <c r="B42" s="46" t="s">
        <v>71</v>
      </c>
      <c r="C42" s="46">
        <v>2026</v>
      </c>
      <c r="D42" s="46">
        <v>0</v>
      </c>
      <c r="E42" s="46">
        <v>13</v>
      </c>
      <c r="F42" s="46"/>
      <c r="G42" s="52"/>
      <c r="H42" s="49">
        <v>46800</v>
      </c>
      <c r="I42" s="46" t="s">
        <v>9</v>
      </c>
      <c r="J42" s="77">
        <f t="shared" si="0"/>
        <v>1</v>
      </c>
      <c r="K42" s="77" t="s">
        <v>211</v>
      </c>
      <c r="L42" s="77" t="s">
        <v>212</v>
      </c>
      <c r="M42" s="81"/>
      <c r="N42" s="78">
        <f>E42*(U39-U40)*4.5</f>
        <v>46800</v>
      </c>
      <c r="O42" s="66"/>
      <c r="P42" s="66"/>
      <c r="Q42" s="66"/>
      <c r="R42" s="106">
        <f>R40-R41</f>
        <v>1.06211881038647</v>
      </c>
      <c r="S42" s="107">
        <f>S40-S41</f>
        <v>4.82781277448397</v>
      </c>
      <c r="T42" s="66" t="s">
        <v>255</v>
      </c>
      <c r="U42" s="108">
        <v>3000</v>
      </c>
      <c r="V42" s="112"/>
      <c r="AA42" s="102">
        <f t="shared" ref="AA42:AL42" si="12">AQ17*($AM$23-$AL$24)</f>
        <v>22470</v>
      </c>
      <c r="AB42" s="102">
        <f t="shared" si="12"/>
        <v>22470</v>
      </c>
      <c r="AC42" s="102">
        <f t="shared" si="12"/>
        <v>22470</v>
      </c>
      <c r="AD42" s="102">
        <f t="shared" si="12"/>
        <v>0</v>
      </c>
      <c r="AE42" s="102">
        <f t="shared" si="12"/>
        <v>0</v>
      </c>
      <c r="AF42" s="102">
        <f t="shared" si="12"/>
        <v>0</v>
      </c>
      <c r="AG42" s="102">
        <f t="shared" si="12"/>
        <v>0</v>
      </c>
      <c r="AH42" s="102">
        <f t="shared" si="12"/>
        <v>534.999999999996</v>
      </c>
      <c r="AI42" s="102">
        <f t="shared" si="12"/>
        <v>534.999999999996</v>
      </c>
      <c r="AJ42" s="102">
        <f t="shared" si="12"/>
        <v>1069.99999999997</v>
      </c>
      <c r="AK42" s="102">
        <f t="shared" si="12"/>
        <v>14980</v>
      </c>
      <c r="AL42" s="102">
        <f t="shared" si="12"/>
        <v>14980</v>
      </c>
    </row>
    <row r="43" spans="1:38">
      <c r="A43" s="46">
        <v>15</v>
      </c>
      <c r="B43" s="46" t="s">
        <v>71</v>
      </c>
      <c r="C43" s="46">
        <v>2026</v>
      </c>
      <c r="D43" s="46">
        <v>0</v>
      </c>
      <c r="E43" s="46">
        <v>6</v>
      </c>
      <c r="F43" s="46"/>
      <c r="G43" s="53"/>
      <c r="H43" s="49">
        <v>14400</v>
      </c>
      <c r="I43" s="46" t="s">
        <v>11</v>
      </c>
      <c r="J43" s="77">
        <f t="shared" si="0"/>
        <v>1</v>
      </c>
      <c r="K43" s="77" t="s">
        <v>211</v>
      </c>
      <c r="L43" s="77" t="s">
        <v>212</v>
      </c>
      <c r="M43" s="82"/>
      <c r="N43" s="78">
        <f>E43*(U39-U40)*3</f>
        <v>14400</v>
      </c>
      <c r="O43" s="66"/>
      <c r="P43" s="66"/>
      <c r="Q43" s="79" t="s">
        <v>256</v>
      </c>
      <c r="R43" s="108">
        <f>R42*1280000</f>
        <v>1359512.07729469</v>
      </c>
      <c r="S43" s="113">
        <f>S42/S40</f>
        <v>0.277445098367069</v>
      </c>
      <c r="T43" s="66"/>
      <c r="U43" s="66"/>
      <c r="V43" s="114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</row>
    <row r="44" spans="1:38">
      <c r="A44" s="46">
        <v>17</v>
      </c>
      <c r="B44" s="46" t="s">
        <v>71</v>
      </c>
      <c r="C44" s="46">
        <v>2026</v>
      </c>
      <c r="D44" s="46"/>
      <c r="E44" s="46"/>
      <c r="F44" s="46"/>
      <c r="G44" s="48" t="s">
        <v>257</v>
      </c>
      <c r="H44" s="49">
        <v>29040</v>
      </c>
      <c r="I44" s="46" t="s">
        <v>8</v>
      </c>
      <c r="J44" s="77">
        <f>6/12</f>
        <v>0.5</v>
      </c>
      <c r="K44" s="77" t="s">
        <v>211</v>
      </c>
      <c r="L44" s="77" t="s">
        <v>212</v>
      </c>
      <c r="M44" s="77" t="s">
        <v>258</v>
      </c>
      <c r="N44" s="78">
        <f>U39*2*6*1.1</f>
        <v>29040</v>
      </c>
      <c r="O44" s="66"/>
      <c r="P44" s="66"/>
      <c r="Q44" s="79" t="s">
        <v>259</v>
      </c>
      <c r="R44" s="107">
        <f>R43/12/2100</f>
        <v>53.9488919561383</v>
      </c>
      <c r="S44" s="66"/>
      <c r="T44" s="66"/>
      <c r="U44" s="66"/>
      <c r="V44" s="102">
        <f>SUM(AA44:AL44)</f>
        <v>29640</v>
      </c>
      <c r="AA44" s="102"/>
      <c r="AB44" s="102"/>
      <c r="AC44" s="102"/>
      <c r="AD44" s="102"/>
      <c r="AE44" s="102"/>
      <c r="AF44" s="102"/>
      <c r="AG44" s="102">
        <f>2*2470</f>
        <v>4940</v>
      </c>
      <c r="AH44" s="102">
        <f>AG44</f>
        <v>4940</v>
      </c>
      <c r="AI44" s="102">
        <f>AH44</f>
        <v>4940</v>
      </c>
      <c r="AJ44" s="102">
        <f>AI44</f>
        <v>4940</v>
      </c>
      <c r="AK44" s="102">
        <f>AJ44</f>
        <v>4940</v>
      </c>
      <c r="AL44" s="102">
        <f>AK44</f>
        <v>4940</v>
      </c>
    </row>
    <row r="45" spans="12:22">
      <c r="L45" s="81" t="s">
        <v>260</v>
      </c>
      <c r="M45" s="75" t="s">
        <v>261</v>
      </c>
      <c r="N45" s="83">
        <f>SUM(N37:N44)</f>
        <v>573620</v>
      </c>
      <c r="O45" s="66"/>
      <c r="P45" s="66"/>
      <c r="Q45" s="79"/>
      <c r="R45" s="107"/>
      <c r="S45" s="66"/>
      <c r="T45" s="66"/>
      <c r="U45" s="66"/>
      <c r="V45" s="101">
        <f>SUM(V37:V44)</f>
        <v>489804.56</v>
      </c>
    </row>
    <row r="46" spans="22:26">
      <c r="V46" s="101"/>
      <c r="Z46" s="118"/>
    </row>
    <row r="47" spans="22:22">
      <c r="V47" s="101"/>
    </row>
    <row r="48" spans="22:26">
      <c r="V48" s="101"/>
      <c r="Z48" s="118"/>
    </row>
    <row r="49" spans="22:22">
      <c r="V49" s="101"/>
    </row>
    <row r="50" spans="22:27">
      <c r="V50" s="101"/>
      <c r="Y50" s="118"/>
      <c r="AA50" s="120"/>
    </row>
    <row r="51" spans="1:38">
      <c r="A51" s="54">
        <v>18</v>
      </c>
      <c r="B51" s="54" t="s">
        <v>262</v>
      </c>
      <c r="C51" s="54" t="s">
        <v>236</v>
      </c>
      <c r="D51" s="54">
        <v>38</v>
      </c>
      <c r="E51" s="54">
        <v>34</v>
      </c>
      <c r="F51" s="54">
        <f>D51-E51</f>
        <v>4</v>
      </c>
      <c r="G51" s="55" t="s">
        <v>263</v>
      </c>
      <c r="H51" s="56">
        <v>158400</v>
      </c>
      <c r="I51" s="54" t="s">
        <v>2</v>
      </c>
      <c r="J51" s="84">
        <f t="shared" si="0"/>
        <v>1</v>
      </c>
      <c r="K51" s="84" t="s">
        <v>264</v>
      </c>
      <c r="L51" s="84" t="s">
        <v>265</v>
      </c>
      <c r="M51" s="84" t="s">
        <v>266</v>
      </c>
      <c r="N51" s="85">
        <f>F51*U42*12*1.1</f>
        <v>158400</v>
      </c>
      <c r="V51" s="115">
        <f>SUM(AA51:AL51)</f>
        <v>144000</v>
      </c>
      <c r="AA51" s="115">
        <f>4*3000</f>
        <v>12000</v>
      </c>
      <c r="AB51" s="115">
        <f t="shared" ref="AB51:AL51" si="13">4*3000</f>
        <v>12000</v>
      </c>
      <c r="AC51" s="115">
        <f t="shared" si="13"/>
        <v>12000</v>
      </c>
      <c r="AD51" s="115">
        <f t="shared" si="13"/>
        <v>12000</v>
      </c>
      <c r="AE51" s="115">
        <f t="shared" si="13"/>
        <v>12000</v>
      </c>
      <c r="AF51" s="115">
        <f t="shared" si="13"/>
        <v>12000</v>
      </c>
      <c r="AG51" s="115">
        <f t="shared" si="13"/>
        <v>12000</v>
      </c>
      <c r="AH51" s="115">
        <f t="shared" si="13"/>
        <v>12000</v>
      </c>
      <c r="AI51" s="115">
        <f t="shared" si="13"/>
        <v>12000</v>
      </c>
      <c r="AJ51" s="115">
        <f t="shared" si="13"/>
        <v>12000</v>
      </c>
      <c r="AK51" s="115">
        <f t="shared" si="13"/>
        <v>12000</v>
      </c>
      <c r="AL51" s="115">
        <f t="shared" si="13"/>
        <v>12000</v>
      </c>
    </row>
    <row r="52" ht="18.6" customHeight="1" spans="1:38">
      <c r="A52" s="54">
        <v>19</v>
      </c>
      <c r="B52" s="54" t="s">
        <v>267</v>
      </c>
      <c r="C52" s="57">
        <v>45901</v>
      </c>
      <c r="D52" s="54">
        <v>34</v>
      </c>
      <c r="E52" s="54">
        <v>33</v>
      </c>
      <c r="F52" s="54">
        <f>D52-E52</f>
        <v>1</v>
      </c>
      <c r="G52" s="55" t="s">
        <v>268</v>
      </c>
      <c r="H52" s="56">
        <v>39600</v>
      </c>
      <c r="I52" s="54" t="s">
        <v>2</v>
      </c>
      <c r="J52" s="84">
        <f t="shared" si="0"/>
        <v>1</v>
      </c>
      <c r="K52" s="84" t="s">
        <v>264</v>
      </c>
      <c r="L52" s="84" t="s">
        <v>265</v>
      </c>
      <c r="M52" s="84" t="s">
        <v>269</v>
      </c>
      <c r="N52" s="85">
        <f>F52*U42*12*1.1</f>
        <v>39600</v>
      </c>
      <c r="V52" s="115">
        <f>SUM(AA52:AL52)</f>
        <v>36000</v>
      </c>
      <c r="AA52" s="115">
        <f>1*3000</f>
        <v>3000</v>
      </c>
      <c r="AB52" s="115">
        <f t="shared" ref="AB52:AL52" si="14">1*3000</f>
        <v>3000</v>
      </c>
      <c r="AC52" s="115">
        <f t="shared" si="14"/>
        <v>3000</v>
      </c>
      <c r="AD52" s="115">
        <f t="shared" si="14"/>
        <v>3000</v>
      </c>
      <c r="AE52" s="115">
        <f t="shared" si="14"/>
        <v>3000</v>
      </c>
      <c r="AF52" s="115">
        <f t="shared" si="14"/>
        <v>3000</v>
      </c>
      <c r="AG52" s="115">
        <f t="shared" si="14"/>
        <v>3000</v>
      </c>
      <c r="AH52" s="115">
        <f t="shared" si="14"/>
        <v>3000</v>
      </c>
      <c r="AI52" s="115">
        <f t="shared" si="14"/>
        <v>3000</v>
      </c>
      <c r="AJ52" s="115">
        <f t="shared" si="14"/>
        <v>3000</v>
      </c>
      <c r="AK52" s="115">
        <f t="shared" si="14"/>
        <v>3000</v>
      </c>
      <c r="AL52" s="115">
        <f t="shared" si="14"/>
        <v>3000</v>
      </c>
    </row>
    <row r="53" spans="1:38">
      <c r="A53" s="54">
        <v>20</v>
      </c>
      <c r="B53" s="54" t="s">
        <v>270</v>
      </c>
      <c r="C53" s="54">
        <v>2026</v>
      </c>
      <c r="D53" s="54"/>
      <c r="E53" s="54"/>
      <c r="F53" s="54"/>
      <c r="G53" s="55" t="s">
        <v>271</v>
      </c>
      <c r="H53" s="56">
        <v>10000</v>
      </c>
      <c r="I53" s="54" t="s">
        <v>2</v>
      </c>
      <c r="J53" s="84">
        <f t="shared" si="0"/>
        <v>1</v>
      </c>
      <c r="K53" s="84" t="s">
        <v>211</v>
      </c>
      <c r="L53" s="84" t="s">
        <v>212</v>
      </c>
      <c r="M53" s="84" t="s">
        <v>272</v>
      </c>
      <c r="N53" s="85">
        <f>H53</f>
        <v>10000</v>
      </c>
      <c r="V53" s="115">
        <v>10000</v>
      </c>
      <c r="AA53" s="115">
        <f>V53/12</f>
        <v>833.333333333333</v>
      </c>
      <c r="AB53" s="115">
        <f>$AA53</f>
        <v>833.333333333333</v>
      </c>
      <c r="AC53" s="115">
        <f t="shared" ref="AC53:AL53" si="15">$AA53</f>
        <v>833.333333333333</v>
      </c>
      <c r="AD53" s="115">
        <f t="shared" si="15"/>
        <v>833.333333333333</v>
      </c>
      <c r="AE53" s="115">
        <f t="shared" si="15"/>
        <v>833.333333333333</v>
      </c>
      <c r="AF53" s="115">
        <f t="shared" si="15"/>
        <v>833.333333333333</v>
      </c>
      <c r="AG53" s="115">
        <f t="shared" si="15"/>
        <v>833.333333333333</v>
      </c>
      <c r="AH53" s="115">
        <f t="shared" si="15"/>
        <v>833.333333333333</v>
      </c>
      <c r="AI53" s="115">
        <f t="shared" si="15"/>
        <v>833.333333333333</v>
      </c>
      <c r="AJ53" s="115">
        <f t="shared" si="15"/>
        <v>833.333333333333</v>
      </c>
      <c r="AK53" s="115">
        <f t="shared" si="15"/>
        <v>833.333333333333</v>
      </c>
      <c r="AL53" s="115">
        <f t="shared" si="15"/>
        <v>833.333333333333</v>
      </c>
    </row>
    <row r="54" spans="1:38">
      <c r="A54" s="54">
        <v>21</v>
      </c>
      <c r="B54" s="54" t="s">
        <v>103</v>
      </c>
      <c r="C54" s="54">
        <v>2026</v>
      </c>
      <c r="D54" s="54"/>
      <c r="E54" s="54"/>
      <c r="F54" s="54"/>
      <c r="G54" s="55" t="s">
        <v>273</v>
      </c>
      <c r="H54" s="56">
        <v>10000</v>
      </c>
      <c r="I54" s="54" t="s">
        <v>2</v>
      </c>
      <c r="J54" s="84">
        <f t="shared" si="0"/>
        <v>1</v>
      </c>
      <c r="K54" s="84" t="s">
        <v>274</v>
      </c>
      <c r="L54" s="84" t="s">
        <v>275</v>
      </c>
      <c r="M54" s="84" t="s">
        <v>272</v>
      </c>
      <c r="N54" s="85">
        <f>H54</f>
        <v>10000</v>
      </c>
      <c r="V54" s="115">
        <v>10000</v>
      </c>
      <c r="AA54" s="115">
        <f t="shared" ref="AA54:AA56" si="16">V54/12</f>
        <v>833.333333333333</v>
      </c>
      <c r="AB54" s="115">
        <f t="shared" ref="AB54:AL56" si="17">$AA54</f>
        <v>833.333333333333</v>
      </c>
      <c r="AC54" s="115">
        <f t="shared" si="17"/>
        <v>833.333333333333</v>
      </c>
      <c r="AD54" s="115">
        <f t="shared" si="17"/>
        <v>833.333333333333</v>
      </c>
      <c r="AE54" s="115">
        <f t="shared" si="17"/>
        <v>833.333333333333</v>
      </c>
      <c r="AF54" s="115">
        <f t="shared" si="17"/>
        <v>833.333333333333</v>
      </c>
      <c r="AG54" s="115">
        <f t="shared" si="17"/>
        <v>833.333333333333</v>
      </c>
      <c r="AH54" s="115">
        <f t="shared" si="17"/>
        <v>833.333333333333</v>
      </c>
      <c r="AI54" s="115">
        <f t="shared" si="17"/>
        <v>833.333333333333</v>
      </c>
      <c r="AJ54" s="115">
        <f t="shared" si="17"/>
        <v>833.333333333333</v>
      </c>
      <c r="AK54" s="115">
        <f t="shared" si="17"/>
        <v>833.333333333333</v>
      </c>
      <c r="AL54" s="115">
        <f t="shared" si="17"/>
        <v>833.333333333333</v>
      </c>
    </row>
    <row r="55" spans="1:38">
      <c r="A55" s="54">
        <v>22</v>
      </c>
      <c r="B55" s="54" t="s">
        <v>276</v>
      </c>
      <c r="C55" s="54">
        <v>2026</v>
      </c>
      <c r="D55" s="54"/>
      <c r="E55" s="54"/>
      <c r="F55" s="54"/>
      <c r="G55" s="55" t="s">
        <v>277</v>
      </c>
      <c r="H55" s="56">
        <v>10000</v>
      </c>
      <c r="I55" s="54" t="s">
        <v>2</v>
      </c>
      <c r="J55" s="84">
        <f t="shared" si="0"/>
        <v>1</v>
      </c>
      <c r="K55" s="84" t="s">
        <v>274</v>
      </c>
      <c r="L55" s="84" t="s">
        <v>275</v>
      </c>
      <c r="M55" s="84" t="s">
        <v>272</v>
      </c>
      <c r="N55" s="85">
        <f>H55</f>
        <v>10000</v>
      </c>
      <c r="V55" s="115">
        <v>10000</v>
      </c>
      <c r="AA55" s="115">
        <f t="shared" si="16"/>
        <v>833.333333333333</v>
      </c>
      <c r="AB55" s="115">
        <f t="shared" si="17"/>
        <v>833.333333333333</v>
      </c>
      <c r="AC55" s="115">
        <f t="shared" si="17"/>
        <v>833.333333333333</v>
      </c>
      <c r="AD55" s="115">
        <f t="shared" si="17"/>
        <v>833.333333333333</v>
      </c>
      <c r="AE55" s="115">
        <f t="shared" si="17"/>
        <v>833.333333333333</v>
      </c>
      <c r="AF55" s="115">
        <f t="shared" si="17"/>
        <v>833.333333333333</v>
      </c>
      <c r="AG55" s="115">
        <f t="shared" si="17"/>
        <v>833.333333333333</v>
      </c>
      <c r="AH55" s="115">
        <f t="shared" si="17"/>
        <v>833.333333333333</v>
      </c>
      <c r="AI55" s="115">
        <f t="shared" si="17"/>
        <v>833.333333333333</v>
      </c>
      <c r="AJ55" s="115">
        <f t="shared" si="17"/>
        <v>833.333333333333</v>
      </c>
      <c r="AK55" s="115">
        <f t="shared" si="17"/>
        <v>833.333333333333</v>
      </c>
      <c r="AL55" s="115">
        <f t="shared" si="17"/>
        <v>833.333333333333</v>
      </c>
    </row>
    <row r="56" spans="1:38">
      <c r="A56" s="54">
        <v>23</v>
      </c>
      <c r="B56" s="54" t="s">
        <v>278</v>
      </c>
      <c r="C56" s="54">
        <v>2026</v>
      </c>
      <c r="D56" s="54"/>
      <c r="E56" s="54"/>
      <c r="F56" s="54"/>
      <c r="G56" s="55" t="s">
        <v>279</v>
      </c>
      <c r="H56" s="56">
        <v>20000</v>
      </c>
      <c r="I56" s="54" t="s">
        <v>2</v>
      </c>
      <c r="J56" s="84">
        <f t="shared" si="0"/>
        <v>1</v>
      </c>
      <c r="K56" s="84" t="s">
        <v>280</v>
      </c>
      <c r="L56" s="84" t="s">
        <v>281</v>
      </c>
      <c r="M56" s="84" t="s">
        <v>272</v>
      </c>
      <c r="N56" s="85">
        <f>H56</f>
        <v>20000</v>
      </c>
      <c r="V56" s="115">
        <v>20000</v>
      </c>
      <c r="AA56" s="115">
        <f t="shared" si="16"/>
        <v>1666.66666666667</v>
      </c>
      <c r="AB56" s="115">
        <f t="shared" si="17"/>
        <v>1666.66666666667</v>
      </c>
      <c r="AC56" s="115">
        <f t="shared" si="17"/>
        <v>1666.66666666667</v>
      </c>
      <c r="AD56" s="115">
        <f t="shared" si="17"/>
        <v>1666.66666666667</v>
      </c>
      <c r="AE56" s="115">
        <f t="shared" si="17"/>
        <v>1666.66666666667</v>
      </c>
      <c r="AF56" s="115">
        <f t="shared" si="17"/>
        <v>1666.66666666667</v>
      </c>
      <c r="AG56" s="115">
        <f t="shared" si="17"/>
        <v>1666.66666666667</v>
      </c>
      <c r="AH56" s="115">
        <f t="shared" si="17"/>
        <v>1666.66666666667</v>
      </c>
      <c r="AI56" s="115">
        <f t="shared" si="17"/>
        <v>1666.66666666667</v>
      </c>
      <c r="AJ56" s="115">
        <f t="shared" si="17"/>
        <v>1666.66666666667</v>
      </c>
      <c r="AK56" s="115">
        <f t="shared" si="17"/>
        <v>1666.66666666667</v>
      </c>
      <c r="AL56" s="115">
        <f t="shared" si="17"/>
        <v>1666.66666666667</v>
      </c>
    </row>
    <row r="57" spans="22:22">
      <c r="V57" s="116"/>
    </row>
    <row r="58" spans="12:22">
      <c r="L58" s="86" t="s">
        <v>282</v>
      </c>
      <c r="M58" s="75" t="s">
        <v>283</v>
      </c>
      <c r="N58" s="83">
        <f>SUM(N51:N57)</f>
        <v>248000</v>
      </c>
      <c r="V58" s="116">
        <f>SUM(V51:V56)</f>
        <v>230000</v>
      </c>
    </row>
    <row r="59" spans="13:22">
      <c r="M59" s="44"/>
      <c r="N59" s="87"/>
      <c r="V59" s="116"/>
    </row>
    <row r="60" spans="22:22">
      <c r="V60" s="116"/>
    </row>
    <row r="61" spans="22:22">
      <c r="V61" s="116"/>
    </row>
    <row r="62" spans="22:22">
      <c r="V62" s="116"/>
    </row>
    <row r="63" spans="22:22">
      <c r="V63" s="116"/>
    </row>
    <row r="64" spans="1:38">
      <c r="A64" s="58">
        <v>24</v>
      </c>
      <c r="B64" s="58" t="s">
        <v>284</v>
      </c>
      <c r="C64" s="58">
        <v>2026</v>
      </c>
      <c r="D64" s="58"/>
      <c r="E64" s="58"/>
      <c r="F64" s="58"/>
      <c r="G64" s="59" t="s">
        <v>137</v>
      </c>
      <c r="H64" s="60">
        <v>50000</v>
      </c>
      <c r="I64" s="58" t="s">
        <v>2</v>
      </c>
      <c r="J64" s="88">
        <f t="shared" ref="J64:J69" si="18">12/12</f>
        <v>1</v>
      </c>
      <c r="K64" s="88" t="s">
        <v>285</v>
      </c>
      <c r="L64" s="88" t="s">
        <v>286</v>
      </c>
      <c r="M64" s="88" t="s">
        <v>272</v>
      </c>
      <c r="N64" s="89">
        <f>H64</f>
        <v>50000</v>
      </c>
      <c r="V64" s="117">
        <f t="shared" ref="V64" si="19">SUM(AA64:AL64)</f>
        <v>50000</v>
      </c>
      <c r="AA64" s="117"/>
      <c r="AB64" s="117"/>
      <c r="AC64" s="117"/>
      <c r="AD64" s="117"/>
      <c r="AE64" s="117"/>
      <c r="AF64" s="117"/>
      <c r="AG64" s="117">
        <v>50000</v>
      </c>
      <c r="AH64" s="117"/>
      <c r="AI64" s="117"/>
      <c r="AJ64" s="117"/>
      <c r="AK64" s="117"/>
      <c r="AL64" s="117"/>
    </row>
    <row r="65" spans="1:38">
      <c r="A65" s="58">
        <v>25</v>
      </c>
      <c r="B65" s="58" t="s">
        <v>47</v>
      </c>
      <c r="C65" s="58">
        <v>2026</v>
      </c>
      <c r="D65" s="58"/>
      <c r="E65" s="58"/>
      <c r="F65" s="58"/>
      <c r="G65" s="59" t="s">
        <v>287</v>
      </c>
      <c r="H65" s="60">
        <v>160600</v>
      </c>
      <c r="I65" s="58" t="s">
        <v>2</v>
      </c>
      <c r="J65" s="88">
        <f t="shared" si="18"/>
        <v>1</v>
      </c>
      <c r="K65" s="88" t="s">
        <v>288</v>
      </c>
      <c r="L65" s="88" t="s">
        <v>289</v>
      </c>
      <c r="M65" s="88" t="s">
        <v>290</v>
      </c>
      <c r="N65" s="89">
        <f>H65</f>
        <v>160600</v>
      </c>
      <c r="V65" s="117">
        <v>160000</v>
      </c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>
        <v>160000</v>
      </c>
    </row>
    <row r="66" hidden="1" spans="1:22">
      <c r="A66" s="58">
        <v>26</v>
      </c>
      <c r="B66" s="58" t="s">
        <v>291</v>
      </c>
      <c r="C66" s="58">
        <v>2026</v>
      </c>
      <c r="D66" s="121"/>
      <c r="E66" s="121"/>
      <c r="F66" s="58"/>
      <c r="G66" s="59" t="s">
        <v>292</v>
      </c>
      <c r="H66" s="60">
        <v>10000</v>
      </c>
      <c r="I66" s="58" t="s">
        <v>4</v>
      </c>
      <c r="J66" s="88">
        <f>9/12</f>
        <v>0.75</v>
      </c>
      <c r="K66" s="88" t="s">
        <v>211</v>
      </c>
      <c r="L66" s="88" t="s">
        <v>212</v>
      </c>
      <c r="M66" s="88" t="s">
        <v>293</v>
      </c>
      <c r="N66" s="123">
        <f>H66</f>
        <v>10000</v>
      </c>
      <c r="V66" s="116"/>
    </row>
    <row r="67" hidden="1" spans="1:22">
      <c r="A67" s="58">
        <v>27</v>
      </c>
      <c r="B67" s="58" t="s">
        <v>294</v>
      </c>
      <c r="C67" s="58">
        <v>2026</v>
      </c>
      <c r="D67" s="121"/>
      <c r="E67" s="121"/>
      <c r="F67" s="58"/>
      <c r="G67" s="59" t="s">
        <v>295</v>
      </c>
      <c r="H67" s="60">
        <v>500000</v>
      </c>
      <c r="I67" s="58" t="s">
        <v>2</v>
      </c>
      <c r="J67" s="88">
        <f t="shared" si="18"/>
        <v>1</v>
      </c>
      <c r="K67" s="88" t="s">
        <v>211</v>
      </c>
      <c r="L67" s="88" t="s">
        <v>212</v>
      </c>
      <c r="M67" s="88" t="s">
        <v>293</v>
      </c>
      <c r="N67" s="123">
        <f>H67</f>
        <v>500000</v>
      </c>
      <c r="V67" s="116"/>
    </row>
    <row r="68" hidden="1" spans="1:22">
      <c r="A68" s="58">
        <v>28</v>
      </c>
      <c r="B68" s="58" t="s">
        <v>294</v>
      </c>
      <c r="C68" s="58">
        <v>2026</v>
      </c>
      <c r="D68" s="121"/>
      <c r="E68" s="121"/>
      <c r="F68" s="58"/>
      <c r="G68" s="59" t="s">
        <v>296</v>
      </c>
      <c r="H68" s="60">
        <v>80000</v>
      </c>
      <c r="I68" s="58" t="s">
        <v>2</v>
      </c>
      <c r="J68" s="88">
        <f t="shared" si="18"/>
        <v>1</v>
      </c>
      <c r="K68" s="88" t="s">
        <v>211</v>
      </c>
      <c r="L68" s="88" t="s">
        <v>212</v>
      </c>
      <c r="M68" s="88" t="s">
        <v>297</v>
      </c>
      <c r="N68" s="123">
        <f>H68</f>
        <v>80000</v>
      </c>
      <c r="V68" s="116"/>
    </row>
    <row r="69" hidden="1" spans="1:22">
      <c r="A69" s="58">
        <v>29</v>
      </c>
      <c r="B69" s="58" t="s">
        <v>298</v>
      </c>
      <c r="C69" s="58">
        <v>2026</v>
      </c>
      <c r="D69" s="121">
        <v>17.4009661835749</v>
      </c>
      <c r="E69" s="121">
        <v>12.5731534090909</v>
      </c>
      <c r="F69" s="58"/>
      <c r="G69" s="59" t="s">
        <v>299</v>
      </c>
      <c r="H69" s="60">
        <v>1359512.07729469</v>
      </c>
      <c r="I69" s="58" t="s">
        <v>2</v>
      </c>
      <c r="J69" s="88">
        <f t="shared" si="18"/>
        <v>1</v>
      </c>
      <c r="K69" s="88" t="s">
        <v>211</v>
      </c>
      <c r="L69" s="88" t="s">
        <v>212</v>
      </c>
      <c r="M69" s="88" t="s">
        <v>300</v>
      </c>
      <c r="N69" s="89">
        <f>(D69-E69)/60*Q38*U41</f>
        <v>1359744.68131416</v>
      </c>
      <c r="V69" s="116"/>
    </row>
    <row r="70" hidden="1" spans="13:22">
      <c r="M70" s="75" t="s">
        <v>301</v>
      </c>
      <c r="N70" s="83">
        <f>SUM(N64:N69)</f>
        <v>2160344.68131416</v>
      </c>
      <c r="V70" s="116"/>
    </row>
    <row r="71" hidden="1" spans="22:22">
      <c r="V71" s="116"/>
    </row>
    <row r="72" hidden="1" spans="22:22">
      <c r="V72" s="116"/>
    </row>
    <row r="73" hidden="1" spans="1:22">
      <c r="A73" s="31">
        <v>5</v>
      </c>
      <c r="B73" s="31" t="s">
        <v>51</v>
      </c>
      <c r="C73" s="31">
        <v>2026</v>
      </c>
      <c r="D73" s="31"/>
      <c r="E73" s="31"/>
      <c r="F73" s="31"/>
      <c r="G73" s="40" t="s">
        <v>219</v>
      </c>
      <c r="H73" s="37">
        <v>36435.05</v>
      </c>
      <c r="I73" s="31" t="s">
        <v>11</v>
      </c>
      <c r="J73" s="68">
        <f>3/12</f>
        <v>0.25</v>
      </c>
      <c r="K73" s="68" t="s">
        <v>211</v>
      </c>
      <c r="L73" s="68" t="s">
        <v>212</v>
      </c>
      <c r="M73" s="68" t="s">
        <v>220</v>
      </c>
      <c r="N73" s="69">
        <f>(12186*U84+(2257*5)-26400)*0.25</f>
        <v>-3778.75</v>
      </c>
      <c r="O73" s="66"/>
      <c r="P73" s="73" t="s">
        <v>221</v>
      </c>
      <c r="Q73" s="99">
        <v>753178</v>
      </c>
      <c r="R73" s="93"/>
      <c r="S73" s="94">
        <f>R73/60</f>
        <v>0</v>
      </c>
      <c r="T73" s="66"/>
      <c r="U73" s="66"/>
      <c r="V73" s="116">
        <f>2257*5*0.25</f>
        <v>2821.25</v>
      </c>
    </row>
    <row r="74" hidden="1" spans="1:22">
      <c r="A74" s="31">
        <v>6</v>
      </c>
      <c r="B74" s="31" t="s">
        <v>51</v>
      </c>
      <c r="C74" s="31">
        <v>2026</v>
      </c>
      <c r="D74" s="31"/>
      <c r="E74" s="31"/>
      <c r="F74" s="31"/>
      <c r="G74" s="40" t="s">
        <v>222</v>
      </c>
      <c r="H74" s="37">
        <v>51733.7</v>
      </c>
      <c r="I74" s="31" t="s">
        <v>11</v>
      </c>
      <c r="J74" s="68">
        <f>3/12</f>
        <v>0.25</v>
      </c>
      <c r="K74" s="68" t="s">
        <v>211</v>
      </c>
      <c r="L74" s="68" t="s">
        <v>212</v>
      </c>
      <c r="M74" s="68" t="s">
        <v>223</v>
      </c>
      <c r="N74" s="69">
        <f>(18309*U84+(2257*8)-(26400*2))*0.25</f>
        <v>-8686</v>
      </c>
      <c r="O74" s="66"/>
      <c r="P74" s="66" t="s">
        <v>224</v>
      </c>
      <c r="Q74" s="92">
        <f>287031+10926</f>
        <v>297957</v>
      </c>
      <c r="R74" s="93">
        <v>17.76</v>
      </c>
      <c r="S74" s="94">
        <f>R74/60</f>
        <v>0.296</v>
      </c>
      <c r="T74" s="66"/>
      <c r="U74" s="66"/>
      <c r="V74" s="116">
        <f>2257*2*0.25</f>
        <v>1128.5</v>
      </c>
    </row>
    <row r="75" ht="27.6" hidden="1" spans="1:25">
      <c r="A75" s="31">
        <v>7</v>
      </c>
      <c r="B75" s="31" t="s">
        <v>51</v>
      </c>
      <c r="C75" s="31">
        <v>2026</v>
      </c>
      <c r="D75" s="31"/>
      <c r="E75" s="31"/>
      <c r="F75" s="31"/>
      <c r="G75" s="40" t="s">
        <v>225</v>
      </c>
      <c r="H75" s="41">
        <v>30544.7</v>
      </c>
      <c r="I75" s="31" t="s">
        <v>8</v>
      </c>
      <c r="J75" s="68">
        <f>6/12</f>
        <v>0.5</v>
      </c>
      <c r="K75" s="68" t="s">
        <v>211</v>
      </c>
      <c r="L75" s="68" t="s">
        <v>212</v>
      </c>
      <c r="M75" s="68" t="s">
        <v>226</v>
      </c>
      <c r="N75" s="69">
        <f>(4457*U84+(2257*1))/2</f>
        <v>1128.5</v>
      </c>
      <c r="O75" s="66"/>
      <c r="P75" s="66" t="s">
        <v>227</v>
      </c>
      <c r="Q75" s="92">
        <v>27951</v>
      </c>
      <c r="R75" s="93">
        <v>27.59</v>
      </c>
      <c r="S75" s="94">
        <f>R75/60</f>
        <v>0.459833333333333</v>
      </c>
      <c r="T75" s="66"/>
      <c r="U75" s="66"/>
      <c r="V75" s="116">
        <f>2257*1*0.5</f>
        <v>1128.5</v>
      </c>
      <c r="W75" s="11">
        <f>2531-2497</f>
        <v>34</v>
      </c>
      <c r="X75" s="11">
        <f>11671*0.006</f>
        <v>70.026</v>
      </c>
      <c r="Y75" s="11">
        <f>2497+70</f>
        <v>2567</v>
      </c>
    </row>
    <row r="76" hidden="1" spans="1:22">
      <c r="A76" s="31">
        <v>8</v>
      </c>
      <c r="B76" s="31" t="s">
        <v>51</v>
      </c>
      <c r="C76" s="31">
        <v>2026</v>
      </c>
      <c r="D76" s="31"/>
      <c r="E76" s="31"/>
      <c r="F76" s="31"/>
      <c r="G76" s="40" t="s">
        <v>228</v>
      </c>
      <c r="H76" s="37">
        <v>37705.5</v>
      </c>
      <c r="I76" s="31" t="s">
        <v>8</v>
      </c>
      <c r="J76" s="68">
        <f>6/12</f>
        <v>0.5</v>
      </c>
      <c r="K76" s="68" t="s">
        <v>211</v>
      </c>
      <c r="L76" s="68" t="s">
        <v>212</v>
      </c>
      <c r="M76" s="68" t="s">
        <v>229</v>
      </c>
      <c r="N76" s="69">
        <f>(5200*U84+(2257*3))/2</f>
        <v>3385.5</v>
      </c>
      <c r="O76" s="66"/>
      <c r="P76" s="66" t="s">
        <v>230</v>
      </c>
      <c r="Q76" s="92">
        <v>149249</v>
      </c>
      <c r="R76" s="93">
        <v>11.13</v>
      </c>
      <c r="S76" s="94">
        <f>R76/60</f>
        <v>0.1855</v>
      </c>
      <c r="T76" s="66"/>
      <c r="U76" s="66"/>
      <c r="V76" s="116">
        <f>2257*3*0.5</f>
        <v>3385.5</v>
      </c>
    </row>
    <row r="77" spans="8:22">
      <c r="H77" s="122"/>
      <c r="L77" s="124" t="s">
        <v>302</v>
      </c>
      <c r="V77" s="118">
        <f>SUM(V64,V65)</f>
        <v>210000</v>
      </c>
    </row>
    <row r="78" ht="18.6" customHeight="1" spans="8:8">
      <c r="H78" s="122"/>
    </row>
    <row r="79" ht="18.6" customHeight="1" spans="8:8">
      <c r="H79" s="122"/>
    </row>
    <row r="80" ht="18.6" customHeight="1" spans="8:8">
      <c r="H80" s="122"/>
    </row>
    <row r="81" ht="18.6" customHeight="1" spans="8:8">
      <c r="H81" s="122"/>
    </row>
    <row r="82" spans="8:8">
      <c r="H82" s="122"/>
    </row>
  </sheetData>
  <mergeCells count="22">
    <mergeCell ref="D7:F7"/>
    <mergeCell ref="A23:J23"/>
    <mergeCell ref="O23:U23"/>
    <mergeCell ref="A24:A25"/>
    <mergeCell ref="B24:B25"/>
    <mergeCell ref="C24:C25"/>
    <mergeCell ref="D24:D25"/>
    <mergeCell ref="E24:E25"/>
    <mergeCell ref="F24:F25"/>
    <mergeCell ref="G24:G25"/>
    <mergeCell ref="G27:G29"/>
    <mergeCell ref="G41:G43"/>
    <mergeCell ref="H24:H25"/>
    <mergeCell ref="I24:I25"/>
    <mergeCell ref="J24:J25"/>
    <mergeCell ref="K24:K25"/>
    <mergeCell ref="L24:L25"/>
    <mergeCell ref="M27:M29"/>
    <mergeCell ref="M41:M43"/>
    <mergeCell ref="V24:V25"/>
    <mergeCell ref="V27:V29"/>
    <mergeCell ref="V41:V43"/>
  </mergeCells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R16"/>
  <sheetViews>
    <sheetView workbookViewId="0">
      <selection activeCell="F12" sqref="F12:Q12"/>
    </sheetView>
  </sheetViews>
  <sheetFormatPr defaultColWidth="9" defaultRowHeight="13.8"/>
  <cols>
    <col min="6" max="6" width="7.88888888888889" customWidth="1"/>
    <col min="7" max="7" width="8.44444444444444" customWidth="1"/>
    <col min="8" max="13" width="7.88888888888889" customWidth="1"/>
    <col min="14" max="14" width="10.4444444444444" customWidth="1"/>
    <col min="15" max="15" width="7.88888888888889" customWidth="1"/>
    <col min="16" max="17" width="9.77777777777778" customWidth="1"/>
  </cols>
  <sheetData>
    <row r="2" spans="6:17"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</row>
    <row r="3" spans="4:18">
      <c r="D3" s="2" t="s">
        <v>303</v>
      </c>
      <c r="E3">
        <v>2025</v>
      </c>
      <c r="F3" s="3">
        <v>136.25</v>
      </c>
      <c r="G3" s="3">
        <v>136.25</v>
      </c>
      <c r="H3" s="3">
        <v>143.25</v>
      </c>
      <c r="I3" s="3">
        <v>146.07</v>
      </c>
      <c r="J3" s="3">
        <v>152</v>
      </c>
      <c r="K3" s="3">
        <v>152</v>
      </c>
      <c r="L3" s="3">
        <v>152.8</v>
      </c>
      <c r="M3" s="3">
        <v>152.8</v>
      </c>
      <c r="N3" s="3">
        <v>152.8</v>
      </c>
      <c r="O3" s="3">
        <v>165.35</v>
      </c>
      <c r="P3" s="3">
        <v>165.35</v>
      </c>
      <c r="Q3" s="3">
        <v>165.35</v>
      </c>
      <c r="R3" s="10"/>
    </row>
    <row r="4" spans="4:18">
      <c r="D4" s="2"/>
      <c r="E4">
        <v>2026</v>
      </c>
      <c r="F4" s="3">
        <v>185.81</v>
      </c>
      <c r="G4" s="3">
        <v>185.81</v>
      </c>
      <c r="H4" s="3">
        <v>185.81</v>
      </c>
      <c r="I4" s="3">
        <v>185.81</v>
      </c>
      <c r="J4" s="3">
        <v>185.81</v>
      </c>
      <c r="K4" s="3">
        <v>185.81</v>
      </c>
      <c r="L4" s="3">
        <v>214.44</v>
      </c>
      <c r="M4" s="3">
        <v>214.44</v>
      </c>
      <c r="N4" s="3">
        <v>214.44</v>
      </c>
      <c r="O4" s="3">
        <v>214.44</v>
      </c>
      <c r="P4" s="3">
        <v>214.44</v>
      </c>
      <c r="Q4" s="3">
        <v>214.44</v>
      </c>
      <c r="R4" s="10"/>
    </row>
    <row r="10" spans="6:9">
      <c r="F10" s="4" t="s">
        <v>304</v>
      </c>
      <c r="G10" s="5"/>
      <c r="H10" s="5"/>
      <c r="I10" s="5"/>
    </row>
    <row r="11" spans="6:17">
      <c r="F11" s="6" t="s">
        <v>2</v>
      </c>
      <c r="G11" s="6" t="s">
        <v>3</v>
      </c>
      <c r="H11" s="6" t="s">
        <v>4</v>
      </c>
      <c r="I11" s="6" t="s">
        <v>5</v>
      </c>
      <c r="J11" s="6" t="s">
        <v>6</v>
      </c>
      <c r="K11" s="6" t="s">
        <v>7</v>
      </c>
      <c r="L11" s="6" t="s">
        <v>8</v>
      </c>
      <c r="M11" s="6" t="s">
        <v>9</v>
      </c>
      <c r="N11" s="6" t="s">
        <v>10</v>
      </c>
      <c r="O11" s="6" t="s">
        <v>11</v>
      </c>
      <c r="P11" s="6" t="s">
        <v>12</v>
      </c>
      <c r="Q11" s="6" t="s">
        <v>13</v>
      </c>
    </row>
    <row r="12" spans="6:17">
      <c r="F12" s="7">
        <v>1317</v>
      </c>
      <c r="G12" s="7">
        <v>1317</v>
      </c>
      <c r="H12" s="7">
        <v>1317</v>
      </c>
      <c r="I12" s="7">
        <v>1317</v>
      </c>
      <c r="J12" s="7">
        <v>1374</v>
      </c>
      <c r="K12" s="7">
        <v>1374</v>
      </c>
      <c r="L12" s="7">
        <v>1445</v>
      </c>
      <c r="M12" s="7">
        <v>1445</v>
      </c>
      <c r="N12" s="7">
        <v>1445</v>
      </c>
      <c r="O12" s="7">
        <v>1445</v>
      </c>
      <c r="P12" s="7">
        <v>1490</v>
      </c>
      <c r="Q12" s="7">
        <v>1490</v>
      </c>
    </row>
    <row r="13" spans="5:17">
      <c r="E13" s="8" t="s">
        <v>305</v>
      </c>
      <c r="F13" s="9">
        <v>16</v>
      </c>
      <c r="G13" s="9">
        <v>16</v>
      </c>
      <c r="H13" s="9">
        <v>16</v>
      </c>
      <c r="I13" s="9">
        <v>16</v>
      </c>
      <c r="J13" s="9">
        <v>16</v>
      </c>
      <c r="K13" s="9">
        <v>16</v>
      </c>
      <c r="L13" s="9">
        <v>16</v>
      </c>
      <c r="M13" s="9">
        <v>16</v>
      </c>
      <c r="N13" s="9">
        <v>16</v>
      </c>
      <c r="O13" s="9">
        <v>16</v>
      </c>
      <c r="P13" s="9">
        <v>16</v>
      </c>
      <c r="Q13" s="9">
        <v>16</v>
      </c>
    </row>
    <row r="14" spans="5:17">
      <c r="E14" s="8" t="s">
        <v>306</v>
      </c>
      <c r="F14" s="9">
        <v>0.7</v>
      </c>
      <c r="G14" s="9">
        <v>0.7</v>
      </c>
      <c r="H14" s="9">
        <v>0.7</v>
      </c>
      <c r="I14" s="9">
        <v>0.7</v>
      </c>
      <c r="J14" s="9">
        <v>0.7</v>
      </c>
      <c r="K14" s="9">
        <v>0.7</v>
      </c>
      <c r="L14" s="9">
        <v>0.7</v>
      </c>
      <c r="M14" s="9">
        <v>0.7</v>
      </c>
      <c r="N14" s="9">
        <v>0.7</v>
      </c>
      <c r="O14" s="9">
        <v>0.7</v>
      </c>
      <c r="P14" s="9">
        <v>0.7</v>
      </c>
      <c r="Q14" s="9">
        <v>0.7</v>
      </c>
    </row>
    <row r="15" spans="5:17">
      <c r="E15" s="8" t="s">
        <v>307</v>
      </c>
      <c r="F15" s="9">
        <f>F13*F14</f>
        <v>11.2</v>
      </c>
      <c r="G15" s="9">
        <f t="shared" ref="G15:Q15" si="0">G13*G14</f>
        <v>11.2</v>
      </c>
      <c r="H15" s="9">
        <f t="shared" si="0"/>
        <v>11.2</v>
      </c>
      <c r="I15" s="9">
        <f t="shared" si="0"/>
        <v>11.2</v>
      </c>
      <c r="J15" s="9">
        <f t="shared" si="0"/>
        <v>11.2</v>
      </c>
      <c r="K15" s="9">
        <f t="shared" si="0"/>
        <v>11.2</v>
      </c>
      <c r="L15" s="9">
        <f t="shared" si="0"/>
        <v>11.2</v>
      </c>
      <c r="M15" s="9">
        <f t="shared" si="0"/>
        <v>11.2</v>
      </c>
      <c r="N15" s="9">
        <f t="shared" si="0"/>
        <v>11.2</v>
      </c>
      <c r="O15" s="9">
        <f t="shared" si="0"/>
        <v>11.2</v>
      </c>
      <c r="P15" s="9">
        <f t="shared" si="0"/>
        <v>11.2</v>
      </c>
      <c r="Q15" s="9">
        <f t="shared" si="0"/>
        <v>11.2</v>
      </c>
    </row>
    <row r="16" spans="5:17">
      <c r="E16" s="8" t="s">
        <v>308</v>
      </c>
      <c r="F16" s="7">
        <f>(F12/F15)*2</f>
        <v>235.178571428571</v>
      </c>
      <c r="G16" s="7">
        <f t="shared" ref="G16:Q16" si="1">(G12/G15)*2</f>
        <v>235.178571428571</v>
      </c>
      <c r="H16" s="7">
        <f t="shared" si="1"/>
        <v>235.178571428571</v>
      </c>
      <c r="I16" s="7">
        <f t="shared" si="1"/>
        <v>235.178571428571</v>
      </c>
      <c r="J16" s="7">
        <f t="shared" si="1"/>
        <v>245.357142857143</v>
      </c>
      <c r="K16" s="7">
        <f t="shared" si="1"/>
        <v>245.357142857143</v>
      </c>
      <c r="L16" s="7">
        <f t="shared" si="1"/>
        <v>258.035714285714</v>
      </c>
      <c r="M16" s="7">
        <f t="shared" si="1"/>
        <v>258.035714285714</v>
      </c>
      <c r="N16" s="7">
        <f t="shared" si="1"/>
        <v>258.035714285714</v>
      </c>
      <c r="O16" s="7">
        <f t="shared" si="1"/>
        <v>258.035714285714</v>
      </c>
      <c r="P16" s="7">
        <f t="shared" si="1"/>
        <v>266.071428571429</v>
      </c>
      <c r="Q16" s="7">
        <f t="shared" si="1"/>
        <v>266.071428571429</v>
      </c>
    </row>
  </sheetData>
  <mergeCells count="2">
    <mergeCell ref="F10:I10"/>
    <mergeCell ref="D3:D4"/>
  </mergeCells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5CA3B54-2193-4D77-ABE5-17C0BB8A41B0}">
  <ds:schemaRefs/>
</ds:datastoreItem>
</file>

<file path=customXml/itemProps2.xml><?xml version="1.0" encoding="utf-8"?>
<ds:datastoreItem xmlns:ds="http://schemas.openxmlformats.org/officeDocument/2006/customXml" ds:itemID="{252C9A07-4BE8-462F-99AA-D4D4A7237242}">
  <ds:schemaRefs/>
</ds:datastoreItem>
</file>

<file path=customXml/itemProps3.xml><?xml version="1.0" encoding="utf-8"?>
<ds:datastoreItem xmlns:ds="http://schemas.openxmlformats.org/officeDocument/2006/customXml" ds:itemID="{4217C1BD-8B04-425C-A536-718D121443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Labour</vt:lpstr>
      <vt:lpstr>Sheet1</vt:lpstr>
      <vt:lpstr>DW_ACE</vt:lpstr>
      <vt:lpstr>2025_Yend CPU</vt:lpstr>
      <vt:lpstr>YTD Report  (HQD)</vt:lpstr>
      <vt:lpstr>CKACE Seasonality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Bengisu  Sarıtürk Ceran</dc:creator>
  <cp:lastModifiedBy>李想</cp:lastModifiedBy>
  <dcterms:created xsi:type="dcterms:W3CDTF">2026-01-08T10:33:00Z</dcterms:created>
  <dcterms:modified xsi:type="dcterms:W3CDTF">2026-04-20T12:00:59Z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0x010100890F5124C1554A4C94F5C3503CB78D18</vt:lpwstr>
  </property>
  <property fmtid="{D5CDD505-2E9C-101B-9397-08002B2CF9AE}" pid="5" name="ICV">
    <vt:lpwstr>4ECB43DBD50548398CDD92CB698DA02B_13</vt:lpwstr>
  </property>
  <property fmtid="{D5CDD505-2E9C-101B-9397-08002B2CF9AE}" pid="6" name="KSOProductBuildVer">
    <vt:lpwstr>2052-12.1.0.20784</vt:lpwstr>
  </property>
</Properties>
</file>