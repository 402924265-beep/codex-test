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tresapfis03l.candy.tr\Human_Resources\02 - İnsan Kaynakları\02 - Aylık Raporlar\06 - HR KPI Italy\2026\2026 - 04\2026_04 Cooking 2\"/>
    </mc:Choice>
  </mc:AlternateContent>
  <xr:revisionPtr revIDLastSave="0" documentId="13_ncr:1_{E2E8173B-EE13-4244-8EDC-6CA673001424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Monthly Scorecard Haier" sheetId="2" r:id="rId1"/>
    <sheet name="EEH&amp;S" sheetId="3" state="hidden" r:id="rId2"/>
    <sheet name="EEH&amp;S tgt" sheetId="4" state="hidden" r:id="rId3"/>
    <sheet name="Customer" sheetId="5" state="hidden" r:id="rId4"/>
    <sheet name="Customer tgt" sheetId="6" state="hidden" r:id="rId5"/>
    <sheet name="People" sheetId="7" r:id="rId6"/>
    <sheet name="People tgt" sheetId="8" r:id="rId7"/>
    <sheet name="Production" sheetId="9" state="hidden" r:id="rId8"/>
    <sheet name="Production tgt" sheetId="10" state="hidden" r:id="rId9"/>
    <sheet name="Supply Chain" sheetId="11" state="hidden" r:id="rId10"/>
    <sheet name="Supply Chain tgt" sheetId="12" state="hidden" r:id="rId11"/>
  </sheets>
  <definedNames>
    <definedName name="Data_input">#REF!,#REF!,#REF!,#REF!,#REF!,#REF!,#REF!,#REF!,#REF!,#REF!,#REF!,#REF!,#REF!,#REF!,#REF!,#REF!,#REF!,#REF!,#REF!,#REF!,#REF!,#REF!,#REF!,#REF!,#REF!,#REF!,#REF!,#REF!,#REF!,#REF!,#REF!,#REF!,#REF!,#REF!,#REF!,#REF!,#REF!</definedName>
    <definedName name="query__5" localSheetId="3" hidden="1">Customer!$A$1:$L$14</definedName>
    <definedName name="query__5" localSheetId="1" hidden="1">'EEH&amp;S'!$A$1:$I$14</definedName>
    <definedName name="query__5" localSheetId="2" hidden="1">'EEH&amp;S tgt'!$A$1:$I$14</definedName>
    <definedName name="query__5" localSheetId="5" hidden="1">People!$A$1:$I$14</definedName>
    <definedName name="query__5" localSheetId="6" hidden="1">'People tgt'!$A$1:$H$14</definedName>
    <definedName name="query__5" localSheetId="7" hidden="1">Production!$A$1:$G$14</definedName>
    <definedName name="query__5" localSheetId="8" hidden="1">'Production tgt'!$A$1:$G$14</definedName>
    <definedName name="query__5" localSheetId="9" hidden="1">'Supply Chain'!$A$1:$E$14</definedName>
    <definedName name="query__5" localSheetId="10" hidden="1">'Supply Chain tgt'!$A$1:$E$14</definedName>
    <definedName name="query__5_1" localSheetId="4" hidden="1">'Customer tgt'!$A$1:$L$14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2" i="2" l="1"/>
  <c r="S79" i="2"/>
  <c r="T108" i="2"/>
  <c r="U108" i="2"/>
  <c r="V108" i="2"/>
  <c r="W108" i="2"/>
  <c r="S108" i="2"/>
  <c r="T79" i="2"/>
  <c r="U79" i="2"/>
  <c r="V79" i="2"/>
  <c r="W79" i="2"/>
  <c r="T72" i="2"/>
  <c r="U72" i="2"/>
  <c r="V72" i="2"/>
  <c r="W72" i="2"/>
  <c r="J61" i="2"/>
  <c r="K61" i="2"/>
  <c r="L61" i="2"/>
  <c r="M61" i="2"/>
  <c r="N61" i="2"/>
  <c r="O61" i="2"/>
  <c r="P61" i="2"/>
  <c r="Q61" i="2"/>
  <c r="Q8" i="2"/>
  <c r="P8" i="2"/>
  <c r="O8" i="2"/>
  <c r="N8" i="2"/>
  <c r="M8" i="2"/>
  <c r="L8" i="2"/>
  <c r="K8" i="2"/>
  <c r="J8" i="2"/>
  <c r="I8" i="2"/>
  <c r="H8" i="2"/>
  <c r="G8" i="2"/>
  <c r="F8" i="2"/>
  <c r="Q7" i="2"/>
  <c r="P7" i="2"/>
  <c r="O7" i="2"/>
  <c r="N7" i="2"/>
  <c r="M7" i="2"/>
  <c r="L7" i="2"/>
  <c r="K7" i="2"/>
  <c r="J7" i="2"/>
  <c r="I7" i="2"/>
  <c r="H7" i="2"/>
  <c r="G7" i="2"/>
  <c r="F7" i="2"/>
  <c r="F31" i="2" l="1"/>
  <c r="G31" i="2"/>
  <c r="F40" i="2"/>
  <c r="G40" i="2"/>
  <c r="Q68" i="2" l="1"/>
  <c r="Q67" i="2"/>
  <c r="P68" i="2"/>
  <c r="P67" i="2"/>
  <c r="O68" i="2"/>
  <c r="O67" i="2"/>
  <c r="N68" i="2"/>
  <c r="N67" i="2"/>
  <c r="M68" i="2"/>
  <c r="M67" i="2"/>
  <c r="L68" i="2"/>
  <c r="L67" i="2"/>
  <c r="K68" i="2"/>
  <c r="K67" i="2"/>
  <c r="J68" i="2"/>
  <c r="J67" i="2"/>
  <c r="I68" i="2"/>
  <c r="I67" i="2"/>
  <c r="H68" i="2"/>
  <c r="H67" i="2"/>
  <c r="G68" i="2"/>
  <c r="G67" i="2"/>
  <c r="F68" i="2"/>
  <c r="F67" i="2"/>
  <c r="Q58" i="2"/>
  <c r="Q56" i="2"/>
  <c r="P56" i="2"/>
  <c r="O56" i="2"/>
  <c r="N56" i="2"/>
  <c r="M56" i="2"/>
  <c r="L56" i="2"/>
  <c r="K56" i="2"/>
  <c r="J56" i="2"/>
  <c r="I56" i="2"/>
  <c r="H56" i="2"/>
  <c r="G56" i="2"/>
  <c r="F56" i="2"/>
  <c r="Q55" i="2"/>
  <c r="P55" i="2"/>
  <c r="O55" i="2"/>
  <c r="N55" i="2"/>
  <c r="M55" i="2"/>
  <c r="L55" i="2"/>
  <c r="K55" i="2"/>
  <c r="J55" i="2"/>
  <c r="I55" i="2"/>
  <c r="H55" i="2"/>
  <c r="G55" i="2"/>
  <c r="F55" i="2"/>
  <c r="F53" i="2"/>
  <c r="Q43" i="2"/>
  <c r="P43" i="2"/>
  <c r="O43" i="2"/>
  <c r="Q40" i="2"/>
  <c r="P40" i="2"/>
  <c r="O40" i="2"/>
  <c r="N40" i="2"/>
  <c r="M40" i="2"/>
  <c r="L40" i="2"/>
  <c r="K40" i="2"/>
  <c r="J40" i="2"/>
  <c r="I40" i="2"/>
  <c r="H40" i="2"/>
  <c r="Q37" i="2"/>
  <c r="P37" i="2"/>
  <c r="O37" i="2"/>
  <c r="Q31" i="2"/>
  <c r="P31" i="2"/>
  <c r="O31" i="2"/>
  <c r="N31" i="2"/>
  <c r="M31" i="2"/>
  <c r="L31" i="2"/>
  <c r="K31" i="2"/>
  <c r="J31" i="2"/>
  <c r="I31" i="2"/>
  <c r="H31" i="2"/>
  <c r="Q34" i="2"/>
  <c r="Q28" i="2"/>
  <c r="F98" i="2" l="1"/>
  <c r="G98" i="2"/>
  <c r="H98" i="2"/>
  <c r="F99" i="2"/>
  <c r="G99" i="2"/>
  <c r="H99" i="2"/>
  <c r="K43" i="2" l="1"/>
  <c r="Q44" i="2"/>
  <c r="P44" i="2"/>
  <c r="O44" i="2"/>
  <c r="N44" i="2"/>
  <c r="N43" i="2"/>
  <c r="M44" i="2"/>
  <c r="M43" i="2"/>
  <c r="L44" i="2"/>
  <c r="L43" i="2"/>
  <c r="K44" i="2"/>
  <c r="J44" i="2"/>
  <c r="J43" i="2"/>
  <c r="I44" i="2"/>
  <c r="I43" i="2"/>
  <c r="H44" i="2"/>
  <c r="H43" i="2"/>
  <c r="G44" i="2"/>
  <c r="G43" i="2"/>
  <c r="F44" i="2"/>
  <c r="F43" i="2"/>
  <c r="Q41" i="2"/>
  <c r="P41" i="2"/>
  <c r="O41" i="2"/>
  <c r="N41" i="2"/>
  <c r="M41" i="2"/>
  <c r="L41" i="2"/>
  <c r="K41" i="2"/>
  <c r="J41" i="2"/>
  <c r="I41" i="2"/>
  <c r="H41" i="2"/>
  <c r="G41" i="2"/>
  <c r="F41" i="2"/>
  <c r="I34" i="2"/>
  <c r="I35" i="2"/>
  <c r="F32" i="2"/>
  <c r="F29" i="2"/>
  <c r="F28" i="2"/>
  <c r="F35" i="2"/>
  <c r="F34" i="2"/>
  <c r="Q35" i="2"/>
  <c r="Q32" i="2"/>
  <c r="P35" i="2"/>
  <c r="P34" i="2"/>
  <c r="P32" i="2"/>
  <c r="O35" i="2"/>
  <c r="O34" i="2"/>
  <c r="O32" i="2"/>
  <c r="N35" i="2"/>
  <c r="N34" i="2"/>
  <c r="N32" i="2"/>
  <c r="M35" i="2"/>
  <c r="M34" i="2"/>
  <c r="M32" i="2"/>
  <c r="L35" i="2"/>
  <c r="L34" i="2"/>
  <c r="L32" i="2"/>
  <c r="K35" i="2"/>
  <c r="K34" i="2"/>
  <c r="K32" i="2"/>
  <c r="J35" i="2"/>
  <c r="J34" i="2"/>
  <c r="J32" i="2"/>
  <c r="I32" i="2"/>
  <c r="H35" i="2"/>
  <c r="H34" i="2"/>
  <c r="H32" i="2"/>
  <c r="G35" i="2"/>
  <c r="G34" i="2"/>
  <c r="G32" i="2"/>
  <c r="F38" i="2" l="1"/>
  <c r="Q25" i="2"/>
  <c r="P25" i="2"/>
  <c r="O25" i="2"/>
  <c r="N25" i="2"/>
  <c r="M25" i="2"/>
  <c r="L25" i="2"/>
  <c r="K25" i="2"/>
  <c r="J25" i="2"/>
  <c r="I25" i="2"/>
  <c r="H25" i="2"/>
  <c r="G25" i="2"/>
  <c r="F25" i="2"/>
  <c r="Q22" i="2"/>
  <c r="P22" i="2"/>
  <c r="O22" i="2"/>
  <c r="N22" i="2"/>
  <c r="M22" i="2"/>
  <c r="L22" i="2"/>
  <c r="K22" i="2"/>
  <c r="J22" i="2"/>
  <c r="I22" i="2"/>
  <c r="H22" i="2"/>
  <c r="G22" i="2"/>
  <c r="F22" i="2"/>
  <c r="Q19" i="2"/>
  <c r="P19" i="2"/>
  <c r="O19" i="2"/>
  <c r="N19" i="2"/>
  <c r="M19" i="2"/>
  <c r="L19" i="2"/>
  <c r="K19" i="2"/>
  <c r="J19" i="2"/>
  <c r="I19" i="2"/>
  <c r="H19" i="2"/>
  <c r="G19" i="2"/>
  <c r="F19" i="2"/>
  <c r="Q16" i="2"/>
  <c r="P16" i="2"/>
  <c r="O16" i="2"/>
  <c r="N16" i="2"/>
  <c r="M16" i="2"/>
  <c r="L16" i="2"/>
  <c r="K16" i="2"/>
  <c r="J16" i="2"/>
  <c r="I16" i="2"/>
  <c r="H16" i="2"/>
  <c r="G16" i="2"/>
  <c r="F16" i="2"/>
  <c r="Q26" i="2"/>
  <c r="P26" i="2"/>
  <c r="O26" i="2"/>
  <c r="N26" i="2"/>
  <c r="M26" i="2"/>
  <c r="L26" i="2"/>
  <c r="K26" i="2"/>
  <c r="J26" i="2"/>
  <c r="I26" i="2"/>
  <c r="H26" i="2"/>
  <c r="G26" i="2"/>
  <c r="F26" i="2"/>
  <c r="Q23" i="2"/>
  <c r="P23" i="2"/>
  <c r="O23" i="2"/>
  <c r="N23" i="2"/>
  <c r="M23" i="2"/>
  <c r="L23" i="2"/>
  <c r="K23" i="2"/>
  <c r="J23" i="2"/>
  <c r="I23" i="2"/>
  <c r="H23" i="2"/>
  <c r="G23" i="2"/>
  <c r="F23" i="2"/>
  <c r="Q20" i="2"/>
  <c r="P20" i="2"/>
  <c r="O20" i="2"/>
  <c r="N20" i="2"/>
  <c r="M20" i="2"/>
  <c r="L20" i="2"/>
  <c r="K20" i="2"/>
  <c r="J20" i="2"/>
  <c r="I20" i="2"/>
  <c r="H20" i="2"/>
  <c r="G20" i="2"/>
  <c r="F20" i="2"/>
  <c r="Q17" i="2"/>
  <c r="P17" i="2"/>
  <c r="O17" i="2"/>
  <c r="N17" i="2"/>
  <c r="M17" i="2"/>
  <c r="L17" i="2"/>
  <c r="K17" i="2"/>
  <c r="J17" i="2"/>
  <c r="I17" i="2"/>
  <c r="H17" i="2"/>
  <c r="G17" i="2"/>
  <c r="F17" i="2"/>
  <c r="Q14" i="2" l="1"/>
  <c r="P14" i="2"/>
  <c r="O14" i="2"/>
  <c r="N14" i="2"/>
  <c r="M14" i="2"/>
  <c r="L14" i="2"/>
  <c r="K14" i="2"/>
  <c r="J14" i="2"/>
  <c r="I14" i="2"/>
  <c r="H14" i="2"/>
  <c r="G14" i="2"/>
  <c r="F14" i="2"/>
  <c r="Q13" i="2"/>
  <c r="P13" i="2"/>
  <c r="O13" i="2"/>
  <c r="N13" i="2"/>
  <c r="M13" i="2"/>
  <c r="L13" i="2"/>
  <c r="K13" i="2"/>
  <c r="J13" i="2"/>
  <c r="I13" i="2"/>
  <c r="H13" i="2"/>
  <c r="G13" i="2"/>
  <c r="F13" i="2"/>
  <c r="K108" i="2" l="1"/>
  <c r="I108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P58" i="2"/>
  <c r="O58" i="2"/>
  <c r="N58" i="2"/>
  <c r="M58" i="2"/>
  <c r="L58" i="2"/>
  <c r="K58" i="2"/>
  <c r="J58" i="2"/>
  <c r="I58" i="2"/>
  <c r="H58" i="2"/>
  <c r="G58" i="2"/>
  <c r="F58" i="2"/>
  <c r="F52" i="2"/>
  <c r="G52" i="2"/>
  <c r="H52" i="2"/>
  <c r="I52" i="2"/>
  <c r="J52" i="2"/>
  <c r="K52" i="2"/>
  <c r="L52" i="2"/>
  <c r="M52" i="2"/>
  <c r="N52" i="2"/>
  <c r="O52" i="2"/>
  <c r="P52" i="2"/>
  <c r="Q52" i="2"/>
  <c r="Q49" i="2"/>
  <c r="P49" i="2"/>
  <c r="O49" i="2"/>
  <c r="N49" i="2"/>
  <c r="M49" i="2"/>
  <c r="L49" i="2"/>
  <c r="K49" i="2"/>
  <c r="J49" i="2"/>
  <c r="I49" i="2"/>
  <c r="H49" i="2"/>
  <c r="G49" i="2"/>
  <c r="F49" i="2"/>
  <c r="Q46" i="2"/>
  <c r="P46" i="2"/>
  <c r="O46" i="2"/>
  <c r="N46" i="2"/>
  <c r="M46" i="2"/>
  <c r="L46" i="2"/>
  <c r="K46" i="2"/>
  <c r="J46" i="2"/>
  <c r="I46" i="2"/>
  <c r="H46" i="2"/>
  <c r="G46" i="2"/>
  <c r="F46" i="2"/>
  <c r="N37" i="2"/>
  <c r="M37" i="2"/>
  <c r="L37" i="2"/>
  <c r="K37" i="2"/>
  <c r="J37" i="2"/>
  <c r="I37" i="2"/>
  <c r="H37" i="2"/>
  <c r="G37" i="2"/>
  <c r="F37" i="2"/>
  <c r="P28" i="2"/>
  <c r="O28" i="2"/>
  <c r="N28" i="2"/>
  <c r="M28" i="2"/>
  <c r="L28" i="2"/>
  <c r="K28" i="2"/>
  <c r="J28" i="2"/>
  <c r="I28" i="2"/>
  <c r="H28" i="2"/>
  <c r="G28" i="2"/>
  <c r="N50" i="2" l="1"/>
  <c r="O38" i="2"/>
  <c r="H29" i="2"/>
  <c r="M59" i="2"/>
  <c r="F50" i="2"/>
  <c r="K38" i="2"/>
  <c r="O59" i="2"/>
  <c r="H50" i="2"/>
  <c r="M38" i="2"/>
  <c r="M111" i="2"/>
  <c r="O108" i="2"/>
  <c r="P59" i="2"/>
  <c r="F47" i="2"/>
  <c r="N38" i="2"/>
  <c r="G29" i="2"/>
  <c r="O50" i="2"/>
  <c r="H47" i="2"/>
  <c r="K111" i="2"/>
  <c r="H108" i="2"/>
  <c r="Q59" i="2"/>
  <c r="P50" i="2"/>
  <c r="L50" i="2"/>
  <c r="Q38" i="2"/>
  <c r="J29" i="2"/>
  <c r="J50" i="2"/>
  <c r="N53" i="2"/>
  <c r="K59" i="2"/>
  <c r="P53" i="2"/>
  <c r="F111" i="2"/>
  <c r="P38" i="2"/>
  <c r="M50" i="2"/>
  <c r="O53" i="2"/>
  <c r="L38" i="2"/>
  <c r="H38" i="2"/>
  <c r="L59" i="2"/>
  <c r="I50" i="2"/>
  <c r="Q53" i="2"/>
  <c r="M53" i="2"/>
  <c r="J38" i="2"/>
  <c r="N59" i="2"/>
  <c r="K50" i="2"/>
  <c r="M108" i="2"/>
  <c r="O111" i="2"/>
  <c r="F108" i="2"/>
  <c r="H111" i="2"/>
  <c r="Q29" i="2"/>
  <c r="I59" i="2"/>
  <c r="G53" i="2"/>
  <c r="P29" i="2"/>
  <c r="N47" i="2"/>
  <c r="J53" i="2"/>
  <c r="H59" i="2"/>
  <c r="G38" i="2"/>
  <c r="Q47" i="2"/>
  <c r="M47" i="2"/>
  <c r="I53" i="2"/>
  <c r="G59" i="2"/>
  <c r="P47" i="2"/>
  <c r="L53" i="2"/>
  <c r="J59" i="2"/>
  <c r="I38" i="2"/>
  <c r="G50" i="2"/>
  <c r="O29" i="2"/>
  <c r="Q108" i="2"/>
  <c r="J111" i="2"/>
  <c r="L108" i="2"/>
  <c r="J108" i="2"/>
  <c r="L111" i="2"/>
  <c r="O47" i="2"/>
  <c r="K53" i="2"/>
  <c r="M29" i="2"/>
  <c r="K47" i="2"/>
  <c r="G47" i="2"/>
  <c r="Q50" i="2"/>
  <c r="L29" i="2"/>
  <c r="J47" i="2"/>
  <c r="K29" i="2"/>
  <c r="I47" i="2"/>
  <c r="N29" i="2"/>
  <c r="L47" i="2"/>
  <c r="H53" i="2"/>
  <c r="F59" i="2"/>
  <c r="Q111" i="2"/>
  <c r="N111" i="2"/>
  <c r="N108" i="2"/>
  <c r="G111" i="2"/>
  <c r="P108" i="2"/>
  <c r="I111" i="2"/>
  <c r="P111" i="2"/>
  <c r="G108" i="2"/>
  <c r="I29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Q99" i="2"/>
  <c r="P99" i="2"/>
  <c r="O99" i="2"/>
  <c r="N99" i="2"/>
  <c r="M99" i="2"/>
  <c r="L99" i="2"/>
  <c r="K99" i="2"/>
  <c r="J99" i="2"/>
  <c r="I99" i="2"/>
  <c r="Q98" i="2"/>
  <c r="P98" i="2"/>
  <c r="O98" i="2"/>
  <c r="N98" i="2"/>
  <c r="M98" i="2"/>
  <c r="L98" i="2"/>
  <c r="K98" i="2"/>
  <c r="J98" i="2"/>
  <c r="I98" i="2"/>
  <c r="Q93" i="2"/>
  <c r="P93" i="2"/>
  <c r="O93" i="2"/>
  <c r="N93" i="2"/>
  <c r="M93" i="2"/>
  <c r="L93" i="2"/>
  <c r="K93" i="2"/>
  <c r="J93" i="2"/>
  <c r="I93" i="2"/>
  <c r="H93" i="2"/>
  <c r="G93" i="2"/>
  <c r="F93" i="2"/>
  <c r="Q92" i="2"/>
  <c r="P92" i="2"/>
  <c r="O92" i="2"/>
  <c r="N92" i="2"/>
  <c r="M92" i="2"/>
  <c r="L92" i="2"/>
  <c r="K92" i="2"/>
  <c r="J92" i="2"/>
  <c r="I92" i="2"/>
  <c r="H92" i="2"/>
  <c r="G92" i="2"/>
  <c r="F92" i="2"/>
  <c r="Q90" i="2"/>
  <c r="P90" i="2"/>
  <c r="O90" i="2"/>
  <c r="O96" i="2" s="1"/>
  <c r="N90" i="2"/>
  <c r="N96" i="2" s="1"/>
  <c r="M90" i="2"/>
  <c r="L90" i="2"/>
  <c r="K90" i="2"/>
  <c r="J90" i="2"/>
  <c r="I90" i="2"/>
  <c r="H90" i="2"/>
  <c r="G90" i="2"/>
  <c r="F90" i="2"/>
  <c r="F96" i="2" s="1"/>
  <c r="Q89" i="2"/>
  <c r="Q95" i="2" s="1"/>
  <c r="P89" i="2"/>
  <c r="O89" i="2"/>
  <c r="N89" i="2"/>
  <c r="M89" i="2"/>
  <c r="L89" i="2"/>
  <c r="K89" i="2"/>
  <c r="J89" i="2"/>
  <c r="I89" i="2"/>
  <c r="H89" i="2"/>
  <c r="G89" i="2"/>
  <c r="F89" i="2"/>
  <c r="Q87" i="2"/>
  <c r="P87" i="2"/>
  <c r="O87" i="2"/>
  <c r="N87" i="2"/>
  <c r="M87" i="2"/>
  <c r="L87" i="2"/>
  <c r="K87" i="2"/>
  <c r="J87" i="2"/>
  <c r="I87" i="2"/>
  <c r="H87" i="2"/>
  <c r="G87" i="2"/>
  <c r="F87" i="2"/>
  <c r="Q86" i="2"/>
  <c r="P86" i="2"/>
  <c r="O86" i="2"/>
  <c r="N86" i="2"/>
  <c r="M86" i="2"/>
  <c r="L86" i="2"/>
  <c r="K86" i="2"/>
  <c r="J86" i="2"/>
  <c r="I86" i="2"/>
  <c r="H86" i="2"/>
  <c r="G86" i="2"/>
  <c r="F86" i="2"/>
  <c r="Q84" i="2"/>
  <c r="P84" i="2"/>
  <c r="O84" i="2"/>
  <c r="N84" i="2"/>
  <c r="M84" i="2"/>
  <c r="L84" i="2"/>
  <c r="K84" i="2"/>
  <c r="J84" i="2"/>
  <c r="I84" i="2"/>
  <c r="H84" i="2"/>
  <c r="G84" i="2"/>
  <c r="F84" i="2"/>
  <c r="Q83" i="2"/>
  <c r="P83" i="2"/>
  <c r="O83" i="2"/>
  <c r="N83" i="2"/>
  <c r="M83" i="2"/>
  <c r="L83" i="2"/>
  <c r="K83" i="2"/>
  <c r="J83" i="2"/>
  <c r="I83" i="2"/>
  <c r="H83" i="2"/>
  <c r="G83" i="2"/>
  <c r="F83" i="2"/>
  <c r="Q81" i="2"/>
  <c r="P81" i="2"/>
  <c r="O81" i="2"/>
  <c r="N81" i="2"/>
  <c r="M81" i="2"/>
  <c r="L81" i="2"/>
  <c r="K81" i="2"/>
  <c r="J81" i="2"/>
  <c r="I81" i="2"/>
  <c r="H81" i="2"/>
  <c r="G81" i="2"/>
  <c r="F81" i="2"/>
  <c r="Q80" i="2"/>
  <c r="P80" i="2"/>
  <c r="O80" i="2"/>
  <c r="N80" i="2"/>
  <c r="M80" i="2"/>
  <c r="L80" i="2"/>
  <c r="K80" i="2"/>
  <c r="J80" i="2"/>
  <c r="I80" i="2"/>
  <c r="H80" i="2"/>
  <c r="G80" i="2"/>
  <c r="F80" i="2"/>
  <c r="Q78" i="2"/>
  <c r="P78" i="2"/>
  <c r="O78" i="2"/>
  <c r="N78" i="2"/>
  <c r="M78" i="2"/>
  <c r="L78" i="2"/>
  <c r="K78" i="2"/>
  <c r="J78" i="2"/>
  <c r="I78" i="2"/>
  <c r="H78" i="2"/>
  <c r="G78" i="2"/>
  <c r="F78" i="2"/>
  <c r="Q77" i="2"/>
  <c r="P77" i="2"/>
  <c r="O77" i="2"/>
  <c r="N77" i="2"/>
  <c r="M77" i="2"/>
  <c r="L77" i="2"/>
  <c r="K77" i="2"/>
  <c r="J77" i="2"/>
  <c r="I77" i="2"/>
  <c r="H77" i="2"/>
  <c r="G77" i="2"/>
  <c r="F77" i="2"/>
  <c r="Q75" i="2"/>
  <c r="P75" i="2"/>
  <c r="O75" i="2"/>
  <c r="N75" i="2"/>
  <c r="M75" i="2"/>
  <c r="L75" i="2"/>
  <c r="K75" i="2"/>
  <c r="J75" i="2"/>
  <c r="I75" i="2"/>
  <c r="H75" i="2"/>
  <c r="G75" i="2"/>
  <c r="F75" i="2"/>
  <c r="Q74" i="2"/>
  <c r="P74" i="2"/>
  <c r="O74" i="2"/>
  <c r="N74" i="2"/>
  <c r="M74" i="2"/>
  <c r="L74" i="2"/>
  <c r="K74" i="2"/>
  <c r="J74" i="2"/>
  <c r="I74" i="2"/>
  <c r="H74" i="2"/>
  <c r="G74" i="2"/>
  <c r="F74" i="2"/>
  <c r="Q71" i="2"/>
  <c r="Q133" i="2" s="1"/>
  <c r="P71" i="2"/>
  <c r="P133" i="2" s="1"/>
  <c r="O71" i="2"/>
  <c r="O133" i="2" s="1"/>
  <c r="N71" i="2"/>
  <c r="N133" i="2" s="1"/>
  <c r="M71" i="2"/>
  <c r="M133" i="2" s="1"/>
  <c r="L71" i="2"/>
  <c r="L133" i="2" s="1"/>
  <c r="K71" i="2"/>
  <c r="K133" i="2" s="1"/>
  <c r="J71" i="2"/>
  <c r="J133" i="2" s="1"/>
  <c r="I71" i="2"/>
  <c r="I133" i="2" s="1"/>
  <c r="H71" i="2"/>
  <c r="H133" i="2" s="1"/>
  <c r="G71" i="2"/>
  <c r="G133" i="2" s="1"/>
  <c r="F71" i="2"/>
  <c r="F133" i="2" s="1"/>
  <c r="Q70" i="2"/>
  <c r="Q132" i="2" s="1"/>
  <c r="P70" i="2"/>
  <c r="P132" i="2" s="1"/>
  <c r="O70" i="2"/>
  <c r="O132" i="2" s="1"/>
  <c r="N70" i="2"/>
  <c r="N132" i="2" s="1"/>
  <c r="M70" i="2"/>
  <c r="M132" i="2" s="1"/>
  <c r="L70" i="2"/>
  <c r="L132" i="2" s="1"/>
  <c r="K70" i="2"/>
  <c r="K132" i="2" s="1"/>
  <c r="J70" i="2"/>
  <c r="J132" i="2" s="1"/>
  <c r="I70" i="2"/>
  <c r="I132" i="2" s="1"/>
  <c r="H70" i="2"/>
  <c r="H132" i="2" s="1"/>
  <c r="G70" i="2"/>
  <c r="G132" i="2" s="1"/>
  <c r="F70" i="2"/>
  <c r="F132" i="2" s="1"/>
  <c r="Q65" i="2"/>
  <c r="Q62" i="2" s="1"/>
  <c r="P65" i="2"/>
  <c r="P62" i="2" s="1"/>
  <c r="O65" i="2"/>
  <c r="O62" i="2" s="1"/>
  <c r="N65" i="2"/>
  <c r="N62" i="2" s="1"/>
  <c r="M65" i="2"/>
  <c r="M62" i="2" s="1"/>
  <c r="L65" i="2"/>
  <c r="L62" i="2" s="1"/>
  <c r="K65" i="2"/>
  <c r="K62" i="2" s="1"/>
  <c r="J65" i="2"/>
  <c r="J62" i="2" s="1"/>
  <c r="I65" i="2"/>
  <c r="I62" i="2" s="1"/>
  <c r="H65" i="2"/>
  <c r="H62" i="2" s="1"/>
  <c r="G65" i="2"/>
  <c r="G62" i="2" s="1"/>
  <c r="F65" i="2"/>
  <c r="F62" i="2" s="1"/>
  <c r="Q64" i="2"/>
  <c r="P64" i="2"/>
  <c r="O64" i="2"/>
  <c r="N64" i="2"/>
  <c r="M64" i="2"/>
  <c r="L64" i="2"/>
  <c r="K64" i="2"/>
  <c r="J64" i="2"/>
  <c r="I64" i="2"/>
  <c r="I61" i="2" s="1"/>
  <c r="H64" i="2"/>
  <c r="H61" i="2" s="1"/>
  <c r="G64" i="2"/>
  <c r="G61" i="2" s="1"/>
  <c r="F64" i="2"/>
  <c r="F61" i="2" s="1"/>
  <c r="Q11" i="2"/>
  <c r="P11" i="2"/>
  <c r="O11" i="2"/>
  <c r="N11" i="2"/>
  <c r="M11" i="2"/>
  <c r="L11" i="2"/>
  <c r="K11" i="2"/>
  <c r="J11" i="2"/>
  <c r="I11" i="2"/>
  <c r="H11" i="2"/>
  <c r="G11" i="2"/>
  <c r="F11" i="2"/>
  <c r="Q10" i="2"/>
  <c r="P10" i="2"/>
  <c r="O10" i="2"/>
  <c r="N10" i="2"/>
  <c r="M10" i="2"/>
  <c r="L10" i="2"/>
  <c r="K10" i="2"/>
  <c r="J10" i="2"/>
  <c r="I10" i="2"/>
  <c r="H10" i="2"/>
  <c r="G10" i="2"/>
  <c r="F10" i="2"/>
  <c r="Q5" i="2"/>
  <c r="P5" i="2"/>
  <c r="O5" i="2"/>
  <c r="N5" i="2"/>
  <c r="M5" i="2"/>
  <c r="L5" i="2"/>
  <c r="K5" i="2"/>
  <c r="J5" i="2"/>
  <c r="I5" i="2"/>
  <c r="H5" i="2"/>
  <c r="G5" i="2"/>
  <c r="F5" i="2"/>
  <c r="Q4" i="2"/>
  <c r="P4" i="2"/>
  <c r="O4" i="2"/>
  <c r="N4" i="2"/>
  <c r="M4" i="2"/>
  <c r="L4" i="2"/>
  <c r="K4" i="2"/>
  <c r="J4" i="2"/>
  <c r="I4" i="2"/>
  <c r="H4" i="2"/>
  <c r="G4" i="2"/>
  <c r="F4" i="2"/>
  <c r="Q96" i="2" l="1"/>
  <c r="M96" i="2"/>
  <c r="O95" i="2"/>
  <c r="L96" i="2"/>
  <c r="K96" i="2"/>
  <c r="K95" i="2"/>
  <c r="G96" i="2"/>
  <c r="J96" i="2"/>
  <c r="I95" i="2"/>
  <c r="N95" i="2"/>
  <c r="J95" i="2"/>
  <c r="H95" i="2"/>
  <c r="G95" i="2"/>
  <c r="F95" i="2"/>
  <c r="P95" i="2"/>
  <c r="I96" i="2"/>
  <c r="L95" i="2"/>
  <c r="M95" i="2"/>
  <c r="H96" i="2"/>
  <c r="P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fgalli\AppData\Local\Packages\Microsoft.MicrosoftEdge_8wekyb3d8bbwe\TempState\Downloads\query (5).iqy" keepAlive="1" name="query (5)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2" xr16:uid="{00000000-0015-0000-FFFF-FFFF01000000}" odcFile="C:\Users\fgalli\AppData\Local\Packages\Microsoft.MicrosoftEdge_8wekyb3d8bbwe\TempState\Downloads\query (5).iqy" keepAlive="1" name="query (5)1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3" xr16:uid="{00000000-0015-0000-FFFF-FFFF02000000}" odcFile="C:\Users\fgalli\AppData\Local\Packages\Microsoft.MicrosoftEdge_8wekyb3d8bbwe\TempState\Downloads\query (5).iqy" keepAlive="1" name="query (5)11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4" xr16:uid="{00000000-0015-0000-FFFF-FFFF03000000}" odcFile="C:\Users\fgalli\AppData\Local\Packages\Microsoft.MicrosoftEdge_8wekyb3d8bbwe\TempState\Downloads\query (5).iqy" keepAlive="1" name="query (5)111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5" xr16:uid="{00000000-0015-0000-FFFF-FFFF04000000}" odcFile="C:\Users\fgalli\AppData\Local\Packages\Microsoft.MicrosoftEdge_8wekyb3d8bbwe\TempState\Downloads\query (5).iqy" keepAlive="1" name="query (5)1111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6" xr16:uid="{00000000-0015-0000-FFFF-FFFF05000000}" odcFile="C:\Users\fgalli\AppData\Local\Packages\Microsoft.MicrosoftEdge_8wekyb3d8bbwe\TempState\Downloads\query (5).iqy" keepAlive="1" name="query (5)1112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7" xr16:uid="{00000000-0015-0000-FFFF-FFFF06000000}" odcFile="C:\Users\fgalli\AppData\Local\Packages\Microsoft.MicrosoftEdge_8wekyb3d8bbwe\TempState\Downloads\query (5).iqy" keepAlive="1" name="query (5)112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8" xr16:uid="{00000000-0015-0000-FFFF-FFFF07000000}" odcFile="C:\Users\fgalli\AppData\Local\Packages\Microsoft.MicrosoftEdge_8wekyb3d8bbwe\TempState\Downloads\query (5).iqy" keepAlive="1" name="query (5)1121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9" xr16:uid="{00000000-0015-0000-FFFF-FFFF08000000}" odcFile="C:\Users\fgalli\AppData\Local\Packages\Microsoft.MicrosoftEdge_8wekyb3d8bbwe\TempState\Downloads\query (5).iqy" keepAlive="1" name="query (5)1122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  <connection id="10" xr16:uid="{9B8212B4-A4A2-4BD6-8B9E-C56B57576578}" odcFile="C:\Users\fgalli\AppData\Local\Packages\Microsoft.MicrosoftEdge_8wekyb3d8bbwe\TempState\Downloads\query (5).iqy" keepAlive="1" name="query (5)113" type="5" refreshedVersion="6" minRefreshableVersion="3" saveData="1">
    <dbPr connection="Provider=Microsoft.Office.List.OLEDB.2.0;Data Source=&quot;&quot;;ApplicationName=Excel;Version=12.0.0.0" command="&lt;LIST&gt;&lt;VIEWGUID&gt;A5E81655-CDB0-42B5-8F10-2717FE314C0C&lt;/VIEWGUID&gt;&lt;LISTNAME&gt;{321FDB9A-C627-4887-929D-93DA48C018E8}&lt;/LISTNAME&gt;&lt;LISTWEB&gt;https://candygroup.sharepoint.com/sites/HaierEurope-WashingMFGDashboard2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<sst xmlns="http://schemas.openxmlformats.org/spreadsheetml/2006/main" count="459" uniqueCount="138">
  <si>
    <t>Operational KPIs</t>
  </si>
  <si>
    <t xml:space="preserve">Unit </t>
  </si>
  <si>
    <t>Data</t>
  </si>
  <si>
    <t>J</t>
  </si>
  <si>
    <t>F</t>
  </si>
  <si>
    <t>M</t>
  </si>
  <si>
    <t>A</t>
  </si>
  <si>
    <t>S</t>
  </si>
  <si>
    <t>O</t>
  </si>
  <si>
    <t>N</t>
  </si>
  <si>
    <t>D</t>
  </si>
  <si>
    <t xml:space="preserve">EEH&amp;S </t>
  </si>
  <si>
    <t>Number</t>
  </si>
  <si>
    <t>Natural Gas Consumption</t>
  </si>
  <si>
    <t>Total waste</t>
  </si>
  <si>
    <t xml:space="preserve">Waste recycled </t>
  </si>
  <si>
    <t>%</t>
  </si>
  <si>
    <t>ppm</t>
  </si>
  <si>
    <t>Scrap Cost</t>
  </si>
  <si>
    <t>Hold Products</t>
  </si>
  <si>
    <t>People</t>
  </si>
  <si>
    <t>Headcount
Direct Blue Collars</t>
  </si>
  <si>
    <t>Headcount
Indirect Blue Collars</t>
  </si>
  <si>
    <t>Headcount
White Collars</t>
  </si>
  <si>
    <t xml:space="preserve">Overtime
Direct Blue Collars </t>
  </si>
  <si>
    <t xml:space="preserve">Overtime
Indirect Blue Collars </t>
  </si>
  <si>
    <t xml:space="preserve">Production </t>
  </si>
  <si>
    <t>Assembly yield</t>
  </si>
  <si>
    <t>Production efficiency</t>
  </si>
  <si>
    <t>Productivity index</t>
  </si>
  <si>
    <t>Labor Efficiency</t>
  </si>
  <si>
    <t>Supply Chain</t>
  </si>
  <si>
    <t>Industrial inventory DOS</t>
  </si>
  <si>
    <t>days</t>
  </si>
  <si>
    <t>ReferenceMonth</t>
  </si>
  <si>
    <t>Incident Rate</t>
  </si>
  <si>
    <t>Accidents</t>
  </si>
  <si>
    <t>Total Waste</t>
  </si>
  <si>
    <t>Recycled Waste Percentage</t>
  </si>
  <si>
    <t>HC - Direct BC</t>
  </si>
  <si>
    <t>HC - Indirect BC</t>
  </si>
  <si>
    <t>HC - White Collars</t>
  </si>
  <si>
    <t>Overtime - Direct BC</t>
  </si>
  <si>
    <t>Assembly Yield</t>
  </si>
  <si>
    <t>Production Efficiency</t>
  </si>
  <si>
    <t>Productivity Index</t>
  </si>
  <si>
    <t>Logistics Indirect Workers</t>
  </si>
  <si>
    <t>Logistics White Collars</t>
  </si>
  <si>
    <t>Days of Stock</t>
  </si>
  <si>
    <t>Factory Name</t>
  </si>
  <si>
    <t>Kg/Unit</t>
  </si>
  <si>
    <t>Cubic
meters/Unit</t>
  </si>
  <si>
    <t>€/Unit</t>
  </si>
  <si>
    <t>Cubic meters/Unit</t>
  </si>
  <si>
    <t>Days</t>
  </si>
  <si>
    <t>KWh/Unit</t>
  </si>
  <si>
    <t>Spare Parts Back Orders Lines</t>
  </si>
  <si>
    <t>Spare Parts Back Order Volumes</t>
  </si>
  <si>
    <t>Spare Parts Back Order Lines</t>
  </si>
  <si>
    <t>Customer Service Back Order Volumes</t>
  </si>
  <si>
    <t>Hours</t>
  </si>
  <si>
    <t xml:space="preserve">Outputs </t>
  </si>
  <si>
    <t xml:space="preserve">Net worked hours </t>
  </si>
  <si>
    <t xml:space="preserve">Number of workers </t>
  </si>
  <si>
    <t xml:space="preserve">Worked hours </t>
  </si>
  <si>
    <t>EFE</t>
  </si>
  <si>
    <t>CFE</t>
  </si>
  <si>
    <t>Quality</t>
  </si>
  <si>
    <t>Supplier</t>
  </si>
  <si>
    <t>Hold products</t>
  </si>
  <si>
    <t>#</t>
  </si>
  <si>
    <t>€/unit</t>
  </si>
  <si>
    <t>Mix accuracy</t>
  </si>
  <si>
    <t>Headcount</t>
  </si>
  <si>
    <t>Direct Blue Collars</t>
  </si>
  <si>
    <t>Breakdown</t>
  </si>
  <si>
    <t>Supervisors/team leaders</t>
  </si>
  <si>
    <t>Material Handlers</t>
  </si>
  <si>
    <t>Rework operators</t>
  </si>
  <si>
    <t xml:space="preserve">Other Direct Blue Collars </t>
  </si>
  <si>
    <t>HQD</t>
  </si>
  <si>
    <t>Overtime - Indirect BC</t>
  </si>
  <si>
    <t>Waste Recycled</t>
  </si>
  <si>
    <t>Headcount Direct Blue Collars</t>
  </si>
  <si>
    <t>Headcount Indirect Blue Collars</t>
  </si>
  <si>
    <t>Headcount White Collars</t>
  </si>
  <si>
    <t xml:space="preserve">Overtime Direct Blue Collars </t>
  </si>
  <si>
    <t xml:space="preserve">Overtime Indirect Blue Collars </t>
  </si>
  <si>
    <t>Energy Consumption</t>
  </si>
  <si>
    <t>GHG Emissions</t>
  </si>
  <si>
    <t>KgCO2/unit</t>
  </si>
  <si>
    <t>Defects @ Finished Products audit</t>
  </si>
  <si>
    <t>ODL</t>
  </si>
  <si>
    <t>kgCO2/Unit</t>
  </si>
  <si>
    <t>Budget Volumes</t>
  </si>
  <si>
    <t>Kunits</t>
  </si>
  <si>
    <t>Compliance Ratio</t>
  </si>
  <si>
    <t>Incident rate (incl.Recordable)</t>
  </si>
  <si>
    <t>CK</t>
  </si>
  <si>
    <t>Voice of Consumer Offenders-OVEN</t>
  </si>
  <si>
    <t>Voice of Consumer Offenders-HOBS</t>
  </si>
  <si>
    <t>EPQ (M-4) 12 MR - Ovens (Halino)</t>
  </si>
  <si>
    <t>EPQ (M-4) 12 MR - Ovens-Titanium</t>
  </si>
  <si>
    <t xml:space="preserve">EPQ (M-4) 12 MR -Hobs </t>
  </si>
  <si>
    <t>EPQ (M-4) 12 MR - Ovens (TITANIUM)</t>
  </si>
  <si>
    <t>EPQ (M-4) 12 MR - HOBS</t>
  </si>
  <si>
    <t>1MIS - Ovens(Halino)</t>
  </si>
  <si>
    <t>1MIS - Ovens-Titanium</t>
  </si>
  <si>
    <t>1MIS -Hobs</t>
  </si>
  <si>
    <t>Right First Time (FPY)-OVENS</t>
  </si>
  <si>
    <t>Right First Time (FPY)-HOBS</t>
  </si>
  <si>
    <t>Right First Time (FPY) OVENS</t>
  </si>
  <si>
    <t>Right First Time (FPY) HOBS</t>
  </si>
  <si>
    <t>YTD 2026</t>
  </si>
  <si>
    <t>Target 2026</t>
  </si>
  <si>
    <t>Actual 2026</t>
  </si>
  <si>
    <t>Budget 2026</t>
  </si>
  <si>
    <t>OEE QS WELDING LINE</t>
  </si>
  <si>
    <t>OEE DOOR SILICON HALINO</t>
  </si>
  <si>
    <t>OEE UNIHOB TRANSFER</t>
  </si>
  <si>
    <t xml:space="preserve">Paid Absenteeism drect blue collars </t>
  </si>
  <si>
    <t xml:space="preserve">Unpaid Absenteeism drect blue collars </t>
  </si>
  <si>
    <t>YTD 2025</t>
  </si>
  <si>
    <t>Actual 2025</t>
  </si>
  <si>
    <t xml:space="preserve">Absenteeism </t>
  </si>
  <si>
    <t xml:space="preserve">Paid Absenteeism direct blue collars </t>
  </si>
  <si>
    <t xml:space="preserve">Unpaid Absenteeism direct blue collars </t>
  </si>
  <si>
    <t xml:space="preserve">Accidents </t>
  </si>
  <si>
    <t>MBR</t>
  </si>
  <si>
    <t>ilk 5 ay</t>
  </si>
  <si>
    <t>İsmet Bey</t>
  </si>
  <si>
    <t>total</t>
  </si>
  <si>
    <t>Bengisu Hanım</t>
  </si>
  <si>
    <t>Toplam</t>
  </si>
  <si>
    <t>Fatih Bey+Bengisu Hanım</t>
  </si>
  <si>
    <t>bengisu hanım</t>
  </si>
  <si>
    <t>mbr</t>
  </si>
  <si>
    <t>CK1+CK2 İLK 5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</si>
</sst>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%"/>
    <numFmt numFmtId="166" formatCode="0.0"/>
    <numFmt numFmtId="167" formatCode="0.000"/>
    <numFmt numFmtId="168" formatCode="[$-409]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sz val="9"/>
      <color rgb="FF000000"/>
      <name val="Calibri"/>
      <family val="2"/>
    </font>
    <font>
      <i/>
      <sz val="8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204"/>
    </font>
    <font>
      <i/>
      <sz val="10"/>
      <color rgb="FF000000"/>
      <name val="Calibri"/>
      <family val="2"/>
      <charset val="204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73763"/>
      </left>
      <right style="thin">
        <color rgb="FF073763"/>
      </right>
      <top style="thin">
        <color rgb="FF000000"/>
      </top>
      <bottom/>
      <diagonal/>
    </border>
    <border>
      <left style="thin">
        <color rgb="FF073763"/>
      </left>
      <right style="thin">
        <color rgb="FF073763"/>
      </right>
      <top/>
      <bottom style="thin">
        <color rgb="FF000000"/>
      </bottom>
      <diagonal/>
    </border>
    <border>
      <left/>
      <right style="thin">
        <color rgb="FF073763"/>
      </right>
      <top style="thin">
        <color rgb="FF000000"/>
      </top>
      <bottom/>
      <diagonal/>
    </border>
    <border>
      <left/>
      <right style="thin">
        <color rgb="FF073763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73763"/>
      </left>
      <right style="thin">
        <color rgb="FF0737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73763"/>
      </left>
      <right style="thin">
        <color rgb="FF073763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73763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73763"/>
      </left>
      <right style="thin">
        <color rgb="FF073763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9">
    <xf numFmtId="0" fontId="0" fillId="0" borderId="0" xfId="0"/>
    <xf numFmtId="0" fontId="3" fillId="2" borderId="0" xfId="2" applyFont="1" applyFill="1"/>
    <xf numFmtId="0" fontId="2" fillId="0" borderId="0" xfId="2"/>
    <xf numFmtId="0" fontId="3" fillId="2" borderId="0" xfId="2" applyFont="1" applyFill="1" applyAlignment="1">
      <alignment vertical="center"/>
    </xf>
    <xf numFmtId="4" fontId="11" fillId="0" borderId="1" xfId="2" applyNumberFormat="1" applyFont="1" applyBorder="1" applyAlignment="1">
      <alignment horizontal="center" vertical="center"/>
    </xf>
    <xf numFmtId="3" fontId="10" fillId="2" borderId="3" xfId="2" applyNumberFormat="1" applyFont="1" applyFill="1" applyBorder="1" applyAlignment="1">
      <alignment vertical="center"/>
    </xf>
    <xf numFmtId="0" fontId="10" fillId="2" borderId="5" xfId="2" applyFont="1" applyFill="1" applyBorder="1" applyAlignment="1">
      <alignment vertical="center"/>
    </xf>
    <xf numFmtId="3" fontId="11" fillId="0" borderId="1" xfId="2" applyNumberFormat="1" applyFont="1" applyBorder="1" applyAlignment="1">
      <alignment horizontal="center" vertical="center"/>
    </xf>
    <xf numFmtId="3" fontId="12" fillId="2" borderId="2" xfId="2" applyNumberFormat="1" applyFont="1" applyFill="1" applyBorder="1" applyAlignment="1">
      <alignment horizontal="center" vertical="center"/>
    </xf>
    <xf numFmtId="165" fontId="11" fillId="0" borderId="1" xfId="2" applyNumberFormat="1" applyFont="1" applyBorder="1" applyAlignment="1">
      <alignment horizontal="center" vertical="center"/>
    </xf>
    <xf numFmtId="166" fontId="11" fillId="0" borderId="1" xfId="2" applyNumberFormat="1" applyFont="1" applyBorder="1" applyAlignment="1">
      <alignment horizontal="center" vertical="center"/>
    </xf>
    <xf numFmtId="165" fontId="11" fillId="2" borderId="1" xfId="2" applyNumberFormat="1" applyFont="1" applyFill="1" applyBorder="1" applyAlignment="1">
      <alignment horizontal="center" vertical="center"/>
    </xf>
    <xf numFmtId="0" fontId="3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wrapText="1"/>
    </xf>
    <xf numFmtId="0" fontId="3" fillId="2" borderId="0" xfId="2" applyFont="1" applyFill="1" applyAlignment="1">
      <alignment horizontal="left"/>
    </xf>
    <xf numFmtId="0" fontId="3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 vertical="center"/>
    </xf>
    <xf numFmtId="14" fontId="0" fillId="0" borderId="0" xfId="0" applyNumberFormat="1"/>
    <xf numFmtId="0" fontId="14" fillId="0" borderId="0" xfId="0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2" fontId="0" fillId="0" borderId="0" xfId="0" applyNumberFormat="1"/>
    <xf numFmtId="1" fontId="11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11" fillId="0" borderId="1" xfId="1" applyFont="1" applyBorder="1" applyAlignment="1">
      <alignment horizontal="center" vertical="center"/>
    </xf>
    <xf numFmtId="9" fontId="12" fillId="0" borderId="1" xfId="1" applyFont="1" applyBorder="1" applyAlignment="1">
      <alignment horizontal="center" vertical="center"/>
    </xf>
    <xf numFmtId="0" fontId="9" fillId="2" borderId="14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vertical="center" wrapText="1"/>
    </xf>
    <xf numFmtId="3" fontId="10" fillId="2" borderId="25" xfId="2" applyNumberFormat="1" applyFont="1" applyFill="1" applyBorder="1" applyAlignment="1">
      <alignment vertical="center"/>
    </xf>
    <xf numFmtId="0" fontId="10" fillId="2" borderId="26" xfId="2" applyFont="1" applyFill="1" applyBorder="1" applyAlignment="1">
      <alignment vertical="center"/>
    </xf>
    <xf numFmtId="0" fontId="6" fillId="3" borderId="11" xfId="2" applyFont="1" applyFill="1" applyBorder="1" applyAlignment="1">
      <alignment horizontal="center" vertical="center"/>
    </xf>
    <xf numFmtId="0" fontId="2" fillId="0" borderId="10" xfId="2" applyBorder="1"/>
    <xf numFmtId="0" fontId="2" fillId="0" borderId="12" xfId="2" applyBorder="1"/>
    <xf numFmtId="0" fontId="16" fillId="0" borderId="12" xfId="2" applyFont="1" applyBorder="1"/>
    <xf numFmtId="0" fontId="2" fillId="0" borderId="14" xfId="2" applyBorder="1" applyAlignment="1">
      <alignment horizontal="center"/>
    </xf>
    <xf numFmtId="0" fontId="2" fillId="0" borderId="14" xfId="2" applyBorder="1" applyAlignment="1">
      <alignment horizontal="center" vertical="center"/>
    </xf>
    <xf numFmtId="0" fontId="4" fillId="3" borderId="21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2" fillId="0" borderId="38" xfId="2" applyBorder="1"/>
    <xf numFmtId="0" fontId="2" fillId="0" borderId="16" xfId="2" applyBorder="1" applyAlignment="1">
      <alignment horizontal="center"/>
    </xf>
    <xf numFmtId="0" fontId="2" fillId="0" borderId="16" xfId="2" applyBorder="1" applyAlignment="1">
      <alignment horizontal="center" vertical="center"/>
    </xf>
    <xf numFmtId="0" fontId="8" fillId="2" borderId="20" xfId="2" applyFont="1" applyFill="1" applyBorder="1" applyAlignment="1">
      <alignment vertical="center" wrapText="1"/>
    </xf>
    <xf numFmtId="168" fontId="0" fillId="0" borderId="0" xfId="0" applyNumberFormat="1"/>
    <xf numFmtId="4" fontId="12" fillId="2" borderId="2" xfId="2" applyNumberFormat="1" applyFont="1" applyFill="1" applyBorder="1" applyAlignment="1">
      <alignment horizontal="center" vertical="center"/>
    </xf>
    <xf numFmtId="165" fontId="11" fillId="0" borderId="3" xfId="2" applyNumberFormat="1" applyFont="1" applyBorder="1" applyAlignment="1">
      <alignment horizontal="center" vertical="center"/>
    </xf>
    <xf numFmtId="165" fontId="11" fillId="0" borderId="45" xfId="2" applyNumberFormat="1" applyFont="1" applyBorder="1" applyAlignment="1">
      <alignment horizontal="center" vertical="center"/>
    </xf>
    <xf numFmtId="165" fontId="11" fillId="0" borderId="46" xfId="2" applyNumberFormat="1" applyFont="1" applyBorder="1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2" fontId="1" fillId="0" borderId="0" xfId="3" applyNumberFormat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0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0" fontId="0" fillId="0" borderId="0" xfId="5" applyNumberFormat="1" applyFont="1" applyFill="1" applyAlignment="1" applyProtection="1">
      <alignment horizontal="center"/>
      <protection locked="0"/>
    </xf>
    <xf numFmtId="1" fontId="0" fillId="0" borderId="0" xfId="5" applyNumberFormat="1" applyFont="1" applyFill="1" applyAlignment="1" applyProtection="1">
      <alignment horizontal="center" vertical="center"/>
      <protection locked="0"/>
    </xf>
    <xf numFmtId="165" fontId="0" fillId="0" borderId="0" xfId="1" applyNumberFormat="1" applyFont="1" applyAlignment="1" applyProtection="1">
      <alignment horizontal="center" vertical="center"/>
      <protection locked="0"/>
    </xf>
    <xf numFmtId="0" fontId="10" fillId="2" borderId="29" xfId="2" applyFont="1" applyFill="1" applyBorder="1" applyAlignment="1">
      <alignment horizontal="left" vertical="center"/>
    </xf>
    <xf numFmtId="0" fontId="10" fillId="2" borderId="39" xfId="2" applyFont="1" applyFill="1" applyBorder="1" applyAlignment="1">
      <alignment horizontal="left" vertical="center"/>
    </xf>
    <xf numFmtId="0" fontId="2" fillId="0" borderId="43" xfId="2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5" applyNumberFormat="1" applyFont="1" applyAlignment="1" applyProtection="1">
      <alignment horizontal="center"/>
      <protection locked="0"/>
    </xf>
    <xf numFmtId="166" fontId="12" fillId="0" borderId="1" xfId="2" applyNumberFormat="1" applyFont="1" applyBorder="1" applyAlignment="1">
      <alignment horizontal="center" vertical="center"/>
    </xf>
    <xf numFmtId="165" fontId="15" fillId="0" borderId="0" xfId="5" applyNumberFormat="1" applyFont="1" applyFill="1" applyAlignment="1" applyProtection="1">
      <alignment horizontal="center" vertical="center"/>
      <protection locked="0"/>
    </xf>
    <xf numFmtId="165" fontId="11" fillId="0" borderId="14" xfId="2" applyNumberFormat="1" applyFont="1" applyBorder="1" applyAlignment="1">
      <alignment horizontal="center" vertical="center"/>
    </xf>
    <xf numFmtId="165" fontId="11" fillId="0" borderId="53" xfId="2" applyNumberFormat="1" applyFont="1" applyBorder="1" applyAlignment="1">
      <alignment horizontal="center" vertical="center"/>
    </xf>
    <xf numFmtId="3" fontId="11" fillId="0" borderId="53" xfId="2" applyNumberFormat="1" applyFont="1" applyBorder="1" applyAlignment="1">
      <alignment horizontal="center" vertical="center"/>
    </xf>
    <xf numFmtId="1" fontId="11" fillId="0" borderId="53" xfId="2" applyNumberFormat="1" applyFont="1" applyBorder="1" applyAlignment="1">
      <alignment horizontal="center" vertical="center"/>
    </xf>
    <xf numFmtId="165" fontId="11" fillId="0" borderId="15" xfId="2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5" borderId="0" xfId="0" applyFill="1"/>
    <xf numFmtId="0" fontId="4" fillId="3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164" fontId="11" fillId="0" borderId="14" xfId="2" applyNumberFormat="1" applyFont="1" applyBorder="1" applyAlignment="1">
      <alignment horizontal="center" vertical="center"/>
    </xf>
    <xf numFmtId="3" fontId="11" fillId="0" borderId="14" xfId="2" applyNumberFormat="1" applyFont="1" applyBorder="1" applyAlignment="1">
      <alignment horizontal="center" vertical="center"/>
    </xf>
    <xf numFmtId="3" fontId="12" fillId="2" borderId="14" xfId="2" applyNumberFormat="1" applyFont="1" applyFill="1" applyBorder="1" applyAlignment="1">
      <alignment horizontal="center" vertical="center"/>
    </xf>
    <xf numFmtId="2" fontId="12" fillId="2" borderId="14" xfId="2" applyNumberFormat="1" applyFont="1" applyFill="1" applyBorder="1" applyAlignment="1">
      <alignment horizontal="center" vertical="center"/>
    </xf>
    <xf numFmtId="4" fontId="11" fillId="0" borderId="14" xfId="2" applyNumberFormat="1" applyFont="1" applyBorder="1" applyAlignment="1">
      <alignment horizontal="center" vertical="center"/>
    </xf>
    <xf numFmtId="4" fontId="12" fillId="2" borderId="14" xfId="2" applyNumberFormat="1" applyFont="1" applyFill="1" applyBorder="1" applyAlignment="1">
      <alignment horizontal="center" vertical="center"/>
    </xf>
    <xf numFmtId="164" fontId="12" fillId="2" borderId="14" xfId="2" applyNumberFormat="1" applyFont="1" applyFill="1" applyBorder="1" applyAlignment="1">
      <alignment horizontal="center" vertical="center"/>
    </xf>
    <xf numFmtId="10" fontId="11" fillId="0" borderId="14" xfId="2" applyNumberFormat="1" applyFont="1" applyBorder="1" applyAlignment="1">
      <alignment horizontal="center" vertical="center"/>
    </xf>
    <xf numFmtId="164" fontId="11" fillId="0" borderId="15" xfId="2" applyNumberFormat="1" applyFont="1" applyBorder="1" applyAlignment="1">
      <alignment horizontal="center" vertical="center"/>
    </xf>
    <xf numFmtId="3" fontId="12" fillId="2" borderId="15" xfId="2" applyNumberFormat="1" applyFont="1" applyFill="1" applyBorder="1" applyAlignment="1">
      <alignment horizontal="center" vertical="center"/>
    </xf>
    <xf numFmtId="3" fontId="11" fillId="0" borderId="15" xfId="2" applyNumberFormat="1" applyFont="1" applyBorder="1" applyAlignment="1">
      <alignment horizontal="center" vertical="center"/>
    </xf>
    <xf numFmtId="2" fontId="12" fillId="2" borderId="15" xfId="2" applyNumberFormat="1" applyFont="1" applyFill="1" applyBorder="1" applyAlignment="1">
      <alignment horizontal="center" vertical="center"/>
    </xf>
    <xf numFmtId="4" fontId="11" fillId="0" borderId="15" xfId="2" applyNumberFormat="1" applyFont="1" applyBorder="1" applyAlignment="1">
      <alignment horizontal="center" vertical="center"/>
    </xf>
    <xf numFmtId="164" fontId="12" fillId="2" borderId="15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" fontId="11" fillId="0" borderId="27" xfId="2" applyNumberFormat="1" applyFont="1" applyBorder="1" applyAlignment="1">
      <alignment horizontal="center" vertical="center"/>
    </xf>
    <xf numFmtId="4" fontId="12" fillId="2" borderId="15" xfId="2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11" fillId="0" borderId="0" xfId="2" applyNumberFormat="1" applyFont="1" applyAlignment="1">
      <alignment horizontal="center" vertical="center"/>
    </xf>
    <xf numFmtId="4" fontId="11" fillId="0" borderId="0" xfId="2" applyNumberFormat="1" applyFont="1" applyAlignment="1">
      <alignment horizontal="center" vertical="center"/>
    </xf>
    <xf numFmtId="10" fontId="0" fillId="0" borderId="0" xfId="5" applyNumberFormat="1" applyFont="1" applyFill="1" applyAlignment="1" applyProtection="1">
      <alignment horizontal="center" vertical="center"/>
      <protection locked="0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 applyProtection="1">
      <alignment horizontal="center" vertical="center"/>
      <protection locked="0"/>
    </xf>
    <xf numFmtId="9" fontId="0" fillId="0" borderId="0" xfId="5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1" fontId="2" fillId="0" borderId="50" xfId="2" applyNumberFormat="1" applyBorder="1" applyAlignment="1">
      <alignment horizontal="center"/>
    </xf>
    <xf numFmtId="1" fontId="2" fillId="0" borderId="43" xfId="2" applyNumberFormat="1" applyBorder="1" applyAlignment="1">
      <alignment horizontal="center" vertical="center"/>
    </xf>
    <xf numFmtId="1" fontId="2" fillId="0" borderId="51" xfId="2" applyNumberFormat="1" applyBorder="1" applyAlignment="1">
      <alignment horizontal="center"/>
    </xf>
    <xf numFmtId="1" fontId="2" fillId="0" borderId="14" xfId="2" applyNumberFormat="1" applyBorder="1" applyAlignment="1">
      <alignment horizontal="center" vertical="center"/>
    </xf>
    <xf numFmtId="1" fontId="2" fillId="0" borderId="52" xfId="2" applyNumberFormat="1" applyBorder="1" applyAlignment="1">
      <alignment horizontal="center"/>
    </xf>
    <xf numFmtId="1" fontId="2" fillId="0" borderId="16" xfId="2" applyNumberForma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Fill="1" applyAlignment="1" applyProtection="1">
      <alignment horizontal="center" vertical="center"/>
      <protection locked="0"/>
    </xf>
    <xf numFmtId="165" fontId="15" fillId="0" borderId="0" xfId="1" applyNumberFormat="1" applyFont="1" applyFill="1" applyAlignment="1" applyProtection="1">
      <alignment horizontal="center" vertical="center"/>
      <protection locked="0"/>
    </xf>
    <xf numFmtId="165" fontId="0" fillId="0" borderId="0" xfId="1" applyNumberFormat="1" applyFont="1" applyAlignment="1" applyProtection="1">
      <alignment horizontal="center"/>
      <protection locked="0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4" fontId="1" fillId="0" borderId="0" xfId="3" applyNumberFormat="1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5" fillId="0" borderId="13" xfId="2" applyFont="1" applyBorder="1"/>
    <xf numFmtId="0" fontId="9" fillId="2" borderId="57" xfId="2" applyFon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0" fillId="7" borderId="0" xfId="0" applyFill="1"/>
    <xf numFmtId="165" fontId="0" fillId="6" borderId="0" xfId="1" applyNumberFormat="1" applyFont="1" applyFill="1" applyAlignment="1">
      <alignment horizontal="center" vertical="center"/>
    </xf>
    <xf numFmtId="167" fontId="0" fillId="6" borderId="0" xfId="1" applyNumberFormat="1" applyFont="1" applyFill="1"/>
    <xf numFmtId="167" fontId="0" fillId="6" borderId="0" xfId="1" applyNumberFormat="1" applyFont="1" applyFill="1" applyAlignment="1" applyProtection="1">
      <alignment horizontal="center" vertical="center"/>
      <protection locked="0"/>
    </xf>
    <xf numFmtId="167" fontId="0" fillId="6" borderId="0" xfId="5" applyNumberFormat="1" applyFont="1" applyFill="1" applyAlignment="1" applyProtection="1">
      <alignment horizontal="center" vertical="center"/>
      <protection locked="0"/>
    </xf>
    <xf numFmtId="165" fontId="0" fillId="6" borderId="0" xfId="1" applyNumberFormat="1" applyFont="1" applyFill="1" applyAlignment="1" applyProtection="1">
      <alignment horizontal="center" vertical="center"/>
      <protection locked="0"/>
    </xf>
    <xf numFmtId="16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166" fontId="0" fillId="6" borderId="0" xfId="0" applyNumberFormat="1" applyFill="1" applyAlignment="1" applyProtection="1">
      <alignment horizontal="center"/>
      <protection locked="0"/>
    </xf>
    <xf numFmtId="1" fontId="0" fillId="6" borderId="0" xfId="0" applyNumberFormat="1" applyFill="1" applyAlignment="1" applyProtection="1">
      <alignment horizontal="center"/>
      <protection locked="0"/>
    </xf>
    <xf numFmtId="166" fontId="0" fillId="6" borderId="0" xfId="5" applyNumberFormat="1" applyFont="1" applyFill="1" applyAlignment="1" applyProtection="1">
      <alignment horizontal="center"/>
      <protection locked="0"/>
    </xf>
    <xf numFmtId="1" fontId="0" fillId="6" borderId="0" xfId="5" applyNumberFormat="1" applyFont="1" applyFill="1" applyAlignment="1" applyProtection="1">
      <alignment horizontal="center"/>
      <protection locked="0"/>
    </xf>
    <xf numFmtId="2" fontId="19" fillId="8" borderId="14" xfId="2" applyNumberFormat="1" applyFont="1" applyFill="1" applyBorder="1" applyAlignment="1">
      <alignment horizontal="center"/>
    </xf>
    <xf numFmtId="0" fontId="19" fillId="8" borderId="14" xfId="2" applyFon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3" fontId="10" fillId="2" borderId="59" xfId="2" applyNumberFormat="1" applyFont="1" applyFill="1" applyBorder="1" applyAlignment="1">
      <alignment vertical="center"/>
    </xf>
    <xf numFmtId="0" fontId="8" fillId="2" borderId="60" xfId="2" applyFont="1" applyFill="1" applyBorder="1" applyAlignment="1">
      <alignment vertical="center" wrapText="1"/>
    </xf>
    <xf numFmtId="0" fontId="10" fillId="2" borderId="61" xfId="2" applyFont="1" applyFill="1" applyBorder="1" applyAlignment="1">
      <alignment horizontal="left" vertical="center"/>
    </xf>
    <xf numFmtId="0" fontId="10" fillId="0" borderId="44" xfId="2" applyFont="1" applyBorder="1" applyAlignment="1">
      <alignment vertical="center"/>
    </xf>
    <xf numFmtId="3" fontId="10" fillId="0" borderId="15" xfId="2" applyNumberFormat="1" applyFont="1" applyBorder="1" applyAlignment="1">
      <alignment vertical="center"/>
    </xf>
    <xf numFmtId="0" fontId="10" fillId="2" borderId="15" xfId="2" applyFont="1" applyFill="1" applyBorder="1" applyAlignment="1">
      <alignment vertical="center"/>
    </xf>
    <xf numFmtId="3" fontId="10" fillId="2" borderId="15" xfId="2" applyNumberFormat="1" applyFont="1" applyFill="1" applyBorder="1" applyAlignment="1">
      <alignment vertical="center"/>
    </xf>
    <xf numFmtId="0" fontId="10" fillId="0" borderId="15" xfId="2" applyFont="1" applyBorder="1" applyAlignment="1">
      <alignment vertical="center"/>
    </xf>
    <xf numFmtId="3" fontId="10" fillId="0" borderId="17" xfId="2" applyNumberFormat="1" applyFont="1" applyBorder="1" applyAlignment="1">
      <alignment vertical="center"/>
    </xf>
    <xf numFmtId="0" fontId="8" fillId="2" borderId="51" xfId="2" applyFont="1" applyFill="1" applyBorder="1" applyAlignment="1">
      <alignment vertical="center" wrapText="1"/>
    </xf>
    <xf numFmtId="165" fontId="11" fillId="0" borderId="54" xfId="2" applyNumberFormat="1" applyFont="1" applyBorder="1" applyAlignment="1">
      <alignment horizontal="center" vertical="center"/>
    </xf>
    <xf numFmtId="3" fontId="11" fillId="4" borderId="14" xfId="2" applyNumberFormat="1" applyFont="1" applyFill="1" applyBorder="1" applyAlignment="1">
      <alignment horizontal="center" vertical="center"/>
    </xf>
    <xf numFmtId="165" fontId="12" fillId="2" borderId="14" xfId="2" applyNumberFormat="1" applyFont="1" applyFill="1" applyBorder="1" applyAlignment="1">
      <alignment horizontal="center" vertical="center"/>
    </xf>
    <xf numFmtId="165" fontId="11" fillId="0" borderId="43" xfId="2" applyNumberFormat="1" applyFont="1" applyBorder="1" applyAlignment="1">
      <alignment horizontal="center" vertical="center"/>
    </xf>
    <xf numFmtId="165" fontId="11" fillId="0" borderId="16" xfId="2" applyNumberFormat="1" applyFont="1" applyBorder="1" applyAlignment="1">
      <alignment horizontal="center" vertical="center"/>
    </xf>
    <xf numFmtId="3" fontId="10" fillId="2" borderId="29" xfId="2" applyNumberFormat="1" applyFont="1" applyFill="1" applyBorder="1" applyAlignment="1">
      <alignment vertical="center"/>
    </xf>
    <xf numFmtId="0" fontId="10" fillId="2" borderId="29" xfId="2" applyFont="1" applyFill="1" applyBorder="1" applyAlignment="1">
      <alignment vertical="center"/>
    </xf>
    <xf numFmtId="3" fontId="10" fillId="0" borderId="29" xfId="2" applyNumberFormat="1" applyFont="1" applyBorder="1" applyAlignment="1">
      <alignment vertical="center"/>
    </xf>
    <xf numFmtId="3" fontId="10" fillId="2" borderId="39" xfId="2" applyNumberFormat="1" applyFont="1" applyFill="1" applyBorder="1" applyAlignment="1">
      <alignment vertical="center"/>
    </xf>
    <xf numFmtId="165" fontId="11" fillId="0" borderId="50" xfId="2" applyNumberFormat="1" applyFont="1" applyBorder="1" applyAlignment="1">
      <alignment horizontal="center" vertical="center"/>
    </xf>
    <xf numFmtId="165" fontId="11" fillId="0" borderId="51" xfId="2" applyNumberFormat="1" applyFont="1" applyBorder="1" applyAlignment="1">
      <alignment horizontal="center" vertical="center"/>
    </xf>
    <xf numFmtId="3" fontId="11" fillId="0" borderId="51" xfId="2" applyNumberFormat="1" applyFont="1" applyBorder="1" applyAlignment="1">
      <alignment horizontal="center" vertical="center"/>
    </xf>
    <xf numFmtId="3" fontId="11" fillId="4" borderId="51" xfId="2" applyNumberFormat="1" applyFont="1" applyFill="1" applyBorder="1" applyAlignment="1">
      <alignment horizontal="center" vertical="center"/>
    </xf>
    <xf numFmtId="165" fontId="11" fillId="0" borderId="52" xfId="2" applyNumberFormat="1" applyFont="1" applyBorder="1" applyAlignment="1">
      <alignment horizontal="center" vertical="center"/>
    </xf>
    <xf numFmtId="10" fontId="2" fillId="9" borderId="14" xfId="2" applyNumberFormat="1" applyFill="1" applyBorder="1"/>
    <xf numFmtId="10" fontId="2" fillId="0" borderId="14" xfId="2" applyNumberFormat="1" applyBorder="1"/>
    <xf numFmtId="0" fontId="8" fillId="0" borderId="51" xfId="2" applyFont="1" applyBorder="1" applyAlignment="1">
      <alignment vertical="center" wrapText="1"/>
    </xf>
    <xf numFmtId="4" fontId="11" fillId="0" borderId="43" xfId="2" applyNumberFormat="1" applyFont="1" applyBorder="1" applyAlignment="1">
      <alignment horizontal="center" vertical="center"/>
    </xf>
    <xf numFmtId="4" fontId="11" fillId="0" borderId="44" xfId="2" applyNumberFormat="1" applyFont="1" applyBorder="1" applyAlignment="1">
      <alignment horizontal="center" vertical="center"/>
    </xf>
    <xf numFmtId="0" fontId="6" fillId="3" borderId="21" xfId="2" applyFont="1" applyFill="1" applyBorder="1" applyAlignment="1">
      <alignment horizontal="center" vertical="center"/>
    </xf>
    <xf numFmtId="3" fontId="11" fillId="0" borderId="64" xfId="2" applyNumberFormat="1" applyFont="1" applyBorder="1" applyAlignment="1">
      <alignment horizontal="center" vertical="center"/>
    </xf>
    <xf numFmtId="0" fontId="2" fillId="0" borderId="29" xfId="2" applyBorder="1" applyAlignment="1">
      <alignment horizontal="center"/>
    </xf>
    <xf numFmtId="0" fontId="2" fillId="0" borderId="39" xfId="2" applyBorder="1" applyAlignment="1">
      <alignment horizontal="center"/>
    </xf>
    <xf numFmtId="0" fontId="8" fillId="0" borderId="0" xfId="2" applyFont="1" applyAlignment="1">
      <alignment vertical="center" wrapText="1"/>
    </xf>
    <xf numFmtId="164" fontId="10" fillId="0" borderId="62" xfId="2" applyNumberFormat="1" applyFont="1" applyBorder="1" applyAlignment="1">
      <alignment vertical="center"/>
    </xf>
    <xf numFmtId="164" fontId="10" fillId="2" borderId="29" xfId="2" applyNumberFormat="1" applyFont="1" applyFill="1" applyBorder="1" applyAlignment="1">
      <alignment vertical="center"/>
    </xf>
    <xf numFmtId="164" fontId="11" fillId="0" borderId="50" xfId="2" applyNumberFormat="1" applyFont="1" applyBorder="1" applyAlignment="1">
      <alignment horizontal="center" vertical="center"/>
    </xf>
    <xf numFmtId="164" fontId="11" fillId="0" borderId="51" xfId="2" applyNumberFormat="1" applyFont="1" applyBorder="1" applyAlignment="1">
      <alignment horizontal="center" vertical="center"/>
    </xf>
    <xf numFmtId="2" fontId="12" fillId="2" borderId="51" xfId="2" applyNumberFormat="1" applyFont="1" applyFill="1" applyBorder="1" applyAlignment="1">
      <alignment horizontal="center" vertical="center"/>
    </xf>
    <xf numFmtId="4" fontId="11" fillId="0" borderId="51" xfId="2" applyNumberFormat="1" applyFont="1" applyBorder="1" applyAlignment="1">
      <alignment horizontal="center" vertical="center"/>
    </xf>
    <xf numFmtId="4" fontId="12" fillId="2" borderId="51" xfId="2" applyNumberFormat="1" applyFont="1" applyFill="1" applyBorder="1" applyAlignment="1">
      <alignment horizontal="center" vertical="center"/>
    </xf>
    <xf numFmtId="164" fontId="12" fillId="2" borderId="51" xfId="2" applyNumberFormat="1" applyFont="1" applyFill="1" applyBorder="1" applyAlignment="1">
      <alignment horizontal="center" vertical="center"/>
    </xf>
    <xf numFmtId="2" fontId="12" fillId="0" borderId="14" xfId="2" applyNumberFormat="1" applyFont="1" applyBorder="1" applyAlignment="1">
      <alignment horizontal="center" vertical="center"/>
    </xf>
    <xf numFmtId="2" fontId="12" fillId="0" borderId="15" xfId="2" applyNumberFormat="1" applyFont="1" applyBorder="1" applyAlignment="1">
      <alignment horizontal="center" vertical="center"/>
    </xf>
    <xf numFmtId="165" fontId="11" fillId="0" borderId="66" xfId="2" applyNumberFormat="1" applyFont="1" applyBorder="1" applyAlignment="1">
      <alignment horizontal="center" vertical="center"/>
    </xf>
    <xf numFmtId="165" fontId="11" fillId="0" borderId="57" xfId="2" applyNumberFormat="1" applyFont="1" applyBorder="1" applyAlignment="1">
      <alignment horizontal="center" vertical="center"/>
    </xf>
    <xf numFmtId="4" fontId="12" fillId="0" borderId="14" xfId="2" applyNumberFormat="1" applyFont="1" applyBorder="1" applyAlignment="1">
      <alignment horizontal="center" vertical="center"/>
    </xf>
    <xf numFmtId="4" fontId="18" fillId="0" borderId="14" xfId="2" applyNumberFormat="1" applyFont="1" applyBorder="1" applyAlignment="1">
      <alignment horizontal="center" vertical="center"/>
    </xf>
    <xf numFmtId="164" fontId="12" fillId="0" borderId="14" xfId="2" applyNumberFormat="1" applyFont="1" applyBorder="1" applyAlignment="1">
      <alignment horizontal="center" vertical="center"/>
    </xf>
    <xf numFmtId="4" fontId="12" fillId="0" borderId="15" xfId="2" applyNumberFormat="1" applyFont="1" applyBorder="1" applyAlignment="1">
      <alignment horizontal="center" vertical="center"/>
    </xf>
    <xf numFmtId="164" fontId="12" fillId="0" borderId="10" xfId="2" applyNumberFormat="1" applyFont="1" applyBorder="1" applyAlignment="1">
      <alignment horizontal="center" vertical="center"/>
    </xf>
    <xf numFmtId="164" fontId="12" fillId="0" borderId="65" xfId="2" applyNumberFormat="1" applyFont="1" applyBorder="1" applyAlignment="1">
      <alignment horizontal="center" vertical="center"/>
    </xf>
    <xf numFmtId="0" fontId="10" fillId="0" borderId="29" xfId="2" applyFont="1" applyBorder="1" applyAlignment="1">
      <alignment vertical="center"/>
    </xf>
    <xf numFmtId="2" fontId="12" fillId="0" borderId="51" xfId="2" applyNumberFormat="1" applyFont="1" applyBorder="1" applyAlignment="1">
      <alignment horizontal="center" vertical="center"/>
    </xf>
    <xf numFmtId="4" fontId="12" fillId="0" borderId="51" xfId="2" applyNumberFormat="1" applyFont="1" applyBorder="1" applyAlignment="1">
      <alignment horizontal="center" vertical="center"/>
    </xf>
    <xf numFmtId="164" fontId="12" fillId="0" borderId="35" xfId="2" applyNumberFormat="1" applyFont="1" applyBorder="1" applyAlignment="1">
      <alignment horizontal="center" vertical="center"/>
    </xf>
    <xf numFmtId="165" fontId="18" fillId="0" borderId="14" xfId="2" applyNumberFormat="1" applyFont="1" applyBorder="1" applyAlignment="1">
      <alignment horizontal="center" vertical="center"/>
    </xf>
    <xf numFmtId="165" fontId="18" fillId="0" borderId="15" xfId="2" applyNumberFormat="1" applyFont="1" applyBorder="1" applyAlignment="1">
      <alignment horizontal="center" vertical="center"/>
    </xf>
    <xf numFmtId="3" fontId="12" fillId="0" borderId="14" xfId="2" applyNumberFormat="1" applyFont="1" applyBorder="1" applyAlignment="1">
      <alignment horizontal="center" vertical="center"/>
    </xf>
    <xf numFmtId="3" fontId="12" fillId="0" borderId="15" xfId="2" applyNumberFormat="1" applyFont="1" applyBorder="1" applyAlignment="1">
      <alignment horizontal="center" vertical="center"/>
    </xf>
    <xf numFmtId="10" fontId="11" fillId="0" borderId="15" xfId="2" applyNumberFormat="1" applyFont="1" applyBorder="1" applyAlignment="1">
      <alignment horizontal="center" vertical="center"/>
    </xf>
    <xf numFmtId="1" fontId="11" fillId="0" borderId="14" xfId="1" applyNumberFormat="1" applyFont="1" applyFill="1" applyBorder="1" applyAlignment="1">
      <alignment horizontal="center" vertical="center"/>
    </xf>
    <xf numFmtId="1" fontId="12" fillId="0" borderId="14" xfId="1" applyNumberFormat="1" applyFont="1" applyFill="1" applyBorder="1" applyAlignment="1">
      <alignment horizontal="center" vertical="center"/>
    </xf>
    <xf numFmtId="166" fontId="12" fillId="0" borderId="14" xfId="1" applyNumberFormat="1" applyFont="1" applyFill="1" applyBorder="1" applyAlignment="1">
      <alignment horizontal="center" vertical="center"/>
    </xf>
    <xf numFmtId="166" fontId="12" fillId="0" borderId="15" xfId="1" applyNumberFormat="1" applyFont="1" applyFill="1" applyBorder="1" applyAlignment="1">
      <alignment horizontal="center" vertical="center"/>
    </xf>
    <xf numFmtId="165" fontId="11" fillId="0" borderId="67" xfId="2" applyNumberFormat="1" applyFont="1" applyBorder="1" applyAlignment="1">
      <alignment horizontal="center" vertical="center"/>
    </xf>
    <xf numFmtId="165" fontId="18" fillId="0" borderId="50" xfId="2" applyNumberFormat="1" applyFont="1" applyBorder="1" applyAlignment="1">
      <alignment horizontal="center" vertical="center"/>
    </xf>
    <xf numFmtId="165" fontId="18" fillId="0" borderId="43" xfId="2" applyNumberFormat="1" applyFont="1" applyBorder="1" applyAlignment="1">
      <alignment horizontal="center" vertical="center"/>
    </xf>
    <xf numFmtId="165" fontId="18" fillId="0" borderId="44" xfId="2" applyNumberFormat="1" applyFont="1" applyBorder="1" applyAlignment="1">
      <alignment horizontal="center" vertical="center"/>
    </xf>
    <xf numFmtId="165" fontId="11" fillId="0" borderId="68" xfId="2" applyNumberFormat="1" applyFont="1" applyBorder="1" applyAlignment="1">
      <alignment horizontal="center" vertical="center"/>
    </xf>
    <xf numFmtId="165" fontId="18" fillId="0" borderId="51" xfId="2" applyNumberFormat="1" applyFont="1" applyBorder="1" applyAlignment="1">
      <alignment horizontal="center" vertical="center"/>
    </xf>
    <xf numFmtId="3" fontId="12" fillId="2" borderId="68" xfId="2" applyNumberFormat="1" applyFont="1" applyFill="1" applyBorder="1" applyAlignment="1">
      <alignment horizontal="center" vertical="center"/>
    </xf>
    <xf numFmtId="1" fontId="11" fillId="0" borderId="68" xfId="2" applyNumberFormat="1" applyFont="1" applyBorder="1" applyAlignment="1">
      <alignment horizontal="center" vertical="center"/>
    </xf>
    <xf numFmtId="0" fontId="2" fillId="0" borderId="14" xfId="2" applyBorder="1"/>
    <xf numFmtId="0" fontId="2" fillId="0" borderId="15" xfId="2" applyBorder="1"/>
    <xf numFmtId="10" fontId="11" fillId="0" borderId="51" xfId="2" applyNumberFormat="1" applyFont="1" applyBorder="1" applyAlignment="1">
      <alignment horizontal="center" vertical="center"/>
    </xf>
    <xf numFmtId="1" fontId="11" fillId="0" borderId="51" xfId="1" applyNumberFormat="1" applyFont="1" applyFill="1" applyBorder="1" applyAlignment="1">
      <alignment horizontal="center" vertical="center"/>
    </xf>
    <xf numFmtId="0" fontId="2" fillId="0" borderId="51" xfId="2" applyBorder="1"/>
    <xf numFmtId="3" fontId="11" fillId="4" borderId="15" xfId="2" applyNumberFormat="1" applyFont="1" applyFill="1" applyBorder="1" applyAlignment="1">
      <alignment horizontal="center" vertical="center"/>
    </xf>
    <xf numFmtId="165" fontId="12" fillId="2" borderId="15" xfId="2" applyNumberFormat="1" applyFont="1" applyFill="1" applyBorder="1" applyAlignment="1">
      <alignment horizontal="center" vertical="center"/>
    </xf>
    <xf numFmtId="165" fontId="11" fillId="0" borderId="17" xfId="2" applyNumberFormat="1" applyFont="1" applyBorder="1" applyAlignment="1">
      <alignment horizontal="center" vertical="center"/>
    </xf>
    <xf numFmtId="0" fontId="10" fillId="0" borderId="62" xfId="2" applyFont="1" applyBorder="1" applyAlignment="1">
      <alignment vertical="center"/>
    </xf>
    <xf numFmtId="165" fontId="11" fillId="0" borderId="44" xfId="2" applyNumberFormat="1" applyFont="1" applyBorder="1" applyAlignment="1">
      <alignment horizontal="center" vertical="center"/>
    </xf>
    <xf numFmtId="165" fontId="11" fillId="0" borderId="25" xfId="2" applyNumberFormat="1" applyFont="1" applyBorder="1" applyAlignment="1">
      <alignment horizontal="center" vertical="center"/>
    </xf>
    <xf numFmtId="165" fontId="11" fillId="0" borderId="74" xfId="2" applyNumberFormat="1" applyFont="1" applyBorder="1" applyAlignment="1">
      <alignment horizontal="center" vertical="center"/>
    </xf>
    <xf numFmtId="165" fontId="11" fillId="2" borderId="53" xfId="2" applyNumberFormat="1" applyFont="1" applyFill="1" applyBorder="1" applyAlignment="1">
      <alignment horizontal="center" vertical="center"/>
    </xf>
    <xf numFmtId="165" fontId="11" fillId="2" borderId="68" xfId="2" applyNumberFormat="1" applyFont="1" applyFill="1" applyBorder="1" applyAlignment="1">
      <alignment horizontal="center" vertical="center"/>
    </xf>
    <xf numFmtId="3" fontId="11" fillId="0" borderId="68" xfId="2" applyNumberFormat="1" applyFont="1" applyBorder="1" applyAlignment="1">
      <alignment horizontal="center" vertical="center"/>
    </xf>
    <xf numFmtId="4" fontId="11" fillId="0" borderId="53" xfId="2" applyNumberFormat="1" applyFont="1" applyBorder="1" applyAlignment="1">
      <alignment horizontal="center" vertical="center"/>
    </xf>
    <xf numFmtId="4" fontId="12" fillId="2" borderId="68" xfId="2" applyNumberFormat="1" applyFont="1" applyFill="1" applyBorder="1" applyAlignment="1">
      <alignment horizontal="center" vertical="center"/>
    </xf>
    <xf numFmtId="4" fontId="11" fillId="0" borderId="69" xfId="2" applyNumberFormat="1" applyFont="1" applyBorder="1" applyAlignment="1">
      <alignment horizontal="center" vertical="center"/>
    </xf>
    <xf numFmtId="4" fontId="11" fillId="0" borderId="70" xfId="2" applyNumberFormat="1" applyFont="1" applyBorder="1" applyAlignment="1">
      <alignment horizontal="center" vertical="center"/>
    </xf>
    <xf numFmtId="166" fontId="11" fillId="0" borderId="14" xfId="2" applyNumberFormat="1" applyFont="1" applyBorder="1" applyAlignment="1">
      <alignment horizontal="center" vertical="center"/>
    </xf>
    <xf numFmtId="166" fontId="12" fillId="0" borderId="14" xfId="2" applyNumberFormat="1" applyFont="1" applyBorder="1" applyAlignment="1">
      <alignment horizontal="center" vertical="center"/>
    </xf>
    <xf numFmtId="166" fontId="12" fillId="0" borderId="15" xfId="2" applyNumberFormat="1" applyFont="1" applyBorder="1" applyAlignment="1">
      <alignment horizontal="center" vertical="center"/>
    </xf>
    <xf numFmtId="9" fontId="11" fillId="0" borderId="14" xfId="1" applyFont="1" applyFill="1" applyBorder="1" applyAlignment="1">
      <alignment horizontal="center" vertical="center"/>
    </xf>
    <xf numFmtId="9" fontId="12" fillId="0" borderId="14" xfId="1" applyFont="1" applyFill="1" applyBorder="1" applyAlignment="1">
      <alignment horizontal="center" vertical="center"/>
    </xf>
    <xf numFmtId="9" fontId="12" fillId="0" borderId="15" xfId="1" applyFont="1" applyFill="1" applyBorder="1" applyAlignment="1">
      <alignment horizontal="center" vertical="center"/>
    </xf>
    <xf numFmtId="166" fontId="11" fillId="0" borderId="51" xfId="2" applyNumberFormat="1" applyFont="1" applyBorder="1" applyAlignment="1">
      <alignment horizontal="center" vertical="center"/>
    </xf>
    <xf numFmtId="166" fontId="11" fillId="0" borderId="53" xfId="2" applyNumberFormat="1" applyFont="1" applyBorder="1" applyAlignment="1">
      <alignment horizontal="center" vertical="center"/>
    </xf>
    <xf numFmtId="166" fontId="12" fillId="0" borderId="68" xfId="2" applyNumberFormat="1" applyFont="1" applyBorder="1" applyAlignment="1">
      <alignment horizontal="center" vertical="center"/>
    </xf>
    <xf numFmtId="9" fontId="11" fillId="0" borderId="51" xfId="1" applyFont="1" applyFill="1" applyBorder="1" applyAlignment="1">
      <alignment horizontal="center" vertical="center"/>
    </xf>
    <xf numFmtId="9" fontId="11" fillId="0" borderId="53" xfId="1" applyFont="1" applyBorder="1" applyAlignment="1">
      <alignment horizontal="center" vertical="center"/>
    </xf>
    <xf numFmtId="9" fontId="12" fillId="0" borderId="68" xfId="1" applyFont="1" applyBorder="1" applyAlignment="1">
      <alignment horizontal="center" vertical="center"/>
    </xf>
    <xf numFmtId="9" fontId="11" fillId="0" borderId="69" xfId="1" applyFont="1" applyBorder="1" applyAlignment="1">
      <alignment horizontal="center" vertical="center"/>
    </xf>
    <xf numFmtId="9" fontId="11" fillId="0" borderId="27" xfId="1" applyFont="1" applyBorder="1" applyAlignment="1">
      <alignment horizontal="center" vertical="center"/>
    </xf>
    <xf numFmtId="9" fontId="11" fillId="0" borderId="70" xfId="1" applyFont="1" applyBorder="1" applyAlignment="1">
      <alignment horizontal="center" vertical="center"/>
    </xf>
    <xf numFmtId="0" fontId="2" fillId="0" borderId="44" xfId="2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17" xfId="2" applyBorder="1" applyAlignment="1">
      <alignment horizontal="center" vertical="center"/>
    </xf>
    <xf numFmtId="0" fontId="10" fillId="2" borderId="75" xfId="2" applyFont="1" applyFill="1" applyBorder="1" applyAlignment="1">
      <alignment vertical="center"/>
    </xf>
    <xf numFmtId="3" fontId="10" fillId="2" borderId="76" xfId="2" applyNumberFormat="1" applyFont="1" applyFill="1" applyBorder="1" applyAlignment="1">
      <alignment vertical="center"/>
    </xf>
    <xf numFmtId="164" fontId="11" fillId="0" borderId="35" xfId="2" applyNumberFormat="1" applyFont="1" applyBorder="1" applyAlignment="1">
      <alignment horizontal="center" vertical="center"/>
    </xf>
    <xf numFmtId="164" fontId="11" fillId="0" borderId="10" xfId="2" applyNumberFormat="1" applyFont="1" applyBorder="1" applyAlignment="1">
      <alignment horizontal="center" vertical="center"/>
    </xf>
    <xf numFmtId="164" fontId="11" fillId="0" borderId="65" xfId="2" applyNumberFormat="1" applyFont="1" applyBorder="1" applyAlignment="1">
      <alignment horizontal="center" vertical="center"/>
    </xf>
    <xf numFmtId="3" fontId="11" fillId="2" borderId="14" xfId="2" applyNumberFormat="1" applyFont="1" applyFill="1" applyBorder="1" applyAlignment="1">
      <alignment horizontal="center" vertical="center"/>
    </xf>
    <xf numFmtId="1" fontId="11" fillId="0" borderId="14" xfId="2" applyNumberFormat="1" applyFont="1" applyBorder="1" applyAlignment="1">
      <alignment horizontal="center" vertical="center"/>
    </xf>
    <xf numFmtId="166" fontId="11" fillId="0" borderId="14" xfId="1" applyNumberFormat="1" applyFont="1" applyBorder="1" applyAlignment="1">
      <alignment horizontal="center" vertical="center"/>
    </xf>
    <xf numFmtId="166" fontId="12" fillId="2" borderId="14" xfId="1" applyNumberFormat="1" applyFont="1" applyFill="1" applyBorder="1" applyAlignment="1">
      <alignment horizontal="center" vertical="center"/>
    </xf>
    <xf numFmtId="1" fontId="11" fillId="0" borderId="51" xfId="2" applyNumberFormat="1" applyFont="1" applyBorder="1" applyAlignment="1">
      <alignment horizontal="center" vertical="center"/>
    </xf>
    <xf numFmtId="1" fontId="11" fillId="0" borderId="15" xfId="2" applyNumberFormat="1" applyFont="1" applyBorder="1" applyAlignment="1">
      <alignment horizontal="center" vertical="center"/>
    </xf>
    <xf numFmtId="166" fontId="11" fillId="0" borderId="51" xfId="1" applyNumberFormat="1" applyFont="1" applyBorder="1" applyAlignment="1">
      <alignment horizontal="center" vertical="center"/>
    </xf>
    <xf numFmtId="166" fontId="12" fillId="2" borderId="15" xfId="1" applyNumberFormat="1" applyFont="1" applyFill="1" applyBorder="1" applyAlignment="1">
      <alignment horizontal="center" vertical="center"/>
    </xf>
    <xf numFmtId="3" fontId="10" fillId="0" borderId="77" xfId="2" applyNumberFormat="1" applyFont="1" applyBorder="1" applyAlignment="1">
      <alignment vertical="center"/>
    </xf>
    <xf numFmtId="166" fontId="11" fillId="0" borderId="35" xfId="1" applyNumberFormat="1" applyFont="1" applyFill="1" applyBorder="1" applyAlignment="1">
      <alignment horizontal="center" vertical="center"/>
    </xf>
    <xf numFmtId="166" fontId="11" fillId="0" borderId="10" xfId="1" applyNumberFormat="1" applyFont="1" applyFill="1" applyBorder="1" applyAlignment="1">
      <alignment horizontal="center" vertical="center"/>
    </xf>
    <xf numFmtId="166" fontId="11" fillId="0" borderId="65" xfId="1" applyNumberFormat="1" applyFont="1" applyFill="1" applyBorder="1" applyAlignment="1">
      <alignment horizontal="center" vertical="center"/>
    </xf>
    <xf numFmtId="10" fontId="11" fillId="0" borderId="43" xfId="2" applyNumberFormat="1" applyFont="1" applyBorder="1" applyAlignment="1">
      <alignment horizontal="center" vertical="center"/>
    </xf>
    <xf numFmtId="10" fontId="11" fillId="0" borderId="44" xfId="2" applyNumberFormat="1" applyFont="1" applyBorder="1" applyAlignment="1">
      <alignment horizontal="center" vertical="center"/>
    </xf>
    <xf numFmtId="0" fontId="2" fillId="0" borderId="51" xfId="2" applyBorder="1" applyAlignment="1">
      <alignment horizontal="center" vertical="center"/>
    </xf>
    <xf numFmtId="0" fontId="2" fillId="10" borderId="0" xfId="2" applyFill="1"/>
    <xf numFmtId="0" fontId="2" fillId="0" borderId="0" xfId="2" applyAlignment="1">
      <alignment horizontal="center"/>
    </xf>
    <xf numFmtId="3" fontId="11" fillId="0" borderId="78" xfId="2" applyNumberFormat="1" applyFont="1" applyBorder="1" applyAlignment="1">
      <alignment horizontal="center" vertical="center"/>
    </xf>
    <xf numFmtId="3" fontId="12" fillId="0" borderId="1" xfId="2" applyNumberFormat="1" applyFont="1" applyBorder="1" applyAlignment="1">
      <alignment horizontal="center" vertical="center"/>
    </xf>
    <xf numFmtId="3" fontId="12" fillId="0" borderId="68" xfId="2" applyNumberFormat="1" applyFont="1" applyBorder="1" applyAlignment="1">
      <alignment horizontal="center" vertical="center"/>
    </xf>
    <xf numFmtId="3" fontId="2" fillId="0" borderId="0" xfId="2" applyNumberFormat="1"/>
    <xf numFmtId="0" fontId="2" fillId="0" borderId="0" xfId="2" applyAlignment="1">
      <alignment horizontal="center" vertical="center"/>
    </xf>
    <xf numFmtId="0" fontId="7" fillId="0" borderId="55" xfId="2" applyFont="1" applyBorder="1" applyAlignment="1">
      <alignment horizontal="center" vertical="center"/>
    </xf>
    <xf numFmtId="0" fontId="7" fillId="0" borderId="49" xfId="2" applyFont="1" applyBorder="1" applyAlignment="1">
      <alignment horizontal="center" vertical="center"/>
    </xf>
    <xf numFmtId="0" fontId="7" fillId="0" borderId="56" xfId="2" applyFont="1" applyBorder="1" applyAlignment="1">
      <alignment horizontal="center" vertical="center"/>
    </xf>
    <xf numFmtId="0" fontId="9" fillId="2" borderId="14" xfId="2" applyFont="1" applyFill="1" applyBorder="1" applyAlignment="1">
      <alignment horizontal="center" vertical="center"/>
    </xf>
    <xf numFmtId="0" fontId="5" fillId="0" borderId="14" xfId="2" applyFont="1" applyBorder="1"/>
    <xf numFmtId="0" fontId="8" fillId="0" borderId="47" xfId="2" applyFont="1" applyBorder="1" applyAlignment="1">
      <alignment vertical="center" wrapText="1"/>
    </xf>
    <xf numFmtId="0" fontId="8" fillId="0" borderId="48" xfId="2" applyFont="1" applyBorder="1" applyAlignment="1">
      <alignment vertical="center" wrapText="1"/>
    </xf>
    <xf numFmtId="0" fontId="5" fillId="0" borderId="54" xfId="2" applyFont="1" applyBorder="1"/>
    <xf numFmtId="0" fontId="8" fillId="2" borderId="51" xfId="2" applyFont="1" applyFill="1" applyBorder="1" applyAlignment="1">
      <alignment vertical="center" wrapText="1"/>
    </xf>
    <xf numFmtId="0" fontId="5" fillId="0" borderId="52" xfId="2" applyFont="1" applyBorder="1"/>
    <xf numFmtId="0" fontId="5" fillId="0" borderId="16" xfId="2" applyFont="1" applyBorder="1"/>
    <xf numFmtId="0" fontId="9" fillId="2" borderId="8" xfId="2" applyFont="1" applyFill="1" applyBorder="1" applyAlignment="1">
      <alignment horizontal="center" vertical="center"/>
    </xf>
    <xf numFmtId="0" fontId="9" fillId="2" borderId="58" xfId="2" applyFont="1" applyFill="1" applyBorder="1" applyAlignment="1">
      <alignment horizontal="center" vertical="center"/>
    </xf>
    <xf numFmtId="0" fontId="5" fillId="0" borderId="9" xfId="2" applyFont="1" applyBorder="1"/>
    <xf numFmtId="0" fontId="8" fillId="2" borderId="47" xfId="2" applyFont="1" applyFill="1" applyBorder="1" applyAlignment="1">
      <alignment vertical="center" wrapText="1"/>
    </xf>
    <xf numFmtId="0" fontId="8" fillId="2" borderId="48" xfId="2" applyFont="1" applyFill="1" applyBorder="1" applyAlignment="1">
      <alignment vertical="center" wrapText="1"/>
    </xf>
    <xf numFmtId="0" fontId="7" fillId="0" borderId="55" xfId="2" applyFont="1" applyBorder="1" applyAlignment="1">
      <alignment horizontal="center" vertical="top"/>
    </xf>
    <xf numFmtId="0" fontId="7" fillId="0" borderId="49" xfId="2" applyFont="1" applyBorder="1" applyAlignment="1">
      <alignment horizontal="center" vertical="top"/>
    </xf>
    <xf numFmtId="0" fontId="7" fillId="0" borderId="56" xfId="2" applyFont="1" applyBorder="1" applyAlignment="1">
      <alignment horizontal="center" vertical="top"/>
    </xf>
    <xf numFmtId="0" fontId="8" fillId="0" borderId="71" xfId="2" applyFont="1" applyBorder="1" applyAlignment="1">
      <alignment vertical="center" wrapText="1"/>
    </xf>
    <xf numFmtId="0" fontId="9" fillId="2" borderId="72" xfId="2" applyFont="1" applyFill="1" applyBorder="1" applyAlignment="1">
      <alignment horizontal="center" vertical="center"/>
    </xf>
    <xf numFmtId="0" fontId="9" fillId="2" borderId="13" xfId="2" applyFont="1" applyFill="1" applyBorder="1" applyAlignment="1">
      <alignment horizontal="center" vertical="center"/>
    </xf>
    <xf numFmtId="0" fontId="5" fillId="0" borderId="7" xfId="2" applyFont="1" applyBorder="1"/>
    <xf numFmtId="0" fontId="7" fillId="0" borderId="22" xfId="2" applyFont="1" applyBorder="1" applyAlignment="1">
      <alignment horizontal="center" vertical="top"/>
    </xf>
    <xf numFmtId="0" fontId="7" fillId="0" borderId="23" xfId="2" applyFont="1" applyBorder="1" applyAlignment="1">
      <alignment horizontal="center" vertical="top"/>
    </xf>
    <xf numFmtId="0" fontId="7" fillId="0" borderId="24" xfId="2" applyFont="1" applyBorder="1" applyAlignment="1">
      <alignment horizontal="center" vertical="top"/>
    </xf>
    <xf numFmtId="0" fontId="9" fillId="2" borderId="2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5" fillId="0" borderId="3" xfId="2" applyFont="1" applyBorder="1"/>
    <xf numFmtId="0" fontId="8" fillId="2" borderId="54" xfId="2" applyFont="1" applyFill="1" applyBorder="1" applyAlignment="1">
      <alignment vertical="center" wrapText="1"/>
    </xf>
    <xf numFmtId="0" fontId="9" fillId="2" borderId="3" xfId="2" applyFont="1" applyFill="1" applyBorder="1" applyAlignment="1">
      <alignment horizontal="center" vertical="center"/>
    </xf>
    <xf numFmtId="0" fontId="8" fillId="2" borderId="71" xfId="2" applyFont="1" applyFill="1" applyBorder="1" applyAlignment="1">
      <alignment vertical="center" wrapText="1"/>
    </xf>
    <xf numFmtId="0" fontId="9" fillId="2" borderId="73" xfId="2" applyFont="1" applyFill="1" applyBorder="1" applyAlignment="1">
      <alignment horizontal="center" vertical="center"/>
    </xf>
    <xf numFmtId="0" fontId="7" fillId="0" borderId="40" xfId="2" applyFont="1" applyBorder="1" applyAlignment="1">
      <alignment horizontal="center" vertical="center" wrapText="1"/>
    </xf>
    <xf numFmtId="0" fontId="7" fillId="0" borderId="41" xfId="2" applyFont="1" applyBorder="1" applyAlignment="1">
      <alignment horizontal="center" vertical="center"/>
    </xf>
    <xf numFmtId="0" fontId="7" fillId="0" borderId="42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51" xfId="2" applyFont="1" applyBorder="1" applyAlignment="1">
      <alignment vertical="center" wrapText="1"/>
    </xf>
    <xf numFmtId="0" fontId="5" fillId="0" borderId="51" xfId="2" applyFont="1" applyBorder="1"/>
    <xf numFmtId="0" fontId="17" fillId="0" borderId="29" xfId="2" applyFont="1" applyBorder="1" applyAlignment="1">
      <alignment horizontal="center"/>
    </xf>
    <xf numFmtId="0" fontId="17" fillId="0" borderId="19" xfId="2" applyFont="1" applyBorder="1" applyAlignment="1">
      <alignment horizontal="center"/>
    </xf>
    <xf numFmtId="0" fontId="8" fillId="0" borderId="50" xfId="2" applyFont="1" applyBorder="1" applyAlignment="1">
      <alignment vertical="center" wrapText="1"/>
    </xf>
    <xf numFmtId="0" fontId="9" fillId="0" borderId="43" xfId="2" applyFont="1" applyBorder="1" applyAlignment="1">
      <alignment horizontal="center" vertical="center"/>
    </xf>
    <xf numFmtId="0" fontId="5" fillId="0" borderId="48" xfId="2" applyFont="1" applyBorder="1"/>
    <xf numFmtId="0" fontId="5" fillId="0" borderId="58" xfId="2" applyFont="1" applyBorder="1"/>
    <xf numFmtId="0" fontId="4" fillId="3" borderId="30" xfId="2" applyFont="1" applyFill="1" applyBorder="1" applyAlignment="1">
      <alignment horizontal="center" vertical="center"/>
    </xf>
    <xf numFmtId="0" fontId="5" fillId="0" borderId="31" xfId="2" applyFont="1" applyBorder="1"/>
    <xf numFmtId="0" fontId="5" fillId="0" borderId="33" xfId="2" applyFont="1" applyBorder="1"/>
    <xf numFmtId="0" fontId="5" fillId="0" borderId="28" xfId="2" applyFont="1" applyBorder="1"/>
    <xf numFmtId="0" fontId="4" fillId="3" borderId="34" xfId="2" applyFont="1" applyFill="1" applyBorder="1" applyAlignment="1">
      <alignment horizontal="center" vertical="center"/>
    </xf>
    <xf numFmtId="0" fontId="5" fillId="0" borderId="11" xfId="2" applyFont="1" applyBorder="1"/>
    <xf numFmtId="0" fontId="7" fillId="0" borderId="35" xfId="2" applyFont="1" applyBorder="1" applyAlignment="1">
      <alignment horizontal="center" vertical="top"/>
    </xf>
    <xf numFmtId="0" fontId="7" fillId="0" borderId="36" xfId="2" applyFont="1" applyBorder="1" applyAlignment="1">
      <alignment horizontal="center" vertical="top"/>
    </xf>
    <xf numFmtId="0" fontId="7" fillId="0" borderId="37" xfId="2" applyFont="1" applyBorder="1" applyAlignment="1">
      <alignment horizontal="center" vertical="top"/>
    </xf>
    <xf numFmtId="0" fontId="17" fillId="0" borderId="39" xfId="2" applyFont="1" applyBorder="1" applyAlignment="1">
      <alignment horizontal="center"/>
    </xf>
    <xf numFmtId="0" fontId="17" fillId="0" borderId="20" xfId="2" applyFont="1" applyBorder="1" applyAlignment="1">
      <alignment horizontal="center"/>
    </xf>
    <xf numFmtId="0" fontId="8" fillId="2" borderId="51" xfId="2" applyFont="1" applyFill="1" applyBorder="1" applyAlignment="1">
      <alignment horizontal="left" vertical="center" wrapText="1"/>
    </xf>
    <xf numFmtId="0" fontId="9" fillId="2" borderId="18" xfId="2" applyFont="1" applyFill="1" applyBorder="1" applyAlignment="1">
      <alignment horizontal="center" vertical="center"/>
    </xf>
    <xf numFmtId="0" fontId="8" fillId="2" borderId="35" xfId="2" applyFont="1" applyFill="1" applyBorder="1" applyAlignment="1">
      <alignment vertical="center" wrapText="1"/>
    </xf>
    <xf numFmtId="0" fontId="5" fillId="0" borderId="35" xfId="2" applyFont="1" applyBorder="1"/>
    <xf numFmtId="0" fontId="9" fillId="2" borderId="10" xfId="2" applyFont="1" applyFill="1" applyBorder="1" applyAlignment="1">
      <alignment horizontal="center" vertical="center"/>
    </xf>
    <xf numFmtId="0" fontId="5" fillId="0" borderId="10" xfId="2" applyFont="1" applyBorder="1"/>
    <xf numFmtId="0" fontId="5" fillId="0" borderId="4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20" fillId="0" borderId="50" xfId="2" applyFont="1" applyBorder="1" applyAlignment="1">
      <alignment horizontal="left" vertical="center"/>
    </xf>
    <xf numFmtId="0" fontId="20" fillId="0" borderId="51" xfId="2" applyFont="1" applyBorder="1" applyAlignment="1">
      <alignment horizontal="left" vertical="center"/>
    </xf>
    <xf numFmtId="0" fontId="9" fillId="2" borderId="14" xfId="2" applyFont="1" applyFill="1" applyBorder="1" applyAlignment="1">
      <alignment horizontal="center" vertical="center" wrapText="1"/>
    </xf>
    <xf numFmtId="0" fontId="9" fillId="2" borderId="10" xfId="2" applyFont="1" applyFill="1" applyBorder="1" applyAlignment="1">
      <alignment horizontal="center" vertical="center" wrapText="1"/>
    </xf>
    <xf numFmtId="0" fontId="9" fillId="2" borderId="16" xfId="2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4" fillId="3" borderId="32" xfId="2" applyFont="1" applyFill="1" applyBorder="1" applyAlignment="1">
      <alignment horizontal="center" vertical="center"/>
    </xf>
    <xf numFmtId="0" fontId="8" fillId="0" borderId="55" xfId="2" applyFont="1" applyBorder="1" applyAlignment="1">
      <alignment horizontal="center" vertical="center" wrapText="1"/>
    </xf>
    <xf numFmtId="0" fontId="8" fillId="0" borderId="49" xfId="2" applyFont="1" applyBorder="1" applyAlignment="1">
      <alignment horizontal="center" vertical="center" wrapText="1"/>
    </xf>
    <xf numFmtId="0" fontId="8" fillId="0" borderId="63" xfId="2" applyFont="1" applyBorder="1" applyAlignment="1">
      <alignment horizontal="center" vertical="center" wrapText="1"/>
    </xf>
  </cellXfs>
  <cellStyles count="7">
    <cellStyle name="Normal" xfId="0" builtinId="0"/>
    <cellStyle name="Normal 17" xfId="4" xr:uid="{00000000-0005-0000-0000-000001000000}"/>
    <cellStyle name="Normal 2" xfId="3" xr:uid="{00000000-0005-0000-0000-000002000000}"/>
    <cellStyle name="Normale 2" xfId="2" xr:uid="{00000000-0005-0000-0000-000004000000}"/>
    <cellStyle name="Percent" xfId="1" builtinId="5"/>
    <cellStyle name="Virgül 2" xfId="6" xr:uid="{C1C8263A-FD37-4ABC-A02E-FB950D173D2A}"/>
    <cellStyle name="Yüzde 5" xfId="5" xr:uid="{00000000-0005-0000-0000-000006000000}"/>
  </cellStyles>
  <dxfs count="17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alignment horizontal="right" vertical="bottom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67" formatCode="0.000"/>
      <alignment horizontal="center" vertical="center" textRotation="0" wrapText="0" indent="0" justifyLastLine="0" shrinkToFit="0" readingOrder="0"/>
    </dxf>
    <dxf>
      <numFmt numFmtId="167" formatCode="0.000"/>
      <alignment horizontal="center" vertical="center" textRotation="0" wrapText="0" indent="0" justifyLastLine="0" shrinkToFit="0" readingOrder="0"/>
    </dxf>
    <dxf>
      <numFmt numFmtId="0" formatCode="General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0" formatCode="General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" formatCode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  <alignment horizontal="center" vertical="bottom" textRotation="0" wrapText="0" indent="0" justifyLastLine="0" shrinkToFit="0" readingOrder="0"/>
      <protection locked="0" hidden="0"/>
    </dxf>
    <dxf>
      <numFmt numFmtId="3" formatCode="#,##0"/>
      <alignment horizontal="center" vertical="bottom" textRotation="0" wrapText="0" indent="0" justifyLastLine="0" shrinkToFit="0" readingOrder="0"/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"/>
    </dxf>
    <dxf>
      <numFmt numFmtId="0" formatCode="General"/>
    </dxf>
    <dxf>
      <numFmt numFmtId="0" formatCode="General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2" formatCode="0.00"/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169" formatCode="mm/dd/yy;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00000000-0016-0000-0100-000000000000}" autoFormatId="16" applyNumberFormats="0" applyBorderFormats="0" applyFontFormats="0" applyPatternFormats="0" applyAlignmentFormats="0" applyWidthHeightFormats="0">
  <queryTableRefresh nextId="17">
    <queryTableFields count="9">
      <queryTableField id="2" name="ReferenceMonth" tableColumnId="11"/>
      <queryTableField id="3" name="Incident Rate (YTD)" tableColumnId="3"/>
      <queryTableField id="5" name="Accidents" tableColumnId="5"/>
      <queryTableField id="6" name="Energy Consumption (kWh/unit)" tableColumnId="6"/>
      <queryTableField id="15" dataBound="0" tableColumnId="1"/>
      <queryTableField id="16" dataBound="0" tableColumnId="2"/>
      <queryTableField id="8" name="Natural Gas Consumption (m3/unit)" tableColumnId="8"/>
      <queryTableField id="9" name="Total Waste (kg/unit)" tableColumnId="9"/>
      <queryTableField id="10" name="Waste Recycled %" tableColumnId="10"/>
    </queryTableFields>
    <queryTableDeletedFields count="6">
      <deletedField name="Item Type"/>
      <deletedField name="Path"/>
      <deletedField name="Factory"/>
      <deletedField name="Approval Status"/>
      <deletedField name="Severity Index"/>
      <deletedField name="Water Consumption (l/unit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2" xr16:uid="{00000000-0016-0000-0200-000001000000}" autoFormatId="16" applyNumberFormats="0" applyBorderFormats="0" applyFontFormats="0" applyPatternFormats="0" applyAlignmentFormats="0" applyWidthHeightFormats="0">
  <queryTableRefresh nextId="17">
    <queryTableFields count="9">
      <queryTableField id="2" name="ReferenceMonth" tableColumnId="11"/>
      <queryTableField id="3" name="Incident Rate (YTD)" tableColumnId="3"/>
      <queryTableField id="5" name="Accidents" tableColumnId="5"/>
      <queryTableField id="6" name="Energy Consumption (kWh/unit)" tableColumnId="6"/>
      <queryTableField id="16" dataBound="0" tableColumnId="1"/>
      <queryTableField id="7" dataBound="0" tableColumnId="7"/>
      <queryTableField id="8" dataBound="0" tableColumnId="8"/>
      <queryTableField id="9" dataBound="0" tableColumnId="9"/>
      <queryTableField id="10" name="Waste Recycled %" tableColumnId="10"/>
    </queryTableFields>
    <queryTableDeletedFields count="8">
      <deletedField name="Factory"/>
      <deletedField name="Approval Status"/>
      <deletedField name="Item Type"/>
      <deletedField name="Path"/>
      <deletedField name="Severity Index"/>
      <deletedField name="Water Consumption (l/unit)"/>
      <deletedField name="Natural Gas Consumption (m3/unit)"/>
      <deletedField name="Total Waste (kg/unit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3" xr16:uid="{00000000-0016-0000-0300-000002000000}" autoFormatId="16" applyNumberFormats="0" applyBorderFormats="0" applyFontFormats="0" applyPatternFormats="0" applyAlignmentFormats="0" applyWidthHeightFormats="0">
  <queryTableRefresh nextId="24" unboundColumnsRight="4">
    <queryTableFields count="16">
      <queryTableField id="2" name="ReferenceMonth" tableColumnId="11"/>
      <queryTableField id="3" name="Incident Rate (YTD)" tableColumnId="3"/>
      <queryTableField id="18" dataBound="0" tableColumnId="9"/>
      <queryTableField id="4" name="Severity Index" tableColumnId="4"/>
      <queryTableField id="20" dataBound="0" tableColumnId="12"/>
      <queryTableField id="19" dataBound="0" tableColumnId="13"/>
      <queryTableField id="5" name="Accidents" tableColumnId="5"/>
      <queryTableField id="22" dataBound="0" tableColumnId="14"/>
      <queryTableField id="21" dataBound="0" tableColumnId="15"/>
      <queryTableField id="6" name="Energy Consumption (kWh/unit)" tableColumnId="6"/>
      <queryTableField id="7" name="Water Consumption (l/unit)" tableColumnId="7"/>
      <queryTableField id="8" name="Natural Gas Consumption (m3/unit)" tableColumnId="8"/>
      <queryTableField id="16" dataBound="0" tableColumnId="2"/>
      <queryTableField id="23" dataBound="0" tableColumnId="16"/>
      <queryTableField id="15" dataBound="0" tableColumnId="1"/>
      <queryTableField id="17" dataBound="0" tableColumnId="10"/>
    </queryTableFields>
    <queryTableDeletedFields count="6">
      <deletedField name="Waste Recycled %"/>
      <deletedField name="Factory"/>
      <deletedField name="Approval Status"/>
      <deletedField name="Item Type"/>
      <deletedField name="Path"/>
      <deletedField name="Total Waste (kg/unit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_5_1" backgroundRefresh="0" connectionId="10" xr16:uid="{D97DC9EA-E02C-4A86-A6B2-D6C284C2202E}" autoFormatId="16" applyNumberFormats="0" applyBorderFormats="0" applyFontFormats="0" applyPatternFormats="0" applyAlignmentFormats="0" applyWidthHeightFormats="0">
  <queryTableRefresh nextId="24" unboundColumnsRight="4">
    <queryTableFields count="16">
      <queryTableField id="2" name="ReferenceMonth" tableColumnId="11"/>
      <queryTableField id="3" name="Incident Rate (YTD)" tableColumnId="3"/>
      <queryTableField id="18" dataBound="0" tableColumnId="9"/>
      <queryTableField id="4" name="Severity Index" tableColumnId="4"/>
      <queryTableField id="20" dataBound="0" tableColumnId="12"/>
      <queryTableField id="19" dataBound="0" tableColumnId="13"/>
      <queryTableField id="5" name="Accidents" tableColumnId="5"/>
      <queryTableField id="22" dataBound="0" tableColumnId="14"/>
      <queryTableField id="21" dataBound="0" tableColumnId="15"/>
      <queryTableField id="6" name="Energy Consumption (kWh/unit)" tableColumnId="6"/>
      <queryTableField id="7" name="Water Consumption (l/unit)" tableColumnId="7"/>
      <queryTableField id="8" name="Natural Gas Consumption (m3/unit)" tableColumnId="8"/>
      <queryTableField id="16" dataBound="0" tableColumnId="2"/>
      <queryTableField id="23" dataBound="0" tableColumnId="16"/>
      <queryTableField id="15" dataBound="0" tableColumnId="1"/>
      <queryTableField id="17" dataBound="0" tableColumnId="10"/>
    </queryTableFields>
    <queryTableDeletedFields count="6">
      <deletedField name="Waste Recycled %"/>
      <deletedField name="Factory"/>
      <deletedField name="Approval Status"/>
      <deletedField name="Item Type"/>
      <deletedField name="Path"/>
      <deletedField name="Total Waste (kg/unit)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4" xr16:uid="{00000000-0016-0000-0500-000004000000}" autoFormatId="16" applyNumberFormats="0" applyBorderFormats="0" applyFontFormats="0" applyPatternFormats="0" applyAlignmentFormats="0" applyWidthHeightFormats="0">
  <queryTableRefresh nextId="18">
    <queryTableFields count="9">
      <queryTableField id="2" name="ReferenceMonth" tableColumnId="11"/>
      <queryTableField id="3" name="Incident Rate (YTD)" tableColumnId="3"/>
      <queryTableField id="17" dataBound="0" tableColumnId="2"/>
      <queryTableField id="4" name="Severity Index" tableColumnId="4"/>
      <queryTableField id="16" dataBound="0" tableColumnId="1"/>
      <queryTableField id="5" name="Accidents" tableColumnId="5"/>
      <queryTableField id="6" name="Energy Consumption (kWh/unit)" tableColumnId="6"/>
      <queryTableField id="7" name="Water Consumption (l/unit)" tableColumnId="7"/>
      <queryTableField id="8" name="Natural Gas Consumption (m3/unit)" tableColumnId="8"/>
    </queryTableFields>
    <queryTableDeletedFields count="6">
      <deletedField name="Waste Recycled %"/>
      <deletedField name="Total Waste (kg/unit)"/>
      <deletedField name="Factory"/>
      <deletedField name="Approval Status"/>
      <deletedField name="Item Type"/>
      <deletedField name="Path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7" xr16:uid="{00000000-0016-0000-0600-000005000000}" autoFormatId="16" applyNumberFormats="0" applyBorderFormats="0" applyFontFormats="0" applyPatternFormats="0" applyAlignmentFormats="0" applyWidthHeightFormats="0">
  <queryTableRefresh nextId="18">
    <queryTableFields count="8">
      <queryTableField id="2" name="ReferenceMonth" tableColumnId="11"/>
      <queryTableField id="3" name="Incident Rate (YTD)" tableColumnId="3"/>
      <queryTableField id="17" dataBound="0" tableColumnId="1"/>
      <queryTableField id="4" name="Severity Index" tableColumnId="4"/>
      <queryTableField id="5" name="Accidents" tableColumnId="5"/>
      <queryTableField id="6" name="Energy Consumption (kWh/unit)" tableColumnId="6"/>
      <queryTableField id="7" name="Water Consumption (l/unit)" tableColumnId="7"/>
      <queryTableField id="8" name="Natural Gas Consumption (m3/unit)" tableColumnId="8"/>
    </queryTableFields>
    <queryTableDeletedFields count="6">
      <deletedField name="Waste Recycled %"/>
      <deletedField name="Total Waste (kg/unit)"/>
      <deletedField name="Factory"/>
      <deletedField name="Approval Status"/>
      <deletedField name="Item Type"/>
      <deletedField name="Path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5" xr16:uid="{00000000-0016-0000-0700-000006000000}" autoFormatId="16" applyNumberFormats="0" applyBorderFormats="0" applyFontFormats="0" applyPatternFormats="0" applyAlignmentFormats="0" applyWidthHeightFormats="0">
  <queryTableRefresh nextId="19" unboundColumnsRight="2">
    <queryTableFields count="9">
      <queryTableField id="2" name="ReferenceMonth" tableColumnId="11"/>
      <queryTableField id="3" name="Incident Rate (YTD)" tableColumnId="3"/>
      <queryTableField id="4" name="Severity Index" tableColumnId="4"/>
      <queryTableField id="5" name="Accidents" tableColumnId="5"/>
      <queryTableField id="16" dataBound="0" tableColumnId="8"/>
      <queryTableField id="15" dataBound="0" tableColumnId="7"/>
      <queryTableField id="6" name="Energy Consumption (kWh/unit)" tableColumnId="6"/>
      <queryTableField id="17" dataBound="0" tableColumnId="1"/>
      <queryTableField id="18" dataBound="0" tableColumnId="2"/>
    </queryTableFields>
    <queryTableDeletedFields count="8">
      <deletedField name="Waste Recycled %"/>
      <deletedField name="Total Waste (kg/unit)"/>
      <deletedField name="Water Consumption (l/unit)"/>
      <deletedField name="Natural Gas Consumption (m3/unit)"/>
      <deletedField name="Approval Status"/>
      <deletedField name="Factory"/>
      <deletedField name="Item Type"/>
      <deletedField name="Path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6" xr16:uid="{00000000-0016-0000-0800-000007000000}" autoFormatId="16" applyNumberFormats="0" applyBorderFormats="0" applyFontFormats="0" applyPatternFormats="0" applyAlignmentFormats="0" applyWidthHeightFormats="0">
  <queryTableRefresh nextId="20" unboundColumnsRight="2">
    <queryTableFields count="9">
      <queryTableField id="2" name="ReferenceMonth" tableColumnId="11"/>
      <queryTableField id="3" name="Incident Rate (YTD)" tableColumnId="3"/>
      <queryTableField id="4" name="Severity Index" tableColumnId="4"/>
      <queryTableField id="5" name="Accidents" tableColumnId="5"/>
      <queryTableField id="16" dataBound="0" tableColumnId="8"/>
      <queryTableField id="15" dataBound="0" tableColumnId="7"/>
      <queryTableField id="6" name="Energy Consumption (kWh/unit)" tableColumnId="6"/>
      <queryTableField id="17" dataBound="0" tableColumnId="1"/>
      <queryTableField id="18" dataBound="0" tableColumnId="2"/>
    </queryTableFields>
    <queryTableDeletedFields count="8">
      <deletedField name="Waste Recycled %"/>
      <deletedField name="Total Waste (kg/unit)"/>
      <deletedField name="Water Consumption (l/unit)"/>
      <deletedField name="Natural Gas Consumption (m3/unit)"/>
      <deletedField name="Factory"/>
      <deletedField name="Approval Status"/>
      <deletedField name="Item Type"/>
      <deletedField name="Path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8" xr16:uid="{00000000-0016-0000-0900-000008000000}" autoFormatId="16" applyNumberFormats="0" applyBorderFormats="0" applyFontFormats="0" applyPatternFormats="0" applyAlignmentFormats="0" applyWidthHeightFormats="0">
  <queryTableRefresh nextId="18" unboundColumnsRight="2">
    <queryTableFields count="7">
      <queryTableField id="2" name="ReferenceMonth" tableColumnId="11"/>
      <queryTableField id="3" name="Incident Rate (YTD)" tableColumnId="3"/>
      <queryTableField id="4" name="Severity Index" tableColumnId="4"/>
      <queryTableField id="5" name="Accidents" tableColumnId="5"/>
      <queryTableField id="6" name="Energy Consumption (kWh/unit)" tableColumnId="6"/>
      <queryTableField id="15" dataBound="0" tableColumnId="1"/>
      <queryTableField id="16" dataBound="0" tableColumnId="2"/>
    </queryTableFields>
    <queryTableDeletedFields count="8">
      <deletedField name="Waste Recycled %"/>
      <deletedField name="Total Waste (kg/unit)"/>
      <deletedField name="Water Consumption (l/unit)"/>
      <deletedField name="Natural Gas Consumption (m3/unit)"/>
      <deletedField name="Factory"/>
      <deletedField name="Approval Status"/>
      <deletedField name="Item Type"/>
      <deletedField name="Path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9" xr16:uid="{00000000-0016-0000-0A00-000009000000}" autoFormatId="16" applyNumberFormats="0" applyBorderFormats="0" applyFontFormats="0" applyPatternFormats="0" applyAlignmentFormats="0" applyWidthHeightFormats="0">
  <queryTableRefresh nextId="18" unboundColumnsRight="2">
    <queryTableFields count="7">
      <queryTableField id="2" name="ReferenceMonth" tableColumnId="11"/>
      <queryTableField id="3" name="Incident Rate (YTD)" tableColumnId="3"/>
      <queryTableField id="4" name="Severity Index" tableColumnId="4"/>
      <queryTableField id="5" dataBound="0" tableColumnId="5"/>
      <queryTableField id="6" name="Energy Consumption (kWh/unit)" tableColumnId="6"/>
      <queryTableField id="15" dataBound="0" tableColumnId="1"/>
      <queryTableField id="16" dataBound="0" tableColumnId="2"/>
    </queryTableFields>
    <queryTableDeletedFields count="9">
      <deletedField name="Waste Recycled %"/>
      <deletedField name="Total Waste (kg/unit)"/>
      <deletedField name="Water Consumption (l/unit)"/>
      <deletedField name="Natural Gas Consumption (m3/unit)"/>
      <deletedField name="Factory"/>
      <deletedField name="Approval Status"/>
      <deletedField name="Item Type"/>
      <deletedField name="Path"/>
      <deletedField name="Acciden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_query__5" displayName="Tabella_query__5" ref="A1:I14" tableType="queryTable" totalsRowShown="0">
  <autoFilter ref="A1:I14" xr:uid="{00000000-0009-0000-0100-000001000000}"/>
  <tableColumns count="9">
    <tableColumn id="11" xr3:uid="{00000000-0010-0000-0000-00000B000000}" uniqueName="ReferenceMonth" name="ReferenceMonth" queryTableFieldId="2" dataDxfId="176"/>
    <tableColumn id="3" xr3:uid="{00000000-0010-0000-0000-000003000000}" uniqueName="Incident_x005f_x0020_Rate_x005f_x0020__x0028" name="Incident Rate" queryTableFieldId="3" dataDxfId="175"/>
    <tableColumn id="5" xr3:uid="{00000000-0010-0000-0000-000005000000}" uniqueName="Accidents" name="Accidents" queryTableFieldId="5" dataDxfId="174"/>
    <tableColumn id="6" xr3:uid="{00000000-0010-0000-0000-000006000000}" uniqueName="Energy_x005f_x0020_Consumption_x005f_x0020__" name="Energy Consumption" queryTableFieldId="6" dataDxfId="173"/>
    <tableColumn id="1" xr3:uid="{62778BDC-F906-4610-8100-A6ABCD1CCD12}" uniqueName="1" name="GHG Emissions" queryTableFieldId="15" dataDxfId="172"/>
    <tableColumn id="2" xr3:uid="{129C4B03-8B70-4907-8DE3-B89D785DF188}" uniqueName="2" name="Natural Gas Consumption" queryTableFieldId="16" dataDxfId="171"/>
    <tableColumn id="8" xr3:uid="{00000000-0010-0000-0000-000008000000}" uniqueName="Natural_x005f_x0020_Gas_x005f_x0020_Consumpt" name="Total Waste" queryTableFieldId="8" dataDxfId="170"/>
    <tableColumn id="9" xr3:uid="{00000000-0010-0000-0000-000009000000}" uniqueName="Total_x005f_x0020_Waste_x005f_x0020__x005f_x0028_k" name="Recycled Waste Percentage" queryTableFieldId="9" dataDxfId="169"/>
    <tableColumn id="10" xr3:uid="{00000000-0010-0000-0000-00000A000000}" uniqueName="Waste_x005f_x0020_Recycled_x005f_x0020__x002" name="Compliance Ratio" queryTableFieldId="10" dataDxfId="168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_query__53" displayName="Tabella_query__53" ref="A1:I14" tableType="queryTable" totalsRowShown="0">
  <autoFilter ref="A1:I14" xr:uid="{00000000-0009-0000-0100-000002000000}"/>
  <tableColumns count="9">
    <tableColumn id="11" xr3:uid="{00000000-0010-0000-0100-00000B000000}" uniqueName="ReferenceMonth" name="ReferenceMonth" queryTableFieldId="2" dataDxfId="167"/>
    <tableColumn id="3" xr3:uid="{00000000-0010-0000-0100-000003000000}" uniqueName="Incident_x005f_x0020_Rate_x005f_x0020__x0028" name="Incident Rate" queryTableFieldId="3" dataDxfId="166"/>
    <tableColumn id="5" xr3:uid="{00000000-0010-0000-0100-000005000000}" uniqueName="Accidents" name="Accidents" queryTableFieldId="5" dataDxfId="165"/>
    <tableColumn id="6" xr3:uid="{00000000-0010-0000-0100-000006000000}" uniqueName="Energy_x005f_x0020_Consumption_x005f_x0020__" name="Energy Consumption" queryTableFieldId="6" dataDxfId="164"/>
    <tableColumn id="1" xr3:uid="{FE76818C-D8D8-4152-8F37-71D84FCD191A}" uniqueName="1" name="GHG Emissions" queryTableFieldId="16" dataDxfId="163"/>
    <tableColumn id="7" xr3:uid="{00000000-0010-0000-0100-000007000000}" uniqueName="Water_x005f_x0020_Consumption_x005f_x0020__x" name="Natural Gas Consumption" queryTableFieldId="7" dataDxfId="162"/>
    <tableColumn id="8" xr3:uid="{00000000-0010-0000-0100-000008000000}" uniqueName="Natural_x005f_x0020_Gas_x005f_x0020_Consumpt" name="Total Waste" queryTableFieldId="8" dataDxfId="161"/>
    <tableColumn id="9" xr3:uid="{00000000-0010-0000-0100-000009000000}" uniqueName="Total_x005f_x0020_Waste_x005f_x0020__x005f_x0028_k" name="Waste Recycled" queryTableFieldId="9" dataDxfId="160"/>
    <tableColumn id="10" xr3:uid="{00000000-0010-0000-0100-00000A000000}" uniqueName="Waste_x005f_x0020_Recycled_x005f_x0020__x002" name="Compliance Ratio" queryTableFieldId="10" dataDxfId="159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_query__534" displayName="Tabella_query__534" ref="A1:P14" tableType="queryTable" totalsRowShown="0">
  <autoFilter ref="A1:P14" xr:uid="{00000000-0009-0000-0100-000003000000}"/>
  <tableColumns count="16">
    <tableColumn id="11" xr3:uid="{00000000-0010-0000-0200-00000B000000}" uniqueName="ReferenceMonth" name="ReferenceMonth" queryTableFieldId="2" dataDxfId="158"/>
    <tableColumn id="3" xr3:uid="{00000000-0010-0000-0200-000003000000}" uniqueName="Incident_x005f_x0020_Rate_x005f_x0020__x0028" name="Voice of Consumer Offenders-OVEN" queryTableFieldId="3" dataDxfId="157"/>
    <tableColumn id="9" xr3:uid="{D0D72348-8C31-4F70-9344-60576223E2C2}" uniqueName="9" name="Voice of Consumer Offenders-HOBS" queryTableFieldId="18" dataDxfId="156"/>
    <tableColumn id="4" xr3:uid="{00000000-0010-0000-0200-000004000000}" uniqueName="Severity_x005f_x0020_Index" name="EPQ (M-4) 12 MR - Ovens (Halino)" queryTableFieldId="4" dataDxfId="155"/>
    <tableColumn id="12" xr3:uid="{6BCB96D4-E994-4B04-9144-E84EA51B823B}" uniqueName="12" name="EPQ (M-4) 12 MR - Ovens (TITANIUM)" queryTableFieldId="20" dataDxfId="154" dataCellStyle="Yüzde 5"/>
    <tableColumn id="13" xr3:uid="{4472741A-96D8-4F8E-8635-77E1852E60DC}" uniqueName="13" name="EPQ (M-4) 12 MR - HOBS" queryTableFieldId="19" dataDxfId="153" dataCellStyle="Yüzde 5"/>
    <tableColumn id="5" xr3:uid="{00000000-0010-0000-0200-000005000000}" uniqueName="Accidents" name="1MIS - Ovens(Halino)" queryTableFieldId="5" dataDxfId="152"/>
    <tableColumn id="14" xr3:uid="{F6A038CA-798F-484D-BFF9-F4A026560FAD}" uniqueName="14" name="1MIS - Ovens-Titanium" queryTableFieldId="22" dataDxfId="151"/>
    <tableColumn id="15" xr3:uid="{ACB5C729-63BB-4329-8051-9A446120C3D4}" uniqueName="15" name="1MIS -Hobs" queryTableFieldId="21" dataDxfId="150"/>
    <tableColumn id="6" xr3:uid="{00000000-0010-0000-0200-000006000000}" uniqueName="Energy_x005f_x0020_Consumption_x005f_x0020__" name="Defects @ Finished Products audit" queryTableFieldId="6" dataDxfId="149"/>
    <tableColumn id="7" xr3:uid="{00000000-0010-0000-0200-000007000000}" uniqueName="Water_x005f_x0020_Consumption_x005f_x0020__x" name="ODL" queryTableFieldId="7" dataDxfId="148"/>
    <tableColumn id="8" xr3:uid="{00000000-0010-0000-0200-000008000000}" uniqueName="Natural_x005f_x0020_Gas_x005f_x0020_Consumpt" name="CFE" queryTableFieldId="8" dataDxfId="147"/>
    <tableColumn id="2" xr3:uid="{08A54F43-7D88-4A17-9031-F67A1D7D0F8B}" uniqueName="2" name="Right First Time (FPY)-OVENS" queryTableFieldId="16" dataDxfId="146"/>
    <tableColumn id="16" xr3:uid="{79624E7C-4F36-4E9E-ADE4-88111FB478A1}" uniqueName="16" name="Right First Time (FPY)-HOBS" queryTableFieldId="23" dataDxfId="145"/>
    <tableColumn id="1" xr3:uid="{9DE2F323-FC3C-408D-8E99-812F26E8FFAA}" uniqueName="1" name="EFE" queryTableFieldId="15" dataDxfId="144" dataCellStyle="Yüzde 5"/>
    <tableColumn id="10" xr3:uid="{8C47059A-6446-40BF-8EFD-FE98D6524FA9}" uniqueName="10" name="Supplier" queryTableFieldId="17" dataDxfId="143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05FDF8-C51A-44C2-B9B3-15F4D662E87E}" name="Tabella_query__53412" displayName="Tabella_query__53412" ref="A1:P14" tableType="queryTable" totalsRowShown="0">
  <autoFilter ref="A1:P14" xr:uid="{6505FDF8-C51A-44C2-B9B3-15F4D662E87E}"/>
  <tableColumns count="16">
    <tableColumn id="11" xr3:uid="{AB501B06-3F34-4143-ADBC-C9F184CB93D0}" uniqueName="ReferenceMonth" name="ReferenceMonth" queryTableFieldId="2" dataDxfId="142"/>
    <tableColumn id="3" xr3:uid="{0A9B1DD1-03D2-43AE-AEE0-A61FD9FBF2B9}" uniqueName="Incident_x005f_x0020_Rate_x005f_x0020__x0028" name="Voice of Consumer Offenders-OVEN" queryTableFieldId="3" dataDxfId="141"/>
    <tableColumn id="9" xr3:uid="{042FBF29-0252-4BBB-8DFA-798B1A6EAEF4}" uniqueName="9" name="Voice of Consumer Offenders-HOBS" queryTableFieldId="18" dataDxfId="140"/>
    <tableColumn id="4" xr3:uid="{2303C419-30FC-4169-B612-B7B94CDC8C75}" uniqueName="Severity_x005f_x0020_Index" name="EPQ (M-4) 12 MR - Ovens (Halino)" queryTableFieldId="4" dataDxfId="139"/>
    <tableColumn id="12" xr3:uid="{9CB4A1AD-F1B6-481D-8DBE-3E6B9BCAA685}" uniqueName="12" name="EPQ (M-4) 12 MR - Ovens (TITANIUM)" queryTableFieldId="20" dataDxfId="138"/>
    <tableColumn id="13" xr3:uid="{EB803704-6CA5-4F82-8767-E444BADF28AB}" uniqueName="13" name="EPQ (M-4) 12 MR - HOBS" queryTableFieldId="19" dataDxfId="137"/>
    <tableColumn id="5" xr3:uid="{1D265880-A0ED-41FB-916D-9E786414BD20}" uniqueName="Accidents" name="1MIS - Ovens(Halino)" queryTableFieldId="5" dataDxfId="136"/>
    <tableColumn id="14" xr3:uid="{6C0509AF-D1EE-43A0-A397-FCCB42F3B99B}" uniqueName="14" name="1MIS - Ovens-Titanium" queryTableFieldId="22" dataDxfId="135"/>
    <tableColumn id="15" xr3:uid="{16B72B38-98DC-4945-9364-F61092C126D5}" uniqueName="15" name="1MIS -Hobs" queryTableFieldId="21" dataDxfId="134"/>
    <tableColumn id="6" xr3:uid="{075C8055-ED77-4DBE-A8E8-241CBD1C240A}" uniqueName="Energy_x005f_x0020_Consumption_x005f_x0020__" name="Defects @ Finished Products audit" queryTableFieldId="6" dataDxfId="133"/>
    <tableColumn id="7" xr3:uid="{815812E5-CA1F-4145-B38A-C9939BB8D157}" uniqueName="Water_x005f_x0020_Consumption_x005f_x0020__x" name="ODL" queryTableFieldId="7" dataDxfId="132"/>
    <tableColumn id="8" xr3:uid="{A0035E71-0EED-4296-AD32-B36501064C7A}" uniqueName="Natural_x005f_x0020_Gas_x005f_x0020_Consumpt" name="CFE" queryTableFieldId="8" dataDxfId="131"/>
    <tableColumn id="2" xr3:uid="{089B663F-ACA0-4DDB-8DAF-1ABD2E1FFA93}" uniqueName="2" name="Right First Time (FPY)-OVENS" queryTableFieldId="16" dataDxfId="130"/>
    <tableColumn id="16" xr3:uid="{E184E829-05FB-4F00-800C-E10C6B5153DB}" uniqueName="16" name="Right First Time (FPY)-HOBS" queryTableFieldId="23" dataDxfId="129"/>
    <tableColumn id="1" xr3:uid="{F9CB2638-6CFC-4C62-A6AA-C657C8B4E6E5}" uniqueName="1" name="EFE" queryTableFieldId="15" dataDxfId="128"/>
    <tableColumn id="10" xr3:uid="{598B0D77-3A3B-4153-9E36-3D8E0B276025}" uniqueName="10" name="Supplier" queryTableFieldId="17" dataDxfId="127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a_query__5346" displayName="Tabella_query__5346" ref="A1:I14" tableType="queryTable" totalsRowShown="0">
  <autoFilter ref="A1:I14" xr:uid="{00000000-0009-0000-0100-000005000000}"/>
  <tableColumns count="9">
    <tableColumn id="11" xr3:uid="{00000000-0010-0000-0400-00000B000000}" uniqueName="ReferenceMonth" name="ReferenceMonth" queryTableFieldId="2" dataDxfId="126"/>
    <tableColumn id="3" xr3:uid="{00000000-0010-0000-0400-000003000000}" uniqueName="Incident_x005f_x0020_Rate_x005f_x0020__x0028" name="Paid Absenteeism drect blue collars " queryTableFieldId="3" dataDxfId="125"/>
    <tableColumn id="2" xr3:uid="{8A8E961B-C132-4D22-9ECE-65EB950EE941}" uniqueName="2" name="Unpaid Absenteeism drect blue collars " queryTableFieldId="17" dataDxfId="124"/>
    <tableColumn id="4" xr3:uid="{00000000-0010-0000-0400-000004000000}" uniqueName="Severity_x005f_x0020_Index" name="HC - Direct BC" queryTableFieldId="4" dataDxfId="123"/>
    <tableColumn id="1" xr3:uid="{28D816D5-63D8-462F-A5F7-50B30BFCC904}" uniqueName="1" name="Budget Volumes" queryTableFieldId="16" dataDxfId="122" dataCellStyle="Yüzde 5"/>
    <tableColumn id="5" xr3:uid="{00000000-0010-0000-0400-000005000000}" uniqueName="Accidents" name="HC - Indirect BC" queryTableFieldId="5" dataDxfId="121"/>
    <tableColumn id="6" xr3:uid="{00000000-0010-0000-0400-000006000000}" uniqueName="Energy_x005f_x0020_Consumption_x005f_x0020__" name="HC - White Collars" queryTableFieldId="6" dataDxfId="120"/>
    <tableColumn id="7" xr3:uid="{00000000-0010-0000-0400-000007000000}" uniqueName="Water_x005f_x0020_Consumption_x005f_x0020__x" name="Overtime - Direct BC" queryTableFieldId="7" dataDxfId="119"/>
    <tableColumn id="8" xr3:uid="{00000000-0010-0000-0400-000008000000}" uniqueName="Natural_x005f_x0020_Gas_x005f_x0020_Consumpt" name="Overtime - Indirect BC" queryTableFieldId="8" dataDxfId="118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la_query__5347" displayName="Tabella_query__5347" ref="A1:H14" tableType="queryTable" totalsRowShown="0">
  <autoFilter ref="A1:H14" xr:uid="{00000000-0009-0000-0100-000006000000}"/>
  <tableColumns count="8">
    <tableColumn id="11" xr3:uid="{00000000-0010-0000-0500-00000B000000}" uniqueName="ReferenceMonth" name="ReferenceMonth" queryTableFieldId="2" dataDxfId="117"/>
    <tableColumn id="3" xr3:uid="{00000000-0010-0000-0500-000003000000}" uniqueName="Incident_x005f_x0020_Rate_x005f_x0020__x0028" name="Paid Absenteeism drect blue collars " queryTableFieldId="3" dataDxfId="116"/>
    <tableColumn id="1" xr3:uid="{13C39B08-106F-4DC0-81DB-5979D8D0734A}" uniqueName="1" name="Unpaid Absenteeism drect blue collars " queryTableFieldId="17" dataDxfId="115"/>
    <tableColumn id="4" xr3:uid="{00000000-0010-0000-0500-000004000000}" uniqueName="Severity_x005f_x0020_Index" name="Headcount Direct Blue Collars" queryTableFieldId="4" dataDxfId="114"/>
    <tableColumn id="5" xr3:uid="{00000000-0010-0000-0500-000005000000}" uniqueName="Accidents" name="Headcount Indirect Blue Collars" queryTableFieldId="5" dataDxfId="113"/>
    <tableColumn id="6" xr3:uid="{00000000-0010-0000-0500-000006000000}" uniqueName="Energy_x005f_x0020_Consumption_x005f_x0020__" name="Headcount White Collars" queryTableFieldId="6" dataDxfId="112"/>
    <tableColumn id="7" xr3:uid="{00000000-0010-0000-0500-000007000000}" uniqueName="Water_x005f_x0020_Consumption_x005f_x0020__x" name="Overtime Direct Blue Collars " queryTableFieldId="7" dataDxfId="111"/>
    <tableColumn id="8" xr3:uid="{00000000-0010-0000-0500-000008000000}" uniqueName="Natural_x005f_x0020_Gas_x005f_x0020_Consumpt" name="Overtime Indirect Blue Collars " queryTableFieldId="8" dataDxfId="110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la_query__5345" displayName="Tabella_query__5345" ref="A1:I14" tableType="queryTable" totalsRowShown="0">
  <autoFilter ref="A1:I14" xr:uid="{00000000-0009-0000-0100-000007000000}"/>
  <tableColumns count="9">
    <tableColumn id="11" xr3:uid="{00000000-0010-0000-0600-00000B000000}" uniqueName="ReferenceMonth" name="ReferenceMonth" queryTableFieldId="2" dataDxfId="109"/>
    <tableColumn id="3" xr3:uid="{00000000-0010-0000-0600-000003000000}" uniqueName="Incident_x005f_x0020_Rate_x005f_x0020__x0028" name="Assembly Yield" queryTableFieldId="3" dataDxfId="108"/>
    <tableColumn id="4" xr3:uid="{00000000-0010-0000-0600-000004000000}" uniqueName="Severity_x005f_x0020_Index" name="Production Efficiency" queryTableFieldId="4" dataDxfId="107"/>
    <tableColumn id="5" xr3:uid="{00000000-0010-0000-0600-000005000000}" uniqueName="Accidents" name="Productivity Index" queryTableFieldId="5" dataDxfId="106"/>
    <tableColumn id="8" xr3:uid="{00000000-0010-0000-0600-000008000000}" uniqueName="8" name="OEE QS WELDING LINE" queryTableFieldId="16" dataDxfId="105"/>
    <tableColumn id="7" xr3:uid="{00000000-0010-0000-0600-000007000000}" uniqueName="7" name="OEE DOOR SILICON HALINO" queryTableFieldId="15" dataDxfId="104"/>
    <tableColumn id="6" xr3:uid="{00000000-0010-0000-0600-000006000000}" uniqueName="Energy_x005f_x0020_Consumption_x005f_x0020__" name="OEE UNIHOB TRANSFER" queryTableFieldId="6" dataDxfId="103"/>
    <tableColumn id="1" xr3:uid="{A41236EE-56A1-460D-A3F0-4DE8595EC774}" uniqueName="1" name="Hold products" queryTableFieldId="17" dataDxfId="102"/>
    <tableColumn id="2" xr3:uid="{5762F5C0-79BC-4988-9407-02580C504E38}" uniqueName="2" name="Scrap Cost" queryTableFieldId="18" dataDxfId="101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la_query__53459" displayName="Tabella_query__53459" ref="A1:I14" tableType="queryTable" totalsRowShown="0">
  <autoFilter ref="A1:I14" xr:uid="{00000000-0009-0000-0100-000008000000}"/>
  <tableColumns count="9">
    <tableColumn id="11" xr3:uid="{00000000-0010-0000-0700-00000B000000}" uniqueName="ReferenceMonth" name="ReferenceMonth" queryTableFieldId="2" dataDxfId="100"/>
    <tableColumn id="3" xr3:uid="{00000000-0010-0000-0700-000003000000}" uniqueName="Incident_x005f_x0020_Rate_x005f_x0020__x0028" name="Assembly Yield" queryTableFieldId="3" dataDxfId="99"/>
    <tableColumn id="4" xr3:uid="{00000000-0010-0000-0700-000004000000}" uniqueName="Severity_x005f_x0020_Index" name="Production Efficiency" queryTableFieldId="4" dataDxfId="98"/>
    <tableColumn id="5" xr3:uid="{00000000-0010-0000-0700-000005000000}" uniqueName="Accidents" name="Productivity Index" queryTableFieldId="5" dataDxfId="97"/>
    <tableColumn id="8" xr3:uid="{00000000-0010-0000-0700-000008000000}" uniqueName="8" name="OEE QS WELDING LINE" queryTableFieldId="16" dataDxfId="96"/>
    <tableColumn id="7" xr3:uid="{00000000-0010-0000-0700-000007000000}" uniqueName="7" name="OEE DOOR SILICON HALINO" queryTableFieldId="15" dataDxfId="95"/>
    <tableColumn id="6" xr3:uid="{00000000-0010-0000-0700-000006000000}" uniqueName="Energy_x005f_x0020_Consumption_x005f_x0020__" name="OEE UNIHOB TRANSFER" queryTableFieldId="6" dataDxfId="94"/>
    <tableColumn id="1" xr3:uid="{2800DE4D-14FF-49FA-8123-E6B4FB2CF53C}" uniqueName="1" name="Hold products" queryTableFieldId="17" dataDxfId="93"/>
    <tableColumn id="2" xr3:uid="{EE296500-3636-47A2-B307-E0E1E6F7EF63}" uniqueName="2" name="Scrap Cost" queryTableFieldId="18" dataDxfId="92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la_query__534610" displayName="Tabella_query__534610" ref="A1:G14" tableType="queryTable" totalsRowShown="0">
  <autoFilter ref="A1:G14" xr:uid="{00000000-0009-0000-0100-000009000000}"/>
  <tableColumns count="7">
    <tableColumn id="11" xr3:uid="{00000000-0010-0000-0800-00000B000000}" uniqueName="ReferenceMonth" name="ReferenceMonth" queryTableFieldId="2" dataDxfId="91"/>
    <tableColumn id="3" xr3:uid="{00000000-0010-0000-0800-000003000000}" uniqueName="Incident_x005f_x0020_Rate_x005f_x0020__x0028" name="Logistics Indirect Workers" queryTableFieldId="3" dataDxfId="90"/>
    <tableColumn id="4" xr3:uid="{00000000-0010-0000-0800-000004000000}" uniqueName="Severity_x005f_x0020_Index" name="Logistics White Collars" queryTableFieldId="4" dataDxfId="89"/>
    <tableColumn id="5" xr3:uid="{00000000-0010-0000-0800-000005000000}" uniqueName="Accidents" name="Mix accuracy" queryTableFieldId="5" dataDxfId="88"/>
    <tableColumn id="6" xr3:uid="{00000000-0010-0000-0800-000006000000}" uniqueName="Energy_x005f_x0020_Consumption_x005f_x0020__" name="Days of Stock" queryTableFieldId="6" dataDxfId="87"/>
    <tableColumn id="1" xr3:uid="{00000000-0010-0000-0800-000001000000}" uniqueName="1" name="Spare Parts Back Order Lines" queryTableFieldId="15" dataDxfId="86"/>
    <tableColumn id="2" xr3:uid="{00000000-0010-0000-0800-000002000000}" uniqueName="2" name="Customer Service Back Order Volumes" queryTableFieldId="16" dataDxfId="85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la_query__534611" displayName="Tabella_query__534611" ref="A1:G14" tableType="queryTable" totalsRowShown="0">
  <autoFilter ref="A1:G14" xr:uid="{00000000-0009-0000-0100-00000A000000}"/>
  <tableColumns count="7">
    <tableColumn id="11" xr3:uid="{00000000-0010-0000-0900-00000B000000}" uniqueName="ReferenceMonth" name="ReferenceMonth" queryTableFieldId="2" dataDxfId="84"/>
    <tableColumn id="3" xr3:uid="{00000000-0010-0000-0900-000003000000}" uniqueName="Incident_x005f_x0020_Rate_x005f_x0020__x0028" name="Logistics Indirect Workers" queryTableFieldId="3" dataDxfId="83"/>
    <tableColumn id="4" xr3:uid="{00000000-0010-0000-0900-000004000000}" uniqueName="Severity_x005f_x0020_Index" name="Logistics White Collars" queryTableFieldId="4" dataDxfId="82"/>
    <tableColumn id="5" xr3:uid="{00000000-0010-0000-0900-000005000000}" uniqueName="Accidents" name="Mix accuracy" queryTableFieldId="5" dataDxfId="81" dataCellStyle="Yüzde 5"/>
    <tableColumn id="6" xr3:uid="{00000000-0010-0000-0900-000006000000}" uniqueName="Energy_x005f_x0020_Consumption_x005f_x0020__" name="Industrial inventory DOS" queryTableFieldId="6" dataDxfId="80"/>
    <tableColumn id="1" xr3:uid="{00000000-0010-0000-0900-000001000000}" uniqueName="1" name="Spare Parts Back Orders Lines" queryTableFieldId="15" dataDxfId="79"/>
    <tableColumn id="2" xr3:uid="{00000000-0010-0000-0900-000002000000}" uniqueName="2" name="Spare Parts Back Order Volumes" queryTableFieldId="16" dataDxfId="7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41"/>
  <sheetViews>
    <sheetView showGridLines="0" tabSelected="1" zoomScaleNormal="115" workbookViewId="0">
      <selection activeCell="F71" sqref="F71"/>
    </sheetView>
  </sheetViews>
  <sheetFormatPr defaultColWidth="17.28515625" defaultRowHeight="15" customHeight="1" x14ac:dyDescent="0.25"/>
  <cols>
    <col min="1" max="1" width="1.28515625" style="2" customWidth="1"/>
    <col min="2" max="2" width="12.5703125" style="2" customWidth="1"/>
    <col min="3" max="3" width="30.7109375" style="2" customWidth="1"/>
    <col min="4" max="4" width="9.7109375" style="2" customWidth="1"/>
    <col min="5" max="5" width="11.7109375" style="2" bestFit="1" customWidth="1"/>
    <col min="6" max="17" width="7.85546875" style="2" customWidth="1"/>
    <col min="18" max="18" width="17.28515625" style="2"/>
    <col min="19" max="21" width="4" style="2" hidden="1" customWidth="1"/>
    <col min="22" max="23" width="5.42578125" style="2" hidden="1" customWidth="1"/>
    <col min="24" max="30" width="4" style="2" hidden="1" customWidth="1"/>
    <col min="31" max="32" width="0" style="2" hidden="1" customWidth="1"/>
    <col min="33" max="16384" width="17.28515625" style="2"/>
  </cols>
  <sheetData>
    <row r="1" spans="1:17" ht="21" customHeight="1" x14ac:dyDescent="0.25">
      <c r="A1" s="1"/>
      <c r="B1" s="320" t="s">
        <v>98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</row>
    <row r="2" spans="1:17" ht="23.25" customHeight="1" thickBot="1" x14ac:dyDescent="0.3">
      <c r="A2" s="1"/>
      <c r="B2" s="345" t="s">
        <v>0</v>
      </c>
      <c r="C2" s="325"/>
      <c r="D2" s="76" t="s">
        <v>1</v>
      </c>
      <c r="E2" s="76" t="s">
        <v>2</v>
      </c>
      <c r="F2" s="77" t="s">
        <v>3</v>
      </c>
      <c r="G2" s="31" t="s">
        <v>4</v>
      </c>
      <c r="H2" s="31" t="s">
        <v>5</v>
      </c>
      <c r="I2" s="31" t="s">
        <v>6</v>
      </c>
      <c r="J2" s="31" t="s">
        <v>5</v>
      </c>
      <c r="K2" s="31" t="s">
        <v>3</v>
      </c>
      <c r="L2" s="31" t="s">
        <v>3</v>
      </c>
      <c r="M2" s="31" t="s">
        <v>6</v>
      </c>
      <c r="N2" s="31" t="s">
        <v>7</v>
      </c>
      <c r="O2" s="31" t="s">
        <v>8</v>
      </c>
      <c r="P2" s="31" t="s">
        <v>9</v>
      </c>
      <c r="Q2" s="167" t="s">
        <v>10</v>
      </c>
    </row>
    <row r="3" spans="1:17" s="171" customFormat="1" ht="15.75" hidden="1" x14ac:dyDescent="0.25">
      <c r="A3" s="164"/>
      <c r="B3" s="298" t="s">
        <v>11</v>
      </c>
      <c r="C3" s="346" t="s">
        <v>97</v>
      </c>
      <c r="D3" s="278" t="s">
        <v>12</v>
      </c>
      <c r="E3" s="172" t="s">
        <v>122</v>
      </c>
      <c r="F3" s="174">
        <v>0</v>
      </c>
      <c r="G3" s="165">
        <v>0</v>
      </c>
      <c r="H3" s="165">
        <v>7.78</v>
      </c>
      <c r="I3" s="165">
        <v>5.54</v>
      </c>
      <c r="J3" s="165">
        <v>4.25</v>
      </c>
      <c r="K3" s="165">
        <v>3.32</v>
      </c>
      <c r="L3" s="165">
        <v>5.38</v>
      </c>
      <c r="M3" s="165">
        <v>7.04</v>
      </c>
      <c r="N3" s="165">
        <v>11.74</v>
      </c>
      <c r="O3" s="165">
        <v>10.32</v>
      </c>
      <c r="P3" s="165">
        <v>9.0399999999999991</v>
      </c>
      <c r="Q3" s="166">
        <v>8.18</v>
      </c>
    </row>
    <row r="4" spans="1:17" ht="17.25" hidden="1" customHeight="1" x14ac:dyDescent="0.25">
      <c r="A4" s="3"/>
      <c r="B4" s="299"/>
      <c r="C4" s="347"/>
      <c r="D4" s="278"/>
      <c r="E4" s="173" t="s">
        <v>113</v>
      </c>
      <c r="F4" s="175">
        <f>'EEH&amp;S'!$B$3</f>
        <v>0</v>
      </c>
      <c r="G4" s="78">
        <f>'EEH&amp;S'!$B$4</f>
        <v>6.37</v>
      </c>
      <c r="H4" s="78">
        <f>'EEH&amp;S'!$B$5</f>
        <v>4.2</v>
      </c>
      <c r="I4" s="78">
        <f>'EEH&amp;S'!$B$6</f>
        <v>0</v>
      </c>
      <c r="J4" s="78">
        <f>'EEH&amp;S'!$B$7</f>
        <v>0</v>
      </c>
      <c r="K4" s="78">
        <f>'EEH&amp;S'!$B$8</f>
        <v>0</v>
      </c>
      <c r="L4" s="78">
        <f>'EEH&amp;S'!$B$9</f>
        <v>0</v>
      </c>
      <c r="M4" s="78">
        <f>'EEH&amp;S'!$B$10</f>
        <v>0</v>
      </c>
      <c r="N4" s="78">
        <f>'EEH&amp;S'!$B$11</f>
        <v>0</v>
      </c>
      <c r="O4" s="78">
        <f>'EEH&amp;S'!$B$12</f>
        <v>0</v>
      </c>
      <c r="P4" s="78">
        <f>'EEH&amp;S'!$B$13</f>
        <v>0</v>
      </c>
      <c r="Q4" s="86">
        <f>'EEH&amp;S'!$B$14</f>
        <v>0</v>
      </c>
    </row>
    <row r="5" spans="1:17" ht="17.25" hidden="1" customHeight="1" x14ac:dyDescent="0.25">
      <c r="A5" s="3"/>
      <c r="B5" s="299"/>
      <c r="C5" s="348"/>
      <c r="D5" s="278"/>
      <c r="E5" s="153" t="s">
        <v>114</v>
      </c>
      <c r="F5" s="175">
        <f>'EEH&amp;S tgt'!$B$3</f>
        <v>0</v>
      </c>
      <c r="G5" s="78">
        <f>'EEH&amp;S tgt'!$B$4</f>
        <v>6.01</v>
      </c>
      <c r="H5" s="78">
        <f>'EEH&amp;S tgt'!$B$5</f>
        <v>3.96</v>
      </c>
      <c r="I5" s="78">
        <f>'EEH&amp;S tgt'!$B$6</f>
        <v>3.03</v>
      </c>
      <c r="J5" s="78">
        <f>'EEH&amp;S tgt'!$B$7</f>
        <v>2.62</v>
      </c>
      <c r="K5" s="78">
        <f>'EEH&amp;S tgt'!$B$8</f>
        <v>4.3099999999999996</v>
      </c>
      <c r="L5" s="78">
        <f>'EEH&amp;S tgt'!$B$9</f>
        <v>3.8</v>
      </c>
      <c r="M5" s="78">
        <f>'EEH&amp;S tgt'!$B$10</f>
        <v>3.41</v>
      </c>
      <c r="N5" s="78">
        <f>'EEH&amp;S tgt'!$B$11</f>
        <v>4.4400000000000004</v>
      </c>
      <c r="O5" s="78">
        <f>'EEH&amp;S tgt'!$B$12</f>
        <v>3.96</v>
      </c>
      <c r="P5" s="78">
        <f>'EEH&amp;S tgt'!$B$13</f>
        <v>3.51</v>
      </c>
      <c r="Q5" s="86">
        <f>'EEH&amp;S tgt'!$B$14</f>
        <v>3.27</v>
      </c>
    </row>
    <row r="6" spans="1:17" ht="17.25" hidden="1" customHeight="1" x14ac:dyDescent="0.25">
      <c r="A6" s="3"/>
      <c r="B6" s="299"/>
      <c r="C6" s="283" t="s">
        <v>127</v>
      </c>
      <c r="D6" s="278" t="s">
        <v>12</v>
      </c>
      <c r="E6" s="173" t="s">
        <v>122</v>
      </c>
      <c r="F6" s="267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246">
        <v>0</v>
      </c>
    </row>
    <row r="7" spans="1:17" ht="17.25" hidden="1" customHeight="1" x14ac:dyDescent="0.25">
      <c r="A7" s="3"/>
      <c r="B7" s="299"/>
      <c r="C7" s="283"/>
      <c r="D7" s="278"/>
      <c r="E7" s="173" t="s">
        <v>113</v>
      </c>
      <c r="F7" s="159">
        <f>'EEH&amp;S'!C3</f>
        <v>0</v>
      </c>
      <c r="G7" s="79">
        <f>'EEH&amp;S'!C4</f>
        <v>0</v>
      </c>
      <c r="H7" s="79">
        <f>'EEH&amp;S'!C5</f>
        <v>0</v>
      </c>
      <c r="I7" s="79">
        <f>'EEH&amp;S'!C6</f>
        <v>0</v>
      </c>
      <c r="J7" s="79">
        <f>'EEH&amp;S'!C7</f>
        <v>0</v>
      </c>
      <c r="K7" s="79">
        <f>'EEH&amp;S'!C8</f>
        <v>0</v>
      </c>
      <c r="L7" s="79">
        <f>'EEH&amp;S'!C9</f>
        <v>0</v>
      </c>
      <c r="M7" s="79">
        <f>'EEH&amp;S'!C10</f>
        <v>0</v>
      </c>
      <c r="N7" s="79">
        <f>'EEH&amp;S'!C11</f>
        <v>0</v>
      </c>
      <c r="O7" s="79">
        <f>'EEH&amp;S'!C12</f>
        <v>0</v>
      </c>
      <c r="P7" s="79">
        <f>'EEH&amp;S'!C13</f>
        <v>0</v>
      </c>
      <c r="Q7" s="79">
        <f>'EEH&amp;S'!C14</f>
        <v>0</v>
      </c>
    </row>
    <row r="8" spans="1:17" ht="17.25" hidden="1" customHeight="1" x14ac:dyDescent="0.25">
      <c r="A8" s="3"/>
      <c r="B8" s="299"/>
      <c r="C8" s="313"/>
      <c r="D8" s="279"/>
      <c r="E8" s="153" t="s">
        <v>114</v>
      </c>
      <c r="F8" s="159">
        <f>'EEH&amp;S tgt'!C3</f>
        <v>0</v>
      </c>
      <c r="G8" s="79">
        <f>'EEH&amp;S tgt'!C4</f>
        <v>0</v>
      </c>
      <c r="H8" s="79">
        <f>'EEH&amp;S tgt'!C5</f>
        <v>0</v>
      </c>
      <c r="I8" s="79">
        <f>'EEH&amp;S tgt'!C6</f>
        <v>0</v>
      </c>
      <c r="J8" s="79">
        <f>'EEH&amp;S tgt'!C7</f>
        <v>0</v>
      </c>
      <c r="K8" s="79">
        <f>'EEH&amp;S tgt'!C8</f>
        <v>0</v>
      </c>
      <c r="L8" s="79">
        <f>'EEH&amp;S tgt'!C9</f>
        <v>0</v>
      </c>
      <c r="M8" s="79">
        <f>'EEH&amp;S tgt'!C10</f>
        <v>0</v>
      </c>
      <c r="N8" s="79">
        <f>'EEH&amp;S tgt'!C11</f>
        <v>0</v>
      </c>
      <c r="O8" s="79">
        <f>'EEH&amp;S tgt'!C12</f>
        <v>0</v>
      </c>
      <c r="P8" s="79">
        <f>'EEH&amp;S tgt'!C13</f>
        <v>0</v>
      </c>
      <c r="Q8" s="79">
        <f>'EEH&amp;S tgt'!C14</f>
        <v>0</v>
      </c>
    </row>
    <row r="9" spans="1:17" ht="17.25" hidden="1" customHeight="1" x14ac:dyDescent="0.25">
      <c r="A9" s="3"/>
      <c r="B9" s="299"/>
      <c r="C9" s="312" t="s">
        <v>88</v>
      </c>
      <c r="D9" s="278" t="s">
        <v>55</v>
      </c>
      <c r="E9" s="190" t="s">
        <v>123</v>
      </c>
      <c r="F9" s="191">
        <v>4.8499999999999996</v>
      </c>
      <c r="G9" s="180">
        <v>4.8</v>
      </c>
      <c r="H9" s="180">
        <v>5.19</v>
      </c>
      <c r="I9" s="180">
        <v>4.78</v>
      </c>
      <c r="J9" s="180">
        <v>6.51</v>
      </c>
      <c r="K9" s="180">
        <v>6.16</v>
      </c>
      <c r="L9" s="180">
        <v>6.24</v>
      </c>
      <c r="M9" s="180">
        <v>6.9</v>
      </c>
      <c r="N9" s="82">
        <v>6.08</v>
      </c>
      <c r="O9" s="82">
        <v>5.09</v>
      </c>
      <c r="P9" s="180">
        <v>5.17</v>
      </c>
      <c r="Q9" s="181">
        <v>6.04</v>
      </c>
    </row>
    <row r="10" spans="1:17" ht="17.25" hidden="1" customHeight="1" x14ac:dyDescent="0.25">
      <c r="A10" s="3"/>
      <c r="B10" s="299"/>
      <c r="C10" s="312"/>
      <c r="D10" s="278"/>
      <c r="E10" s="173" t="s">
        <v>113</v>
      </c>
      <c r="F10" s="176">
        <f>'EEH&amp;S'!$D$3</f>
        <v>5.29</v>
      </c>
      <c r="G10" s="81">
        <f>'EEH&amp;S'!$D$4</f>
        <v>4.7</v>
      </c>
      <c r="H10" s="81">
        <f>'EEH&amp;S'!$D$5</f>
        <v>4.9400000000000004</v>
      </c>
      <c r="I10" s="81">
        <f>'EEH&amp;S'!$D$6</f>
        <v>0</v>
      </c>
      <c r="J10" s="81">
        <f>'EEH&amp;S'!$D$7</f>
        <v>0</v>
      </c>
      <c r="K10" s="81">
        <f>'EEH&amp;S'!$D$8</f>
        <v>0</v>
      </c>
      <c r="L10" s="81">
        <f>'EEH&amp;S'!$D$9</f>
        <v>0</v>
      </c>
      <c r="M10" s="81">
        <f>'EEH&amp;S'!$D$10</f>
        <v>0</v>
      </c>
      <c r="N10" s="81">
        <f>'EEH&amp;S'!$D$11</f>
        <v>0</v>
      </c>
      <c r="O10" s="81">
        <f>'EEH&amp;S'!$D$12</f>
        <v>0</v>
      </c>
      <c r="P10" s="81">
        <f>'EEH&amp;S'!$D$13</f>
        <v>0</v>
      </c>
      <c r="Q10" s="89">
        <f>'EEH&amp;S'!$D$14</f>
        <v>0</v>
      </c>
    </row>
    <row r="11" spans="1:17" ht="17.25" hidden="1" customHeight="1" x14ac:dyDescent="0.25">
      <c r="A11" s="3"/>
      <c r="B11" s="299"/>
      <c r="C11" s="313"/>
      <c r="D11" s="279"/>
      <c r="E11" s="153" t="s">
        <v>114</v>
      </c>
      <c r="F11" s="177">
        <f>'EEH&amp;S tgt'!$D$3</f>
        <v>6.4</v>
      </c>
      <c r="G11" s="82">
        <f>'EEH&amp;S tgt'!$D$4</f>
        <v>6.79</v>
      </c>
      <c r="H11" s="82">
        <f>'EEH&amp;S tgt'!$D$5</f>
        <v>7.02</v>
      </c>
      <c r="I11" s="82">
        <f>'EEH&amp;S tgt'!$D$6</f>
        <v>6.95</v>
      </c>
      <c r="J11" s="82">
        <f>'EEH&amp;S tgt'!$D$7</f>
        <v>8.0399999999999991</v>
      </c>
      <c r="K11" s="82">
        <f>'EEH&amp;S tgt'!$D$8</f>
        <v>7.19</v>
      </c>
      <c r="L11" s="82">
        <f>'EEH&amp;S tgt'!$D$9</f>
        <v>8.4700000000000006</v>
      </c>
      <c r="M11" s="82">
        <f>'EEH&amp;S tgt'!$D$10</f>
        <v>7.97</v>
      </c>
      <c r="N11" s="82">
        <f>'EEH&amp;S tgt'!$D$11</f>
        <v>7.17</v>
      </c>
      <c r="O11" s="82">
        <f>'EEH&amp;S tgt'!$D$12</f>
        <v>6.98</v>
      </c>
      <c r="P11" s="82">
        <f>'EEH&amp;S tgt'!$D$13</f>
        <v>6.78</v>
      </c>
      <c r="Q11" s="90">
        <f>'EEH&amp;S tgt'!$D$14</f>
        <v>7.48</v>
      </c>
    </row>
    <row r="12" spans="1:17" ht="17.25" hidden="1" customHeight="1" x14ac:dyDescent="0.25">
      <c r="A12" s="3"/>
      <c r="B12" s="299"/>
      <c r="C12" s="312" t="s">
        <v>89</v>
      </c>
      <c r="D12" s="278" t="s">
        <v>90</v>
      </c>
      <c r="E12" s="190" t="s">
        <v>123</v>
      </c>
      <c r="F12" s="191">
        <v>2.31</v>
      </c>
      <c r="G12" s="180">
        <v>1.93</v>
      </c>
      <c r="H12" s="180">
        <v>2.65</v>
      </c>
      <c r="I12" s="180">
        <v>2.1</v>
      </c>
      <c r="J12" s="180">
        <v>2.4700000000000002</v>
      </c>
      <c r="K12" s="180">
        <v>2.33</v>
      </c>
      <c r="L12" s="180">
        <v>2.36</v>
      </c>
      <c r="M12" s="180">
        <v>2.29</v>
      </c>
      <c r="N12" s="180">
        <v>2.16</v>
      </c>
      <c r="O12" s="180">
        <v>2.08</v>
      </c>
      <c r="P12" s="180">
        <v>2.23</v>
      </c>
      <c r="Q12" s="181">
        <v>2.56</v>
      </c>
    </row>
    <row r="13" spans="1:17" ht="17.25" hidden="1" customHeight="1" x14ac:dyDescent="0.25">
      <c r="A13" s="3"/>
      <c r="B13" s="299"/>
      <c r="C13" s="312"/>
      <c r="D13" s="278"/>
      <c r="E13" s="173" t="s">
        <v>113</v>
      </c>
      <c r="F13" s="176">
        <f>'EEH&amp;S'!$E$3</f>
        <v>2.48</v>
      </c>
      <c r="G13" s="81">
        <f>'EEH&amp;S'!$E$4</f>
        <v>2.0699999999999998</v>
      </c>
      <c r="H13" s="81">
        <f>'EEH&amp;S'!$E$5</f>
        <v>2.14</v>
      </c>
      <c r="I13" s="81">
        <f>'EEH&amp;S'!$E$6</f>
        <v>0</v>
      </c>
      <c r="J13" s="81">
        <f>'EEH&amp;S'!$E$7</f>
        <v>0</v>
      </c>
      <c r="K13" s="81">
        <f>'EEH&amp;S'!$E$8</f>
        <v>0</v>
      </c>
      <c r="L13" s="81">
        <f>'EEH&amp;S'!$E$9</f>
        <v>0</v>
      </c>
      <c r="M13" s="81">
        <f>'EEH&amp;S'!$E$10</f>
        <v>0</v>
      </c>
      <c r="N13" s="81">
        <f>'EEH&amp;S'!$E$11</f>
        <v>0</v>
      </c>
      <c r="O13" s="81">
        <f>'EEH&amp;S'!$E$12</f>
        <v>0</v>
      </c>
      <c r="P13" s="81">
        <f>'EEH&amp;S'!$E$13</f>
        <v>0</v>
      </c>
      <c r="Q13" s="89">
        <f>'EEH&amp;S'!$E$14</f>
        <v>0</v>
      </c>
    </row>
    <row r="14" spans="1:17" ht="17.25" hidden="1" customHeight="1" x14ac:dyDescent="0.25">
      <c r="A14" s="3"/>
      <c r="B14" s="299"/>
      <c r="C14" s="313"/>
      <c r="D14" s="279"/>
      <c r="E14" s="153" t="s">
        <v>114</v>
      </c>
      <c r="F14" s="177">
        <f>'EEH&amp;S tgt'!$E$3</f>
        <v>2.6536999999999997</v>
      </c>
      <c r="G14" s="82">
        <f>'EEH&amp;S tgt'!$E$4</f>
        <v>3.0551000000000004</v>
      </c>
      <c r="H14" s="82">
        <f>'EEH&amp;S tgt'!$E$5</f>
        <v>3.0105</v>
      </c>
      <c r="I14" s="82">
        <f>'EEH&amp;S tgt'!$E$6</f>
        <v>2.8767</v>
      </c>
      <c r="J14" s="82">
        <f>'EEH&amp;S tgt'!$E$7</f>
        <v>2.9882</v>
      </c>
      <c r="K14" s="82">
        <f>'EEH&amp;S tgt'!$E$8</f>
        <v>2.6982999999999997</v>
      </c>
      <c r="L14" s="82">
        <f>'EEH&amp;S tgt'!$E$9</f>
        <v>2.7652000000000001</v>
      </c>
      <c r="M14" s="82">
        <f>'EEH&amp;S tgt'!$E$10</f>
        <v>2.7875000000000001</v>
      </c>
      <c r="N14" s="82">
        <f>'EEH&amp;S tgt'!$E$11</f>
        <v>2.6536999999999997</v>
      </c>
      <c r="O14" s="82">
        <f>'EEH&amp;S tgt'!$E$12</f>
        <v>2.9436</v>
      </c>
      <c r="P14" s="82">
        <f>'EEH&amp;S tgt'!$E$13</f>
        <v>2.8767</v>
      </c>
      <c r="Q14" s="90">
        <f>'EEH&amp;S tgt'!$E$14</f>
        <v>3.2111999999999998</v>
      </c>
    </row>
    <row r="15" spans="1:17" ht="17.25" hidden="1" customHeight="1" x14ac:dyDescent="0.25">
      <c r="A15" s="3"/>
      <c r="B15" s="299"/>
      <c r="C15" s="283" t="s">
        <v>13</v>
      </c>
      <c r="D15" s="341" t="s">
        <v>51</v>
      </c>
      <c r="E15" s="190" t="s">
        <v>123</v>
      </c>
      <c r="F15" s="192">
        <v>1.05</v>
      </c>
      <c r="G15" s="184">
        <v>0.88</v>
      </c>
      <c r="H15" s="184">
        <v>1.2</v>
      </c>
      <c r="I15" s="184">
        <v>0.96</v>
      </c>
      <c r="J15" s="184">
        <v>1.1200000000000001</v>
      </c>
      <c r="K15" s="184">
        <v>1.06</v>
      </c>
      <c r="L15" s="184">
        <v>1.07</v>
      </c>
      <c r="M15" s="184">
        <v>1.04</v>
      </c>
      <c r="N15" s="82">
        <v>0.98</v>
      </c>
      <c r="O15" s="185">
        <v>0.95</v>
      </c>
      <c r="P15" s="186">
        <v>1.02</v>
      </c>
      <c r="Q15" s="86">
        <v>1.1599999999999999</v>
      </c>
    </row>
    <row r="16" spans="1:17" ht="17.25" hidden="1" customHeight="1" x14ac:dyDescent="0.25">
      <c r="A16" s="3"/>
      <c r="B16" s="299"/>
      <c r="C16" s="283"/>
      <c r="D16" s="341"/>
      <c r="E16" s="173" t="s">
        <v>113</v>
      </c>
      <c r="F16" s="178">
        <f>'EEH&amp;S'!$F$3</f>
        <v>1.1100000000000001</v>
      </c>
      <c r="G16" s="83">
        <f>'EEH&amp;S'!$F$4</f>
        <v>0.93</v>
      </c>
      <c r="H16" s="83">
        <f>'EEH&amp;S'!$F$5</f>
        <v>0.96</v>
      </c>
      <c r="I16" s="83">
        <f>'EEH&amp;S'!$F$6</f>
        <v>0</v>
      </c>
      <c r="J16" s="83">
        <f>'EEH&amp;S'!$F$7</f>
        <v>0</v>
      </c>
      <c r="K16" s="83">
        <f>'EEH&amp;S'!$F$8</f>
        <v>0</v>
      </c>
      <c r="L16" s="83">
        <f>'EEH&amp;S'!$F$9</f>
        <v>0</v>
      </c>
      <c r="M16" s="83">
        <f>'EEH&amp;S'!$F$10</f>
        <v>0</v>
      </c>
      <c r="N16" s="83">
        <f>'EEH&amp;S'!$F$11</f>
        <v>0</v>
      </c>
      <c r="O16" s="84">
        <f>'EEH&amp;S'!$F$12</f>
        <v>0</v>
      </c>
      <c r="P16" s="84">
        <f>'EEH&amp;S'!$F$13</f>
        <v>0</v>
      </c>
      <c r="Q16" s="86">
        <f>'EEH&amp;S'!$F$14</f>
        <v>0</v>
      </c>
    </row>
    <row r="17" spans="1:17" ht="17.25" hidden="1" customHeight="1" x14ac:dyDescent="0.25">
      <c r="A17" s="3"/>
      <c r="B17" s="299"/>
      <c r="C17" s="313"/>
      <c r="D17" s="278"/>
      <c r="E17" s="153" t="s">
        <v>114</v>
      </c>
      <c r="F17" s="177">
        <f>'EEH&amp;S tgt'!$F$3</f>
        <v>1.19</v>
      </c>
      <c r="G17" s="82">
        <f>'EEH&amp;S tgt'!$F$4</f>
        <v>1.37</v>
      </c>
      <c r="H17" s="82">
        <f>'EEH&amp;S tgt'!$F$5</f>
        <v>1.35</v>
      </c>
      <c r="I17" s="82">
        <f>'EEH&amp;S tgt'!$F$6</f>
        <v>1.29</v>
      </c>
      <c r="J17" s="82">
        <f>'EEH&amp;S tgt'!$F$7</f>
        <v>1.34</v>
      </c>
      <c r="K17" s="82">
        <f>'EEH&amp;S tgt'!$F$8</f>
        <v>1.21</v>
      </c>
      <c r="L17" s="82">
        <f>'EEH&amp;S tgt'!$F$9</f>
        <v>1.24</v>
      </c>
      <c r="M17" s="82">
        <f>'EEH&amp;S tgt'!$F$10</f>
        <v>1.25</v>
      </c>
      <c r="N17" s="82">
        <f>'EEH&amp;S tgt'!$F$11</f>
        <v>1.19</v>
      </c>
      <c r="O17" s="82">
        <f>'EEH&amp;S tgt'!$F$12</f>
        <v>1.32</v>
      </c>
      <c r="P17" s="82">
        <f>'EEH&amp;S tgt'!$F$13</f>
        <v>1.29</v>
      </c>
      <c r="Q17" s="90">
        <f>'EEH&amp;S tgt'!$F$14</f>
        <v>1.44</v>
      </c>
    </row>
    <row r="18" spans="1:17" ht="17.25" hidden="1" customHeight="1" x14ac:dyDescent="0.25">
      <c r="A18" s="3"/>
      <c r="B18" s="299"/>
      <c r="C18" s="283" t="s">
        <v>14</v>
      </c>
      <c r="D18" s="278" t="s">
        <v>50</v>
      </c>
      <c r="E18" s="190" t="s">
        <v>123</v>
      </c>
      <c r="F18" s="192">
        <v>2.74</v>
      </c>
      <c r="G18" s="184">
        <v>3.28</v>
      </c>
      <c r="H18" s="184">
        <v>6.21</v>
      </c>
      <c r="I18" s="184">
        <v>4.05</v>
      </c>
      <c r="J18" s="184">
        <v>4.46</v>
      </c>
      <c r="K18" s="184">
        <v>4.12</v>
      </c>
      <c r="L18" s="184">
        <v>4.4000000000000004</v>
      </c>
      <c r="M18" s="184">
        <v>3.64</v>
      </c>
      <c r="N18" s="82">
        <v>3.6</v>
      </c>
      <c r="O18" s="82">
        <v>3.31</v>
      </c>
      <c r="P18" s="184">
        <v>3.41</v>
      </c>
      <c r="Q18" s="187">
        <v>4.03</v>
      </c>
    </row>
    <row r="19" spans="1:17" ht="17.25" hidden="1" customHeight="1" x14ac:dyDescent="0.25">
      <c r="A19" s="3"/>
      <c r="B19" s="299"/>
      <c r="C19" s="283"/>
      <c r="D19" s="278"/>
      <c r="E19" s="173" t="s">
        <v>113</v>
      </c>
      <c r="F19" s="178">
        <f>'EEH&amp;S'!$G$3</f>
        <v>3.2</v>
      </c>
      <c r="G19" s="83">
        <f>'EEH&amp;S'!$G$4</f>
        <v>3.22</v>
      </c>
      <c r="H19" s="83">
        <f>'EEH&amp;S'!$G$5</f>
        <v>3.12</v>
      </c>
      <c r="I19" s="83">
        <f>'EEH&amp;S'!$G$6</f>
        <v>0</v>
      </c>
      <c r="J19" s="83">
        <f>'EEH&amp;S'!$G$7</f>
        <v>0</v>
      </c>
      <c r="K19" s="83">
        <f>'EEH&amp;S'!$G$8</f>
        <v>0</v>
      </c>
      <c r="L19" s="83">
        <f>'EEH&amp;S'!$G$9</f>
        <v>0</v>
      </c>
      <c r="M19" s="83">
        <f>'EEH&amp;S'!$G$10</f>
        <v>0</v>
      </c>
      <c r="N19" s="83">
        <f>'EEH&amp;S'!$G$11</f>
        <v>0</v>
      </c>
      <c r="O19" s="83">
        <f>'EEH&amp;S'!$G$12</f>
        <v>0</v>
      </c>
      <c r="P19" s="83">
        <f>'EEH&amp;S'!$G$13</f>
        <v>0</v>
      </c>
      <c r="Q19" s="96">
        <f>'EEH&amp;S'!$G$14</f>
        <v>0</v>
      </c>
    </row>
    <row r="20" spans="1:17" ht="17.25" hidden="1" customHeight="1" x14ac:dyDescent="0.25">
      <c r="A20" s="3"/>
      <c r="B20" s="299"/>
      <c r="C20" s="313"/>
      <c r="D20" s="278"/>
      <c r="E20" s="153" t="s">
        <v>114</v>
      </c>
      <c r="F20" s="175">
        <f>'EEH&amp;S tgt'!$G$3</f>
        <v>4</v>
      </c>
      <c r="G20" s="78">
        <f>'EEH&amp;S tgt'!$G$4</f>
        <v>4</v>
      </c>
      <c r="H20" s="78">
        <f>'EEH&amp;S tgt'!$G$5</f>
        <v>4</v>
      </c>
      <c r="I20" s="78">
        <f>'EEH&amp;S tgt'!$G$6</f>
        <v>4</v>
      </c>
      <c r="J20" s="78">
        <f>'EEH&amp;S tgt'!$G$7</f>
        <v>4</v>
      </c>
      <c r="K20" s="78">
        <f>'EEH&amp;S tgt'!$G$8</f>
        <v>4</v>
      </c>
      <c r="L20" s="78">
        <f>'EEH&amp;S tgt'!$G$9</f>
        <v>4</v>
      </c>
      <c r="M20" s="78">
        <f>'EEH&amp;S tgt'!$G$10</f>
        <v>4</v>
      </c>
      <c r="N20" s="78">
        <f>'EEH&amp;S tgt'!$G$11</f>
        <v>4</v>
      </c>
      <c r="O20" s="78">
        <f>'EEH&amp;S tgt'!$G$12</f>
        <v>4</v>
      </c>
      <c r="P20" s="78">
        <f>'EEH&amp;S tgt'!$G$13</f>
        <v>4</v>
      </c>
      <c r="Q20" s="86">
        <f>'EEH&amp;S tgt'!$G$14</f>
        <v>4</v>
      </c>
    </row>
    <row r="21" spans="1:17" ht="17.25" hidden="1" customHeight="1" x14ac:dyDescent="0.25">
      <c r="A21" s="3"/>
      <c r="B21" s="299"/>
      <c r="C21" s="283" t="s">
        <v>15</v>
      </c>
      <c r="D21" s="278" t="s">
        <v>16</v>
      </c>
      <c r="E21" s="190" t="s">
        <v>123</v>
      </c>
      <c r="F21" s="158">
        <v>1</v>
      </c>
      <c r="G21" s="68">
        <v>1</v>
      </c>
      <c r="H21" s="68">
        <v>1</v>
      </c>
      <c r="I21" s="68">
        <v>1</v>
      </c>
      <c r="J21" s="68">
        <v>1</v>
      </c>
      <c r="K21" s="68">
        <v>1</v>
      </c>
      <c r="L21" s="68">
        <v>1</v>
      </c>
      <c r="M21" s="68">
        <v>1</v>
      </c>
      <c r="N21" s="68">
        <v>1</v>
      </c>
      <c r="O21" s="68">
        <v>1</v>
      </c>
      <c r="P21" s="68">
        <v>1</v>
      </c>
      <c r="Q21" s="72">
        <v>1</v>
      </c>
    </row>
    <row r="22" spans="1:17" ht="17.25" hidden="1" customHeight="1" x14ac:dyDescent="0.25">
      <c r="A22" s="3"/>
      <c r="B22" s="299"/>
      <c r="C22" s="283"/>
      <c r="D22" s="278"/>
      <c r="E22" s="173" t="s">
        <v>113</v>
      </c>
      <c r="F22" s="158">
        <f>'EEH&amp;S'!$H$3</f>
        <v>1</v>
      </c>
      <c r="G22" s="68">
        <f>'EEH&amp;S'!$H$4</f>
        <v>0.99</v>
      </c>
      <c r="H22" s="68">
        <f>'EEH&amp;S'!$H$5</f>
        <v>1</v>
      </c>
      <c r="I22" s="68">
        <f>'EEH&amp;S'!$H$6</f>
        <v>0</v>
      </c>
      <c r="J22" s="85">
        <f>'EEH&amp;S'!$H$7</f>
        <v>0</v>
      </c>
      <c r="K22" s="68">
        <f>'EEH&amp;S'!$H$8</f>
        <v>0</v>
      </c>
      <c r="L22" s="68">
        <f>'EEH&amp;S'!$H$9</f>
        <v>0</v>
      </c>
      <c r="M22" s="68">
        <f>'EEH&amp;S'!$H$10</f>
        <v>0</v>
      </c>
      <c r="N22" s="68">
        <f>'EEH&amp;S'!$H$11</f>
        <v>0</v>
      </c>
      <c r="O22" s="68">
        <f>'EEH&amp;S'!$H$12</f>
        <v>0</v>
      </c>
      <c r="P22" s="68">
        <f>'EEH&amp;S'!$H$13</f>
        <v>0</v>
      </c>
      <c r="Q22" s="72">
        <f>'EEH&amp;S'!$H$14</f>
        <v>0</v>
      </c>
    </row>
    <row r="23" spans="1:17" ht="17.25" hidden="1" customHeight="1" x14ac:dyDescent="0.25">
      <c r="A23" s="3"/>
      <c r="B23" s="299"/>
      <c r="C23" s="313"/>
      <c r="D23" s="279"/>
      <c r="E23" s="153" t="s">
        <v>114</v>
      </c>
      <c r="F23" s="158">
        <f>'EEH&amp;S tgt'!$H$3</f>
        <v>0.99</v>
      </c>
      <c r="G23" s="68">
        <f>'EEH&amp;S tgt'!$H$4</f>
        <v>0.99</v>
      </c>
      <c r="H23" s="68">
        <f>'EEH&amp;S tgt'!$H$5</f>
        <v>0.99</v>
      </c>
      <c r="I23" s="68">
        <f>'EEH&amp;S tgt'!$H$6</f>
        <v>0.99</v>
      </c>
      <c r="J23" s="68">
        <f>'EEH&amp;S tgt'!$H$7</f>
        <v>0.99</v>
      </c>
      <c r="K23" s="68">
        <f>'EEH&amp;S tgt'!$H$8</f>
        <v>0.99</v>
      </c>
      <c r="L23" s="68">
        <f>'EEH&amp;S tgt'!$H$9</f>
        <v>0.99</v>
      </c>
      <c r="M23" s="68">
        <f>'EEH&amp;S tgt'!$H$10</f>
        <v>0.99</v>
      </c>
      <c r="N23" s="68">
        <f>'EEH&amp;S tgt'!$H$11</f>
        <v>0.99</v>
      </c>
      <c r="O23" s="68">
        <f>'EEH&amp;S tgt'!$H$12</f>
        <v>0.99</v>
      </c>
      <c r="P23" s="68">
        <f>'EEH&amp;S tgt'!$H$13</f>
        <v>0.99</v>
      </c>
      <c r="Q23" s="72">
        <f>'EEH&amp;S tgt'!$H$14</f>
        <v>0.99</v>
      </c>
    </row>
    <row r="24" spans="1:17" ht="17.25" hidden="1" customHeight="1" x14ac:dyDescent="0.25">
      <c r="A24" s="3"/>
      <c r="B24" s="299"/>
      <c r="C24" s="283" t="s">
        <v>96</v>
      </c>
      <c r="D24" s="341" t="s">
        <v>12</v>
      </c>
      <c r="E24" s="190" t="s">
        <v>123</v>
      </c>
      <c r="F24" s="193">
        <v>0</v>
      </c>
      <c r="G24" s="188">
        <v>0</v>
      </c>
      <c r="H24" s="188">
        <v>0</v>
      </c>
      <c r="I24" s="188">
        <v>0</v>
      </c>
      <c r="J24" s="188">
        <v>0</v>
      </c>
      <c r="K24" s="188">
        <v>0</v>
      </c>
      <c r="L24" s="188">
        <v>0</v>
      </c>
      <c r="M24" s="188">
        <v>0</v>
      </c>
      <c r="N24" s="188">
        <v>0</v>
      </c>
      <c r="O24" s="188">
        <v>0</v>
      </c>
      <c r="P24" s="188">
        <v>0</v>
      </c>
      <c r="Q24" s="189">
        <v>16.899999999999999</v>
      </c>
    </row>
    <row r="25" spans="1:17" ht="17.25" hidden="1" customHeight="1" x14ac:dyDescent="0.25">
      <c r="A25" s="3"/>
      <c r="B25" s="299"/>
      <c r="C25" s="333"/>
      <c r="D25" s="342"/>
      <c r="E25" s="154" t="s">
        <v>115</v>
      </c>
      <c r="F25" s="179">
        <f>'EEH&amp;S'!$I$3</f>
        <v>0</v>
      </c>
      <c r="G25" s="84">
        <f>'EEH&amp;S'!$I$4</f>
        <v>0</v>
      </c>
      <c r="H25" s="84">
        <f>'EEH&amp;S'!$I$5</f>
        <v>0</v>
      </c>
      <c r="I25" s="84">
        <f>'EEH&amp;S'!$I$6</f>
        <v>0</v>
      </c>
      <c r="J25" s="84">
        <f>'EEH&amp;S'!$I$7</f>
        <v>0</v>
      </c>
      <c r="K25" s="84">
        <f>'EEH&amp;S'!$I$8</f>
        <v>0</v>
      </c>
      <c r="L25" s="84">
        <f>'EEH&amp;S'!$I$9</f>
        <v>0</v>
      </c>
      <c r="M25" s="84">
        <f>'EEH&amp;S'!$I$10</f>
        <v>0</v>
      </c>
      <c r="N25" s="84">
        <f>'EEH&amp;S'!$I$11</f>
        <v>0</v>
      </c>
      <c r="O25" s="84">
        <f>'EEH&amp;S'!$I$12</f>
        <v>0</v>
      </c>
      <c r="P25" s="84">
        <f>'EEH&amp;S'!$I$13</f>
        <v>0</v>
      </c>
      <c r="Q25" s="91">
        <f>'EEH&amp;S'!$I$14</f>
        <v>0</v>
      </c>
    </row>
    <row r="26" spans="1:17" ht="17.25" hidden="1" customHeight="1" thickBot="1" x14ac:dyDescent="0.3">
      <c r="A26" s="3"/>
      <c r="B26" s="300"/>
      <c r="C26" s="284"/>
      <c r="D26" s="343"/>
      <c r="E26" s="156" t="s">
        <v>114</v>
      </c>
      <c r="F26" s="250">
        <f>'EEH&amp;S tgt'!$I$3</f>
        <v>20</v>
      </c>
      <c r="G26" s="251">
        <f>'EEH&amp;S tgt'!$I$4</f>
        <v>20</v>
      </c>
      <c r="H26" s="251">
        <f>'EEH&amp;S tgt'!$I$5</f>
        <v>20</v>
      </c>
      <c r="I26" s="251">
        <f>'EEH&amp;S tgt'!$I$6</f>
        <v>20</v>
      </c>
      <c r="J26" s="251">
        <f>'EEH&amp;S tgt'!$I$7</f>
        <v>20</v>
      </c>
      <c r="K26" s="251">
        <f>'EEH&amp;S tgt'!$I$8</f>
        <v>20</v>
      </c>
      <c r="L26" s="251">
        <f>'EEH&amp;S tgt'!$I$9</f>
        <v>20</v>
      </c>
      <c r="M26" s="251">
        <f>'EEH&amp;S tgt'!$I$10</f>
        <v>20</v>
      </c>
      <c r="N26" s="251">
        <f>'EEH&amp;S tgt'!$I$11</f>
        <v>20</v>
      </c>
      <c r="O26" s="251">
        <f>'EEH&amp;S tgt'!$I$12</f>
        <v>20</v>
      </c>
      <c r="P26" s="251">
        <f>'EEH&amp;S tgt'!$I$13</f>
        <v>20</v>
      </c>
      <c r="Q26" s="252">
        <f>'EEH&amp;S tgt'!$I$14</f>
        <v>20</v>
      </c>
    </row>
    <row r="27" spans="1:17" ht="17.25" hidden="1" customHeight="1" x14ac:dyDescent="0.25">
      <c r="A27" s="1"/>
      <c r="B27" s="291" t="s">
        <v>67</v>
      </c>
      <c r="C27" s="294" t="s">
        <v>101</v>
      </c>
      <c r="D27" s="295" t="s">
        <v>16</v>
      </c>
      <c r="E27" s="219" t="s">
        <v>123</v>
      </c>
      <c r="F27" s="204">
        <v>1.7999999999999999E-2</v>
      </c>
      <c r="G27" s="205">
        <v>1.9E-2</v>
      </c>
      <c r="H27" s="205">
        <v>0.02</v>
      </c>
      <c r="I27" s="205">
        <v>1.9E-2</v>
      </c>
      <c r="J27" s="205">
        <v>1.9E-2</v>
      </c>
      <c r="K27" s="205">
        <v>0.02</v>
      </c>
      <c r="L27" s="205">
        <v>0</v>
      </c>
      <c r="M27" s="205">
        <v>1.7000000000000001E-2</v>
      </c>
      <c r="N27" s="205">
        <v>1.7999999999999999E-2</v>
      </c>
      <c r="O27" s="151">
        <v>1.9E-2</v>
      </c>
      <c r="P27" s="151">
        <v>1.9E-2</v>
      </c>
      <c r="Q27" s="206"/>
    </row>
    <row r="28" spans="1:17" ht="17.25" hidden="1" customHeight="1" x14ac:dyDescent="0.25">
      <c r="A28" s="1"/>
      <c r="B28" s="292"/>
      <c r="C28" s="281"/>
      <c r="D28" s="296"/>
      <c r="E28" s="248" t="s">
        <v>115</v>
      </c>
      <c r="F28" s="208">
        <f>Customer!$D$3</f>
        <v>2.1000000000000001E-2</v>
      </c>
      <c r="G28" s="194">
        <f>Customer!$D$4</f>
        <v>1.7999999999999999E-2</v>
      </c>
      <c r="H28" s="194">
        <f>Customer!$D$5</f>
        <v>0</v>
      </c>
      <c r="I28" s="194">
        <f>Customer!$D$6</f>
        <v>0</v>
      </c>
      <c r="J28" s="194">
        <f>Customer!$D$7</f>
        <v>0</v>
      </c>
      <c r="K28" s="194">
        <f>Customer!$D$8</f>
        <v>0</v>
      </c>
      <c r="L28" s="194">
        <f>Customer!$D$9</f>
        <v>0</v>
      </c>
      <c r="M28" s="194">
        <f>Customer!$D$10</f>
        <v>0</v>
      </c>
      <c r="N28" s="194">
        <f>Customer!$D$11</f>
        <v>0</v>
      </c>
      <c r="O28" s="194">
        <f>Customer!$D$12</f>
        <v>0</v>
      </c>
      <c r="P28" s="194">
        <f>Customer!$D$13</f>
        <v>0</v>
      </c>
      <c r="Q28" s="195">
        <f>Customer!$D$14</f>
        <v>0</v>
      </c>
    </row>
    <row r="29" spans="1:17" ht="17.25" hidden="1" customHeight="1" x14ac:dyDescent="0.25">
      <c r="A29" s="1"/>
      <c r="B29" s="292"/>
      <c r="C29" s="282"/>
      <c r="D29" s="297"/>
      <c r="E29" s="249" t="s">
        <v>114</v>
      </c>
      <c r="F29" s="158">
        <f>'Customer tgt'!$D$3</f>
        <v>1.4999999999999999E-2</v>
      </c>
      <c r="G29" s="68">
        <f>'Customer tgt'!$D$4</f>
        <v>1.4999999999999999E-2</v>
      </c>
      <c r="H29" s="68">
        <f>'Customer tgt'!$D$5</f>
        <v>1.4999999999999999E-2</v>
      </c>
      <c r="I29" s="68">
        <f>'Customer tgt'!$D$6</f>
        <v>1.4999999999999999E-2</v>
      </c>
      <c r="J29" s="68">
        <f>'Customer tgt'!$D$7</f>
        <v>1.4500000000000001E-2</v>
      </c>
      <c r="K29" s="68">
        <f>'Customer tgt'!$D$8</f>
        <v>1.4500000000000001E-2</v>
      </c>
      <c r="L29" s="68">
        <f>'Customer tgt'!$D$9</f>
        <v>1.4500000000000001E-2</v>
      </c>
      <c r="M29" s="68">
        <f>'Customer tgt'!$D$10</f>
        <v>1.4500000000000001E-2</v>
      </c>
      <c r="N29" s="68">
        <f>'Customer tgt'!$D$11</f>
        <v>1.4E-2</v>
      </c>
      <c r="O29" s="68">
        <f>'Customer tgt'!$D$12</f>
        <v>1.4E-2</v>
      </c>
      <c r="P29" s="68">
        <f>'Customer tgt'!$D$13</f>
        <v>1.4E-2</v>
      </c>
      <c r="Q29" s="72">
        <f>'Customer tgt'!$D$14</f>
        <v>1.4E-2</v>
      </c>
    </row>
    <row r="30" spans="1:17" ht="17.25" hidden="1" customHeight="1" x14ac:dyDescent="0.25">
      <c r="A30" s="1"/>
      <c r="B30" s="292"/>
      <c r="C30" s="280" t="s">
        <v>102</v>
      </c>
      <c r="D30" s="344" t="s">
        <v>16</v>
      </c>
      <c r="E30" s="190" t="s">
        <v>123</v>
      </c>
      <c r="F30" s="208"/>
      <c r="G30" s="194"/>
      <c r="H30" s="194"/>
      <c r="I30" s="194"/>
      <c r="J30" s="194"/>
      <c r="K30" s="194"/>
      <c r="L30" s="194"/>
      <c r="M30" s="194"/>
      <c r="N30" s="194"/>
      <c r="O30" s="68"/>
      <c r="P30" s="68"/>
      <c r="Q30" s="195"/>
    </row>
    <row r="31" spans="1:17" ht="17.25" hidden="1" customHeight="1" x14ac:dyDescent="0.25">
      <c r="A31" s="1"/>
      <c r="B31" s="292"/>
      <c r="C31" s="281"/>
      <c r="D31" s="296"/>
      <c r="E31" s="248" t="s">
        <v>115</v>
      </c>
      <c r="F31" s="194">
        <f>Customer!$E$3</f>
        <v>9.8000000000000004E-2</v>
      </c>
      <c r="G31" s="194">
        <f>Customer!$E$4</f>
        <v>9.4E-2</v>
      </c>
      <c r="H31" s="194">
        <f>Customer!$E$5</f>
        <v>0</v>
      </c>
      <c r="I31" s="194">
        <f>Customer!$E$6</f>
        <v>0</v>
      </c>
      <c r="J31" s="194">
        <f>Customer!$E$7</f>
        <v>0</v>
      </c>
      <c r="K31" s="194">
        <f>Customer!$E$8</f>
        <v>0</v>
      </c>
      <c r="L31" s="194">
        <f>Customer!$E$9</f>
        <v>0</v>
      </c>
      <c r="M31" s="194">
        <f>Customer!$E$10</f>
        <v>0</v>
      </c>
      <c r="N31" s="194">
        <f>Customer!$E$11</f>
        <v>0</v>
      </c>
      <c r="O31" s="194">
        <f>Customer!$E$12</f>
        <v>0</v>
      </c>
      <c r="P31" s="194">
        <f>Customer!$E$13</f>
        <v>0</v>
      </c>
      <c r="Q31" s="195">
        <f>Customer!$E$14</f>
        <v>0</v>
      </c>
    </row>
    <row r="32" spans="1:17" ht="17.25" hidden="1" customHeight="1" x14ac:dyDescent="0.25">
      <c r="A32" s="1"/>
      <c r="B32" s="292"/>
      <c r="C32" s="282"/>
      <c r="D32" s="297"/>
      <c r="E32" s="249" t="s">
        <v>114</v>
      </c>
      <c r="F32" s="158">
        <f>'Customer tgt'!$E$3</f>
        <v>0.05</v>
      </c>
      <c r="G32" s="68">
        <f>'Customer tgt'!$E$4</f>
        <v>0.05</v>
      </c>
      <c r="H32" s="68">
        <f>'Customer tgt'!$E$5</f>
        <v>4.4999999999999998E-2</v>
      </c>
      <c r="I32" s="68">
        <f>'Customer tgt'!$E$6</f>
        <v>4.4999999999999998E-2</v>
      </c>
      <c r="J32" s="68">
        <f>'Customer tgt'!$E$7</f>
        <v>4.4999999999999998E-2</v>
      </c>
      <c r="K32" s="68">
        <f>'Customer tgt'!$E$8</f>
        <v>4.4999999999999998E-2</v>
      </c>
      <c r="L32" s="68">
        <f>'Customer tgt'!$E$9</f>
        <v>0.04</v>
      </c>
      <c r="M32" s="68">
        <f>'Customer tgt'!$E$10</f>
        <v>0.04</v>
      </c>
      <c r="N32" s="68">
        <f>'Customer tgt'!$E$11</f>
        <v>0.04</v>
      </c>
      <c r="O32" s="68">
        <f>'Customer tgt'!$E$12</f>
        <v>3.5000000000000003E-2</v>
      </c>
      <c r="P32" s="68">
        <f>'Customer tgt'!$E$13</f>
        <v>3.5000000000000003E-2</v>
      </c>
      <c r="Q32" s="72">
        <f>'Customer tgt'!$E$14</f>
        <v>3.5000000000000003E-2</v>
      </c>
    </row>
    <row r="33" spans="1:17" ht="17.25" hidden="1" customHeight="1" x14ac:dyDescent="0.25">
      <c r="A33" s="1"/>
      <c r="B33" s="292"/>
      <c r="C33" s="280" t="s">
        <v>103</v>
      </c>
      <c r="D33" s="344" t="s">
        <v>16</v>
      </c>
      <c r="E33" s="190" t="s">
        <v>123</v>
      </c>
      <c r="F33" s="208">
        <v>0.02</v>
      </c>
      <c r="G33" s="194">
        <v>2.1999999999999999E-2</v>
      </c>
      <c r="H33" s="194">
        <v>2.4E-2</v>
      </c>
      <c r="I33" s="194">
        <v>2.5000000000000001E-2</v>
      </c>
      <c r="J33" s="194">
        <v>2.4E-2</v>
      </c>
      <c r="K33" s="194">
        <v>2.5000000000000001E-2</v>
      </c>
      <c r="L33" s="194">
        <v>0</v>
      </c>
      <c r="M33" s="194">
        <v>2.4E-2</v>
      </c>
      <c r="N33" s="194">
        <v>2.5000000000000001E-2</v>
      </c>
      <c r="O33" s="194">
        <v>2.5999999999999999E-2</v>
      </c>
      <c r="P33" s="194">
        <v>2.5999999999999999E-2</v>
      </c>
      <c r="Q33" s="195"/>
    </row>
    <row r="34" spans="1:17" ht="17.25" hidden="1" customHeight="1" x14ac:dyDescent="0.25">
      <c r="A34" s="1"/>
      <c r="B34" s="292"/>
      <c r="C34" s="281"/>
      <c r="D34" s="296"/>
      <c r="E34" s="248" t="s">
        <v>115</v>
      </c>
      <c r="F34" s="208">
        <f>Customer!$F$3</f>
        <v>2.7E-2</v>
      </c>
      <c r="G34" s="194">
        <f>Customer!$F$4</f>
        <v>3.1E-2</v>
      </c>
      <c r="H34" s="194">
        <f>Customer!$F$5</f>
        <v>0</v>
      </c>
      <c r="I34" s="194">
        <f>Customer!$F$6</f>
        <v>0</v>
      </c>
      <c r="J34" s="194">
        <f>Customer!$F$7</f>
        <v>0</v>
      </c>
      <c r="K34" s="194">
        <f>Customer!$F$8</f>
        <v>0</v>
      </c>
      <c r="L34" s="194">
        <f>Customer!$F$9</f>
        <v>0</v>
      </c>
      <c r="M34" s="194">
        <f>Customer!$F$10</f>
        <v>0</v>
      </c>
      <c r="N34" s="194">
        <f>Customer!$F$11</f>
        <v>0</v>
      </c>
      <c r="O34" s="194">
        <f>Customer!$F$12</f>
        <v>0</v>
      </c>
      <c r="P34" s="194">
        <f>Customer!$F$13</f>
        <v>0</v>
      </c>
      <c r="Q34" s="195">
        <f>Customer!$F$14</f>
        <v>0</v>
      </c>
    </row>
    <row r="35" spans="1:17" ht="17.25" hidden="1" customHeight="1" x14ac:dyDescent="0.25">
      <c r="A35" s="1"/>
      <c r="B35" s="292"/>
      <c r="C35" s="282"/>
      <c r="D35" s="297"/>
      <c r="E35" s="249" t="s">
        <v>114</v>
      </c>
      <c r="F35" s="158">
        <f>'Customer tgt'!$F$3</f>
        <v>2.7E-2</v>
      </c>
      <c r="G35" s="68">
        <f>'Customer tgt'!$F$4</f>
        <v>2.5999999999999999E-2</v>
      </c>
      <c r="H35" s="68">
        <f>'Customer tgt'!$F$5</f>
        <v>2.5000000000000001E-2</v>
      </c>
      <c r="I35" s="68">
        <f>'Customer tgt'!$F$6</f>
        <v>2.5000000000000001E-2</v>
      </c>
      <c r="J35" s="68">
        <f>'Customer tgt'!$F$7</f>
        <v>2.4E-2</v>
      </c>
      <c r="K35" s="68">
        <f>'Customer tgt'!$F$8</f>
        <v>2.4E-2</v>
      </c>
      <c r="L35" s="68">
        <f>'Customer tgt'!$F$9</f>
        <v>2.3E-2</v>
      </c>
      <c r="M35" s="68">
        <f>'Customer tgt'!$F$10</f>
        <v>2.3E-2</v>
      </c>
      <c r="N35" s="68">
        <f>'Customer tgt'!$F$11</f>
        <v>2.1999999999999999E-2</v>
      </c>
      <c r="O35" s="68">
        <f>'Customer tgt'!$F$12</f>
        <v>2.1999999999999999E-2</v>
      </c>
      <c r="P35" s="68">
        <f>'Customer tgt'!$F$13</f>
        <v>2.1000000000000001E-2</v>
      </c>
      <c r="Q35" s="72">
        <f>'Customer tgt'!$F$14</f>
        <v>2.1000000000000001E-2</v>
      </c>
    </row>
    <row r="36" spans="1:17" ht="17.25" hidden="1" customHeight="1" x14ac:dyDescent="0.25">
      <c r="A36" s="1"/>
      <c r="B36" s="292"/>
      <c r="C36" s="280" t="s">
        <v>106</v>
      </c>
      <c r="D36" s="286" t="s">
        <v>17</v>
      </c>
      <c r="E36" s="190" t="s">
        <v>123</v>
      </c>
      <c r="F36" s="159">
        <v>2793</v>
      </c>
      <c r="G36" s="79">
        <v>3231</v>
      </c>
      <c r="H36" s="79">
        <v>4219</v>
      </c>
      <c r="I36" s="79">
        <v>3988</v>
      </c>
      <c r="J36" s="79">
        <v>4078</v>
      </c>
      <c r="K36" s="79">
        <v>4495</v>
      </c>
      <c r="L36" s="79">
        <v>0</v>
      </c>
      <c r="M36" s="79">
        <v>4071</v>
      </c>
      <c r="N36" s="79">
        <v>3014</v>
      </c>
      <c r="O36" s="68"/>
      <c r="P36" s="196"/>
      <c r="Q36" s="197"/>
    </row>
    <row r="37" spans="1:17" ht="17.25" hidden="1" customHeight="1" x14ac:dyDescent="0.25">
      <c r="A37" s="1"/>
      <c r="B37" s="292"/>
      <c r="C37" s="281"/>
      <c r="D37" s="287"/>
      <c r="E37" s="248" t="s">
        <v>115</v>
      </c>
      <c r="F37" s="159">
        <f>Customer!$G$3</f>
        <v>2000</v>
      </c>
      <c r="G37" s="79">
        <f>Customer!$G$4</f>
        <v>2000</v>
      </c>
      <c r="H37" s="79">
        <f>Customer!$G$5</f>
        <v>2000</v>
      </c>
      <c r="I37" s="79">
        <f>Customer!$G$6</f>
        <v>0</v>
      </c>
      <c r="J37" s="253">
        <f>Customer!$G$7</f>
        <v>0</v>
      </c>
      <c r="K37" s="80">
        <f>Customer!$G$8</f>
        <v>0</v>
      </c>
      <c r="L37" s="80">
        <f>Customer!$G$9</f>
        <v>0</v>
      </c>
      <c r="M37" s="80">
        <f>Customer!$G$10</f>
        <v>0</v>
      </c>
      <c r="N37" s="80">
        <f>Customer!$G$11</f>
        <v>0</v>
      </c>
      <c r="O37" s="80">
        <f>Customer!$G$12</f>
        <v>0</v>
      </c>
      <c r="P37" s="80">
        <f>Customer!$G$13</f>
        <v>0</v>
      </c>
      <c r="Q37" s="87">
        <f>Customer!$G$14</f>
        <v>0</v>
      </c>
    </row>
    <row r="38" spans="1:17" ht="17.25" hidden="1" customHeight="1" x14ac:dyDescent="0.25">
      <c r="A38" s="1"/>
      <c r="B38" s="292"/>
      <c r="C38" s="282"/>
      <c r="D38" s="288"/>
      <c r="E38" s="249" t="s">
        <v>114</v>
      </c>
      <c r="F38" s="257">
        <f>'Customer tgt'!$G$3</f>
        <v>2490</v>
      </c>
      <c r="G38" s="254">
        <f>'Customer tgt'!$G$4</f>
        <v>2490</v>
      </c>
      <c r="H38" s="254">
        <f>'Customer tgt'!$G$5</f>
        <v>2490</v>
      </c>
      <c r="I38" s="254">
        <f>'Customer tgt'!$G$6</f>
        <v>2490</v>
      </c>
      <c r="J38" s="254">
        <f>'Customer tgt'!$G$7</f>
        <v>2407</v>
      </c>
      <c r="K38" s="254">
        <f>'Customer tgt'!$G$8</f>
        <v>2407</v>
      </c>
      <c r="L38" s="254">
        <f>'Customer tgt'!$G$9</f>
        <v>2407</v>
      </c>
      <c r="M38" s="254">
        <f>'Customer tgt'!$G$10</f>
        <v>2407</v>
      </c>
      <c r="N38" s="254">
        <f>'Customer tgt'!$G$11</f>
        <v>2324</v>
      </c>
      <c r="O38" s="254">
        <f>'Customer tgt'!$G$12</f>
        <v>2324</v>
      </c>
      <c r="P38" s="254">
        <f>'Customer tgt'!$G$13</f>
        <v>2324</v>
      </c>
      <c r="Q38" s="258">
        <f>'Customer tgt'!$G$14</f>
        <v>2324</v>
      </c>
    </row>
    <row r="39" spans="1:17" ht="17.25" hidden="1" customHeight="1" x14ac:dyDescent="0.25">
      <c r="A39" s="1"/>
      <c r="B39" s="292"/>
      <c r="C39" s="280" t="s">
        <v>107</v>
      </c>
      <c r="D39" s="286" t="s">
        <v>17</v>
      </c>
      <c r="E39" s="190" t="s">
        <v>123</v>
      </c>
      <c r="F39" s="159"/>
      <c r="G39" s="79"/>
      <c r="H39" s="79"/>
      <c r="I39" s="79"/>
      <c r="J39" s="79"/>
      <c r="K39" s="79"/>
      <c r="L39" s="79"/>
      <c r="M39" s="79"/>
      <c r="N39" s="79"/>
      <c r="O39" s="79"/>
      <c r="P39" s="196"/>
      <c r="Q39" s="197"/>
    </row>
    <row r="40" spans="1:17" ht="17.25" hidden="1" customHeight="1" x14ac:dyDescent="0.25">
      <c r="A40" s="1"/>
      <c r="B40" s="292"/>
      <c r="C40" s="281"/>
      <c r="D40" s="287"/>
      <c r="E40" s="248" t="s">
        <v>115</v>
      </c>
      <c r="F40" s="159">
        <f>Customer!$H$3</f>
        <v>14430</v>
      </c>
      <c r="G40" s="79">
        <f>Customer!$H$4</f>
        <v>14534</v>
      </c>
      <c r="H40" s="79">
        <f>Customer!$H$5</f>
        <v>0</v>
      </c>
      <c r="I40" s="79">
        <f>Customer!$H$6</f>
        <v>0</v>
      </c>
      <c r="J40" s="253">
        <f>Customer!$H$7</f>
        <v>0</v>
      </c>
      <c r="K40" s="80">
        <f>Customer!$H$8</f>
        <v>0</v>
      </c>
      <c r="L40" s="80">
        <f>Customer!$H$9</f>
        <v>0</v>
      </c>
      <c r="M40" s="80">
        <f>Customer!$H$10</f>
        <v>0</v>
      </c>
      <c r="N40" s="80">
        <f>Customer!$H$11</f>
        <v>0</v>
      </c>
      <c r="O40" s="80">
        <f>Customer!$H$12</f>
        <v>0</v>
      </c>
      <c r="P40" s="80">
        <f>Customer!$H$13</f>
        <v>0</v>
      </c>
      <c r="Q40" s="87">
        <f>Customer!$H$14</f>
        <v>0</v>
      </c>
    </row>
    <row r="41" spans="1:17" ht="17.25" hidden="1" customHeight="1" x14ac:dyDescent="0.25">
      <c r="A41" s="1"/>
      <c r="B41" s="292"/>
      <c r="C41" s="282"/>
      <c r="D41" s="288"/>
      <c r="E41" s="249" t="s">
        <v>114</v>
      </c>
      <c r="F41" s="257">
        <f>'Customer tgt'!$H$3</f>
        <v>7100</v>
      </c>
      <c r="G41" s="254">
        <f>'Customer tgt'!$H$4</f>
        <v>7100</v>
      </c>
      <c r="H41" s="254">
        <f>'Customer tgt'!$H$5</f>
        <v>6390</v>
      </c>
      <c r="I41" s="254">
        <f>'Customer tgt'!$H$6</f>
        <v>6390</v>
      </c>
      <c r="J41" s="254">
        <f>'Customer tgt'!$H$7</f>
        <v>6390</v>
      </c>
      <c r="K41" s="254">
        <f>'Customer tgt'!$H$8</f>
        <v>6390</v>
      </c>
      <c r="L41" s="254">
        <f>'Customer tgt'!$H$9</f>
        <v>5680</v>
      </c>
      <c r="M41" s="254">
        <f>'Customer tgt'!$H$10</f>
        <v>5680</v>
      </c>
      <c r="N41" s="254">
        <f>'Customer tgt'!$H$11</f>
        <v>5680</v>
      </c>
      <c r="O41" s="254">
        <f>'Customer tgt'!$H$12</f>
        <v>4970</v>
      </c>
      <c r="P41" s="254">
        <f>'Customer tgt'!$H$13</f>
        <v>4970</v>
      </c>
      <c r="Q41" s="258">
        <f>'Customer tgt'!$H$14</f>
        <v>4970</v>
      </c>
    </row>
    <row r="42" spans="1:17" ht="17.25" hidden="1" customHeight="1" x14ac:dyDescent="0.25">
      <c r="A42" s="1"/>
      <c r="B42" s="292"/>
      <c r="C42" s="280" t="s">
        <v>108</v>
      </c>
      <c r="D42" s="286" t="s">
        <v>17</v>
      </c>
      <c r="E42" s="190" t="s">
        <v>123</v>
      </c>
      <c r="F42" s="159">
        <v>3466</v>
      </c>
      <c r="G42" s="79">
        <v>3956</v>
      </c>
      <c r="H42" s="79">
        <v>4505</v>
      </c>
      <c r="I42" s="79">
        <v>5429</v>
      </c>
      <c r="J42" s="79">
        <v>5826</v>
      </c>
      <c r="K42" s="79">
        <v>5957</v>
      </c>
      <c r="L42" s="79">
        <v>0</v>
      </c>
      <c r="M42" s="79">
        <v>4606</v>
      </c>
      <c r="N42" s="79">
        <v>4805</v>
      </c>
      <c r="O42" s="68"/>
      <c r="P42" s="196"/>
      <c r="Q42" s="197"/>
    </row>
    <row r="43" spans="1:17" ht="17.25" hidden="1" customHeight="1" x14ac:dyDescent="0.25">
      <c r="A43" s="1"/>
      <c r="B43" s="292"/>
      <c r="C43" s="281"/>
      <c r="D43" s="287"/>
      <c r="E43" s="248" t="s">
        <v>115</v>
      </c>
      <c r="F43" s="159">
        <f>Customer!$I$3</f>
        <v>4000</v>
      </c>
      <c r="G43" s="79">
        <f>Customer!$I$4</f>
        <v>3000</v>
      </c>
      <c r="H43" s="79">
        <f>Customer!$I$5</f>
        <v>3000</v>
      </c>
      <c r="I43" s="79">
        <f>Customer!$I$6</f>
        <v>0</v>
      </c>
      <c r="J43" s="253">
        <f>Customer!$I$7</f>
        <v>0</v>
      </c>
      <c r="K43" s="80">
        <f>Customer!$I$8</f>
        <v>0</v>
      </c>
      <c r="L43" s="80">
        <f>Customer!$I$9</f>
        <v>0</v>
      </c>
      <c r="M43" s="80">
        <f>Customer!$I$10</f>
        <v>0</v>
      </c>
      <c r="N43" s="80">
        <f>Customer!$I$11</f>
        <v>0</v>
      </c>
      <c r="O43" s="80">
        <f>Customer!$I$12</f>
        <v>0</v>
      </c>
      <c r="P43" s="80">
        <f>Customer!$I$13</f>
        <v>0</v>
      </c>
      <c r="Q43" s="87">
        <f>Customer!$I$14</f>
        <v>0</v>
      </c>
    </row>
    <row r="44" spans="1:17" ht="17.25" hidden="1" customHeight="1" x14ac:dyDescent="0.25">
      <c r="A44" s="1"/>
      <c r="B44" s="292"/>
      <c r="C44" s="282"/>
      <c r="D44" s="288"/>
      <c r="E44" s="249" t="s">
        <v>114</v>
      </c>
      <c r="F44" s="257">
        <f>'Customer tgt'!$I$3</f>
        <v>4644</v>
      </c>
      <c r="G44" s="254">
        <f>'Customer tgt'!$I$4</f>
        <v>4472</v>
      </c>
      <c r="H44" s="254">
        <f>'Customer tgt'!$I$5</f>
        <v>4300</v>
      </c>
      <c r="I44" s="254">
        <f>'Customer tgt'!$I$6</f>
        <v>4300</v>
      </c>
      <c r="J44" s="254">
        <f>'Customer tgt'!$I$7</f>
        <v>4128</v>
      </c>
      <c r="K44" s="254">
        <f>'Customer tgt'!$I$8</f>
        <v>4128</v>
      </c>
      <c r="L44" s="254">
        <f>'Customer tgt'!$I$9</f>
        <v>3956</v>
      </c>
      <c r="M44" s="254">
        <f>'Customer tgt'!$I$10</f>
        <v>3956</v>
      </c>
      <c r="N44" s="254">
        <f>'Customer tgt'!$I$11</f>
        <v>3784</v>
      </c>
      <c r="O44" s="254">
        <f>'Customer tgt'!$I$12</f>
        <v>3784</v>
      </c>
      <c r="P44" s="254">
        <f>'Customer tgt'!$I$13</f>
        <v>3612</v>
      </c>
      <c r="Q44" s="258">
        <f>'Customer tgt'!$I$14</f>
        <v>3612</v>
      </c>
    </row>
    <row r="45" spans="1:17" ht="17.25" hidden="1" customHeight="1" x14ac:dyDescent="0.25">
      <c r="A45" s="1"/>
      <c r="B45" s="292"/>
      <c r="C45" s="289" t="s">
        <v>91</v>
      </c>
      <c r="D45" s="286" t="s">
        <v>17</v>
      </c>
      <c r="E45" s="190" t="s">
        <v>123</v>
      </c>
      <c r="F45" s="159">
        <v>180556</v>
      </c>
      <c r="G45" s="79">
        <v>107692</v>
      </c>
      <c r="H45" s="79">
        <v>93750</v>
      </c>
      <c r="I45" s="79">
        <v>111111</v>
      </c>
      <c r="J45" s="79">
        <v>104167</v>
      </c>
      <c r="K45" s="79">
        <v>72916</v>
      </c>
      <c r="L45" s="79">
        <v>55555</v>
      </c>
      <c r="M45" s="79">
        <v>83337</v>
      </c>
      <c r="N45" s="79">
        <v>83333</v>
      </c>
      <c r="O45" s="196">
        <v>68757</v>
      </c>
      <c r="P45" s="196">
        <v>68326</v>
      </c>
      <c r="Q45" s="197">
        <v>55556</v>
      </c>
    </row>
    <row r="46" spans="1:17" ht="17.25" hidden="1" customHeight="1" x14ac:dyDescent="0.25">
      <c r="A46" s="1"/>
      <c r="B46" s="292"/>
      <c r="C46" s="290"/>
      <c r="D46" s="287"/>
      <c r="E46" s="248" t="s">
        <v>115</v>
      </c>
      <c r="F46" s="159">
        <f>Customer!$J$3</f>
        <v>114583</v>
      </c>
      <c r="G46" s="79">
        <f>Customer!$J$4</f>
        <v>31250</v>
      </c>
      <c r="H46" s="79">
        <f>Customer!$J$5</f>
        <v>36320</v>
      </c>
      <c r="I46" s="79">
        <f>Customer!$J$6</f>
        <v>0</v>
      </c>
      <c r="J46" s="80">
        <f>Customer!$J$7</f>
        <v>0</v>
      </c>
      <c r="K46" s="80">
        <f>Customer!$J$8</f>
        <v>0</v>
      </c>
      <c r="L46" s="80">
        <f>Customer!$J$9</f>
        <v>0</v>
      </c>
      <c r="M46" s="80">
        <f>Customer!$J$10</f>
        <v>0</v>
      </c>
      <c r="N46" s="80">
        <f>Customer!$J$11</f>
        <v>0</v>
      </c>
      <c r="O46" s="80">
        <f>Customer!$J$12</f>
        <v>0</v>
      </c>
      <c r="P46" s="80">
        <f>Customer!$J$13</f>
        <v>0</v>
      </c>
      <c r="Q46" s="87">
        <f>Customer!$J$14</f>
        <v>0</v>
      </c>
    </row>
    <row r="47" spans="1:17" ht="17.25" hidden="1" customHeight="1" x14ac:dyDescent="0.25">
      <c r="A47" s="1"/>
      <c r="B47" s="292"/>
      <c r="C47" s="282"/>
      <c r="D47" s="288"/>
      <c r="E47" s="249" t="s">
        <v>114</v>
      </c>
      <c r="F47" s="257">
        <f>'Customer tgt'!$J$3</f>
        <v>90000</v>
      </c>
      <c r="G47" s="254">
        <f>'Customer tgt'!$J$4</f>
        <v>90000</v>
      </c>
      <c r="H47" s="254">
        <f>'Customer tgt'!$J$5</f>
        <v>75000</v>
      </c>
      <c r="I47" s="254">
        <f>'Customer tgt'!$J$6</f>
        <v>75000</v>
      </c>
      <c r="J47" s="254">
        <f>'Customer tgt'!$J$7</f>
        <v>75000</v>
      </c>
      <c r="K47" s="254">
        <f>'Customer tgt'!$J$8</f>
        <v>75000</v>
      </c>
      <c r="L47" s="254">
        <f>'Customer tgt'!$J$9</f>
        <v>60000</v>
      </c>
      <c r="M47" s="254">
        <f>'Customer tgt'!$J$10</f>
        <v>60000</v>
      </c>
      <c r="N47" s="254">
        <f>'Customer tgt'!$J$11</f>
        <v>75000</v>
      </c>
      <c r="O47" s="254">
        <f>'Customer tgt'!$J$12</f>
        <v>90000</v>
      </c>
      <c r="P47" s="254">
        <f>'Customer tgt'!$J$13</f>
        <v>75000</v>
      </c>
      <c r="Q47" s="258">
        <f>'Customer tgt'!$J$14</f>
        <v>60000</v>
      </c>
    </row>
    <row r="48" spans="1:17" ht="17.25" hidden="1" customHeight="1" x14ac:dyDescent="0.25">
      <c r="A48" s="1"/>
      <c r="B48" s="292"/>
      <c r="C48" s="289" t="s">
        <v>92</v>
      </c>
      <c r="D48" s="286" t="s">
        <v>17</v>
      </c>
      <c r="E48" s="190" t="s">
        <v>123</v>
      </c>
      <c r="F48" s="159">
        <v>17830</v>
      </c>
      <c r="G48" s="79">
        <v>24451</v>
      </c>
      <c r="H48" s="79">
        <v>33006</v>
      </c>
      <c r="I48" s="79">
        <v>30213</v>
      </c>
      <c r="J48" s="79">
        <v>25914</v>
      </c>
      <c r="K48" s="79">
        <v>23728</v>
      </c>
      <c r="L48" s="79">
        <v>19240</v>
      </c>
      <c r="M48" s="79">
        <v>24492</v>
      </c>
      <c r="N48" s="79">
        <v>30900</v>
      </c>
      <c r="O48" s="79">
        <v>33958</v>
      </c>
      <c r="P48" s="79">
        <v>24174</v>
      </c>
      <c r="Q48" s="88">
        <v>15080</v>
      </c>
    </row>
    <row r="49" spans="1:17" ht="17.25" hidden="1" customHeight="1" x14ac:dyDescent="0.25">
      <c r="A49" s="1"/>
      <c r="B49" s="292"/>
      <c r="C49" s="290"/>
      <c r="D49" s="287"/>
      <c r="E49" s="248" t="s">
        <v>115</v>
      </c>
      <c r="F49" s="159">
        <f>Customer!$K$3</f>
        <v>19376</v>
      </c>
      <c r="G49" s="79">
        <f>Customer!$K$4</f>
        <v>18239</v>
      </c>
      <c r="H49" s="79">
        <f>Customer!$K$5</f>
        <v>22069</v>
      </c>
      <c r="I49" s="79">
        <f>Customer!$K$6</f>
        <v>0</v>
      </c>
      <c r="J49" s="80">
        <f>Customer!$K$7</f>
        <v>0</v>
      </c>
      <c r="K49" s="80">
        <f>Customer!$K$8</f>
        <v>0</v>
      </c>
      <c r="L49" s="80">
        <f>Customer!$K$9</f>
        <v>0</v>
      </c>
      <c r="M49" s="80">
        <f>Customer!$K$10</f>
        <v>0</v>
      </c>
      <c r="N49" s="80">
        <f>Customer!$K$11</f>
        <v>0</v>
      </c>
      <c r="O49" s="80">
        <f>Customer!$K$12</f>
        <v>0</v>
      </c>
      <c r="P49" s="80">
        <f>Customer!$K$13</f>
        <v>0</v>
      </c>
      <c r="Q49" s="87">
        <f>Customer!$K$14</f>
        <v>0</v>
      </c>
    </row>
    <row r="50" spans="1:17" ht="17.25" hidden="1" customHeight="1" x14ac:dyDescent="0.25">
      <c r="A50" s="1"/>
      <c r="B50" s="292"/>
      <c r="C50" s="282"/>
      <c r="D50" s="288"/>
      <c r="E50" s="249" t="s">
        <v>114</v>
      </c>
      <c r="F50" s="257">
        <f>'Customer tgt'!$K$3</f>
        <v>30000</v>
      </c>
      <c r="G50" s="254">
        <f>'Customer tgt'!$K$4</f>
        <v>30000</v>
      </c>
      <c r="H50" s="254">
        <f>'Customer tgt'!$K$5</f>
        <v>25000</v>
      </c>
      <c r="I50" s="254">
        <f>'Customer tgt'!$K$6</f>
        <v>25000</v>
      </c>
      <c r="J50" s="254">
        <f>'Customer tgt'!$K$7</f>
        <v>25000</v>
      </c>
      <c r="K50" s="254">
        <f>'Customer tgt'!$K$8</f>
        <v>25000</v>
      </c>
      <c r="L50" s="254">
        <f>'Customer tgt'!$K$9</f>
        <v>20000</v>
      </c>
      <c r="M50" s="254">
        <f>'Customer tgt'!$K$10</f>
        <v>20000</v>
      </c>
      <c r="N50" s="254">
        <f>'Customer tgt'!$K$11</f>
        <v>25000</v>
      </c>
      <c r="O50" s="254">
        <f>'Customer tgt'!$K$12</f>
        <v>30000</v>
      </c>
      <c r="P50" s="254">
        <f>'Customer tgt'!$K$13</f>
        <v>25000</v>
      </c>
      <c r="Q50" s="258">
        <f>'Customer tgt'!$K$14</f>
        <v>20000</v>
      </c>
    </row>
    <row r="51" spans="1:17" ht="17.25" hidden="1" customHeight="1" x14ac:dyDescent="0.25">
      <c r="A51" s="1"/>
      <c r="B51" s="292"/>
      <c r="C51" s="289" t="s">
        <v>111</v>
      </c>
      <c r="D51" s="332" t="s">
        <v>16</v>
      </c>
      <c r="E51" s="190" t="s">
        <v>123</v>
      </c>
      <c r="F51" s="158">
        <v>0.92300000000000004</v>
      </c>
      <c r="G51" s="68">
        <v>0.90300000000000002</v>
      </c>
      <c r="H51" s="68">
        <v>0.91400000000000003</v>
      </c>
      <c r="I51" s="68">
        <v>0.91600000000000004</v>
      </c>
      <c r="J51" s="68">
        <v>0.92800000000000005</v>
      </c>
      <c r="K51" s="68">
        <v>0.91800000000000004</v>
      </c>
      <c r="L51" s="68">
        <v>0.91800000000000004</v>
      </c>
      <c r="M51" s="68">
        <v>0.92100000000000004</v>
      </c>
      <c r="N51" s="68">
        <v>0.92700000000000005</v>
      </c>
      <c r="O51" s="68">
        <v>0.92300000000000004</v>
      </c>
      <c r="P51" s="68">
        <v>0.92130000000000001</v>
      </c>
      <c r="Q51" s="72">
        <v>0.89249999999999996</v>
      </c>
    </row>
    <row r="52" spans="1:17" ht="17.25" hidden="1" customHeight="1" x14ac:dyDescent="0.25">
      <c r="A52" s="1"/>
      <c r="B52" s="292"/>
      <c r="C52" s="290"/>
      <c r="D52" s="296"/>
      <c r="E52" s="248" t="s">
        <v>115</v>
      </c>
      <c r="F52" s="213">
        <f>Customer!$M$3</f>
        <v>0.93200000000000005</v>
      </c>
      <c r="G52" s="85">
        <f>Customer!$M$4</f>
        <v>0.93100000000000005</v>
      </c>
      <c r="H52" s="85">
        <f>Customer!$M$5</f>
        <v>0.93300000000000005</v>
      </c>
      <c r="I52" s="85">
        <f>Customer!$M$6</f>
        <v>0</v>
      </c>
      <c r="J52" s="85">
        <f>Customer!$M$7</f>
        <v>0</v>
      </c>
      <c r="K52" s="85">
        <f>Customer!$M$8</f>
        <v>0</v>
      </c>
      <c r="L52" s="85">
        <f>Customer!$M$9</f>
        <v>0</v>
      </c>
      <c r="M52" s="85">
        <f>Customer!$M$10</f>
        <v>0</v>
      </c>
      <c r="N52" s="85">
        <f>Customer!$M$11</f>
        <v>0</v>
      </c>
      <c r="O52" s="85">
        <f>Customer!$M$12</f>
        <v>0</v>
      </c>
      <c r="P52" s="85">
        <f>Customer!$M$13</f>
        <v>0</v>
      </c>
      <c r="Q52" s="198">
        <f>Customer!$M$14</f>
        <v>0</v>
      </c>
    </row>
    <row r="53" spans="1:17" ht="17.25" hidden="1" customHeight="1" x14ac:dyDescent="0.25">
      <c r="A53" s="1"/>
      <c r="B53" s="292"/>
      <c r="C53" s="304"/>
      <c r="D53" s="297"/>
      <c r="E53" s="249" t="s">
        <v>114</v>
      </c>
      <c r="F53" s="158">
        <f>'Customer tgt'!$M$3</f>
        <v>0.92</v>
      </c>
      <c r="G53" s="68">
        <f>'Customer tgt'!$M$4</f>
        <v>0.92</v>
      </c>
      <c r="H53" s="68">
        <f>'Customer tgt'!$M$5</f>
        <v>0.92</v>
      </c>
      <c r="I53" s="68">
        <f>'Customer tgt'!$M$6</f>
        <v>0.93</v>
      </c>
      <c r="J53" s="68">
        <f>'Customer tgt'!$M$7</f>
        <v>0.93</v>
      </c>
      <c r="K53" s="68">
        <f>'Customer tgt'!$M$8</f>
        <v>0.93</v>
      </c>
      <c r="L53" s="68">
        <f>'Customer tgt'!$M$9</f>
        <v>0.94</v>
      </c>
      <c r="M53" s="68">
        <f>'Customer tgt'!$M$10</f>
        <v>0.94</v>
      </c>
      <c r="N53" s="68">
        <f>'Customer tgt'!$M$11</f>
        <v>0.94</v>
      </c>
      <c r="O53" s="68">
        <f>'Customer tgt'!$M$12</f>
        <v>0.95</v>
      </c>
      <c r="P53" s="68">
        <f>'Customer tgt'!$M$13</f>
        <v>0.95</v>
      </c>
      <c r="Q53" s="72">
        <f>'Customer tgt'!$M$14</f>
        <v>0.95</v>
      </c>
    </row>
    <row r="54" spans="1:17" ht="17.25" hidden="1" customHeight="1" x14ac:dyDescent="0.25">
      <c r="A54" s="1"/>
      <c r="B54" s="292"/>
      <c r="C54" s="289" t="s">
        <v>112</v>
      </c>
      <c r="D54" s="120"/>
      <c r="E54" s="190" t="s">
        <v>123</v>
      </c>
      <c r="F54" s="158">
        <v>0.94203008661297671</v>
      </c>
      <c r="G54" s="68">
        <v>0.94284755908762519</v>
      </c>
      <c r="H54" s="68">
        <v>0.93259899412056391</v>
      </c>
      <c r="I54" s="68">
        <v>0.91751702865955531</v>
      </c>
      <c r="J54" s="68">
        <v>0.87289433384379789</v>
      </c>
      <c r="K54" s="68">
        <v>0.8531435123256258</v>
      </c>
      <c r="L54" s="68">
        <v>0.81511757339641022</v>
      </c>
      <c r="M54" s="68">
        <v>0.8455581315049574</v>
      </c>
      <c r="N54" s="68">
        <v>0.90887835500608549</v>
      </c>
      <c r="O54" s="68">
        <v>0.95046643016686372</v>
      </c>
      <c r="P54" s="68">
        <v>0.91355198327775844</v>
      </c>
      <c r="Q54" s="72">
        <v>0.85685515104570098</v>
      </c>
    </row>
    <row r="55" spans="1:17" ht="17.25" hidden="1" customHeight="1" x14ac:dyDescent="0.25">
      <c r="A55" s="1"/>
      <c r="B55" s="292"/>
      <c r="C55" s="290"/>
      <c r="D55" s="120"/>
      <c r="E55" s="248" t="s">
        <v>115</v>
      </c>
      <c r="F55" s="213">
        <f>Customer!$N$3</f>
        <v>0.86899999999999999</v>
      </c>
      <c r="G55" s="85">
        <f>Customer!$N$4</f>
        <v>0.91400000000000003</v>
      </c>
      <c r="H55" s="85">
        <f>Customer!$N$5</f>
        <v>0.92600000000000005</v>
      </c>
      <c r="I55" s="85">
        <f>Customer!$N$6</f>
        <v>0</v>
      </c>
      <c r="J55" s="85">
        <f>Customer!$N$7</f>
        <v>0</v>
      </c>
      <c r="K55" s="85">
        <f>Customer!$N$8</f>
        <v>0</v>
      </c>
      <c r="L55" s="85">
        <f>Customer!$N$9</f>
        <v>0</v>
      </c>
      <c r="M55" s="85">
        <f>Customer!$N$10</f>
        <v>0</v>
      </c>
      <c r="N55" s="85">
        <f>Customer!$N$11</f>
        <v>0</v>
      </c>
      <c r="O55" s="85">
        <f>Customer!$N$12</f>
        <v>0</v>
      </c>
      <c r="P55" s="85">
        <f>Customer!$N$13</f>
        <v>0</v>
      </c>
      <c r="Q55" s="198">
        <f>Customer!$N$14</f>
        <v>0</v>
      </c>
    </row>
    <row r="56" spans="1:17" ht="17.25" hidden="1" customHeight="1" x14ac:dyDescent="0.25">
      <c r="A56" s="1"/>
      <c r="B56" s="292"/>
      <c r="C56" s="304"/>
      <c r="D56" s="120"/>
      <c r="E56" s="249" t="s">
        <v>114</v>
      </c>
      <c r="F56" s="158">
        <f>'Customer tgt'!$N$3</f>
        <v>0.87</v>
      </c>
      <c r="G56" s="68">
        <f>'Customer tgt'!$N$4</f>
        <v>0.88</v>
      </c>
      <c r="H56" s="68">
        <f>'Customer tgt'!$N$5</f>
        <v>0.89</v>
      </c>
      <c r="I56" s="68">
        <f>'Customer tgt'!$N$6</f>
        <v>0.9</v>
      </c>
      <c r="J56" s="68">
        <f>'Customer tgt'!$N$7</f>
        <v>0.91</v>
      </c>
      <c r="K56" s="68">
        <f>'Customer tgt'!$N$8</f>
        <v>0.91</v>
      </c>
      <c r="L56" s="68">
        <f>'Customer tgt'!$N$9</f>
        <v>0.92</v>
      </c>
      <c r="M56" s="68">
        <f>'Customer tgt'!$N$10</f>
        <v>0.93</v>
      </c>
      <c r="N56" s="68">
        <f>'Customer tgt'!$N$11</f>
        <v>0.92</v>
      </c>
      <c r="O56" s="68">
        <f>'Customer tgt'!$N$12</f>
        <v>0.88</v>
      </c>
      <c r="P56" s="68">
        <f>'Customer tgt'!$N$13</f>
        <v>0.89</v>
      </c>
      <c r="Q56" s="72">
        <f>'Customer tgt'!$N$14</f>
        <v>0.9</v>
      </c>
    </row>
    <row r="57" spans="1:17" ht="17.25" hidden="1" customHeight="1" x14ac:dyDescent="0.25">
      <c r="A57" s="1"/>
      <c r="B57" s="292"/>
      <c r="C57" s="283" t="s">
        <v>68</v>
      </c>
      <c r="D57" s="278" t="s">
        <v>17</v>
      </c>
      <c r="E57" s="190" t="s">
        <v>123</v>
      </c>
      <c r="F57" s="214">
        <v>226</v>
      </c>
      <c r="G57" s="199">
        <v>118</v>
      </c>
      <c r="H57" s="199">
        <v>77</v>
      </c>
      <c r="I57" s="199">
        <v>62</v>
      </c>
      <c r="J57" s="200">
        <v>54</v>
      </c>
      <c r="K57" s="200">
        <v>49</v>
      </c>
      <c r="L57" s="200">
        <v>50</v>
      </c>
      <c r="M57" s="200">
        <v>49</v>
      </c>
      <c r="N57" s="200">
        <v>54</v>
      </c>
      <c r="O57" s="200">
        <v>58</v>
      </c>
      <c r="P57" s="201">
        <v>65</v>
      </c>
      <c r="Q57" s="202"/>
    </row>
    <row r="58" spans="1:17" ht="17.25" hidden="1" customHeight="1" x14ac:dyDescent="0.25">
      <c r="A58" s="1"/>
      <c r="B58" s="292"/>
      <c r="C58" s="333"/>
      <c r="D58" s="335"/>
      <c r="E58" s="248" t="s">
        <v>115</v>
      </c>
      <c r="F58" s="259">
        <f>Customer!$P$3</f>
        <v>54</v>
      </c>
      <c r="G58" s="255">
        <f>Customer!$P$4</f>
        <v>75</v>
      </c>
      <c r="H58" s="255">
        <f>Customer!$P$5</f>
        <v>67</v>
      </c>
      <c r="I58" s="255">
        <f>Customer!$P$6</f>
        <v>0</v>
      </c>
      <c r="J58" s="256">
        <f>Customer!$P$7</f>
        <v>0</v>
      </c>
      <c r="K58" s="256">
        <f>Customer!$P$8</f>
        <v>0</v>
      </c>
      <c r="L58" s="256">
        <f>Customer!$P$9</f>
        <v>0</v>
      </c>
      <c r="M58" s="256">
        <f>Customer!$P$10</f>
        <v>0</v>
      </c>
      <c r="N58" s="256">
        <f>Customer!$P$11</f>
        <v>0</v>
      </c>
      <c r="O58" s="256">
        <f>Customer!$P$12</f>
        <v>0</v>
      </c>
      <c r="P58" s="256">
        <f>Customer!$P$13</f>
        <v>0</v>
      </c>
      <c r="Q58" s="260">
        <f>Customer!$P$14</f>
        <v>0</v>
      </c>
    </row>
    <row r="59" spans="1:17" ht="17.25" hidden="1" customHeight="1" thickBot="1" x14ac:dyDescent="0.3">
      <c r="A59" s="1"/>
      <c r="B59" s="293"/>
      <c r="C59" s="334"/>
      <c r="D59" s="336"/>
      <c r="E59" s="261" t="s">
        <v>114</v>
      </c>
      <c r="F59" s="262">
        <f>'Customer tgt'!$P$3</f>
        <v>66</v>
      </c>
      <c r="G59" s="263">
        <f>'Customer tgt'!$P$4</f>
        <v>66</v>
      </c>
      <c r="H59" s="263">
        <f>'Customer tgt'!$P$5</f>
        <v>66</v>
      </c>
      <c r="I59" s="263">
        <f>'Customer tgt'!$P$6</f>
        <v>66</v>
      </c>
      <c r="J59" s="263">
        <f>'Customer tgt'!$P$7</f>
        <v>66</v>
      </c>
      <c r="K59" s="263">
        <f>'Customer tgt'!$P$8</f>
        <v>66</v>
      </c>
      <c r="L59" s="263">
        <f>'Customer tgt'!$P$9</f>
        <v>66</v>
      </c>
      <c r="M59" s="263">
        <f>'Customer tgt'!$P$10</f>
        <v>66</v>
      </c>
      <c r="N59" s="263">
        <f>'Customer tgt'!$P$11</f>
        <v>66</v>
      </c>
      <c r="O59" s="263">
        <f>'Customer tgt'!$P$12</f>
        <v>66</v>
      </c>
      <c r="P59" s="263">
        <f>'Customer tgt'!$P$13</f>
        <v>66</v>
      </c>
      <c r="Q59" s="264">
        <f>'Customer tgt'!$P$14</f>
        <v>66</v>
      </c>
    </row>
    <row r="60" spans="1:17" ht="17.25" customHeight="1" x14ac:dyDescent="0.25">
      <c r="A60" s="1"/>
      <c r="B60" s="275" t="s">
        <v>20</v>
      </c>
      <c r="C60" s="339" t="s">
        <v>124</v>
      </c>
      <c r="D60" s="337" t="s">
        <v>16</v>
      </c>
      <c r="E60" s="219" t="s">
        <v>123</v>
      </c>
      <c r="F60" s="157">
        <v>6.9000000000000006E-2</v>
      </c>
      <c r="G60" s="151">
        <v>4.5999999999999999E-2</v>
      </c>
      <c r="H60" s="151">
        <v>5.2999999999999999E-2</v>
      </c>
      <c r="I60" s="151">
        <v>3.5000000000000003E-2</v>
      </c>
      <c r="J60" s="151">
        <v>4.1000000000000002E-2</v>
      </c>
      <c r="K60" s="151">
        <v>4.4999999999999998E-2</v>
      </c>
      <c r="L60" s="151">
        <v>5.7000000000000002E-2</v>
      </c>
      <c r="M60" s="151">
        <v>4.2000000000000003E-2</v>
      </c>
      <c r="N60" s="151">
        <v>4.7E-2</v>
      </c>
      <c r="O60" s="151">
        <v>6.3E-2</v>
      </c>
      <c r="P60" s="265">
        <v>5.1999999999999998E-2</v>
      </c>
      <c r="Q60" s="266">
        <v>4.5999999999999999E-2</v>
      </c>
    </row>
    <row r="61" spans="1:17" ht="17.25" customHeight="1" x14ac:dyDescent="0.25">
      <c r="A61" s="1"/>
      <c r="B61" s="276"/>
      <c r="C61" s="340"/>
      <c r="D61" s="338"/>
      <c r="E61" s="190" t="s">
        <v>115</v>
      </c>
      <c r="F61" s="158">
        <f>F64+F67</f>
        <v>4.2000000000000003E-2</v>
      </c>
      <c r="G61" s="68">
        <f>G64+G67</f>
        <v>3.9E-2</v>
      </c>
      <c r="H61" s="68">
        <f>H64+H67</f>
        <v>3.4000000000000002E-2</v>
      </c>
      <c r="I61" s="68">
        <f>I64+I67</f>
        <v>3.5299999999999998E-2</v>
      </c>
      <c r="J61" s="68">
        <f t="shared" ref="J61:Q61" si="0">J64+J67</f>
        <v>0</v>
      </c>
      <c r="K61" s="68">
        <f t="shared" si="0"/>
        <v>0</v>
      </c>
      <c r="L61" s="68">
        <f t="shared" si="0"/>
        <v>0</v>
      </c>
      <c r="M61" s="68">
        <f t="shared" si="0"/>
        <v>0</v>
      </c>
      <c r="N61" s="68">
        <f t="shared" si="0"/>
        <v>0</v>
      </c>
      <c r="O61" s="68">
        <f t="shared" si="0"/>
        <v>0</v>
      </c>
      <c r="P61" s="68">
        <f t="shared" si="0"/>
        <v>0</v>
      </c>
      <c r="Q61" s="68">
        <f t="shared" si="0"/>
        <v>0</v>
      </c>
    </row>
    <row r="62" spans="1:17" ht="17.25" customHeight="1" x14ac:dyDescent="0.25">
      <c r="A62" s="1"/>
      <c r="B62" s="276"/>
      <c r="C62" s="340"/>
      <c r="D62" s="338"/>
      <c r="E62" s="155" t="s">
        <v>114</v>
      </c>
      <c r="F62" s="158">
        <f>F65+F68</f>
        <v>0.06</v>
      </c>
      <c r="G62" s="68">
        <f t="shared" ref="G62:Q62" si="1">G65+G68</f>
        <v>0.06</v>
      </c>
      <c r="H62" s="68">
        <f t="shared" si="1"/>
        <v>0.06</v>
      </c>
      <c r="I62" s="68">
        <f t="shared" si="1"/>
        <v>0.06</v>
      </c>
      <c r="J62" s="68">
        <f t="shared" si="1"/>
        <v>0.06</v>
      </c>
      <c r="K62" s="68">
        <f t="shared" si="1"/>
        <v>0.06</v>
      </c>
      <c r="L62" s="68">
        <f t="shared" si="1"/>
        <v>0.06</v>
      </c>
      <c r="M62" s="68">
        <f t="shared" si="1"/>
        <v>0.06</v>
      </c>
      <c r="N62" s="68">
        <f t="shared" si="1"/>
        <v>0.06</v>
      </c>
      <c r="O62" s="68">
        <f t="shared" si="1"/>
        <v>0.06</v>
      </c>
      <c r="P62" s="68">
        <f t="shared" si="1"/>
        <v>0.06</v>
      </c>
      <c r="Q62" s="72">
        <f t="shared" si="1"/>
        <v>0.06</v>
      </c>
    </row>
    <row r="63" spans="1:17" ht="17.25" customHeight="1" x14ac:dyDescent="0.25">
      <c r="A63" s="1"/>
      <c r="B63" s="276"/>
      <c r="C63" s="312" t="s">
        <v>125</v>
      </c>
      <c r="D63" s="278" t="s">
        <v>16</v>
      </c>
      <c r="E63" s="154" t="s">
        <v>123</v>
      </c>
      <c r="F63" s="215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2"/>
    </row>
    <row r="64" spans="1:17" ht="17.25" customHeight="1" x14ac:dyDescent="0.25">
      <c r="A64" s="1"/>
      <c r="B64" s="276"/>
      <c r="C64" s="312"/>
      <c r="D64" s="278"/>
      <c r="E64" s="154" t="s">
        <v>115</v>
      </c>
      <c r="F64" s="158">
        <f>People!$B$3</f>
        <v>7.0000000000000001E-3</v>
      </c>
      <c r="G64" s="68">
        <f>People!$B$4</f>
        <v>6.0000000000000001E-3</v>
      </c>
      <c r="H64" s="68">
        <f>People!$B$5</f>
        <v>4.0000000000000001E-3</v>
      </c>
      <c r="I64" s="68">
        <f>People!$B$6</f>
        <v>3.8E-3</v>
      </c>
      <c r="J64" s="68">
        <f>People!$B$7</f>
        <v>0</v>
      </c>
      <c r="K64" s="68">
        <f>People!$B$8</f>
        <v>0</v>
      </c>
      <c r="L64" s="68">
        <f>People!$B$9</f>
        <v>0</v>
      </c>
      <c r="M64" s="68">
        <f>People!$B$10</f>
        <v>0</v>
      </c>
      <c r="N64" s="68">
        <f>People!$B$11</f>
        <v>0</v>
      </c>
      <c r="O64" s="68">
        <f>People!$B$12</f>
        <v>0</v>
      </c>
      <c r="P64" s="68">
        <f>People!$B$13</f>
        <v>0</v>
      </c>
      <c r="Q64" s="72">
        <f>People!$B$14</f>
        <v>0</v>
      </c>
    </row>
    <row r="65" spans="1:31" ht="17.25" customHeight="1" x14ac:dyDescent="0.25">
      <c r="A65" s="1"/>
      <c r="B65" s="276"/>
      <c r="C65" s="313"/>
      <c r="D65" s="279"/>
      <c r="E65" s="153" t="s">
        <v>114</v>
      </c>
      <c r="F65" s="158">
        <f>'People tgt'!$B$3</f>
        <v>0.04</v>
      </c>
      <c r="G65" s="68">
        <f>'People tgt'!$B$4</f>
        <v>0.04</v>
      </c>
      <c r="H65" s="68">
        <f>'People tgt'!$B$5</f>
        <v>0.04</v>
      </c>
      <c r="I65" s="68">
        <f>'People tgt'!$B$6</f>
        <v>0.04</v>
      </c>
      <c r="J65" s="68">
        <f>'People tgt'!$B$7</f>
        <v>0.04</v>
      </c>
      <c r="K65" s="68">
        <f>'People tgt'!$B$8</f>
        <v>0.04</v>
      </c>
      <c r="L65" s="68">
        <f>'People tgt'!$B$9</f>
        <v>0.04</v>
      </c>
      <c r="M65" s="68">
        <f>'People tgt'!$B$10</f>
        <v>0.04</v>
      </c>
      <c r="N65" s="68">
        <f>'People tgt'!$B$11</f>
        <v>0.04</v>
      </c>
      <c r="O65" s="68">
        <f>'People tgt'!$B$12</f>
        <v>0.04</v>
      </c>
      <c r="P65" s="68">
        <f>'People tgt'!$B$13</f>
        <v>0.04</v>
      </c>
      <c r="Q65" s="72">
        <f>'People tgt'!$B$14</f>
        <v>0.04</v>
      </c>
    </row>
    <row r="66" spans="1:31" ht="17.25" customHeight="1" x14ac:dyDescent="0.25">
      <c r="A66" s="1"/>
      <c r="B66" s="276"/>
      <c r="C66" s="312" t="s">
        <v>126</v>
      </c>
      <c r="D66" s="278" t="s">
        <v>16</v>
      </c>
      <c r="E66" s="154" t="s">
        <v>123</v>
      </c>
      <c r="F66" s="215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2"/>
    </row>
    <row r="67" spans="1:31" ht="17.25" customHeight="1" x14ac:dyDescent="0.25">
      <c r="A67" s="1"/>
      <c r="B67" s="276"/>
      <c r="C67" s="312"/>
      <c r="D67" s="278"/>
      <c r="E67" s="154" t="s">
        <v>115</v>
      </c>
      <c r="F67" s="158">
        <f>People!$C$3</f>
        <v>3.5000000000000003E-2</v>
      </c>
      <c r="G67" s="68">
        <f>People!$C$4</f>
        <v>3.3000000000000002E-2</v>
      </c>
      <c r="H67" s="68">
        <f>People!$C$5</f>
        <v>0.03</v>
      </c>
      <c r="I67" s="68">
        <f>People!$C$6</f>
        <v>3.15E-2</v>
      </c>
      <c r="J67" s="68">
        <f>People!$C$7</f>
        <v>0</v>
      </c>
      <c r="K67" s="68">
        <f>People!$C$8</f>
        <v>0</v>
      </c>
      <c r="L67" s="68">
        <f>People!$C$9</f>
        <v>0</v>
      </c>
      <c r="M67" s="68">
        <f>People!$C$10</f>
        <v>0</v>
      </c>
      <c r="N67" s="68">
        <f>People!$C$11</f>
        <v>0</v>
      </c>
      <c r="O67" s="68">
        <f>People!$C$12</f>
        <v>0</v>
      </c>
      <c r="P67" s="68">
        <f>People!$C$13</f>
        <v>0</v>
      </c>
      <c r="Q67" s="72">
        <f>People!$C$14</f>
        <v>0</v>
      </c>
    </row>
    <row r="68" spans="1:31" ht="17.25" customHeight="1" x14ac:dyDescent="0.25">
      <c r="A68" s="1"/>
      <c r="B68" s="276"/>
      <c r="C68" s="313"/>
      <c r="D68" s="279"/>
      <c r="E68" s="153" t="s">
        <v>114</v>
      </c>
      <c r="F68" s="158">
        <f>'People tgt'!$C$3</f>
        <v>0.02</v>
      </c>
      <c r="G68" s="68">
        <f>'People tgt'!$C$4</f>
        <v>0.02</v>
      </c>
      <c r="H68" s="68">
        <f>'People tgt'!$C$5</f>
        <v>0.02</v>
      </c>
      <c r="I68" s="68">
        <f>'People tgt'!$C$6</f>
        <v>0.02</v>
      </c>
      <c r="J68" s="68">
        <f>'People tgt'!$C$7</f>
        <v>0.02</v>
      </c>
      <c r="K68" s="68">
        <f>'People tgt'!$C$8</f>
        <v>0.02</v>
      </c>
      <c r="L68" s="68">
        <f>'People tgt'!$C$9</f>
        <v>0.02</v>
      </c>
      <c r="M68" s="68">
        <f>'People tgt'!$C$10</f>
        <v>0.02</v>
      </c>
      <c r="N68" s="68">
        <f>'People tgt'!$C$11</f>
        <v>0.02</v>
      </c>
      <c r="O68" s="68">
        <f>'People tgt'!$C$12</f>
        <v>0.02</v>
      </c>
      <c r="P68" s="68">
        <f>'People tgt'!$C$13</f>
        <v>0.02</v>
      </c>
      <c r="Q68" s="72">
        <f>'People tgt'!$C$14</f>
        <v>0.02</v>
      </c>
    </row>
    <row r="69" spans="1:31" ht="17.25" customHeight="1" x14ac:dyDescent="0.25">
      <c r="A69" s="1"/>
      <c r="B69" s="276"/>
      <c r="C69" s="331" t="s">
        <v>21</v>
      </c>
      <c r="D69" s="278" t="s">
        <v>12</v>
      </c>
      <c r="E69" s="190" t="s">
        <v>123</v>
      </c>
      <c r="F69" s="159">
        <v>279</v>
      </c>
      <c r="G69" s="79">
        <v>296</v>
      </c>
      <c r="H69" s="79">
        <v>293</v>
      </c>
      <c r="I69" s="79">
        <v>296</v>
      </c>
      <c r="J69" s="79">
        <v>293</v>
      </c>
      <c r="K69" s="79">
        <v>260</v>
      </c>
      <c r="L69" s="79">
        <v>245</v>
      </c>
      <c r="M69" s="79">
        <v>240</v>
      </c>
      <c r="N69" s="79">
        <v>248</v>
      </c>
      <c r="O69" s="79">
        <v>310</v>
      </c>
      <c r="P69" s="79">
        <v>310</v>
      </c>
      <c r="Q69" s="88">
        <v>280</v>
      </c>
      <c r="R69" s="2" t="s">
        <v>137</v>
      </c>
      <c r="S69" s="159">
        <v>125</v>
      </c>
      <c r="T69" s="79">
        <v>128</v>
      </c>
      <c r="U69" s="79">
        <v>138</v>
      </c>
      <c r="V69" s="79">
        <v>170</v>
      </c>
      <c r="W69" s="79">
        <v>189</v>
      </c>
      <c r="X69" s="274">
        <v>281</v>
      </c>
    </row>
    <row r="70" spans="1:31" ht="17.25" customHeight="1" x14ac:dyDescent="0.25">
      <c r="A70" s="1"/>
      <c r="B70" s="276"/>
      <c r="C70" s="331"/>
      <c r="D70" s="278"/>
      <c r="E70" s="154" t="s">
        <v>115</v>
      </c>
      <c r="F70" s="159">
        <f>People!$D$3</f>
        <v>294</v>
      </c>
      <c r="G70" s="79">
        <f>People!$D$4</f>
        <v>300</v>
      </c>
      <c r="H70" s="79">
        <f>People!$D$5</f>
        <v>325</v>
      </c>
      <c r="I70" s="79">
        <f>People!$D$6</f>
        <v>265</v>
      </c>
      <c r="J70" s="80">
        <f>People!$D$7</f>
        <v>0</v>
      </c>
      <c r="K70" s="80">
        <f>People!$D$8</f>
        <v>0</v>
      </c>
      <c r="L70" s="80">
        <f>People!$D$9</f>
        <v>0</v>
      </c>
      <c r="M70" s="80">
        <f>People!$D$10</f>
        <v>0</v>
      </c>
      <c r="N70" s="80">
        <f>People!$D$11</f>
        <v>0</v>
      </c>
      <c r="O70" s="80">
        <f>People!$D$12</f>
        <v>0</v>
      </c>
      <c r="P70" s="80">
        <f>People!$D$13</f>
        <v>0</v>
      </c>
      <c r="Q70" s="87">
        <f>People!$D$14</f>
        <v>0</v>
      </c>
      <c r="S70" s="2">
        <v>154</v>
      </c>
      <c r="T70" s="2">
        <v>159</v>
      </c>
      <c r="U70" s="2">
        <v>155</v>
      </c>
      <c r="V70" s="2">
        <v>126</v>
      </c>
      <c r="W70" s="2">
        <v>104</v>
      </c>
      <c r="X70" s="274"/>
      <c r="Y70" s="2" t="s">
        <v>136</v>
      </c>
    </row>
    <row r="71" spans="1:31" ht="17.25" customHeight="1" x14ac:dyDescent="0.25">
      <c r="A71" s="1"/>
      <c r="B71" s="276"/>
      <c r="C71" s="331"/>
      <c r="D71" s="278"/>
      <c r="E71" s="153" t="s">
        <v>114</v>
      </c>
      <c r="F71" s="159">
        <f>'People tgt'!$D$3</f>
        <v>286</v>
      </c>
      <c r="G71" s="79">
        <f>'People tgt'!$D$4</f>
        <v>317</v>
      </c>
      <c r="H71" s="79">
        <f>'People tgt'!$D$5</f>
        <v>317</v>
      </c>
      <c r="I71" s="79">
        <f>'People tgt'!$D$6</f>
        <v>258</v>
      </c>
      <c r="J71" s="79">
        <f>'People tgt'!$D$7</f>
        <v>258</v>
      </c>
      <c r="K71" s="79">
        <f>'People tgt'!$D$8</f>
        <v>258</v>
      </c>
      <c r="L71" s="79">
        <f>'People tgt'!$D$9</f>
        <v>258</v>
      </c>
      <c r="M71" s="79">
        <f>'People tgt'!$D$10</f>
        <v>258</v>
      </c>
      <c r="N71" s="79">
        <f>'People tgt'!$D$11</f>
        <v>295</v>
      </c>
      <c r="O71" s="79">
        <f>'People tgt'!$D$12</f>
        <v>295</v>
      </c>
      <c r="P71" s="79">
        <f>'People tgt'!$D$13</f>
        <v>343</v>
      </c>
      <c r="Q71" s="88">
        <f>'People tgt'!$D$14</f>
        <v>343</v>
      </c>
      <c r="S71" s="2">
        <v>154</v>
      </c>
      <c r="T71" s="268">
        <v>168</v>
      </c>
      <c r="U71" s="2">
        <v>155</v>
      </c>
      <c r="V71" s="2">
        <v>126</v>
      </c>
      <c r="W71" s="2">
        <v>104</v>
      </c>
      <c r="X71" s="268">
        <v>260</v>
      </c>
      <c r="Y71" s="2" t="s">
        <v>135</v>
      </c>
    </row>
    <row r="72" spans="1:31" ht="17.25" customHeight="1" x14ac:dyDescent="0.25">
      <c r="A72" s="1"/>
      <c r="B72" s="276"/>
      <c r="C72" s="147" t="s">
        <v>94</v>
      </c>
      <c r="D72" s="26" t="s">
        <v>95</v>
      </c>
      <c r="E72" s="155" t="s">
        <v>116</v>
      </c>
      <c r="F72" s="160">
        <v>116681</v>
      </c>
      <c r="G72" s="149">
        <v>116181</v>
      </c>
      <c r="H72" s="149">
        <v>106681</v>
      </c>
      <c r="I72" s="149">
        <v>104681</v>
      </c>
      <c r="J72" s="149">
        <v>71781</v>
      </c>
      <c r="K72" s="149">
        <v>110081</v>
      </c>
      <c r="L72" s="149">
        <v>86181</v>
      </c>
      <c r="M72" s="149">
        <v>81581</v>
      </c>
      <c r="N72" s="149">
        <v>117278</v>
      </c>
      <c r="O72" s="149">
        <v>120978</v>
      </c>
      <c r="P72" s="149">
        <v>130278</v>
      </c>
      <c r="Q72" s="216">
        <v>91426</v>
      </c>
      <c r="S72" s="273">
        <f>S69+S71</f>
        <v>279</v>
      </c>
      <c r="T72" s="273">
        <f t="shared" ref="T72:W72" si="2">T69+T71</f>
        <v>296</v>
      </c>
      <c r="U72" s="273">
        <f t="shared" si="2"/>
        <v>293</v>
      </c>
      <c r="V72" s="273">
        <f t="shared" si="2"/>
        <v>296</v>
      </c>
      <c r="W72" s="273">
        <f t="shared" si="2"/>
        <v>293</v>
      </c>
    </row>
    <row r="73" spans="1:31" ht="17.25" customHeight="1" x14ac:dyDescent="0.25">
      <c r="A73" s="1"/>
      <c r="B73" s="276"/>
      <c r="C73" s="283" t="s">
        <v>22</v>
      </c>
      <c r="D73" s="278" t="s">
        <v>12</v>
      </c>
      <c r="E73" s="190" t="s">
        <v>123</v>
      </c>
      <c r="F73" s="159">
        <v>170</v>
      </c>
      <c r="G73" s="79">
        <v>181</v>
      </c>
      <c r="H73" s="79">
        <v>180</v>
      </c>
      <c r="I73" s="79">
        <v>182</v>
      </c>
      <c r="J73" s="79">
        <v>178</v>
      </c>
      <c r="K73" s="79">
        <v>168</v>
      </c>
      <c r="L73" s="79">
        <v>126</v>
      </c>
      <c r="M73" s="79">
        <v>127</v>
      </c>
      <c r="N73" s="79">
        <v>120</v>
      </c>
      <c r="O73" s="79">
        <v>132</v>
      </c>
      <c r="P73" s="79">
        <v>134</v>
      </c>
      <c r="Q73" s="88">
        <v>133</v>
      </c>
      <c r="R73" s="2" t="s">
        <v>137</v>
      </c>
      <c r="S73" s="270">
        <v>170</v>
      </c>
      <c r="T73" s="270">
        <v>181</v>
      </c>
      <c r="U73" s="270">
        <v>180</v>
      </c>
      <c r="V73" s="270">
        <v>182</v>
      </c>
      <c r="W73" s="270">
        <v>178</v>
      </c>
      <c r="X73" s="271">
        <v>168</v>
      </c>
      <c r="Y73" s="271">
        <v>126</v>
      </c>
      <c r="Z73" s="271">
        <v>127</v>
      </c>
      <c r="AA73" s="271">
        <v>120</v>
      </c>
      <c r="AB73" s="271">
        <v>132</v>
      </c>
      <c r="AC73" s="271">
        <v>134</v>
      </c>
      <c r="AD73" s="272">
        <v>133</v>
      </c>
      <c r="AE73" s="2" t="s">
        <v>134</v>
      </c>
    </row>
    <row r="74" spans="1:31" ht="17.25" customHeight="1" x14ac:dyDescent="0.25">
      <c r="A74" s="1"/>
      <c r="B74" s="276"/>
      <c r="C74" s="283"/>
      <c r="D74" s="278"/>
      <c r="E74" s="154" t="s">
        <v>115</v>
      </c>
      <c r="F74" s="159">
        <f>People!$F$3</f>
        <v>127</v>
      </c>
      <c r="G74" s="79">
        <f>People!$F$4</f>
        <v>126</v>
      </c>
      <c r="H74" s="79">
        <f>People!$F$5</f>
        <v>125</v>
      </c>
      <c r="I74" s="79">
        <f>People!$F$6</f>
        <v>113</v>
      </c>
      <c r="J74" s="80">
        <f>People!$F$7</f>
        <v>0</v>
      </c>
      <c r="K74" s="80">
        <f>People!$F$8</f>
        <v>0</v>
      </c>
      <c r="L74" s="80">
        <f>People!$F$9</f>
        <v>0</v>
      </c>
      <c r="M74" s="80">
        <f>People!$F$10</f>
        <v>0</v>
      </c>
      <c r="N74" s="80">
        <f>People!$F$11</f>
        <v>0</v>
      </c>
      <c r="O74" s="80">
        <f>People!$F$12</f>
        <v>0</v>
      </c>
      <c r="P74" s="80">
        <f>People!$F$13</f>
        <v>0</v>
      </c>
      <c r="Q74" s="87">
        <f>People!$F$14</f>
        <v>0</v>
      </c>
      <c r="S74" s="269"/>
      <c r="T74" s="269"/>
      <c r="U74" s="269"/>
      <c r="V74" s="269"/>
      <c r="W74" s="269"/>
    </row>
    <row r="75" spans="1:31" ht="17.25" customHeight="1" x14ac:dyDescent="0.25">
      <c r="A75" s="1"/>
      <c r="B75" s="276"/>
      <c r="C75" s="313"/>
      <c r="D75" s="278"/>
      <c r="E75" s="153" t="s">
        <v>114</v>
      </c>
      <c r="F75" s="159">
        <f>'People tgt'!$E$3</f>
        <v>133</v>
      </c>
      <c r="G75" s="79">
        <f>'People tgt'!$E$4</f>
        <v>136</v>
      </c>
      <c r="H75" s="79">
        <f>'People tgt'!$E$5</f>
        <v>136</v>
      </c>
      <c r="I75" s="79">
        <f>'People tgt'!$E$6</f>
        <v>127</v>
      </c>
      <c r="J75" s="79">
        <f>'People tgt'!$E$7</f>
        <v>127</v>
      </c>
      <c r="K75" s="79">
        <f>'People tgt'!$E$8</f>
        <v>127</v>
      </c>
      <c r="L75" s="79">
        <f>'People tgt'!$E$9</f>
        <v>127</v>
      </c>
      <c r="M75" s="79">
        <f>'People tgt'!$E$10</f>
        <v>127</v>
      </c>
      <c r="N75" s="79">
        <f>'People tgt'!$E$11</f>
        <v>133</v>
      </c>
      <c r="O75" s="79">
        <f>'People tgt'!$E$12</f>
        <v>133</v>
      </c>
      <c r="P75" s="79">
        <f>'People tgt'!$E$13</f>
        <v>142</v>
      </c>
      <c r="Q75" s="88">
        <f>'People tgt'!$E$14</f>
        <v>142</v>
      </c>
      <c r="T75" s="269"/>
    </row>
    <row r="76" spans="1:31" ht="17.25" customHeight="1" x14ac:dyDescent="0.25">
      <c r="A76" s="1"/>
      <c r="B76" s="276"/>
      <c r="C76" s="283" t="s">
        <v>23</v>
      </c>
      <c r="D76" s="278" t="s">
        <v>12</v>
      </c>
      <c r="E76" s="190" t="s">
        <v>123</v>
      </c>
      <c r="F76" s="159">
        <v>58</v>
      </c>
      <c r="G76" s="79">
        <v>58</v>
      </c>
      <c r="H76" s="79">
        <v>56</v>
      </c>
      <c r="I76" s="79">
        <v>55</v>
      </c>
      <c r="J76" s="79">
        <v>54</v>
      </c>
      <c r="K76" s="79">
        <v>38</v>
      </c>
      <c r="L76" s="79">
        <v>35</v>
      </c>
      <c r="M76" s="79">
        <v>34</v>
      </c>
      <c r="N76" s="79">
        <v>33</v>
      </c>
      <c r="O76" s="79">
        <v>31</v>
      </c>
      <c r="P76" s="79">
        <v>31</v>
      </c>
      <c r="Q76" s="88">
        <v>31</v>
      </c>
      <c r="R76" s="2" t="s">
        <v>137</v>
      </c>
      <c r="S76" s="159">
        <v>38</v>
      </c>
      <c r="T76" s="79">
        <v>34</v>
      </c>
      <c r="U76" s="79">
        <v>36</v>
      </c>
      <c r="V76" s="79">
        <v>35</v>
      </c>
      <c r="W76" s="79">
        <v>34</v>
      </c>
      <c r="X76" s="2">
        <v>38</v>
      </c>
      <c r="Z76" s="2" t="s">
        <v>128</v>
      </c>
    </row>
    <row r="77" spans="1:31" ht="17.25" customHeight="1" x14ac:dyDescent="0.25">
      <c r="A77" s="1"/>
      <c r="B77" s="276"/>
      <c r="C77" s="283"/>
      <c r="D77" s="278"/>
      <c r="E77" s="154" t="s">
        <v>115</v>
      </c>
      <c r="F77" s="159">
        <f>People!$G$3</f>
        <v>30</v>
      </c>
      <c r="G77" s="79">
        <f>People!$G$4</f>
        <v>31</v>
      </c>
      <c r="H77" s="79">
        <f>People!$G$5</f>
        <v>30</v>
      </c>
      <c r="I77" s="79">
        <f>People!$G$6</f>
        <v>27.67</v>
      </c>
      <c r="J77" s="80">
        <f>People!$G$7</f>
        <v>0</v>
      </c>
      <c r="K77" s="80">
        <f>People!$G$8</f>
        <v>0</v>
      </c>
      <c r="L77" s="80">
        <f>People!$G$9</f>
        <v>0</v>
      </c>
      <c r="M77" s="80">
        <f>People!$G$10</f>
        <v>0</v>
      </c>
      <c r="N77" s="80">
        <f>People!$G$11</f>
        <v>0</v>
      </c>
      <c r="O77" s="80">
        <f>People!$G$12</f>
        <v>0</v>
      </c>
      <c r="P77" s="80">
        <f>People!$G$13</f>
        <v>0</v>
      </c>
      <c r="Q77" s="87">
        <f>People!$G$14</f>
        <v>0</v>
      </c>
      <c r="S77" s="2">
        <v>20</v>
      </c>
      <c r="T77" s="2">
        <v>20</v>
      </c>
      <c r="U77" s="2">
        <v>20</v>
      </c>
      <c r="V77" s="2">
        <v>20</v>
      </c>
      <c r="W77" s="2">
        <v>20</v>
      </c>
      <c r="Z77" s="2" t="s">
        <v>132</v>
      </c>
    </row>
    <row r="78" spans="1:31" ht="17.25" customHeight="1" x14ac:dyDescent="0.25">
      <c r="A78" s="1"/>
      <c r="B78" s="276"/>
      <c r="C78" s="313"/>
      <c r="D78" s="279"/>
      <c r="E78" s="153" t="s">
        <v>114</v>
      </c>
      <c r="F78" s="159">
        <f>'People tgt'!$F$3</f>
        <v>34</v>
      </c>
      <c r="G78" s="79">
        <f>'People tgt'!$F$4</f>
        <v>34</v>
      </c>
      <c r="H78" s="79">
        <f>'People tgt'!$F$5</f>
        <v>34</v>
      </c>
      <c r="I78" s="79">
        <f>'People tgt'!$F$6</f>
        <v>34</v>
      </c>
      <c r="J78" s="79">
        <f>'People tgt'!$F$7</f>
        <v>34</v>
      </c>
      <c r="K78" s="79">
        <f>'People tgt'!$F$8</f>
        <v>34</v>
      </c>
      <c r="L78" s="79">
        <f>'People tgt'!$F$9</f>
        <v>34</v>
      </c>
      <c r="M78" s="79">
        <f>'People tgt'!$F$10</f>
        <v>34</v>
      </c>
      <c r="N78" s="79">
        <f>'People tgt'!$F$11</f>
        <v>34</v>
      </c>
      <c r="O78" s="79">
        <f>'People tgt'!$F$12</f>
        <v>34</v>
      </c>
      <c r="P78" s="79">
        <f>'People tgt'!$F$13</f>
        <v>34</v>
      </c>
      <c r="Q78" s="88">
        <f>'People tgt'!$F$14</f>
        <v>34</v>
      </c>
      <c r="S78" s="2">
        <v>38</v>
      </c>
      <c r="T78" s="268">
        <v>38</v>
      </c>
      <c r="U78" s="2">
        <v>36</v>
      </c>
      <c r="V78" s="2">
        <v>35</v>
      </c>
      <c r="W78" s="2">
        <v>34</v>
      </c>
      <c r="X78" s="2">
        <v>38</v>
      </c>
      <c r="Z78" s="2" t="s">
        <v>132</v>
      </c>
    </row>
    <row r="79" spans="1:31" ht="18.75" customHeight="1" x14ac:dyDescent="0.25">
      <c r="A79" s="1"/>
      <c r="B79" s="276"/>
      <c r="C79" s="283" t="s">
        <v>24</v>
      </c>
      <c r="D79" s="278" t="s">
        <v>16</v>
      </c>
      <c r="E79" s="190" t="s">
        <v>123</v>
      </c>
      <c r="F79" s="213">
        <v>2E-3</v>
      </c>
      <c r="G79" s="85">
        <v>8.0000000000000002E-3</v>
      </c>
      <c r="H79" s="85">
        <v>7.0000000000000001E-3</v>
      </c>
      <c r="I79" s="85">
        <v>1.7000000000000001E-2</v>
      </c>
      <c r="J79" s="85">
        <v>1.7999999999999999E-2</v>
      </c>
      <c r="K79" s="85">
        <v>2.1000000000000001E-2</v>
      </c>
      <c r="L79" s="85">
        <v>0.105</v>
      </c>
      <c r="M79" s="85">
        <v>3.4000000000000002E-2</v>
      </c>
      <c r="N79" s="85">
        <v>2.5999999999999999E-2</v>
      </c>
      <c r="O79" s="85">
        <v>4.4999999999999998E-2</v>
      </c>
      <c r="P79" s="85">
        <v>5.8000000000000003E-2</v>
      </c>
      <c r="Q79" s="198">
        <v>4.2000000000000003E-2</v>
      </c>
      <c r="S79" s="2">
        <f>S77+S78</f>
        <v>58</v>
      </c>
      <c r="T79" s="2">
        <f t="shared" ref="T79:W79" si="3">T77+T78</f>
        <v>58</v>
      </c>
      <c r="U79" s="2">
        <f t="shared" si="3"/>
        <v>56</v>
      </c>
      <c r="V79" s="2">
        <f t="shared" si="3"/>
        <v>55</v>
      </c>
      <c r="W79" s="2">
        <f t="shared" si="3"/>
        <v>54</v>
      </c>
      <c r="Z79" s="2" t="s">
        <v>133</v>
      </c>
    </row>
    <row r="80" spans="1:31" ht="18.75" customHeight="1" x14ac:dyDescent="0.25">
      <c r="A80" s="1"/>
      <c r="B80" s="276"/>
      <c r="C80" s="283"/>
      <c r="D80" s="278"/>
      <c r="E80" s="154" t="s">
        <v>115</v>
      </c>
      <c r="F80" s="158">
        <f>People!$H$3</f>
        <v>2.1000000000000001E-2</v>
      </c>
      <c r="G80" s="68">
        <f>People!$H$4</f>
        <v>3.9E-2</v>
      </c>
      <c r="H80" s="68">
        <f>People!$H$5</f>
        <v>4.2999999999999997E-2</v>
      </c>
      <c r="I80" s="68">
        <f>People!$H$6</f>
        <v>3.4000000000000002E-2</v>
      </c>
      <c r="J80" s="150">
        <f>People!$H$7</f>
        <v>0</v>
      </c>
      <c r="K80" s="150">
        <f>People!$H$8</f>
        <v>0</v>
      </c>
      <c r="L80" s="150">
        <f>People!$H$9</f>
        <v>0</v>
      </c>
      <c r="M80" s="150">
        <f>People!$H$10</f>
        <v>0</v>
      </c>
      <c r="N80" s="150">
        <f>People!$H$11</f>
        <v>0</v>
      </c>
      <c r="O80" s="150">
        <f>People!$H$12</f>
        <v>0</v>
      </c>
      <c r="P80" s="150">
        <f>People!$H$13</f>
        <v>0</v>
      </c>
      <c r="Q80" s="217">
        <f>People!$H$14</f>
        <v>0</v>
      </c>
    </row>
    <row r="81" spans="1:17" ht="17.25" customHeight="1" x14ac:dyDescent="0.25">
      <c r="A81" s="1"/>
      <c r="B81" s="276"/>
      <c r="C81" s="313"/>
      <c r="D81" s="279"/>
      <c r="E81" s="153" t="s">
        <v>114</v>
      </c>
      <c r="F81" s="158">
        <f>'People tgt'!$G$3</f>
        <v>2E-3</v>
      </c>
      <c r="G81" s="68">
        <f>'People tgt'!$G$4</f>
        <v>2E-3</v>
      </c>
      <c r="H81" s="68">
        <f>'People tgt'!$G$5</f>
        <v>2E-3</v>
      </c>
      <c r="I81" s="68">
        <f>'People tgt'!$G$6</f>
        <v>2E-3</v>
      </c>
      <c r="J81" s="68">
        <f>'People tgt'!$G$7</f>
        <v>2E-3</v>
      </c>
      <c r="K81" s="68">
        <f>'People tgt'!$G$8</f>
        <v>2E-3</v>
      </c>
      <c r="L81" s="68">
        <f>'People tgt'!$G$9</f>
        <v>2E-3</v>
      </c>
      <c r="M81" s="68">
        <f>'People tgt'!$G$10</f>
        <v>2E-3</v>
      </c>
      <c r="N81" s="68">
        <f>'People tgt'!$G$11</f>
        <v>2E-3</v>
      </c>
      <c r="O81" s="68">
        <f>'People tgt'!$G$12</f>
        <v>2E-3</v>
      </c>
      <c r="P81" s="68">
        <f>'People tgt'!$G$13</f>
        <v>2E-3</v>
      </c>
      <c r="Q81" s="72">
        <f>'People tgt'!$G$14</f>
        <v>2E-3</v>
      </c>
    </row>
    <row r="82" spans="1:17" ht="17.25" customHeight="1" x14ac:dyDescent="0.25">
      <c r="A82" s="1"/>
      <c r="B82" s="276"/>
      <c r="C82" s="283" t="s">
        <v>25</v>
      </c>
      <c r="D82" s="278" t="s">
        <v>16</v>
      </c>
      <c r="E82" s="190" t="s">
        <v>123</v>
      </c>
      <c r="F82" s="213">
        <v>1.0999999999999999E-2</v>
      </c>
      <c r="G82" s="85">
        <v>1.4999999999999999E-2</v>
      </c>
      <c r="H82" s="85">
        <v>2.5999999999999999E-2</v>
      </c>
      <c r="I82" s="85">
        <v>3.2000000000000001E-2</v>
      </c>
      <c r="J82" s="85">
        <v>4.5999999999999999E-2</v>
      </c>
      <c r="K82" s="85">
        <v>4.1000000000000002E-2</v>
      </c>
      <c r="L82" s="85">
        <v>0.11700000000000001</v>
      </c>
      <c r="M82" s="85">
        <v>5.8999999999999997E-2</v>
      </c>
      <c r="N82" s="85">
        <v>4.3999999999999997E-2</v>
      </c>
      <c r="O82" s="85">
        <v>6.6000000000000003E-2</v>
      </c>
      <c r="P82" s="85">
        <v>6.4000000000000001E-2</v>
      </c>
      <c r="Q82" s="198">
        <v>5.3999999999999999E-2</v>
      </c>
    </row>
    <row r="83" spans="1:17" ht="17.25" customHeight="1" x14ac:dyDescent="0.25">
      <c r="A83" s="1"/>
      <c r="B83" s="276"/>
      <c r="C83" s="283"/>
      <c r="D83" s="278"/>
      <c r="E83" s="154" t="s">
        <v>115</v>
      </c>
      <c r="F83" s="158">
        <f>People!$I$3</f>
        <v>2.5000000000000001E-2</v>
      </c>
      <c r="G83" s="68">
        <f>People!$I$4</f>
        <v>0.03</v>
      </c>
      <c r="H83" s="68">
        <f>People!$I$5</f>
        <v>4.2999999999999997E-2</v>
      </c>
      <c r="I83" s="68">
        <f>People!$I$6</f>
        <v>4.5999999999999999E-2</v>
      </c>
      <c r="J83" s="150">
        <f>People!$I$7</f>
        <v>0</v>
      </c>
      <c r="K83" s="150">
        <f>People!$I$8</f>
        <v>0</v>
      </c>
      <c r="L83" s="150">
        <f>People!$I$9</f>
        <v>0</v>
      </c>
      <c r="M83" s="150">
        <f>People!$I$10</f>
        <v>0</v>
      </c>
      <c r="N83" s="150">
        <f>People!$I$11</f>
        <v>0</v>
      </c>
      <c r="O83" s="150">
        <f>People!$I$12</f>
        <v>0</v>
      </c>
      <c r="P83" s="150">
        <f>People!$I$13</f>
        <v>0</v>
      </c>
      <c r="Q83" s="217">
        <f>People!$I$14</f>
        <v>0</v>
      </c>
    </row>
    <row r="84" spans="1:17" ht="17.25" customHeight="1" thickBot="1" x14ac:dyDescent="0.3">
      <c r="A84" s="1"/>
      <c r="B84" s="277"/>
      <c r="C84" s="284"/>
      <c r="D84" s="285"/>
      <c r="E84" s="156" t="s">
        <v>114</v>
      </c>
      <c r="F84" s="161">
        <f>'People tgt'!$H$3</f>
        <v>0.04</v>
      </c>
      <c r="G84" s="152">
        <f>'People tgt'!$H$4</f>
        <v>0.04</v>
      </c>
      <c r="H84" s="152">
        <f>'People tgt'!$H$5</f>
        <v>0.04</v>
      </c>
      <c r="I84" s="152">
        <f>'People tgt'!$H$6</f>
        <v>0.04</v>
      </c>
      <c r="J84" s="152">
        <f>'People tgt'!$H$7</f>
        <v>0.04</v>
      </c>
      <c r="K84" s="152">
        <f>'People tgt'!$H$8</f>
        <v>0.04</v>
      </c>
      <c r="L84" s="152">
        <f>'People tgt'!$H$9</f>
        <v>0.04</v>
      </c>
      <c r="M84" s="152">
        <f>'People tgt'!$H$10</f>
        <v>0.04</v>
      </c>
      <c r="N84" s="152">
        <f>'People tgt'!$H$11</f>
        <v>0.04</v>
      </c>
      <c r="O84" s="152">
        <f>'People tgt'!$H$12</f>
        <v>0.04</v>
      </c>
      <c r="P84" s="152">
        <f>'People tgt'!$H$13</f>
        <v>0.04</v>
      </c>
      <c r="Q84" s="218">
        <f>'People tgt'!$H$14</f>
        <v>0.04</v>
      </c>
    </row>
    <row r="85" spans="1:17" ht="18" hidden="1" customHeight="1" x14ac:dyDescent="0.25">
      <c r="A85" s="1"/>
      <c r="B85" s="298" t="s">
        <v>26</v>
      </c>
      <c r="C85" s="306" t="s">
        <v>27</v>
      </c>
      <c r="D85" s="307" t="s">
        <v>16</v>
      </c>
      <c r="E85" s="141" t="s">
        <v>123</v>
      </c>
      <c r="F85" s="182">
        <v>1.0249999999999999</v>
      </c>
      <c r="G85" s="183">
        <v>1.006</v>
      </c>
      <c r="H85" s="183">
        <v>0.90200000000000002</v>
      </c>
      <c r="I85" s="183">
        <v>0.95399999999999996</v>
      </c>
      <c r="J85" s="183">
        <v>0.89600000000000002</v>
      </c>
      <c r="K85" s="183">
        <v>0.86399999999999999</v>
      </c>
      <c r="L85" s="183">
        <v>0.91100000000000003</v>
      </c>
      <c r="M85" s="183">
        <v>0.92100000000000004</v>
      </c>
      <c r="N85" s="183">
        <v>0.94599999999999995</v>
      </c>
      <c r="O85" s="183">
        <v>0.93100000000000005</v>
      </c>
      <c r="P85" s="183">
        <v>0.95499999999999996</v>
      </c>
      <c r="Q85" s="203">
        <v>0.93500000000000005</v>
      </c>
    </row>
    <row r="86" spans="1:17" ht="18" hidden="1" customHeight="1" x14ac:dyDescent="0.25">
      <c r="A86" s="1"/>
      <c r="B86" s="299"/>
      <c r="C86" s="290"/>
      <c r="D86" s="302"/>
      <c r="E86" s="30" t="s">
        <v>115</v>
      </c>
      <c r="F86" s="148">
        <f>Production!$B$3</f>
        <v>0.878</v>
      </c>
      <c r="G86" s="45">
        <f>Production!$B$4</f>
        <v>0.92100000000000004</v>
      </c>
      <c r="H86" s="45">
        <f>Production!$B$5</f>
        <v>0.91800000000000004</v>
      </c>
      <c r="I86" s="45">
        <f>Production!$B$6</f>
        <v>0</v>
      </c>
      <c r="J86" s="45">
        <f>Production!$B$7</f>
        <v>0</v>
      </c>
      <c r="K86" s="45">
        <f>Production!$B$8</f>
        <v>0</v>
      </c>
      <c r="L86" s="45">
        <f>Production!$B$9</f>
        <v>0</v>
      </c>
      <c r="M86" s="45">
        <f>Production!$B$10</f>
        <v>0</v>
      </c>
      <c r="N86" s="45">
        <f>Production!$B$11</f>
        <v>0</v>
      </c>
      <c r="O86" s="45">
        <f>Production!$B$12</f>
        <v>0</v>
      </c>
      <c r="P86" s="45">
        <f>Production!$B$13</f>
        <v>0</v>
      </c>
      <c r="Q86" s="221">
        <f>Production!$B$14</f>
        <v>0</v>
      </c>
    </row>
    <row r="87" spans="1:17" ht="15.75" hidden="1" customHeight="1" x14ac:dyDescent="0.25">
      <c r="A87" s="1"/>
      <c r="B87" s="299"/>
      <c r="C87" s="282"/>
      <c r="D87" s="303"/>
      <c r="E87" s="29" t="s">
        <v>114</v>
      </c>
      <c r="F87" s="46">
        <f>'Production tgt'!$B$3</f>
        <v>1</v>
      </c>
      <c r="G87" s="47">
        <f>'Production tgt'!$B$4</f>
        <v>1</v>
      </c>
      <c r="H87" s="47">
        <f>'Production tgt'!$B$5</f>
        <v>1</v>
      </c>
      <c r="I87" s="47">
        <f>'Production tgt'!$B$6</f>
        <v>1</v>
      </c>
      <c r="J87" s="47">
        <f>'Production tgt'!$B$7</f>
        <v>1</v>
      </c>
      <c r="K87" s="47">
        <f>'Production tgt'!$B$8</f>
        <v>1</v>
      </c>
      <c r="L87" s="47">
        <f>'Production tgt'!$B$9</f>
        <v>1</v>
      </c>
      <c r="M87" s="47">
        <f>'Production tgt'!$B$10</f>
        <v>1</v>
      </c>
      <c r="N87" s="47">
        <f>'Production tgt'!$B$11</f>
        <v>1</v>
      </c>
      <c r="O87" s="47">
        <f>'Production tgt'!$B$12</f>
        <v>1</v>
      </c>
      <c r="P87" s="47">
        <f>'Production tgt'!$B$13</f>
        <v>1</v>
      </c>
      <c r="Q87" s="222">
        <f>'Production tgt'!$B$14</f>
        <v>1</v>
      </c>
    </row>
    <row r="88" spans="1:17" ht="17.25" hidden="1" customHeight="1" x14ac:dyDescent="0.25">
      <c r="A88" s="1"/>
      <c r="B88" s="299"/>
      <c r="C88" s="289" t="s">
        <v>28</v>
      </c>
      <c r="D88" s="301" t="s">
        <v>16</v>
      </c>
      <c r="E88" s="145" t="s">
        <v>123</v>
      </c>
      <c r="F88" s="158">
        <v>0.94799999999999995</v>
      </c>
      <c r="G88" s="68">
        <v>0.81599999999999995</v>
      </c>
      <c r="H88" s="68">
        <v>0.88300000000000001</v>
      </c>
      <c r="I88" s="68">
        <v>0.89500000000000002</v>
      </c>
      <c r="J88" s="68">
        <v>0.876</v>
      </c>
      <c r="K88" s="68">
        <v>0.78200000000000003</v>
      </c>
      <c r="L88" s="68">
        <v>0.85399999999999998</v>
      </c>
      <c r="M88" s="68">
        <v>0.871</v>
      </c>
      <c r="N88" s="68">
        <v>0.88500000000000001</v>
      </c>
      <c r="O88" s="68">
        <v>0.87</v>
      </c>
      <c r="P88" s="68">
        <v>0.88</v>
      </c>
      <c r="Q88" s="72">
        <v>0.871</v>
      </c>
    </row>
    <row r="89" spans="1:17" ht="17.25" hidden="1" customHeight="1" x14ac:dyDescent="0.25">
      <c r="A89" s="1"/>
      <c r="B89" s="299"/>
      <c r="C89" s="290"/>
      <c r="D89" s="302"/>
      <c r="E89" s="30" t="s">
        <v>115</v>
      </c>
      <c r="F89" s="148">
        <f>Production!$C$3</f>
        <v>0.85399999999999998</v>
      </c>
      <c r="G89" s="45">
        <f>Production!$C$4</f>
        <v>0.84599999999999997</v>
      </c>
      <c r="H89" s="45">
        <f>Production!$C$5</f>
        <v>0.86099999999999999</v>
      </c>
      <c r="I89" s="45">
        <f>Production!$C$6</f>
        <v>0</v>
      </c>
      <c r="J89" s="45">
        <f>Production!$C$7</f>
        <v>0</v>
      </c>
      <c r="K89" s="45">
        <f>Production!$C$8</f>
        <v>0</v>
      </c>
      <c r="L89" s="45">
        <f>Production!$C$9</f>
        <v>0</v>
      </c>
      <c r="M89" s="45">
        <f>Production!$C$10</f>
        <v>0</v>
      </c>
      <c r="N89" s="45">
        <f>Production!$C$11</f>
        <v>0</v>
      </c>
      <c r="O89" s="45">
        <f>Production!$C$12</f>
        <v>0</v>
      </c>
      <c r="P89" s="45">
        <f>Production!$C$13</f>
        <v>0</v>
      </c>
      <c r="Q89" s="221">
        <f>Production!$C$14</f>
        <v>0</v>
      </c>
    </row>
    <row r="90" spans="1:17" ht="17.25" hidden="1" customHeight="1" x14ac:dyDescent="0.25">
      <c r="A90" s="1"/>
      <c r="B90" s="299"/>
      <c r="C90" s="282"/>
      <c r="D90" s="303"/>
      <c r="E90" s="29" t="s">
        <v>114</v>
      </c>
      <c r="F90" s="69">
        <f>'Production tgt'!$C$3</f>
        <v>0.91600000000000004</v>
      </c>
      <c r="G90" s="9">
        <f>'Production tgt'!$C$4</f>
        <v>0.89300000000000002</v>
      </c>
      <c r="H90" s="9">
        <f>'Production tgt'!$C$5</f>
        <v>0.84299999999999997</v>
      </c>
      <c r="I90" s="9">
        <f>'Production tgt'!$C$6</f>
        <v>0.92600000000000005</v>
      </c>
      <c r="J90" s="9">
        <f>'Production tgt'!$C$7</f>
        <v>0.877</v>
      </c>
      <c r="K90" s="9">
        <f>'Production tgt'!$C$8</f>
        <v>0.94299999999999995</v>
      </c>
      <c r="L90" s="9">
        <f>'Production tgt'!$C$9</f>
        <v>0.90900000000000003</v>
      </c>
      <c r="M90" s="9">
        <f>'Production tgt'!$C$10</f>
        <v>0.94799999999999995</v>
      </c>
      <c r="N90" s="9">
        <f>'Production tgt'!$C$11</f>
        <v>0.872</v>
      </c>
      <c r="O90" s="9">
        <f>'Production tgt'!$C$12</f>
        <v>0.91</v>
      </c>
      <c r="P90" s="9">
        <f>'Production tgt'!$C$13</f>
        <v>0.91800000000000004</v>
      </c>
      <c r="Q90" s="207">
        <f>'Production tgt'!$C$14</f>
        <v>0.93799999999999994</v>
      </c>
    </row>
    <row r="91" spans="1:17" ht="17.25" hidden="1" customHeight="1" x14ac:dyDescent="0.25">
      <c r="A91" s="1"/>
      <c r="B91" s="299"/>
      <c r="C91" s="289" t="s">
        <v>29</v>
      </c>
      <c r="D91" s="301" t="s">
        <v>16</v>
      </c>
      <c r="E91" s="145" t="s">
        <v>123</v>
      </c>
      <c r="F91" s="158">
        <v>1.0349999999999999</v>
      </c>
      <c r="G91" s="68">
        <v>1.0309999999999999</v>
      </c>
      <c r="H91" s="68">
        <v>1.028</v>
      </c>
      <c r="I91" s="68">
        <v>1.032</v>
      </c>
      <c r="J91" s="68">
        <v>1.0269999999999999</v>
      </c>
      <c r="K91" s="68">
        <v>1.0269999999999999</v>
      </c>
      <c r="L91" s="68">
        <v>1.0249999999999999</v>
      </c>
      <c r="M91" s="68">
        <v>1.0249999999999999</v>
      </c>
      <c r="N91" s="68">
        <v>1.0249999999999999</v>
      </c>
      <c r="O91" s="68">
        <v>1.0249999999999999</v>
      </c>
      <c r="P91" s="68">
        <v>1.0249999999999999</v>
      </c>
      <c r="Q91" s="72">
        <v>1.0249999999999999</v>
      </c>
    </row>
    <row r="92" spans="1:17" ht="17.25" hidden="1" customHeight="1" x14ac:dyDescent="0.25">
      <c r="A92" s="1"/>
      <c r="B92" s="299"/>
      <c r="C92" s="290"/>
      <c r="D92" s="302"/>
      <c r="E92" s="30" t="s">
        <v>115</v>
      </c>
      <c r="F92" s="69">
        <f>Production!$D$3</f>
        <v>1</v>
      </c>
      <c r="G92" s="9">
        <f>Production!$D$4</f>
        <v>1.014</v>
      </c>
      <c r="H92" s="9">
        <f>Production!$D$5</f>
        <v>1.0129999999999999</v>
      </c>
      <c r="I92" s="9">
        <f>Production!$D$6</f>
        <v>0</v>
      </c>
      <c r="J92" s="9">
        <f>Production!$D$7</f>
        <v>0</v>
      </c>
      <c r="K92" s="9">
        <f>Production!$D$8</f>
        <v>0</v>
      </c>
      <c r="L92" s="9">
        <f>Production!$D$9</f>
        <v>0</v>
      </c>
      <c r="M92" s="9">
        <f>Production!$D$10</f>
        <v>0</v>
      </c>
      <c r="N92" s="9">
        <f>Production!$D$11</f>
        <v>0</v>
      </c>
      <c r="O92" s="9">
        <f>Production!$D$12</f>
        <v>0</v>
      </c>
      <c r="P92" s="9">
        <f>Production!$D$13</f>
        <v>0</v>
      </c>
      <c r="Q92" s="207">
        <f>Production!$D$14</f>
        <v>0</v>
      </c>
    </row>
    <row r="93" spans="1:17" ht="17.25" hidden="1" customHeight="1" x14ac:dyDescent="0.25">
      <c r="A93" s="1"/>
      <c r="B93" s="299"/>
      <c r="C93" s="282"/>
      <c r="D93" s="303"/>
      <c r="E93" s="29" t="s">
        <v>114</v>
      </c>
      <c r="F93" s="69">
        <f>'Production tgt'!$D$3</f>
        <v>1</v>
      </c>
      <c r="G93" s="9">
        <f>'Production tgt'!$D$4</f>
        <v>1.002</v>
      </c>
      <c r="H93" s="9">
        <f>'Production tgt'!$D$5</f>
        <v>1.002</v>
      </c>
      <c r="I93" s="9">
        <f>'Production tgt'!$D$6</f>
        <v>1.002</v>
      </c>
      <c r="J93" s="9">
        <f>'Production tgt'!$D$7</f>
        <v>1.002</v>
      </c>
      <c r="K93" s="9">
        <f>'Production tgt'!$D$8</f>
        <v>1.002</v>
      </c>
      <c r="L93" s="9">
        <f>'Production tgt'!$D$9</f>
        <v>1.002</v>
      </c>
      <c r="M93" s="9">
        <f>'Production tgt'!$D$10</f>
        <v>1.0249999999999999</v>
      </c>
      <c r="N93" s="9">
        <f>'Production tgt'!$D$11</f>
        <v>1.0249999999999999</v>
      </c>
      <c r="O93" s="9">
        <f>'Production tgt'!$D$12</f>
        <v>1.0249999999999999</v>
      </c>
      <c r="P93" s="9">
        <f>'Production tgt'!$D$13</f>
        <v>1.04</v>
      </c>
      <c r="Q93" s="207">
        <f>'Production tgt'!$D$14</f>
        <v>1.04</v>
      </c>
    </row>
    <row r="94" spans="1:17" ht="17.25" hidden="1" customHeight="1" x14ac:dyDescent="0.25">
      <c r="A94" s="1"/>
      <c r="B94" s="299"/>
      <c r="C94" s="280" t="s">
        <v>30</v>
      </c>
      <c r="D94" s="301" t="s">
        <v>16</v>
      </c>
      <c r="E94" s="145" t="s">
        <v>123</v>
      </c>
      <c r="F94" s="158">
        <v>0.98099999999999998</v>
      </c>
      <c r="G94" s="68">
        <v>0.84099999999999997</v>
      </c>
      <c r="H94" s="68">
        <v>0.90700000000000003</v>
      </c>
      <c r="I94" s="68">
        <v>0.92400000000000004</v>
      </c>
      <c r="J94" s="68">
        <v>0.89900000000000002</v>
      </c>
      <c r="K94" s="68">
        <v>0.80300000000000005</v>
      </c>
      <c r="L94" s="68">
        <v>0.875</v>
      </c>
      <c r="M94" s="68">
        <v>0.89300000000000002</v>
      </c>
      <c r="N94" s="68">
        <v>0.90700000000000003</v>
      </c>
      <c r="O94" s="68">
        <v>0.89200000000000002</v>
      </c>
      <c r="P94" s="68">
        <v>0.90199999999999991</v>
      </c>
      <c r="Q94" s="72">
        <v>0.89277499999999987</v>
      </c>
    </row>
    <row r="95" spans="1:17" ht="17.25" hidden="1" customHeight="1" x14ac:dyDescent="0.25">
      <c r="A95" s="1"/>
      <c r="B95" s="299"/>
      <c r="C95" s="281"/>
      <c r="D95" s="302"/>
      <c r="E95" s="30" t="s">
        <v>115</v>
      </c>
      <c r="F95" s="223">
        <f t="shared" ref="F95:Q95" si="4">F89*F92</f>
        <v>0.85399999999999998</v>
      </c>
      <c r="G95" s="11">
        <f t="shared" si="4"/>
        <v>0.85784399999999994</v>
      </c>
      <c r="H95" s="11">
        <f t="shared" si="4"/>
        <v>0.87219299999999989</v>
      </c>
      <c r="I95" s="11">
        <f t="shared" si="4"/>
        <v>0</v>
      </c>
      <c r="J95" s="11">
        <f t="shared" si="4"/>
        <v>0</v>
      </c>
      <c r="K95" s="11">
        <f t="shared" si="4"/>
        <v>0</v>
      </c>
      <c r="L95" s="11">
        <f t="shared" si="4"/>
        <v>0</v>
      </c>
      <c r="M95" s="11">
        <f t="shared" si="4"/>
        <v>0</v>
      </c>
      <c r="N95" s="11">
        <f t="shared" si="4"/>
        <v>0</v>
      </c>
      <c r="O95" s="11">
        <f t="shared" si="4"/>
        <v>0</v>
      </c>
      <c r="P95" s="11">
        <f t="shared" si="4"/>
        <v>0</v>
      </c>
      <c r="Q95" s="224">
        <f t="shared" si="4"/>
        <v>0</v>
      </c>
    </row>
    <row r="96" spans="1:17" ht="17.25" hidden="1" customHeight="1" x14ac:dyDescent="0.25">
      <c r="A96" s="1"/>
      <c r="B96" s="299"/>
      <c r="C96" s="282"/>
      <c r="D96" s="303"/>
      <c r="E96" s="29" t="s">
        <v>114</v>
      </c>
      <c r="F96" s="69">
        <f>F90*F93</f>
        <v>0.91600000000000004</v>
      </c>
      <c r="G96" s="9">
        <f t="shared" ref="G96:Q96" si="5">G90*G93</f>
        <v>0.89478599999999997</v>
      </c>
      <c r="H96" s="9">
        <f t="shared" si="5"/>
        <v>0.84468599999999994</v>
      </c>
      <c r="I96" s="9">
        <f t="shared" si="5"/>
        <v>0.92785200000000001</v>
      </c>
      <c r="J96" s="9">
        <f t="shared" si="5"/>
        <v>0.87875400000000004</v>
      </c>
      <c r="K96" s="9">
        <f t="shared" si="5"/>
        <v>0.944886</v>
      </c>
      <c r="L96" s="9">
        <f t="shared" si="5"/>
        <v>0.91081800000000002</v>
      </c>
      <c r="M96" s="9">
        <f t="shared" si="5"/>
        <v>0.9716999999999999</v>
      </c>
      <c r="N96" s="9">
        <f t="shared" si="5"/>
        <v>0.89379999999999993</v>
      </c>
      <c r="O96" s="9">
        <f t="shared" si="5"/>
        <v>0.93274999999999997</v>
      </c>
      <c r="P96" s="9">
        <f t="shared" si="5"/>
        <v>0.95472000000000012</v>
      </c>
      <c r="Q96" s="207">
        <f t="shared" si="5"/>
        <v>0.97551999999999994</v>
      </c>
    </row>
    <row r="97" spans="1:24" ht="17.25" hidden="1" customHeight="1" x14ac:dyDescent="0.25">
      <c r="A97" s="1"/>
      <c r="B97" s="299"/>
      <c r="C97" s="289" t="s">
        <v>117</v>
      </c>
      <c r="D97" s="301" t="s">
        <v>16</v>
      </c>
      <c r="E97" s="145" t="s">
        <v>123</v>
      </c>
      <c r="F97" s="15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72"/>
    </row>
    <row r="98" spans="1:24" ht="17.25" hidden="1" customHeight="1" x14ac:dyDescent="0.25">
      <c r="A98" s="1"/>
      <c r="B98" s="299"/>
      <c r="C98" s="290"/>
      <c r="D98" s="302"/>
      <c r="E98" s="30" t="s">
        <v>115</v>
      </c>
      <c r="F98" s="69">
        <f>Production!$E$3</f>
        <v>0.86399999999999999</v>
      </c>
      <c r="G98" s="9">
        <f>Production!$E$4</f>
        <v>0.89700000000000002</v>
      </c>
      <c r="H98" s="9">
        <f>Production!$E$5</f>
        <v>0.90200000000000002</v>
      </c>
      <c r="I98" s="9">
        <f>Production!$E$6</f>
        <v>0</v>
      </c>
      <c r="J98" s="9">
        <f>Production!$E$7</f>
        <v>0</v>
      </c>
      <c r="K98" s="9">
        <f>Production!$E$8</f>
        <v>0</v>
      </c>
      <c r="L98" s="9">
        <f>Production!$E$9</f>
        <v>0</v>
      </c>
      <c r="M98" s="9">
        <f>Production!$E$10</f>
        <v>0</v>
      </c>
      <c r="N98" s="9">
        <f>Production!$E$11</f>
        <v>0</v>
      </c>
      <c r="O98" s="9">
        <f>Production!$E$12</f>
        <v>0</v>
      </c>
      <c r="P98" s="9">
        <f>Production!$E$13</f>
        <v>0</v>
      </c>
      <c r="Q98" s="207">
        <f>Production!$E$14</f>
        <v>0</v>
      </c>
    </row>
    <row r="99" spans="1:24" ht="17.25" hidden="1" customHeight="1" x14ac:dyDescent="0.25">
      <c r="A99" s="1"/>
      <c r="B99" s="299"/>
      <c r="C99" s="304"/>
      <c r="D99" s="305"/>
      <c r="E99" s="29" t="s">
        <v>114</v>
      </c>
      <c r="F99" s="223">
        <f>'Production tgt'!$E$3</f>
        <v>0.85</v>
      </c>
      <c r="G99" s="11">
        <f>'Production tgt'!$E$4</f>
        <v>0.85</v>
      </c>
      <c r="H99" s="11">
        <f>'Production tgt'!$E$5</f>
        <v>0.85</v>
      </c>
      <c r="I99" s="11">
        <f>'Production tgt'!$E$6</f>
        <v>0.85</v>
      </c>
      <c r="J99" s="11">
        <f>'Production tgt'!$E$7</f>
        <v>0.85</v>
      </c>
      <c r="K99" s="11">
        <f>'Production tgt'!$E$8</f>
        <v>0.85</v>
      </c>
      <c r="L99" s="11">
        <f>'Production tgt'!$E$9</f>
        <v>0.85</v>
      </c>
      <c r="M99" s="11">
        <f>'Production tgt'!$E$10</f>
        <v>0.85</v>
      </c>
      <c r="N99" s="11">
        <f>'Production tgt'!$E$11</f>
        <v>0.85</v>
      </c>
      <c r="O99" s="11">
        <f>'Production tgt'!$E$12</f>
        <v>0.85</v>
      </c>
      <c r="P99" s="11">
        <f>'Production tgt'!$E$13</f>
        <v>0.85</v>
      </c>
      <c r="Q99" s="224">
        <f>'Production tgt'!$E$14</f>
        <v>0.85</v>
      </c>
    </row>
    <row r="100" spans="1:24" ht="17.25" hidden="1" customHeight="1" x14ac:dyDescent="0.25">
      <c r="A100" s="1"/>
      <c r="B100" s="299"/>
      <c r="C100" s="289" t="s">
        <v>118</v>
      </c>
      <c r="D100" s="301" t="s">
        <v>16</v>
      </c>
      <c r="E100" s="145" t="s">
        <v>123</v>
      </c>
      <c r="F100" s="15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72"/>
    </row>
    <row r="101" spans="1:24" ht="17.25" hidden="1" customHeight="1" x14ac:dyDescent="0.25">
      <c r="A101" s="1"/>
      <c r="B101" s="299"/>
      <c r="C101" s="290"/>
      <c r="D101" s="302"/>
      <c r="E101" s="30" t="s">
        <v>115</v>
      </c>
      <c r="F101" s="69">
        <f>Production!$F$3</f>
        <v>0.83299999999999996</v>
      </c>
      <c r="G101" s="9">
        <f>Production!$F$4</f>
        <v>0.83499999999999996</v>
      </c>
      <c r="H101" s="9">
        <f>Production!$F$5</f>
        <v>0.84399999999999997</v>
      </c>
      <c r="I101" s="9">
        <f>Production!$F$6</f>
        <v>0</v>
      </c>
      <c r="J101" s="9">
        <f>Production!$F$7</f>
        <v>0</v>
      </c>
      <c r="K101" s="9">
        <f>Production!$F$8</f>
        <v>0</v>
      </c>
      <c r="L101" s="9">
        <f>Production!$F$9</f>
        <v>0</v>
      </c>
      <c r="M101" s="9">
        <f>Production!$F$10</f>
        <v>0</v>
      </c>
      <c r="N101" s="9">
        <f>Production!$F$11</f>
        <v>0</v>
      </c>
      <c r="O101" s="9">
        <f>Production!$F$12</f>
        <v>0</v>
      </c>
      <c r="P101" s="9">
        <f>Production!$F$13</f>
        <v>0</v>
      </c>
      <c r="Q101" s="207">
        <f>Production!$F$14</f>
        <v>0</v>
      </c>
    </row>
    <row r="102" spans="1:24" ht="17.25" hidden="1" customHeight="1" x14ac:dyDescent="0.25">
      <c r="A102" s="1"/>
      <c r="B102" s="299"/>
      <c r="C102" s="282"/>
      <c r="D102" s="303"/>
      <c r="E102" s="29" t="s">
        <v>114</v>
      </c>
      <c r="F102" s="223">
        <f>'Production tgt'!$F$3</f>
        <v>0.8</v>
      </c>
      <c r="G102" s="11">
        <f>'Production tgt'!$F$4</f>
        <v>0.8</v>
      </c>
      <c r="H102" s="11">
        <f>'Production tgt'!$F$5</f>
        <v>0.8</v>
      </c>
      <c r="I102" s="11">
        <f>'Production tgt'!$F$6</f>
        <v>0.81</v>
      </c>
      <c r="J102" s="11">
        <f>'Production tgt'!$F$7</f>
        <v>0.81</v>
      </c>
      <c r="K102" s="11">
        <f>'Production tgt'!$F$8</f>
        <v>0.81</v>
      </c>
      <c r="L102" s="11">
        <f>'Production tgt'!$F$9</f>
        <v>0.82</v>
      </c>
      <c r="M102" s="11">
        <f>'Production tgt'!$F$10</f>
        <v>0.82</v>
      </c>
      <c r="N102" s="11">
        <f>'Production tgt'!$F$11</f>
        <v>0.82</v>
      </c>
      <c r="O102" s="11">
        <f>'Production tgt'!$F$12</f>
        <v>0.82</v>
      </c>
      <c r="P102" s="11">
        <f>'Production tgt'!$F$13</f>
        <v>0.82</v>
      </c>
      <c r="Q102" s="224">
        <f>'Production tgt'!$F$14</f>
        <v>0.82</v>
      </c>
    </row>
    <row r="103" spans="1:24" ht="17.25" hidden="1" customHeight="1" x14ac:dyDescent="0.25">
      <c r="A103" s="1"/>
      <c r="B103" s="299"/>
      <c r="C103" s="289" t="s">
        <v>119</v>
      </c>
      <c r="D103" s="301" t="s">
        <v>16</v>
      </c>
      <c r="E103" s="145" t="s">
        <v>123</v>
      </c>
      <c r="F103" s="15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72"/>
    </row>
    <row r="104" spans="1:24" ht="17.25" hidden="1" customHeight="1" x14ac:dyDescent="0.25">
      <c r="A104" s="1"/>
      <c r="B104" s="299"/>
      <c r="C104" s="290"/>
      <c r="D104" s="302"/>
      <c r="E104" s="30" t="s">
        <v>115</v>
      </c>
      <c r="F104" s="69">
        <f>Production!$G$3</f>
        <v>0.85</v>
      </c>
      <c r="G104" s="9">
        <f>Production!$G$4</f>
        <v>0.85099999999999998</v>
      </c>
      <c r="H104" s="9">
        <f>Production!$G$5</f>
        <v>0.85299999999999998</v>
      </c>
      <c r="I104" s="9">
        <f>Production!$G$6</f>
        <v>0</v>
      </c>
      <c r="J104" s="9">
        <f>Production!$G$7</f>
        <v>0</v>
      </c>
      <c r="K104" s="9">
        <f>Production!$G$8</f>
        <v>0</v>
      </c>
      <c r="L104" s="9">
        <f>Production!$G$9</f>
        <v>0</v>
      </c>
      <c r="M104" s="9">
        <f>Production!$G$10</f>
        <v>0</v>
      </c>
      <c r="N104" s="9">
        <f>Production!$G$11</f>
        <v>0</v>
      </c>
      <c r="O104" s="9">
        <f>Production!$G$12</f>
        <v>0</v>
      </c>
      <c r="P104" s="9">
        <f>Production!$G$13</f>
        <v>0</v>
      </c>
      <c r="Q104" s="207">
        <f>Production!$G$14</f>
        <v>0</v>
      </c>
    </row>
    <row r="105" spans="1:24" ht="17.25" hidden="1" customHeight="1" x14ac:dyDescent="0.25">
      <c r="A105" s="1"/>
      <c r="B105" s="299"/>
      <c r="C105" s="282"/>
      <c r="D105" s="303"/>
      <c r="E105" s="29" t="s">
        <v>114</v>
      </c>
      <c r="F105" s="69">
        <f>'Production tgt'!$G$3</f>
        <v>0.82</v>
      </c>
      <c r="G105" s="9">
        <f>'Production tgt'!$G$4</f>
        <v>0.82</v>
      </c>
      <c r="H105" s="9">
        <f>'Production tgt'!$G$5</f>
        <v>0.82</v>
      </c>
      <c r="I105" s="9">
        <f>'Production tgt'!$G$6</f>
        <v>0.83</v>
      </c>
      <c r="J105" s="9">
        <f>'Production tgt'!$G$7</f>
        <v>0.83</v>
      </c>
      <c r="K105" s="11">
        <f>'Production tgt'!$G$8</f>
        <v>0.83</v>
      </c>
      <c r="L105" s="11">
        <f>'Production tgt'!$G$9</f>
        <v>0.83</v>
      </c>
      <c r="M105" s="11">
        <f>'Production tgt'!$G$10</f>
        <v>0.83</v>
      </c>
      <c r="N105" s="11">
        <f>'Production tgt'!$G$11</f>
        <v>0.83</v>
      </c>
      <c r="O105" s="11">
        <f>'Production tgt'!$G$12</f>
        <v>0.83</v>
      </c>
      <c r="P105" s="11">
        <f>'Production tgt'!$G$13</f>
        <v>0.83</v>
      </c>
      <c r="Q105" s="224">
        <f>'Production tgt'!$G$14</f>
        <v>0.83</v>
      </c>
    </row>
    <row r="106" spans="1:24" ht="17.25" hidden="1" customHeight="1" x14ac:dyDescent="0.25">
      <c r="A106" s="1"/>
      <c r="B106" s="299"/>
      <c r="C106" s="289" t="s">
        <v>19</v>
      </c>
      <c r="D106" s="286" t="s">
        <v>12</v>
      </c>
      <c r="E106" s="145" t="s">
        <v>123</v>
      </c>
      <c r="F106" s="159">
        <v>534</v>
      </c>
      <c r="G106" s="79">
        <v>773</v>
      </c>
      <c r="H106" s="79">
        <v>898</v>
      </c>
      <c r="I106" s="79">
        <v>1979</v>
      </c>
      <c r="J106" s="196">
        <v>3126</v>
      </c>
      <c r="K106" s="196">
        <v>2350</v>
      </c>
      <c r="L106" s="196">
        <v>2699</v>
      </c>
      <c r="M106" s="196">
        <v>2091</v>
      </c>
      <c r="N106" s="196">
        <v>1438</v>
      </c>
      <c r="O106" s="196">
        <v>1312</v>
      </c>
      <c r="P106" s="196">
        <v>1586</v>
      </c>
      <c r="Q106" s="197">
        <v>1514</v>
      </c>
      <c r="R106" s="2" t="s">
        <v>137</v>
      </c>
      <c r="S106" s="159">
        <v>382</v>
      </c>
      <c r="T106" s="79">
        <v>621</v>
      </c>
      <c r="U106" s="79">
        <v>746</v>
      </c>
      <c r="V106" s="79">
        <v>1827</v>
      </c>
      <c r="W106" s="196">
        <v>2974</v>
      </c>
      <c r="X106" s="2" t="s">
        <v>129</v>
      </c>
    </row>
    <row r="107" spans="1:24" ht="17.25" hidden="1" customHeight="1" x14ac:dyDescent="0.25">
      <c r="A107" s="1"/>
      <c r="B107" s="299"/>
      <c r="C107" s="290"/>
      <c r="D107" s="287"/>
      <c r="E107" s="30" t="s">
        <v>115</v>
      </c>
      <c r="F107" s="70">
        <f>Production!$H$3</f>
        <v>1854</v>
      </c>
      <c r="G107" s="7">
        <f>Production!$H$4</f>
        <v>4841</v>
      </c>
      <c r="H107" s="7">
        <f>Production!$H$5</f>
        <v>3412</v>
      </c>
      <c r="I107" s="7">
        <f>Production!$H$6</f>
        <v>0</v>
      </c>
      <c r="J107" s="8">
        <f>Production!$H$7</f>
        <v>0</v>
      </c>
      <c r="K107" s="8">
        <f>Production!$H$8</f>
        <v>0</v>
      </c>
      <c r="L107" s="8">
        <f>Production!$H$9</f>
        <v>0</v>
      </c>
      <c r="M107" s="8">
        <f>Production!$H$10</f>
        <v>0</v>
      </c>
      <c r="N107" s="8">
        <f>Production!$H$11</f>
        <v>0</v>
      </c>
      <c r="O107" s="8">
        <f>Production!$H$12</f>
        <v>0</v>
      </c>
      <c r="P107" s="8">
        <f>Production!$H$13</f>
        <v>0</v>
      </c>
      <c r="Q107" s="209">
        <f>Production!$H$14</f>
        <v>0</v>
      </c>
      <c r="S107" s="2">
        <v>152</v>
      </c>
      <c r="T107" s="2">
        <v>152</v>
      </c>
      <c r="U107" s="2">
        <v>152</v>
      </c>
      <c r="V107" s="2">
        <v>152</v>
      </c>
      <c r="W107" s="2">
        <v>152</v>
      </c>
      <c r="X107" s="2" t="s">
        <v>130</v>
      </c>
    </row>
    <row r="108" spans="1:24" ht="17.25" hidden="1" customHeight="1" x14ac:dyDescent="0.25">
      <c r="A108" s="1"/>
      <c r="B108" s="299"/>
      <c r="C108" s="282"/>
      <c r="D108" s="288"/>
      <c r="E108" s="29" t="s">
        <v>114</v>
      </c>
      <c r="F108" s="70">
        <f>'Production tgt'!$H$3</f>
        <v>0</v>
      </c>
      <c r="G108" s="7">
        <f>'Production tgt'!$H$4</f>
        <v>0</v>
      </c>
      <c r="H108" s="7">
        <f>'Production tgt'!$H$5</f>
        <v>0</v>
      </c>
      <c r="I108" s="7">
        <f>'Production tgt'!$H$6</f>
        <v>0</v>
      </c>
      <c r="J108" s="7">
        <f>'Production tgt'!$H$7</f>
        <v>0</v>
      </c>
      <c r="K108" s="7">
        <f>'Production tgt'!$H$8</f>
        <v>0</v>
      </c>
      <c r="L108" s="7">
        <f>'Production tgt'!$H$9</f>
        <v>0</v>
      </c>
      <c r="M108" s="7">
        <f>'Production tgt'!$H$10</f>
        <v>0</v>
      </c>
      <c r="N108" s="7">
        <f>'Production tgt'!$H$11</f>
        <v>0</v>
      </c>
      <c r="O108" s="7">
        <f>'Production tgt'!$H$12</f>
        <v>0</v>
      </c>
      <c r="P108" s="7">
        <f>'Production tgt'!$H$13</f>
        <v>0</v>
      </c>
      <c r="Q108" s="225">
        <f>'Production tgt'!$H$14</f>
        <v>0</v>
      </c>
      <c r="S108" s="273">
        <f>S107+S106</f>
        <v>534</v>
      </c>
      <c r="T108" s="273">
        <f>T107+T106</f>
        <v>773</v>
      </c>
      <c r="U108" s="273">
        <f>U107+U106</f>
        <v>898</v>
      </c>
      <c r="V108" s="273">
        <f>V107+V106</f>
        <v>1979</v>
      </c>
      <c r="W108" s="273">
        <f>W107+W106</f>
        <v>3126</v>
      </c>
      <c r="X108" s="2" t="s">
        <v>131</v>
      </c>
    </row>
    <row r="109" spans="1:24" ht="17.25" hidden="1" customHeight="1" x14ac:dyDescent="0.25">
      <c r="A109" s="1"/>
      <c r="B109" s="299"/>
      <c r="C109" s="289" t="s">
        <v>18</v>
      </c>
      <c r="D109" s="286" t="s">
        <v>52</v>
      </c>
      <c r="E109" s="145" t="s">
        <v>123</v>
      </c>
      <c r="F109" s="177">
        <v>0.28999999999999998</v>
      </c>
      <c r="G109" s="82">
        <v>0.36</v>
      </c>
      <c r="H109" s="82">
        <v>0.33</v>
      </c>
      <c r="I109" s="82">
        <v>0.35</v>
      </c>
      <c r="J109" s="184">
        <v>0.39</v>
      </c>
      <c r="K109" s="184">
        <v>0.52</v>
      </c>
      <c r="L109" s="184">
        <v>0.38</v>
      </c>
      <c r="M109" s="184">
        <v>0.54</v>
      </c>
      <c r="N109" s="184">
        <v>0.38</v>
      </c>
      <c r="O109" s="184">
        <v>0.41</v>
      </c>
      <c r="P109" s="184">
        <v>0.42</v>
      </c>
      <c r="Q109" s="187">
        <v>0.68</v>
      </c>
    </row>
    <row r="110" spans="1:24" ht="17.25" hidden="1" customHeight="1" x14ac:dyDescent="0.25">
      <c r="A110" s="1"/>
      <c r="B110" s="299"/>
      <c r="C110" s="290"/>
      <c r="D110" s="287"/>
      <c r="E110" s="30" t="s">
        <v>115</v>
      </c>
      <c r="F110" s="226">
        <f>Production!$I$3</f>
        <v>0.52</v>
      </c>
      <c r="G110" s="4">
        <f>Production!$I$4</f>
        <v>0.56000000000000005</v>
      </c>
      <c r="H110" s="4">
        <f>Production!$I$5</f>
        <v>0.56999999999999995</v>
      </c>
      <c r="I110" s="4">
        <f>Production!$I$6</f>
        <v>0</v>
      </c>
      <c r="J110" s="44">
        <f>Production!$I$7</f>
        <v>0</v>
      </c>
      <c r="K110" s="44">
        <f>Production!$I$8</f>
        <v>0</v>
      </c>
      <c r="L110" s="44">
        <f>Production!$I$9</f>
        <v>0</v>
      </c>
      <c r="M110" s="44">
        <f>Production!$I$10</f>
        <v>0</v>
      </c>
      <c r="N110" s="44">
        <f>Production!$I$11</f>
        <v>0</v>
      </c>
      <c r="O110" s="44">
        <f>Production!$I$12</f>
        <v>0</v>
      </c>
      <c r="P110" s="44">
        <f>Production!$I$13</f>
        <v>0</v>
      </c>
      <c r="Q110" s="227">
        <f>Production!$I$14</f>
        <v>0</v>
      </c>
    </row>
    <row r="111" spans="1:24" ht="17.25" hidden="1" customHeight="1" thickBot="1" x14ac:dyDescent="0.3">
      <c r="A111" s="1"/>
      <c r="B111" s="300"/>
      <c r="C111" s="318"/>
      <c r="D111" s="319"/>
      <c r="E111" s="138" t="s">
        <v>114</v>
      </c>
      <c r="F111" s="228">
        <f>'Production tgt'!$I$3</f>
        <v>0.56999999999999995</v>
      </c>
      <c r="G111" s="95">
        <f>'Production tgt'!$I$4</f>
        <v>0.56999999999999995</v>
      </c>
      <c r="H111" s="95">
        <f>'Production tgt'!$I$5</f>
        <v>0.56999999999999995</v>
      </c>
      <c r="I111" s="95">
        <f>'Production tgt'!$I$6</f>
        <v>0.56999999999999995</v>
      </c>
      <c r="J111" s="95">
        <f>'Production tgt'!$I$7</f>
        <v>0.56999999999999995</v>
      </c>
      <c r="K111" s="95">
        <f>'Production tgt'!$I$8</f>
        <v>0.56999999999999995</v>
      </c>
      <c r="L111" s="95">
        <f>'Production tgt'!$I$9</f>
        <v>0.56999999999999995</v>
      </c>
      <c r="M111" s="95">
        <f>'Production tgt'!$I$10</f>
        <v>0.56999999999999995</v>
      </c>
      <c r="N111" s="95">
        <f>'Production tgt'!$I$11</f>
        <v>0.56999999999999995</v>
      </c>
      <c r="O111" s="95">
        <f>'Production tgt'!$I$12</f>
        <v>0.56999999999999995</v>
      </c>
      <c r="P111" s="95">
        <f>'Production tgt'!$I$13</f>
        <v>0.56999999999999995</v>
      </c>
      <c r="Q111" s="229">
        <f>'Production tgt'!$I$14</f>
        <v>0.56999999999999995</v>
      </c>
    </row>
    <row r="112" spans="1:24" ht="17.25" hidden="1" customHeight="1" x14ac:dyDescent="0.25">
      <c r="A112" s="12"/>
      <c r="B112" s="291" t="s">
        <v>31</v>
      </c>
      <c r="C112" s="316" t="s">
        <v>72</v>
      </c>
      <c r="D112" s="317" t="s">
        <v>16</v>
      </c>
      <c r="E112" s="141" t="s">
        <v>123</v>
      </c>
      <c r="F112" s="157">
        <v>0.71</v>
      </c>
      <c r="G112" s="151">
        <v>0.72</v>
      </c>
      <c r="H112" s="151">
        <v>0.44</v>
      </c>
      <c r="I112" s="151">
        <v>0.44</v>
      </c>
      <c r="J112" s="151">
        <v>0.48</v>
      </c>
      <c r="K112" s="151">
        <v>0.23</v>
      </c>
      <c r="L112" s="151">
        <v>0.39</v>
      </c>
      <c r="M112" s="151">
        <v>0.44</v>
      </c>
      <c r="N112" s="151">
        <v>0.35</v>
      </c>
      <c r="O112" s="151">
        <v>0.21</v>
      </c>
      <c r="P112" s="151">
        <v>0.43</v>
      </c>
      <c r="Q112" s="220">
        <v>0.14000000000000001</v>
      </c>
    </row>
    <row r="113" spans="1:17" ht="17.25" hidden="1" customHeight="1" x14ac:dyDescent="0.25">
      <c r="A113" s="12"/>
      <c r="B113" s="292"/>
      <c r="C113" s="312"/>
      <c r="D113" s="311"/>
      <c r="E113" s="145" t="s">
        <v>115</v>
      </c>
      <c r="F113" s="69">
        <f>'Supply Chain'!$D$3</f>
        <v>0.25</v>
      </c>
      <c r="G113" s="9">
        <f>'Supply Chain'!$D$4</f>
        <v>0.71</v>
      </c>
      <c r="H113" s="9">
        <f>'Supply Chain'!$D$5</f>
        <v>0.77200000000000002</v>
      </c>
      <c r="I113" s="9">
        <f>'Supply Chain'!$D$6</f>
        <v>0</v>
      </c>
      <c r="J113" s="9">
        <f>'Supply Chain'!$D$7</f>
        <v>0</v>
      </c>
      <c r="K113" s="9">
        <f>'Supply Chain'!$D$8</f>
        <v>0</v>
      </c>
      <c r="L113" s="9">
        <f>'Supply Chain'!$D$9</f>
        <v>0</v>
      </c>
      <c r="M113" s="9">
        <f>'Supply Chain'!$D$10</f>
        <v>0</v>
      </c>
      <c r="N113" s="9">
        <f>'Supply Chain'!$D$11</f>
        <v>0</v>
      </c>
      <c r="O113" s="9">
        <f>'Supply Chain'!$D$12</f>
        <v>0</v>
      </c>
      <c r="P113" s="9">
        <f>'Supply Chain'!$D$13</f>
        <v>0</v>
      </c>
      <c r="Q113" s="207">
        <f>'Supply Chain'!$D$14</f>
        <v>0</v>
      </c>
    </row>
    <row r="114" spans="1:17" ht="17.25" hidden="1" customHeight="1" x14ac:dyDescent="0.25">
      <c r="A114" s="12"/>
      <c r="B114" s="292"/>
      <c r="C114" s="313"/>
      <c r="D114" s="279"/>
      <c r="E114" s="142" t="s">
        <v>114</v>
      </c>
      <c r="F114" s="69">
        <f>'Supply Chain tgt'!$D$3</f>
        <v>0.85</v>
      </c>
      <c r="G114" s="9">
        <f>'Supply Chain tgt'!$D$4</f>
        <v>0.85</v>
      </c>
      <c r="H114" s="9">
        <f>'Supply Chain tgt'!$D$5</f>
        <v>0.85</v>
      </c>
      <c r="I114" s="9">
        <f>'Supply Chain tgt'!$D$6</f>
        <v>0.85</v>
      </c>
      <c r="J114" s="9">
        <f>'Supply Chain tgt'!$D$7</f>
        <v>0.85</v>
      </c>
      <c r="K114" s="9">
        <f>'Supply Chain tgt'!$D$8</f>
        <v>0.85</v>
      </c>
      <c r="L114" s="9">
        <f>'Supply Chain tgt'!$D$9</f>
        <v>0.85</v>
      </c>
      <c r="M114" s="9">
        <f>'Supply Chain tgt'!$D$10</f>
        <v>0.85</v>
      </c>
      <c r="N114" s="9">
        <f>'Supply Chain tgt'!$D$11</f>
        <v>0.85</v>
      </c>
      <c r="O114" s="9">
        <f>'Supply Chain tgt'!$D$12</f>
        <v>0.85</v>
      </c>
      <c r="P114" s="9">
        <f>'Supply Chain tgt'!$D$13</f>
        <v>0.85</v>
      </c>
      <c r="Q114" s="207">
        <f>'Supply Chain tgt'!$D$14</f>
        <v>0.85</v>
      </c>
    </row>
    <row r="115" spans="1:17" ht="17.25" hidden="1" customHeight="1" x14ac:dyDescent="0.25">
      <c r="A115" s="12"/>
      <c r="B115" s="292"/>
      <c r="C115" s="312" t="s">
        <v>32</v>
      </c>
      <c r="D115" s="311" t="s">
        <v>33</v>
      </c>
      <c r="E115" s="145" t="s">
        <v>123</v>
      </c>
      <c r="F115" s="236">
        <v>53.3</v>
      </c>
      <c r="G115" s="230">
        <v>50.4</v>
      </c>
      <c r="H115" s="230">
        <v>41.9</v>
      </c>
      <c r="I115" s="230">
        <v>39.700000000000003</v>
      </c>
      <c r="J115" s="231">
        <v>40.799999999999997</v>
      </c>
      <c r="K115" s="231">
        <v>58.3</v>
      </c>
      <c r="L115" s="231">
        <v>53</v>
      </c>
      <c r="M115" s="231">
        <v>57.7</v>
      </c>
      <c r="N115" s="231">
        <v>48.2</v>
      </c>
      <c r="O115" s="231">
        <v>46</v>
      </c>
      <c r="P115" s="231">
        <v>33.1</v>
      </c>
      <c r="Q115" s="232">
        <v>39.5</v>
      </c>
    </row>
    <row r="116" spans="1:17" ht="17.25" hidden="1" customHeight="1" x14ac:dyDescent="0.25">
      <c r="A116" s="12"/>
      <c r="B116" s="292"/>
      <c r="C116" s="312"/>
      <c r="D116" s="311"/>
      <c r="E116" s="143" t="s">
        <v>115</v>
      </c>
      <c r="F116" s="237">
        <f>'Supply Chain'!$E$3</f>
        <v>37.799999999999997</v>
      </c>
      <c r="G116" s="10">
        <f>'Supply Chain'!$E$4</f>
        <v>39.6</v>
      </c>
      <c r="H116" s="10">
        <f>'Supply Chain'!$E$5</f>
        <v>38</v>
      </c>
      <c r="I116" s="10">
        <f>'Supply Chain'!$E$6</f>
        <v>0</v>
      </c>
      <c r="J116" s="66">
        <f>'Supply Chain'!$E$7</f>
        <v>0</v>
      </c>
      <c r="K116" s="66">
        <f>'Supply Chain'!$E$8</f>
        <v>0</v>
      </c>
      <c r="L116" s="66">
        <f>'Supply Chain'!$E$9</f>
        <v>0</v>
      </c>
      <c r="M116" s="66">
        <f>'Supply Chain'!$E$10</f>
        <v>0</v>
      </c>
      <c r="N116" s="66">
        <f>'Supply Chain'!$E$11</f>
        <v>0</v>
      </c>
      <c r="O116" s="66">
        <f>'Supply Chain'!$E$12</f>
        <v>0</v>
      </c>
      <c r="P116" s="66">
        <f>'Supply Chain'!$E$13</f>
        <v>0</v>
      </c>
      <c r="Q116" s="238">
        <f>'Supply Chain'!$E$14</f>
        <v>0</v>
      </c>
    </row>
    <row r="117" spans="1:17" ht="17.25" hidden="1" customHeight="1" x14ac:dyDescent="0.25">
      <c r="A117" s="12"/>
      <c r="B117" s="292"/>
      <c r="C117" s="313"/>
      <c r="D117" s="279"/>
      <c r="E117" s="144" t="s">
        <v>114</v>
      </c>
      <c r="F117" s="71">
        <f>'Supply Chain tgt'!$E$3</f>
        <v>38.9</v>
      </c>
      <c r="G117" s="22">
        <f>'Supply Chain tgt'!$E$4</f>
        <v>40.5</v>
      </c>
      <c r="H117" s="22">
        <f>'Supply Chain tgt'!$E$5</f>
        <v>42.29</v>
      </c>
      <c r="I117" s="22">
        <f>'Supply Chain tgt'!$E$6</f>
        <v>39.15</v>
      </c>
      <c r="J117" s="22">
        <f>'Supply Chain tgt'!$E$7</f>
        <v>38.479999999999997</v>
      </c>
      <c r="K117" s="22">
        <f>'Supply Chain tgt'!$E$8</f>
        <v>39.51</v>
      </c>
      <c r="L117" s="22">
        <f>'Supply Chain tgt'!$E$9</f>
        <v>39.86</v>
      </c>
      <c r="M117" s="22">
        <f>'Supply Chain tgt'!$E$10</f>
        <v>38.200000000000003</v>
      </c>
      <c r="N117" s="22">
        <f>'Supply Chain tgt'!$E$11</f>
        <v>39.21</v>
      </c>
      <c r="O117" s="22">
        <f>'Supply Chain tgt'!$E$12</f>
        <v>35.57</v>
      </c>
      <c r="P117" s="22">
        <f>'Supply Chain tgt'!$E$13</f>
        <v>34.75</v>
      </c>
      <c r="Q117" s="210">
        <f>'Supply Chain tgt'!$E$14</f>
        <v>33.46</v>
      </c>
    </row>
    <row r="118" spans="1:17" ht="17.25" hidden="1" customHeight="1" x14ac:dyDescent="0.25">
      <c r="A118" s="12"/>
      <c r="B118" s="292"/>
      <c r="C118" s="312" t="s">
        <v>56</v>
      </c>
      <c r="D118" s="311" t="s">
        <v>16</v>
      </c>
      <c r="E118" s="145" t="s">
        <v>123</v>
      </c>
      <c r="F118" s="239">
        <v>0.04</v>
      </c>
      <c r="G118" s="233">
        <v>0.04</v>
      </c>
      <c r="H118" s="233">
        <v>0.23</v>
      </c>
      <c r="I118" s="233">
        <v>0.01</v>
      </c>
      <c r="J118" s="234">
        <v>0.02</v>
      </c>
      <c r="K118" s="234">
        <v>0.04</v>
      </c>
      <c r="L118" s="234">
        <v>0.04</v>
      </c>
      <c r="M118" s="234">
        <v>0.04</v>
      </c>
      <c r="N118" s="234">
        <v>0.05</v>
      </c>
      <c r="O118" s="234">
        <v>0.09</v>
      </c>
      <c r="P118" s="234">
        <v>0.05</v>
      </c>
      <c r="Q118" s="235">
        <v>0.03</v>
      </c>
    </row>
    <row r="119" spans="1:17" ht="17.25" hidden="1" customHeight="1" x14ac:dyDescent="0.25">
      <c r="A119" s="12"/>
      <c r="B119" s="292"/>
      <c r="C119" s="312"/>
      <c r="D119" s="311"/>
      <c r="E119" s="145" t="s">
        <v>115</v>
      </c>
      <c r="F119" s="240">
        <f>'Supply Chain'!$F$3</f>
        <v>0.11</v>
      </c>
      <c r="G119" s="24">
        <f>'Supply Chain'!$F$4</f>
        <v>0.03</v>
      </c>
      <c r="H119" s="24">
        <f>'Supply Chain'!$F$5</f>
        <v>0.03</v>
      </c>
      <c r="I119" s="24">
        <f>'Supply Chain'!$F$6</f>
        <v>0</v>
      </c>
      <c r="J119" s="25">
        <f>'Supply Chain'!$F$7</f>
        <v>0</v>
      </c>
      <c r="K119" s="25">
        <f>'Supply Chain'!$F$8</f>
        <v>0</v>
      </c>
      <c r="L119" s="25">
        <f>'Supply Chain'!$F$9</f>
        <v>0</v>
      </c>
      <c r="M119" s="25">
        <f>'Supply Chain'!$F$10</f>
        <v>0</v>
      </c>
      <c r="N119" s="25">
        <f>'Supply Chain'!$F$11</f>
        <v>0</v>
      </c>
      <c r="O119" s="25">
        <f>'Supply Chain'!$F$12</f>
        <v>0</v>
      </c>
      <c r="P119" s="25">
        <f>'Supply Chain'!$F$13</f>
        <v>0</v>
      </c>
      <c r="Q119" s="241">
        <f>'Supply Chain'!$F$14</f>
        <v>0</v>
      </c>
    </row>
    <row r="120" spans="1:17" ht="17.25" hidden="1" customHeight="1" thickBot="1" x14ac:dyDescent="0.3">
      <c r="A120" s="12"/>
      <c r="B120" s="293"/>
      <c r="C120" s="284"/>
      <c r="D120" s="285"/>
      <c r="E120" s="146" t="s">
        <v>114</v>
      </c>
      <c r="F120" s="242">
        <f>'Supply Chain tgt'!$F$3</f>
        <v>0.04</v>
      </c>
      <c r="G120" s="243">
        <f>'Supply Chain tgt'!$F$4</f>
        <v>0.04</v>
      </c>
      <c r="H120" s="243">
        <f>'Supply Chain tgt'!$F$5</f>
        <v>0.04</v>
      </c>
      <c r="I120" s="243">
        <f>'Supply Chain tgt'!$F$6</f>
        <v>0.04</v>
      </c>
      <c r="J120" s="243">
        <f>'Supply Chain tgt'!$F$7</f>
        <v>0.04</v>
      </c>
      <c r="K120" s="243">
        <f>'Supply Chain tgt'!$F$8</f>
        <v>0.04</v>
      </c>
      <c r="L120" s="243">
        <f>'Supply Chain tgt'!$F$9</f>
        <v>0.04</v>
      </c>
      <c r="M120" s="243">
        <f>'Supply Chain tgt'!$F$10</f>
        <v>0.04</v>
      </c>
      <c r="N120" s="243">
        <f>'Supply Chain tgt'!$F$11</f>
        <v>0.04</v>
      </c>
      <c r="O120" s="243">
        <f>'Supply Chain tgt'!$F$12</f>
        <v>0.04</v>
      </c>
      <c r="P120" s="243">
        <f>'Supply Chain tgt'!$F$13</f>
        <v>0.04</v>
      </c>
      <c r="Q120" s="244">
        <f>'Supply Chain tgt'!$F$14</f>
        <v>0.04</v>
      </c>
    </row>
    <row r="121" spans="1:17" ht="15" hidden="1" customHeight="1" x14ac:dyDescent="0.25">
      <c r="A121" s="12"/>
      <c r="B121" s="308" t="s">
        <v>80</v>
      </c>
      <c r="C121" s="139" t="s">
        <v>61</v>
      </c>
      <c r="D121" s="121" t="s">
        <v>12</v>
      </c>
      <c r="E121" s="140" t="s">
        <v>115</v>
      </c>
      <c r="F121" s="105">
        <v>97611</v>
      </c>
      <c r="G121" s="106">
        <v>106294</v>
      </c>
      <c r="H121" s="106">
        <v>107376</v>
      </c>
      <c r="I121" s="106"/>
      <c r="J121" s="106"/>
      <c r="K121" s="106"/>
      <c r="L121" s="106"/>
      <c r="M121" s="63"/>
      <c r="N121" s="63"/>
      <c r="O121" s="63"/>
      <c r="P121" s="63"/>
      <c r="Q121" s="245"/>
    </row>
    <row r="122" spans="1:17" ht="15.75" hidden="1" x14ac:dyDescent="0.25">
      <c r="A122" s="1"/>
      <c r="B122" s="309"/>
      <c r="C122" s="28" t="s">
        <v>64</v>
      </c>
      <c r="D122" s="26" t="s">
        <v>60</v>
      </c>
      <c r="E122" s="61" t="s">
        <v>115</v>
      </c>
      <c r="F122" s="107">
        <v>76625.600000000006</v>
      </c>
      <c r="G122" s="108">
        <v>77534.8</v>
      </c>
      <c r="H122" s="108">
        <v>79206.5</v>
      </c>
      <c r="I122" s="108"/>
      <c r="J122" s="108"/>
      <c r="K122" s="108"/>
      <c r="L122" s="108"/>
      <c r="M122" s="36"/>
      <c r="N122" s="36"/>
      <c r="O122" s="36"/>
      <c r="P122" s="36"/>
      <c r="Q122" s="246"/>
    </row>
    <row r="123" spans="1:17" ht="15.75" hidden="1" x14ac:dyDescent="0.25">
      <c r="A123" s="1"/>
      <c r="B123" s="309"/>
      <c r="C123" s="28" t="s">
        <v>62</v>
      </c>
      <c r="D123" s="26" t="s">
        <v>60</v>
      </c>
      <c r="E123" s="61" t="s">
        <v>115</v>
      </c>
      <c r="F123" s="107">
        <v>70861.100000000006</v>
      </c>
      <c r="G123" s="108">
        <v>71924.2</v>
      </c>
      <c r="H123" s="108">
        <v>73775.899999999994</v>
      </c>
      <c r="I123" s="108"/>
      <c r="J123" s="108"/>
      <c r="K123" s="108"/>
      <c r="L123" s="108"/>
      <c r="M123" s="36"/>
      <c r="N123" s="36"/>
      <c r="O123" s="36"/>
      <c r="P123" s="36"/>
      <c r="Q123" s="246"/>
    </row>
    <row r="124" spans="1:17" ht="16.5" hidden="1" thickBot="1" x14ac:dyDescent="0.3">
      <c r="A124" s="1"/>
      <c r="B124" s="310"/>
      <c r="C124" s="42" t="s">
        <v>63</v>
      </c>
      <c r="D124" s="27" t="s">
        <v>12</v>
      </c>
      <c r="E124" s="62" t="s">
        <v>115</v>
      </c>
      <c r="F124" s="109">
        <v>421.6</v>
      </c>
      <c r="G124" s="110">
        <v>425.5</v>
      </c>
      <c r="H124" s="110">
        <v>449.9</v>
      </c>
      <c r="I124" s="110"/>
      <c r="J124" s="110"/>
      <c r="K124" s="110"/>
      <c r="L124" s="110"/>
      <c r="M124" s="41"/>
      <c r="N124" s="41"/>
      <c r="O124" s="41"/>
      <c r="P124" s="41"/>
      <c r="Q124" s="247"/>
    </row>
    <row r="125" spans="1:17" x14ac:dyDescent="0.25">
      <c r="A125" s="1"/>
      <c r="B125" s="13"/>
      <c r="C125" s="14"/>
      <c r="D125" s="15"/>
      <c r="E125" s="16"/>
      <c r="F125" s="16"/>
      <c r="G125" s="16"/>
      <c r="H125" s="16"/>
      <c r="I125" s="16"/>
      <c r="J125" s="16"/>
      <c r="K125" s="16"/>
      <c r="L125" s="17"/>
      <c r="M125" s="1"/>
      <c r="N125" s="1"/>
      <c r="O125" s="1"/>
      <c r="P125" s="1"/>
      <c r="Q125" s="1"/>
    </row>
    <row r="128" spans="1:17" ht="15" hidden="1" customHeight="1" thickBot="1" x14ac:dyDescent="0.3"/>
    <row r="129" spans="2:17" ht="15" hidden="1" customHeight="1" x14ac:dyDescent="0.25">
      <c r="B129" s="320" t="s">
        <v>49</v>
      </c>
      <c r="C129" s="321"/>
      <c r="D129" s="321"/>
      <c r="E129" s="322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3"/>
    </row>
    <row r="130" spans="2:17" ht="15" hidden="1" customHeight="1" x14ac:dyDescent="0.25">
      <c r="B130" s="324" t="s">
        <v>0</v>
      </c>
      <c r="C130" s="325"/>
      <c r="D130" s="37" t="s">
        <v>1</v>
      </c>
      <c r="E130" s="38" t="s">
        <v>2</v>
      </c>
      <c r="F130" s="31" t="s">
        <v>3</v>
      </c>
      <c r="G130" s="31" t="s">
        <v>4</v>
      </c>
      <c r="H130" s="31" t="s">
        <v>5</v>
      </c>
      <c r="I130" s="31" t="s">
        <v>6</v>
      </c>
      <c r="J130" s="31" t="s">
        <v>5</v>
      </c>
      <c r="K130" s="31" t="s">
        <v>3</v>
      </c>
      <c r="L130" s="31" t="s">
        <v>3</v>
      </c>
      <c r="M130" s="31" t="s">
        <v>6</v>
      </c>
      <c r="N130" s="31" t="s">
        <v>7</v>
      </c>
      <c r="O130" s="31" t="s">
        <v>8</v>
      </c>
      <c r="P130" s="31" t="s">
        <v>9</v>
      </c>
      <c r="Q130" s="167" t="s">
        <v>10</v>
      </c>
    </row>
    <row r="131" spans="2:17" ht="15" hidden="1" customHeight="1" x14ac:dyDescent="0.25">
      <c r="B131" s="326" t="s">
        <v>20</v>
      </c>
      <c r="C131" s="32" t="s">
        <v>73</v>
      </c>
      <c r="D131" s="278" t="s">
        <v>12</v>
      </c>
      <c r="E131" s="190" t="s">
        <v>123</v>
      </c>
      <c r="F131" s="159">
        <v>125</v>
      </c>
      <c r="G131" s="79">
        <v>128</v>
      </c>
      <c r="H131" s="79">
        <v>138</v>
      </c>
      <c r="I131" s="79">
        <v>170</v>
      </c>
      <c r="J131" s="79">
        <v>189</v>
      </c>
      <c r="K131" s="79">
        <v>281</v>
      </c>
      <c r="L131" s="79">
        <v>245</v>
      </c>
      <c r="M131" s="79">
        <v>240</v>
      </c>
      <c r="N131" s="79">
        <v>248</v>
      </c>
      <c r="O131" s="79">
        <v>310</v>
      </c>
      <c r="P131" s="79">
        <v>310</v>
      </c>
      <c r="Q131" s="88">
        <v>280</v>
      </c>
    </row>
    <row r="132" spans="2:17" ht="15" hidden="1" customHeight="1" x14ac:dyDescent="0.25">
      <c r="B132" s="327"/>
      <c r="C132" s="33"/>
      <c r="D132" s="278"/>
      <c r="E132" s="6" t="s">
        <v>115</v>
      </c>
      <c r="F132" s="7">
        <f t="shared" ref="F132:Q132" si="6">F70</f>
        <v>294</v>
      </c>
      <c r="G132" s="7">
        <f t="shared" si="6"/>
        <v>300</v>
      </c>
      <c r="H132" s="7">
        <f t="shared" si="6"/>
        <v>325</v>
      </c>
      <c r="I132" s="7">
        <f t="shared" si="6"/>
        <v>265</v>
      </c>
      <c r="J132" s="7">
        <f t="shared" si="6"/>
        <v>0</v>
      </c>
      <c r="K132" s="7">
        <f t="shared" si="6"/>
        <v>0</v>
      </c>
      <c r="L132" s="7">
        <f t="shared" si="6"/>
        <v>0</v>
      </c>
      <c r="M132" s="7">
        <f t="shared" si="6"/>
        <v>0</v>
      </c>
      <c r="N132" s="7">
        <f t="shared" si="6"/>
        <v>0</v>
      </c>
      <c r="O132" s="7">
        <f t="shared" si="6"/>
        <v>0</v>
      </c>
      <c r="P132" s="7">
        <f t="shared" si="6"/>
        <v>0</v>
      </c>
      <c r="Q132" s="168">
        <f t="shared" si="6"/>
        <v>0</v>
      </c>
    </row>
    <row r="133" spans="2:17" ht="15" hidden="1" customHeight="1" x14ac:dyDescent="0.25">
      <c r="B133" s="327"/>
      <c r="C133" s="33" t="s">
        <v>74</v>
      </c>
      <c r="D133" s="279"/>
      <c r="E133" s="5" t="s">
        <v>114</v>
      </c>
      <c r="F133" s="7">
        <f>F71</f>
        <v>286</v>
      </c>
      <c r="G133" s="7">
        <f t="shared" ref="G133:Q133" si="7">G71</f>
        <v>317</v>
      </c>
      <c r="H133" s="7">
        <f t="shared" si="7"/>
        <v>317</v>
      </c>
      <c r="I133" s="7">
        <f t="shared" si="7"/>
        <v>258</v>
      </c>
      <c r="J133" s="7">
        <f t="shared" si="7"/>
        <v>258</v>
      </c>
      <c r="K133" s="7">
        <f t="shared" si="7"/>
        <v>258</v>
      </c>
      <c r="L133" s="7">
        <f t="shared" si="7"/>
        <v>258</v>
      </c>
      <c r="M133" s="7">
        <f t="shared" si="7"/>
        <v>258</v>
      </c>
      <c r="N133" s="7">
        <f t="shared" si="7"/>
        <v>295</v>
      </c>
      <c r="O133" s="7">
        <f t="shared" si="7"/>
        <v>295</v>
      </c>
      <c r="P133" s="7">
        <f t="shared" si="7"/>
        <v>343</v>
      </c>
      <c r="Q133" s="168">
        <f t="shared" si="7"/>
        <v>343</v>
      </c>
    </row>
    <row r="134" spans="2:17" ht="15" hidden="1" customHeight="1" x14ac:dyDescent="0.25">
      <c r="B134" s="327"/>
      <c r="C134" s="34" t="s">
        <v>75</v>
      </c>
      <c r="D134" s="314" t="s">
        <v>76</v>
      </c>
      <c r="E134" s="31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169"/>
    </row>
    <row r="135" spans="2:17" ht="15" hidden="1" customHeight="1" x14ac:dyDescent="0.25">
      <c r="B135" s="327"/>
      <c r="C135" s="33"/>
      <c r="D135" s="314" t="s">
        <v>77</v>
      </c>
      <c r="E135" s="31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169"/>
    </row>
    <row r="136" spans="2:17" ht="15" hidden="1" customHeight="1" x14ac:dyDescent="0.25">
      <c r="B136" s="327"/>
      <c r="C136" s="33"/>
      <c r="D136" s="314" t="s">
        <v>78</v>
      </c>
      <c r="E136" s="31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169"/>
    </row>
    <row r="137" spans="2:17" ht="15" hidden="1" customHeight="1" thickBot="1" x14ac:dyDescent="0.3">
      <c r="B137" s="328"/>
      <c r="C137" s="39"/>
      <c r="D137" s="329" t="s">
        <v>79</v>
      </c>
      <c r="E137" s="33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1"/>
      <c r="Q137" s="170"/>
    </row>
    <row r="138" spans="2:17" ht="15" hidden="1" customHeight="1" x14ac:dyDescent="0.25"/>
    <row r="139" spans="2:17" ht="15" hidden="1" customHeight="1" x14ac:dyDescent="0.25"/>
    <row r="140" spans="2:17" ht="15" hidden="1" customHeight="1" x14ac:dyDescent="0.25"/>
    <row r="141" spans="2:17" ht="15" hidden="1" customHeight="1" x14ac:dyDescent="0.25"/>
  </sheetData>
  <mergeCells count="94">
    <mergeCell ref="B1:Q1"/>
    <mergeCell ref="B2:C2"/>
    <mergeCell ref="C15:C17"/>
    <mergeCell ref="D15:D17"/>
    <mergeCell ref="C9:C11"/>
    <mergeCell ref="D9:D11"/>
    <mergeCell ref="C12:C14"/>
    <mergeCell ref="B3:B26"/>
    <mergeCell ref="C3:C5"/>
    <mergeCell ref="D3:D5"/>
    <mergeCell ref="C6:C8"/>
    <mergeCell ref="D6:D8"/>
    <mergeCell ref="D12:D14"/>
    <mergeCell ref="C18:C20"/>
    <mergeCell ref="D18:D20"/>
    <mergeCell ref="C21:C23"/>
    <mergeCell ref="D21:D23"/>
    <mergeCell ref="C24:C26"/>
    <mergeCell ref="D24:D26"/>
    <mergeCell ref="D36:D38"/>
    <mergeCell ref="C30:C32"/>
    <mergeCell ref="D30:D32"/>
    <mergeCell ref="C33:C35"/>
    <mergeCell ref="D33:D35"/>
    <mergeCell ref="C69:C71"/>
    <mergeCell ref="C66:C68"/>
    <mergeCell ref="D48:D50"/>
    <mergeCell ref="C45:C47"/>
    <mergeCell ref="D51:D53"/>
    <mergeCell ref="C54:C56"/>
    <mergeCell ref="C51:C53"/>
    <mergeCell ref="D66:D68"/>
    <mergeCell ref="C57:C59"/>
    <mergeCell ref="D57:D59"/>
    <mergeCell ref="D60:D62"/>
    <mergeCell ref="C60:C62"/>
    <mergeCell ref="C63:C65"/>
    <mergeCell ref="D69:D71"/>
    <mergeCell ref="C73:C75"/>
    <mergeCell ref="D73:D75"/>
    <mergeCell ref="C76:C78"/>
    <mergeCell ref="D76:D78"/>
    <mergeCell ref="C79:C81"/>
    <mergeCell ref="D134:E134"/>
    <mergeCell ref="D135:E135"/>
    <mergeCell ref="C100:C102"/>
    <mergeCell ref="D100:D102"/>
    <mergeCell ref="C106:C108"/>
    <mergeCell ref="D131:D133"/>
    <mergeCell ref="C112:C114"/>
    <mergeCell ref="D112:D114"/>
    <mergeCell ref="C109:C111"/>
    <mergeCell ref="D109:D111"/>
    <mergeCell ref="B129:Q129"/>
    <mergeCell ref="B130:C130"/>
    <mergeCell ref="B112:B120"/>
    <mergeCell ref="B131:B137"/>
    <mergeCell ref="D136:E136"/>
    <mergeCell ref="D137:E137"/>
    <mergeCell ref="B121:B124"/>
    <mergeCell ref="D118:D120"/>
    <mergeCell ref="C118:C120"/>
    <mergeCell ref="C115:C117"/>
    <mergeCell ref="D115:D117"/>
    <mergeCell ref="B85:B111"/>
    <mergeCell ref="D94:D96"/>
    <mergeCell ref="C97:C99"/>
    <mergeCell ref="D97:D99"/>
    <mergeCell ref="D91:D93"/>
    <mergeCell ref="C85:C87"/>
    <mergeCell ref="C91:C93"/>
    <mergeCell ref="C94:C96"/>
    <mergeCell ref="D106:D108"/>
    <mergeCell ref="C103:C105"/>
    <mergeCell ref="D103:D105"/>
    <mergeCell ref="C88:C90"/>
    <mergeCell ref="D88:D90"/>
    <mergeCell ref="D85:D87"/>
    <mergeCell ref="X69:X70"/>
    <mergeCell ref="B60:B84"/>
    <mergeCell ref="D63:D65"/>
    <mergeCell ref="C36:C38"/>
    <mergeCell ref="C82:C84"/>
    <mergeCell ref="D79:D81"/>
    <mergeCell ref="D82:D84"/>
    <mergeCell ref="D45:D47"/>
    <mergeCell ref="C48:C50"/>
    <mergeCell ref="B27:B59"/>
    <mergeCell ref="D39:D41"/>
    <mergeCell ref="C42:C44"/>
    <mergeCell ref="D42:D44"/>
    <mergeCell ref="C27:C29"/>
    <mergeCell ref="D27:D29"/>
    <mergeCell ref="C39:C41"/>
  </mergeCells>
  <phoneticPr fontId="13" type="noConversion"/>
  <conditionalFormatting sqref="F31">
    <cfRule type="expression" dxfId="77" priority="461" stopIfTrue="1">
      <formula>OR(ISBLANK(F31),ISBLANK(F32))</formula>
    </cfRule>
    <cfRule type="expression" dxfId="76" priority="462">
      <formula>F31&gt;=F32</formula>
    </cfRule>
  </conditionalFormatting>
  <conditionalFormatting sqref="F4:Q4">
    <cfRule type="expression" dxfId="75" priority="407" stopIfTrue="1">
      <formula>OR(ISBLANK(F4),ISBLANK(F5))</formula>
    </cfRule>
    <cfRule type="expression" dxfId="74" priority="414">
      <formula>AND(F4&gt;F5,F4&lt;=(F5*1.3))</formula>
    </cfRule>
    <cfRule type="expression" dxfId="73" priority="421">
      <formula>F4&gt;F5*1.3</formula>
    </cfRule>
    <cfRule type="expression" dxfId="72" priority="422">
      <formula>F4&lt;=F5</formula>
    </cfRule>
  </conditionalFormatting>
  <conditionalFormatting sqref="F7:Q7">
    <cfRule type="expression" dxfId="71" priority="9">
      <formula>F7&lt;=F8</formula>
    </cfRule>
    <cfRule type="expression" dxfId="70" priority="10" stopIfTrue="1">
      <formula>OR(ISBLANK(F7),ISBLANK(F8))</formula>
    </cfRule>
    <cfRule type="expression" dxfId="69" priority="11">
      <formula>F7&gt;F8</formula>
    </cfRule>
  </conditionalFormatting>
  <conditionalFormatting sqref="F10:Q10 F13:Q13 F77:Q77">
    <cfRule type="expression" dxfId="68" priority="147">
      <formula>F10&gt;F11</formula>
    </cfRule>
    <cfRule type="expression" dxfId="67" priority="146">
      <formula>OR(ISBLANK(F10),ISBLANK(F11))</formula>
    </cfRule>
    <cfRule type="expression" dxfId="66" priority="148">
      <formula>F10&lt;=F11</formula>
    </cfRule>
  </conditionalFormatting>
  <conditionalFormatting sqref="F16:Q16 F19:Q19 F28:Q28 F31:Q31 F37:Q37 F46:Q46 F49:Q49 F70:Q70 F74:Q74 F116:Q116">
    <cfRule type="expression" dxfId="65" priority="36" stopIfTrue="1">
      <formula>OR(ISBLANK(F16),ISBLANK(F17))</formula>
    </cfRule>
  </conditionalFormatting>
  <conditionalFormatting sqref="F16:Q16 F19:Q19 F46:Q46 F49:Q49 F70:Q70 F74:Q74 F116:Q116">
    <cfRule type="expression" dxfId="64" priority="412">
      <formula>F16&gt;F17</formula>
    </cfRule>
    <cfRule type="expression" dxfId="63" priority="413">
      <formula>F16&lt;=F17</formula>
    </cfRule>
  </conditionalFormatting>
  <conditionalFormatting sqref="F22:Q22 F52:Q52 F55:Q55 F86:Q86">
    <cfRule type="expression" dxfId="62" priority="448">
      <formula>F22&gt;=F23</formula>
    </cfRule>
    <cfRule type="expression" dxfId="61" priority="447" stopIfTrue="1">
      <formula>OR(ISBLANK(F22),ISBLANK(F23))</formula>
    </cfRule>
    <cfRule type="expression" dxfId="60" priority="449">
      <formula>F22&lt;F23</formula>
    </cfRule>
  </conditionalFormatting>
  <conditionalFormatting sqref="F25:Q25 F107:Q107 F110:Q110 F119:Q119 F132:Q132">
    <cfRule type="expression" dxfId="59" priority="450" stopIfTrue="1">
      <formula>OR(ISBLANK(F25),ISBLANK(F26))</formula>
    </cfRule>
    <cfRule type="expression" dxfId="58" priority="451">
      <formula>F25&gt;F26</formula>
    </cfRule>
    <cfRule type="expression" dxfId="57" priority="452">
      <formula>F25&lt;=F26</formula>
    </cfRule>
  </conditionalFormatting>
  <conditionalFormatting sqref="F28:Q28 F31:Q31">
    <cfRule type="expression" dxfId="56" priority="454">
      <formula>F28&lt;=F29</formula>
    </cfRule>
    <cfRule type="expression" dxfId="55" priority="455">
      <formula>AND(F28&lt;=F29*1.1,F28&gt;F29)</formula>
    </cfRule>
    <cfRule type="expression" dxfId="54" priority="456">
      <formula>F28&gt;F29*1.1</formula>
    </cfRule>
    <cfRule type="expression" dxfId="53" priority="457">
      <formula>F28&gt;=F29</formula>
    </cfRule>
  </conditionalFormatting>
  <conditionalFormatting sqref="F34:Q34">
    <cfRule type="expression" dxfId="52" priority="465">
      <formula>AND(F34&lt;=F35*1.1,F34&gt;F35)</formula>
    </cfRule>
    <cfRule type="expression" dxfId="51" priority="466">
      <formula>F34&gt;F35*1.1</formula>
    </cfRule>
    <cfRule type="expression" dxfId="50" priority="467" stopIfTrue="1">
      <formula>OR(ISBLANK(F34),ISBLANK(F35))</formula>
    </cfRule>
    <cfRule type="expression" dxfId="49" priority="468">
      <formula>F34&gt;=F35</formula>
    </cfRule>
    <cfRule type="expression" dxfId="48" priority="463" stopIfTrue="1">
      <formula>OR(ISBLANK(F34),ISBLANK(F35))</formula>
    </cfRule>
    <cfRule type="expression" dxfId="47" priority="464">
      <formula>F34&lt;=F35</formula>
    </cfRule>
  </conditionalFormatting>
  <conditionalFormatting sqref="F37:Q37">
    <cfRule type="expression" dxfId="46" priority="472" stopIfTrue="1">
      <formula>OR(ISBLANK(F37),ISBLANK(F38))</formula>
    </cfRule>
    <cfRule type="expression" dxfId="45" priority="473">
      <formula>F37&lt;=F38</formula>
    </cfRule>
    <cfRule type="expression" dxfId="44" priority="474">
      <formula>AND(F37&lt;=F38*1.1,F37&gt;F38)</formula>
    </cfRule>
    <cfRule type="expression" dxfId="43" priority="475">
      <formula>F37&gt;F38*1.1</formula>
    </cfRule>
    <cfRule type="expression" dxfId="42" priority="469">
      <formula>F37&lt;=F38</formula>
    </cfRule>
    <cfRule type="expression" dxfId="41" priority="470">
      <formula>AND(F37&gt;F38,F37&lt;=(F38*1.005))</formula>
    </cfRule>
    <cfRule type="expression" dxfId="40" priority="471">
      <formula>F37&gt;(F38*1.005)</formula>
    </cfRule>
  </conditionalFormatting>
  <conditionalFormatting sqref="F40:Q40 F43:Q43">
    <cfRule type="expression" dxfId="39" priority="481">
      <formula>F40&lt;=F41</formula>
    </cfRule>
    <cfRule type="expression" dxfId="38" priority="482">
      <formula>AND(F40&gt;F41,F40&lt;=(F41*1.005))</formula>
    </cfRule>
    <cfRule type="expression" dxfId="37" priority="483">
      <formula>F40&gt;(F41*1.005)</formula>
    </cfRule>
    <cfRule type="expression" dxfId="36" priority="484" stopIfTrue="1">
      <formula>OR(ISBLANK(F40),ISBLANK(F41))</formula>
    </cfRule>
    <cfRule type="expression" dxfId="35" priority="485">
      <formula>F40&lt;=F41</formula>
    </cfRule>
    <cfRule type="expression" dxfId="34" priority="486">
      <formula>AND(F40&lt;=F41*1.1,F40&gt;F41)</formula>
    </cfRule>
    <cfRule type="expression" dxfId="33" priority="487">
      <formula>F40&gt;F41*1.1</formula>
    </cfRule>
    <cfRule type="expression" dxfId="32" priority="488" stopIfTrue="1">
      <formula>OR(ISBLANK(F40),ISBLANK(F41))</formula>
    </cfRule>
  </conditionalFormatting>
  <conditionalFormatting sqref="F46:Q46">
    <cfRule type="expression" dxfId="31" priority="490">
      <formula>AND(F46&gt;F47,F46&lt;=(F47*1.005))</formula>
    </cfRule>
    <cfRule type="expression" dxfId="30" priority="491">
      <formula>F46&gt;(F47*1.005)</formula>
    </cfRule>
  </conditionalFormatting>
  <conditionalFormatting sqref="F58:Q58">
    <cfRule type="expression" dxfId="29" priority="493">
      <formula>F58&gt;F59</formula>
    </cfRule>
    <cfRule type="expression" dxfId="28" priority="492" stopIfTrue="1">
      <formula>OR(ISBLANK(F58),ISBLANK(F59))</formula>
    </cfRule>
    <cfRule type="expression" dxfId="27" priority="498" stopIfTrue="1">
      <formula>OR(ISBLANK(F58),ISBLANK(F59))</formula>
    </cfRule>
    <cfRule type="expression" dxfId="26" priority="497">
      <formula>F58&lt;=F59</formula>
    </cfRule>
    <cfRule type="expression" dxfId="25" priority="496">
      <formula>F58&gt;F59</formula>
    </cfRule>
    <cfRule type="expression" dxfId="24" priority="495" stopIfTrue="1">
      <formula>OR(ISBLANK(F58),ISBLANK(F59))</formula>
    </cfRule>
    <cfRule type="expression" dxfId="23" priority="494">
      <formula>F58&lt;=F59</formula>
    </cfRule>
    <cfRule type="expression" dxfId="22" priority="499">
      <formula>F58&gt;F59</formula>
    </cfRule>
    <cfRule type="expression" dxfId="21" priority="500">
      <formula>F58&lt;=F59</formula>
    </cfRule>
  </conditionalFormatting>
  <conditionalFormatting sqref="F61:Q61">
    <cfRule type="expression" dxfId="20" priority="1" stopIfTrue="1">
      <formula>OR(ISBLANK(F61),ISBLANK(F62))</formula>
    </cfRule>
    <cfRule type="expression" dxfId="19" priority="2">
      <formula>F61&lt;=F62</formula>
    </cfRule>
    <cfRule type="expression" dxfId="18" priority="3">
      <formula>AND(F61&lt;=F62*1.1,F61&gt;F62)</formula>
    </cfRule>
    <cfRule type="expression" dxfId="17" priority="4">
      <formula>F61&gt;F62*1.1</formula>
    </cfRule>
  </conditionalFormatting>
  <conditionalFormatting sqref="F64:Q64 F67:Q67 F80:Q80 F83:Q83">
    <cfRule type="expression" dxfId="16" priority="501" stopIfTrue="1">
      <formula>OR(ISBLANK(F64),ISBLANK(F65))</formula>
    </cfRule>
    <cfRule type="expression" dxfId="15" priority="502">
      <formula>F64&lt;=F65</formula>
    </cfRule>
    <cfRule type="expression" dxfId="14" priority="503">
      <formula>AND(F64&lt;=F65*1.1,F64&gt;F65)</formula>
    </cfRule>
    <cfRule type="expression" dxfId="13" priority="504">
      <formula>F64&gt;F65*1.1</formula>
    </cfRule>
  </conditionalFormatting>
  <conditionalFormatting sqref="F89:Q89 F92:Q92 F95:Q95">
    <cfRule type="expression" dxfId="12" priority="505">
      <formula>OR(ISBLANK(F89),ISBLANK(F90))</formula>
    </cfRule>
    <cfRule type="expression" dxfId="11" priority="506">
      <formula>F89&gt;=F90</formula>
    </cfRule>
    <cfRule type="expression" dxfId="10" priority="507">
      <formula>AND(F89&gt;=(F90*0.98),F89&lt;F90)</formula>
    </cfRule>
    <cfRule type="expression" dxfId="9" priority="508">
      <formula>F89&lt;F90*0.98</formula>
    </cfRule>
  </conditionalFormatting>
  <conditionalFormatting sqref="F98:Q98 F101:Q101 F104:Q104 F113:Q113">
    <cfRule type="expression" dxfId="8" priority="509">
      <formula>OR(ISBLANK(F98),ISBLANK(F99))</formula>
    </cfRule>
    <cfRule type="expression" dxfId="7" priority="510">
      <formula>F98&gt;=F99</formula>
    </cfRule>
    <cfRule type="expression" dxfId="6" priority="511">
      <formula>AND(F98&gt;=(F99*0.98),F98&lt;F99)</formula>
    </cfRule>
    <cfRule type="expression" dxfId="5" priority="512">
      <formula>F98&lt;(F99*0.98)</formula>
    </cfRule>
  </conditionalFormatting>
  <conditionalFormatting sqref="O37:Q37 O40:Q40 O43:Q43">
    <cfRule type="expression" dxfId="4" priority="478">
      <formula>O37&gt;O38*1.1</formula>
    </cfRule>
    <cfRule type="expression" dxfId="3" priority="477">
      <formula>AND(O37&lt;=O38*1.1,O37&gt;O38)</formula>
    </cfRule>
    <cfRule type="expression" dxfId="2" priority="476" stopIfTrue="1">
      <formula>OR(ISBLANK(O37),ISBLANK(O38))</formula>
    </cfRule>
    <cfRule type="expression" dxfId="1" priority="480">
      <formula>O37&gt;=O38</formula>
    </cfRule>
    <cfRule type="expression" dxfId="0" priority="479" stopIfTrue="1">
      <formula>OR(ISBLANK(O37),ISBLANK(O38))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zoomScale="85" zoomScaleNormal="85" workbookViewId="0">
      <selection activeCell="H5" sqref="H5:I5"/>
    </sheetView>
  </sheetViews>
  <sheetFormatPr defaultRowHeight="15" x14ac:dyDescent="0.25"/>
  <cols>
    <col min="1" max="1" width="18.5703125" bestFit="1" customWidth="1"/>
    <col min="2" max="2" width="15.42578125" bestFit="1" customWidth="1"/>
    <col min="3" max="3" width="12.140625" bestFit="1" customWidth="1"/>
    <col min="4" max="4" width="22.28515625" bestFit="1" customWidth="1"/>
    <col min="5" max="5" width="16.5703125" bestFit="1" customWidth="1"/>
    <col min="6" max="6" width="26.7109375" bestFit="1" customWidth="1"/>
    <col min="7" max="7" width="14.28515625" bestFit="1" customWidth="1"/>
    <col min="8" max="8" width="28.42578125" bestFit="1" customWidth="1"/>
    <col min="9" max="9" width="19.28515625" bestFit="1" customWidth="1"/>
    <col min="10" max="10" width="76.28515625" bestFit="1" customWidth="1"/>
  </cols>
  <sheetData>
    <row r="1" spans="1:9" x14ac:dyDescent="0.25">
      <c r="A1" t="s">
        <v>34</v>
      </c>
      <c r="B1" t="s">
        <v>35</v>
      </c>
      <c r="C1" t="s">
        <v>36</v>
      </c>
      <c r="D1" t="s">
        <v>88</v>
      </c>
      <c r="E1" t="s">
        <v>89</v>
      </c>
      <c r="F1" t="s">
        <v>13</v>
      </c>
      <c r="G1" t="s">
        <v>37</v>
      </c>
      <c r="H1" t="s">
        <v>38</v>
      </c>
      <c r="I1" t="s">
        <v>96</v>
      </c>
    </row>
    <row r="2" spans="1:9" x14ac:dyDescent="0.25">
      <c r="A2" s="18"/>
      <c r="B2" s="19" t="s">
        <v>12</v>
      </c>
      <c r="C2" s="19" t="s">
        <v>12</v>
      </c>
      <c r="D2" s="19" t="s">
        <v>55</v>
      </c>
      <c r="E2" s="19" t="s">
        <v>93</v>
      </c>
      <c r="F2" s="19" t="s">
        <v>53</v>
      </c>
      <c r="G2" s="19" t="s">
        <v>50</v>
      </c>
      <c r="H2" s="20" t="s">
        <v>16</v>
      </c>
      <c r="I2" s="20" t="s">
        <v>12</v>
      </c>
    </row>
    <row r="3" spans="1:9" x14ac:dyDescent="0.25">
      <c r="A3" s="43">
        <v>46023</v>
      </c>
      <c r="B3" s="118">
        <v>0</v>
      </c>
      <c r="C3" s="48">
        <v>0</v>
      </c>
      <c r="D3" s="49">
        <v>5.29</v>
      </c>
      <c r="E3" s="49">
        <v>2.48</v>
      </c>
      <c r="F3" s="49">
        <v>1.1100000000000001</v>
      </c>
      <c r="G3" s="49">
        <v>3.2</v>
      </c>
      <c r="H3" s="49">
        <v>1</v>
      </c>
      <c r="I3" s="49">
        <v>0</v>
      </c>
    </row>
    <row r="4" spans="1:9" x14ac:dyDescent="0.25">
      <c r="A4" s="43">
        <v>46054</v>
      </c>
      <c r="B4" s="118">
        <v>6.37</v>
      </c>
      <c r="C4" s="48">
        <v>0</v>
      </c>
      <c r="D4" s="49">
        <v>4.7</v>
      </c>
      <c r="E4" s="49">
        <v>2.0699999999999998</v>
      </c>
      <c r="F4" s="49">
        <v>0.93</v>
      </c>
      <c r="G4" s="49">
        <v>3.22</v>
      </c>
      <c r="H4" s="49">
        <v>0.99</v>
      </c>
      <c r="I4" s="49">
        <v>0</v>
      </c>
    </row>
    <row r="5" spans="1:9" x14ac:dyDescent="0.25">
      <c r="A5" s="43">
        <v>46082</v>
      </c>
      <c r="B5" s="118">
        <v>4.2</v>
      </c>
      <c r="C5" s="48">
        <v>0</v>
      </c>
      <c r="D5" s="49">
        <v>4.9400000000000004</v>
      </c>
      <c r="E5" s="49">
        <v>2.14</v>
      </c>
      <c r="F5" s="49">
        <v>0.96</v>
      </c>
      <c r="G5" s="49">
        <v>3.12</v>
      </c>
      <c r="H5" s="49">
        <v>1</v>
      </c>
      <c r="I5" s="49">
        <v>0</v>
      </c>
    </row>
    <row r="6" spans="1:9" x14ac:dyDescent="0.25">
      <c r="A6" s="43">
        <v>46113</v>
      </c>
      <c r="B6" s="118"/>
      <c r="C6" s="48"/>
      <c r="D6" s="49"/>
      <c r="E6" s="49"/>
      <c r="F6" s="49"/>
      <c r="G6" s="49"/>
      <c r="H6" s="49"/>
      <c r="I6" s="49"/>
    </row>
    <row r="7" spans="1:9" x14ac:dyDescent="0.25">
      <c r="A7" s="43">
        <v>46143</v>
      </c>
      <c r="B7" s="118"/>
      <c r="C7" s="48"/>
      <c r="D7" s="49"/>
      <c r="E7" s="51"/>
      <c r="F7" s="51"/>
      <c r="G7" s="51"/>
      <c r="H7" s="49"/>
      <c r="I7" s="49"/>
    </row>
    <row r="8" spans="1:9" x14ac:dyDescent="0.25">
      <c r="A8" s="43">
        <v>46174</v>
      </c>
      <c r="B8" s="118"/>
      <c r="C8" s="48"/>
      <c r="D8" s="55"/>
      <c r="E8" s="55"/>
      <c r="F8" s="51"/>
      <c r="G8" s="51"/>
      <c r="H8" s="49"/>
      <c r="I8" s="49"/>
    </row>
    <row r="9" spans="1:9" x14ac:dyDescent="0.25">
      <c r="A9" s="43">
        <v>46204</v>
      </c>
      <c r="B9" s="118"/>
      <c r="C9" s="48"/>
      <c r="D9" s="57"/>
      <c r="E9" s="57"/>
      <c r="F9" s="51"/>
      <c r="G9" s="51"/>
      <c r="H9" s="49"/>
      <c r="I9" s="49"/>
    </row>
    <row r="10" spans="1:9" x14ac:dyDescent="0.25">
      <c r="A10" s="43">
        <v>46235</v>
      </c>
      <c r="B10" s="118"/>
      <c r="C10" s="48"/>
      <c r="D10" s="51"/>
      <c r="E10" s="57"/>
      <c r="F10" s="57"/>
      <c r="G10" s="51"/>
      <c r="H10" s="49"/>
      <c r="I10" s="49"/>
    </row>
    <row r="11" spans="1:9" x14ac:dyDescent="0.25">
      <c r="A11" s="43">
        <v>46266</v>
      </c>
      <c r="B11" s="119"/>
      <c r="C11" s="50"/>
      <c r="D11" s="57"/>
      <c r="E11" s="57"/>
      <c r="F11" s="51"/>
      <c r="G11" s="51"/>
      <c r="H11" s="51"/>
      <c r="I11" s="51"/>
    </row>
    <row r="12" spans="1:9" x14ac:dyDescent="0.25">
      <c r="A12" s="43">
        <v>46296</v>
      </c>
      <c r="B12" s="119"/>
      <c r="C12" s="50"/>
      <c r="D12" s="57"/>
      <c r="E12" s="57"/>
      <c r="F12" s="51"/>
      <c r="G12" s="51"/>
      <c r="H12" s="51"/>
      <c r="I12" s="51"/>
    </row>
    <row r="13" spans="1:9" x14ac:dyDescent="0.25">
      <c r="A13" s="43">
        <v>46327</v>
      </c>
      <c r="B13" s="119"/>
      <c r="C13" s="50"/>
      <c r="D13" s="57"/>
      <c r="E13" s="57"/>
      <c r="F13" s="51"/>
      <c r="G13" s="51"/>
      <c r="H13" s="51"/>
      <c r="I13" s="51"/>
    </row>
    <row r="14" spans="1:9" x14ac:dyDescent="0.25">
      <c r="A14" s="43">
        <v>46357</v>
      </c>
      <c r="B14" s="119"/>
      <c r="C14" s="50"/>
      <c r="D14" s="57"/>
      <c r="E14" s="57"/>
      <c r="F14" s="51"/>
      <c r="G14" s="51"/>
      <c r="H14" s="51"/>
      <c r="I14" s="5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H5" sqref="H5:I5"/>
    </sheetView>
  </sheetViews>
  <sheetFormatPr defaultRowHeight="15" x14ac:dyDescent="0.25"/>
  <cols>
    <col min="1" max="1" width="18.5703125" bestFit="1" customWidth="1"/>
    <col min="2" max="2" width="14.28515625" bestFit="1" customWidth="1"/>
    <col min="3" max="3" width="11.28515625" bestFit="1" customWidth="1"/>
    <col min="4" max="4" width="21" bestFit="1" customWidth="1"/>
    <col min="5" max="5" width="15.5703125" bestFit="1" customWidth="1"/>
    <col min="6" max="6" width="25" bestFit="1" customWidth="1"/>
    <col min="7" max="7" width="13.140625" bestFit="1" customWidth="1"/>
    <col min="8" max="8" width="16.42578125" bestFit="1" customWidth="1"/>
    <col min="9" max="9" width="18" bestFit="1" customWidth="1"/>
    <col min="10" max="10" width="76.28515625" customWidth="1"/>
  </cols>
  <sheetData>
    <row r="1" spans="1:9" ht="15" customHeight="1" x14ac:dyDescent="0.25">
      <c r="A1" t="s">
        <v>34</v>
      </c>
      <c r="B1" s="75" t="s">
        <v>35</v>
      </c>
      <c r="C1" s="75" t="s">
        <v>36</v>
      </c>
      <c r="D1" s="75" t="s">
        <v>88</v>
      </c>
      <c r="E1" s="75" t="s">
        <v>89</v>
      </c>
      <c r="F1" s="75" t="s">
        <v>13</v>
      </c>
      <c r="G1" s="75" t="s">
        <v>37</v>
      </c>
      <c r="H1" s="75" t="s">
        <v>82</v>
      </c>
      <c r="I1" s="75" t="s">
        <v>96</v>
      </c>
    </row>
    <row r="2" spans="1:9" ht="15.75" customHeight="1" x14ac:dyDescent="0.25">
      <c r="A2" s="18"/>
      <c r="B2" s="19" t="s">
        <v>12</v>
      </c>
      <c r="C2" s="19" t="s">
        <v>12</v>
      </c>
      <c r="D2" s="19" t="s">
        <v>55</v>
      </c>
      <c r="E2" s="19" t="s">
        <v>93</v>
      </c>
      <c r="F2" s="19" t="s">
        <v>53</v>
      </c>
      <c r="G2" s="19" t="s">
        <v>50</v>
      </c>
      <c r="H2" s="19" t="s">
        <v>16</v>
      </c>
      <c r="I2" s="20" t="s">
        <v>12</v>
      </c>
    </row>
    <row r="3" spans="1:9" x14ac:dyDescent="0.25">
      <c r="A3" s="43">
        <v>46023</v>
      </c>
      <c r="B3" s="98">
        <v>0</v>
      </c>
      <c r="C3" s="73">
        <v>0</v>
      </c>
      <c r="D3" s="99">
        <v>6.4</v>
      </c>
      <c r="E3" s="99">
        <v>2.6536999999999997</v>
      </c>
      <c r="F3" s="99">
        <v>1.19</v>
      </c>
      <c r="G3" s="99">
        <v>4</v>
      </c>
      <c r="H3" s="64">
        <v>0.99</v>
      </c>
      <c r="I3" s="92">
        <v>20</v>
      </c>
    </row>
    <row r="4" spans="1:9" x14ac:dyDescent="0.25">
      <c r="A4" s="43">
        <v>46054</v>
      </c>
      <c r="B4" s="98">
        <v>6.01</v>
      </c>
      <c r="C4" s="73">
        <v>0</v>
      </c>
      <c r="D4" s="99">
        <v>6.79</v>
      </c>
      <c r="E4" s="99">
        <v>3.0551000000000004</v>
      </c>
      <c r="F4" s="99">
        <v>1.37</v>
      </c>
      <c r="G4" s="99">
        <v>4</v>
      </c>
      <c r="H4" s="64">
        <v>0.99</v>
      </c>
      <c r="I4" s="92">
        <v>20</v>
      </c>
    </row>
    <row r="5" spans="1:9" x14ac:dyDescent="0.25">
      <c r="A5" s="43">
        <v>46082</v>
      </c>
      <c r="B5" s="98">
        <v>3.96</v>
      </c>
      <c r="C5" s="73">
        <v>0</v>
      </c>
      <c r="D5" s="99">
        <v>7.02</v>
      </c>
      <c r="E5" s="99">
        <v>3.0105</v>
      </c>
      <c r="F5" s="99">
        <v>1.35</v>
      </c>
      <c r="G5" s="99">
        <v>4</v>
      </c>
      <c r="H5" s="64">
        <v>0.99</v>
      </c>
      <c r="I5" s="92">
        <v>20</v>
      </c>
    </row>
    <row r="6" spans="1:9" x14ac:dyDescent="0.25">
      <c r="A6" s="43">
        <v>46113</v>
      </c>
      <c r="B6" s="98">
        <v>3.03</v>
      </c>
      <c r="C6" s="73">
        <v>0</v>
      </c>
      <c r="D6" s="99">
        <v>6.95</v>
      </c>
      <c r="E6" s="99">
        <v>2.8767</v>
      </c>
      <c r="F6" s="99">
        <v>1.29</v>
      </c>
      <c r="G6" s="99">
        <v>4</v>
      </c>
      <c r="H6" s="64">
        <v>0.99</v>
      </c>
      <c r="I6" s="92">
        <v>20</v>
      </c>
    </row>
    <row r="7" spans="1:9" x14ac:dyDescent="0.25">
      <c r="A7" s="43">
        <v>46143</v>
      </c>
      <c r="B7" s="98">
        <v>2.62</v>
      </c>
      <c r="C7" s="73">
        <v>0</v>
      </c>
      <c r="D7" s="99">
        <v>8.0399999999999991</v>
      </c>
      <c r="E7" s="99">
        <v>2.9882</v>
      </c>
      <c r="F7" s="99">
        <v>1.34</v>
      </c>
      <c r="G7" s="99">
        <v>4</v>
      </c>
      <c r="H7" s="64">
        <v>0.99</v>
      </c>
      <c r="I7" s="92">
        <v>20</v>
      </c>
    </row>
    <row r="8" spans="1:9" x14ac:dyDescent="0.25">
      <c r="A8" s="43">
        <v>46174</v>
      </c>
      <c r="B8" s="98">
        <v>4.3099999999999996</v>
      </c>
      <c r="C8" s="73">
        <v>0</v>
      </c>
      <c r="D8" s="99">
        <v>7.19</v>
      </c>
      <c r="E8" s="99">
        <v>2.6982999999999997</v>
      </c>
      <c r="F8" s="99">
        <v>1.21</v>
      </c>
      <c r="G8" s="99">
        <v>4</v>
      </c>
      <c r="H8" s="64">
        <v>0.99</v>
      </c>
      <c r="I8" s="92">
        <v>20</v>
      </c>
    </row>
    <row r="9" spans="1:9" x14ac:dyDescent="0.25">
      <c r="A9" s="43">
        <v>46204</v>
      </c>
      <c r="B9" s="98">
        <v>3.8</v>
      </c>
      <c r="C9" s="73">
        <v>0</v>
      </c>
      <c r="D9" s="99">
        <v>8.4700000000000006</v>
      </c>
      <c r="E9" s="99">
        <v>2.7652000000000001</v>
      </c>
      <c r="F9" s="99">
        <v>1.24</v>
      </c>
      <c r="G9" s="99">
        <v>4</v>
      </c>
      <c r="H9" s="64">
        <v>0.99</v>
      </c>
      <c r="I9" s="92">
        <v>20</v>
      </c>
    </row>
    <row r="10" spans="1:9" x14ac:dyDescent="0.25">
      <c r="A10" s="43">
        <v>46235</v>
      </c>
      <c r="B10" s="98">
        <v>3.41</v>
      </c>
      <c r="C10" s="73">
        <v>0</v>
      </c>
      <c r="D10" s="99">
        <v>7.97</v>
      </c>
      <c r="E10" s="99">
        <v>2.7875000000000001</v>
      </c>
      <c r="F10" s="99">
        <v>1.25</v>
      </c>
      <c r="G10" s="99">
        <v>4</v>
      </c>
      <c r="H10" s="64">
        <v>0.99</v>
      </c>
      <c r="I10" s="92">
        <v>20</v>
      </c>
    </row>
    <row r="11" spans="1:9" x14ac:dyDescent="0.25">
      <c r="A11" s="43">
        <v>46266</v>
      </c>
      <c r="B11" s="98">
        <v>4.4400000000000004</v>
      </c>
      <c r="C11" s="73">
        <v>0</v>
      </c>
      <c r="D11" s="99">
        <v>7.17</v>
      </c>
      <c r="E11" s="99">
        <v>2.6536999999999997</v>
      </c>
      <c r="F11" s="99">
        <v>1.19</v>
      </c>
      <c r="G11" s="99">
        <v>4</v>
      </c>
      <c r="H11" s="64">
        <v>0.99</v>
      </c>
      <c r="I11" s="92">
        <v>20</v>
      </c>
    </row>
    <row r="12" spans="1:9" x14ac:dyDescent="0.25">
      <c r="A12" s="43">
        <v>46296</v>
      </c>
      <c r="B12" s="98">
        <v>3.96</v>
      </c>
      <c r="C12" s="73">
        <v>0</v>
      </c>
      <c r="D12" s="99">
        <v>6.98</v>
      </c>
      <c r="E12" s="99">
        <v>2.9436</v>
      </c>
      <c r="F12" s="99">
        <v>1.32</v>
      </c>
      <c r="G12" s="99">
        <v>4</v>
      </c>
      <c r="H12" s="64">
        <v>0.99</v>
      </c>
      <c r="I12" s="92">
        <v>20</v>
      </c>
    </row>
    <row r="13" spans="1:9" x14ac:dyDescent="0.25">
      <c r="A13" s="43">
        <v>46327</v>
      </c>
      <c r="B13" s="98">
        <v>3.51</v>
      </c>
      <c r="C13" s="73">
        <v>0</v>
      </c>
      <c r="D13" s="99">
        <v>6.78</v>
      </c>
      <c r="E13" s="99">
        <v>2.8767</v>
      </c>
      <c r="F13" s="99">
        <v>1.29</v>
      </c>
      <c r="G13" s="99">
        <v>4</v>
      </c>
      <c r="H13" s="64">
        <v>0.99</v>
      </c>
      <c r="I13" s="92">
        <v>20</v>
      </c>
    </row>
    <row r="14" spans="1:9" x14ac:dyDescent="0.25">
      <c r="A14" s="43">
        <v>46357</v>
      </c>
      <c r="B14" s="98">
        <v>3.27</v>
      </c>
      <c r="C14" s="73">
        <v>0</v>
      </c>
      <c r="D14" s="99">
        <v>7.48</v>
      </c>
      <c r="E14" s="99">
        <v>3.2111999999999998</v>
      </c>
      <c r="F14" s="99">
        <v>1.44</v>
      </c>
      <c r="G14" s="99">
        <v>4</v>
      </c>
      <c r="H14" s="64">
        <v>0.99</v>
      </c>
      <c r="I14" s="92">
        <v>20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"/>
  <sheetViews>
    <sheetView workbookViewId="0">
      <selection activeCell="H5" sqref="H5:I5"/>
    </sheetView>
  </sheetViews>
  <sheetFormatPr defaultRowHeight="15" x14ac:dyDescent="0.25"/>
  <cols>
    <col min="1" max="1" width="18.5703125" bestFit="1" customWidth="1"/>
    <col min="2" max="3" width="17.28515625" hidden="1" customWidth="1"/>
    <col min="4" max="4" width="18.85546875" bestFit="1" customWidth="1"/>
    <col min="5" max="6" width="17.7109375" customWidth="1"/>
    <col min="7" max="7" width="14.7109375" customWidth="1"/>
    <col min="8" max="8" width="12.85546875" customWidth="1"/>
    <col min="9" max="9" width="16.42578125" customWidth="1"/>
    <col min="10" max="10" width="18.42578125" customWidth="1"/>
    <col min="11" max="11" width="6.7109375" bestFit="1" customWidth="1"/>
    <col min="12" max="12" width="6.85546875" hidden="1" customWidth="1"/>
    <col min="13" max="13" width="18.85546875" customWidth="1"/>
    <col min="14" max="14" width="15.28515625" customWidth="1"/>
    <col min="15" max="15" width="6.85546875" hidden="1" customWidth="1"/>
    <col min="16" max="16" width="10.140625" bestFit="1" customWidth="1"/>
  </cols>
  <sheetData>
    <row r="1" spans="1:22" ht="45" x14ac:dyDescent="0.25">
      <c r="A1" t="s">
        <v>34</v>
      </c>
      <c r="B1" s="97" t="s">
        <v>99</v>
      </c>
      <c r="C1" s="97" t="s">
        <v>100</v>
      </c>
      <c r="D1" s="97" t="s">
        <v>101</v>
      </c>
      <c r="E1" s="97" t="s">
        <v>104</v>
      </c>
      <c r="F1" s="97" t="s">
        <v>105</v>
      </c>
      <c r="G1" s="97" t="s">
        <v>106</v>
      </c>
      <c r="H1" s="97" t="s">
        <v>107</v>
      </c>
      <c r="I1" s="97" t="s">
        <v>108</v>
      </c>
      <c r="J1" s="97" t="s">
        <v>91</v>
      </c>
      <c r="K1" t="s">
        <v>92</v>
      </c>
      <c r="L1" t="s">
        <v>66</v>
      </c>
      <c r="M1" s="97" t="s">
        <v>109</v>
      </c>
      <c r="N1" s="97" t="s">
        <v>110</v>
      </c>
      <c r="O1" t="s">
        <v>65</v>
      </c>
      <c r="P1" t="s">
        <v>68</v>
      </c>
    </row>
    <row r="2" spans="1:22" x14ac:dyDescent="0.25">
      <c r="A2" s="18"/>
      <c r="B2" s="23" t="s">
        <v>16</v>
      </c>
      <c r="C2" s="23" t="s">
        <v>16</v>
      </c>
      <c r="D2" s="23" t="s">
        <v>16</v>
      </c>
      <c r="E2" s="23" t="s">
        <v>16</v>
      </c>
      <c r="F2" s="23" t="s">
        <v>16</v>
      </c>
      <c r="G2" s="23" t="s">
        <v>17</v>
      </c>
      <c r="H2" s="23" t="s">
        <v>17</v>
      </c>
      <c r="I2" s="23" t="s">
        <v>17</v>
      </c>
      <c r="J2" s="53" t="s">
        <v>17</v>
      </c>
      <c r="K2" s="53" t="s">
        <v>17</v>
      </c>
      <c r="L2" s="53" t="s">
        <v>16</v>
      </c>
      <c r="M2" s="53" t="s">
        <v>16</v>
      </c>
      <c r="N2" s="53" t="s">
        <v>16</v>
      </c>
      <c r="O2" s="100" t="s">
        <v>16</v>
      </c>
      <c r="P2" s="53" t="s">
        <v>17</v>
      </c>
      <c r="S2">
        <v>0.39500000000000002</v>
      </c>
      <c r="T2">
        <v>0.39200000000000002</v>
      </c>
      <c r="U2">
        <v>0.39200000000000002</v>
      </c>
      <c r="V2">
        <v>0.26900000000000002</v>
      </c>
    </row>
    <row r="3" spans="1:22" x14ac:dyDescent="0.25">
      <c r="A3" s="43">
        <v>46023</v>
      </c>
      <c r="B3" s="124"/>
      <c r="C3" s="124"/>
      <c r="D3" s="100">
        <v>2.1000000000000001E-2</v>
      </c>
      <c r="E3" s="100">
        <v>9.8000000000000004E-2</v>
      </c>
      <c r="F3" s="100">
        <v>2.7E-2</v>
      </c>
      <c r="G3" s="54">
        <v>2000</v>
      </c>
      <c r="H3" s="54">
        <v>14430</v>
      </c>
      <c r="I3" s="101">
        <v>4000</v>
      </c>
      <c r="J3" s="53">
        <v>114583</v>
      </c>
      <c r="K3">
        <v>19376</v>
      </c>
      <c r="L3" s="125"/>
      <c r="M3" s="112">
        <v>0.93200000000000005</v>
      </c>
      <c r="N3" s="112">
        <v>0.86899999999999999</v>
      </c>
      <c r="O3" s="124"/>
      <c r="P3" s="23">
        <v>54</v>
      </c>
    </row>
    <row r="4" spans="1:22" x14ac:dyDescent="0.25">
      <c r="A4" s="43">
        <v>46054</v>
      </c>
      <c r="B4" s="124"/>
      <c r="C4" s="124"/>
      <c r="D4" s="100">
        <v>1.7999999999999999E-2</v>
      </c>
      <c r="E4" s="100">
        <v>9.4E-2</v>
      </c>
      <c r="F4" s="100">
        <v>3.1E-2</v>
      </c>
      <c r="G4" s="54">
        <v>2000</v>
      </c>
      <c r="H4" s="54">
        <v>14534</v>
      </c>
      <c r="I4" s="101">
        <v>3000</v>
      </c>
      <c r="J4" s="53">
        <v>31250</v>
      </c>
      <c r="K4">
        <v>18239</v>
      </c>
      <c r="L4" s="125"/>
      <c r="M4" s="112">
        <v>0.93100000000000005</v>
      </c>
      <c r="N4" s="112">
        <v>0.91400000000000003</v>
      </c>
      <c r="O4" s="124"/>
      <c r="P4" s="23">
        <v>75</v>
      </c>
    </row>
    <row r="5" spans="1:22" x14ac:dyDescent="0.25">
      <c r="A5" s="43">
        <v>46082</v>
      </c>
      <c r="B5" s="124"/>
      <c r="C5" s="124"/>
      <c r="D5" s="100"/>
      <c r="E5" s="100"/>
      <c r="F5" s="100"/>
      <c r="G5" s="53">
        <v>2000</v>
      </c>
      <c r="H5" s="101"/>
      <c r="I5" s="101">
        <v>3000</v>
      </c>
      <c r="J5" s="53">
        <v>36320</v>
      </c>
      <c r="K5">
        <v>22069</v>
      </c>
      <c r="L5" s="125"/>
      <c r="M5" s="112">
        <v>0.93300000000000005</v>
      </c>
      <c r="N5" s="112">
        <v>0.92600000000000005</v>
      </c>
      <c r="O5" s="124"/>
      <c r="P5" s="23">
        <v>67</v>
      </c>
    </row>
    <row r="6" spans="1:22" x14ac:dyDescent="0.25">
      <c r="A6" s="43">
        <v>46113</v>
      </c>
      <c r="B6" s="124"/>
      <c r="C6" s="124"/>
      <c r="D6" s="100"/>
      <c r="E6" s="100"/>
      <c r="F6" s="100"/>
      <c r="G6" s="53"/>
      <c r="H6" s="101"/>
      <c r="I6" s="101"/>
      <c r="J6" s="53"/>
      <c r="L6" s="125"/>
      <c r="M6" s="112"/>
      <c r="N6" s="112"/>
      <c r="O6" s="124"/>
      <c r="P6" s="23"/>
    </row>
    <row r="7" spans="1:22" x14ac:dyDescent="0.25">
      <c r="A7" s="43">
        <v>46143</v>
      </c>
      <c r="B7" s="124"/>
      <c r="C7" s="124"/>
      <c r="D7" s="52"/>
      <c r="E7" s="52"/>
      <c r="F7" s="52"/>
      <c r="G7" s="53"/>
      <c r="H7" s="102"/>
      <c r="I7" s="102"/>
      <c r="J7" s="53"/>
      <c r="L7" s="125"/>
      <c r="M7" s="112"/>
      <c r="N7" s="112"/>
      <c r="O7" s="124"/>
      <c r="P7" s="23"/>
    </row>
    <row r="8" spans="1:22" x14ac:dyDescent="0.25">
      <c r="A8" s="43">
        <v>46174</v>
      </c>
      <c r="B8" s="124"/>
      <c r="C8" s="124"/>
      <c r="D8" s="56"/>
      <c r="E8" s="56"/>
      <c r="F8" s="56"/>
      <c r="G8" s="101"/>
      <c r="H8" s="101"/>
      <c r="I8" s="101"/>
      <c r="J8" s="53"/>
      <c r="L8" s="125"/>
      <c r="M8" s="112"/>
      <c r="N8" s="112"/>
      <c r="O8" s="124"/>
      <c r="P8" s="23"/>
    </row>
    <row r="9" spans="1:22" x14ac:dyDescent="0.25">
      <c r="A9" s="43">
        <v>46204</v>
      </c>
      <c r="B9" s="124"/>
      <c r="C9" s="124"/>
      <c r="D9" s="100"/>
      <c r="E9" s="100"/>
      <c r="F9" s="100"/>
      <c r="G9" s="102"/>
      <c r="H9" s="102"/>
      <c r="I9" s="102"/>
      <c r="J9" s="102"/>
      <c r="K9" s="102"/>
      <c r="L9" s="126"/>
      <c r="M9" s="112"/>
      <c r="N9" s="112"/>
      <c r="O9" s="128"/>
      <c r="P9" s="57"/>
    </row>
    <row r="10" spans="1:22" x14ac:dyDescent="0.25">
      <c r="A10" s="43">
        <v>46235</v>
      </c>
      <c r="B10" s="124"/>
      <c r="C10" s="124"/>
      <c r="D10" s="100"/>
      <c r="E10" s="100"/>
      <c r="F10" s="100"/>
      <c r="G10" s="102"/>
      <c r="H10" s="102"/>
      <c r="I10" s="102"/>
      <c r="J10" s="102"/>
      <c r="K10" s="102"/>
      <c r="L10" s="126"/>
      <c r="M10" s="113"/>
      <c r="N10" s="113"/>
      <c r="O10" s="128"/>
      <c r="P10" s="57"/>
    </row>
    <row r="11" spans="1:22" x14ac:dyDescent="0.25">
      <c r="A11" s="43">
        <v>46266</v>
      </c>
      <c r="B11" s="124"/>
      <c r="C11" s="124"/>
      <c r="D11" s="100"/>
      <c r="E11" s="100"/>
      <c r="F11" s="100"/>
      <c r="G11" s="102"/>
      <c r="H11" s="102"/>
      <c r="I11" s="102"/>
      <c r="J11" s="102"/>
      <c r="K11" s="102"/>
      <c r="L11" s="126"/>
      <c r="M11" s="113"/>
      <c r="N11" s="113"/>
      <c r="O11" s="128"/>
      <c r="P11" s="57"/>
    </row>
    <row r="12" spans="1:22" x14ac:dyDescent="0.25">
      <c r="A12" s="43">
        <v>46296</v>
      </c>
      <c r="B12" s="124"/>
      <c r="C12" s="124"/>
      <c r="D12" s="100"/>
      <c r="E12" s="100"/>
      <c r="F12" s="100"/>
      <c r="G12" s="102"/>
      <c r="H12" s="102"/>
      <c r="I12" s="102"/>
      <c r="J12" s="102"/>
      <c r="K12" s="102"/>
      <c r="L12" s="127"/>
      <c r="M12" s="113"/>
      <c r="N12" s="113"/>
      <c r="O12" s="128"/>
      <c r="P12" s="57"/>
    </row>
    <row r="13" spans="1:22" x14ac:dyDescent="0.25">
      <c r="A13" s="43">
        <v>46327</v>
      </c>
      <c r="B13" s="124"/>
      <c r="C13" s="124"/>
      <c r="D13" s="100"/>
      <c r="E13" s="100"/>
      <c r="F13" s="100"/>
      <c r="G13" s="102"/>
      <c r="H13" s="102"/>
      <c r="I13" s="102"/>
      <c r="J13" s="102"/>
      <c r="K13" s="102"/>
      <c r="L13" s="127"/>
      <c r="M13" s="113"/>
      <c r="N13" s="113"/>
      <c r="O13" s="128"/>
      <c r="P13" s="57"/>
    </row>
    <row r="14" spans="1:22" x14ac:dyDescent="0.25">
      <c r="A14" s="43">
        <v>46357</v>
      </c>
      <c r="B14" s="124"/>
      <c r="C14" s="124"/>
      <c r="D14" s="103"/>
      <c r="E14" s="103"/>
      <c r="F14" s="103"/>
      <c r="G14" s="51"/>
      <c r="H14" s="51"/>
      <c r="I14" s="51"/>
      <c r="J14" s="57"/>
      <c r="K14" s="57"/>
      <c r="L14" s="127"/>
      <c r="M14" s="113"/>
      <c r="N14" s="113"/>
      <c r="O14" s="128"/>
      <c r="P14" s="57"/>
    </row>
    <row r="15" spans="1:22" x14ac:dyDescent="0.25">
      <c r="L15" s="58"/>
    </row>
  </sheetData>
  <phoneticPr fontId="13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zoomScaleNormal="100" workbookViewId="0">
      <selection activeCell="H5" sqref="H5:I5"/>
    </sheetView>
  </sheetViews>
  <sheetFormatPr defaultRowHeight="15" x14ac:dyDescent="0.25"/>
  <cols>
    <col min="1" max="1" width="18.5703125" bestFit="1" customWidth="1"/>
    <col min="2" max="2" width="17.7109375" hidden="1" customWidth="1"/>
    <col min="3" max="3" width="17.28515625" hidden="1" customWidth="1"/>
    <col min="4" max="4" width="17.7109375" bestFit="1" customWidth="1"/>
    <col min="5" max="6" width="17.7109375" customWidth="1"/>
    <col min="7" max="9" width="13" customWidth="1"/>
    <col min="10" max="10" width="17.28515625" customWidth="1"/>
    <col min="11" max="11" width="6.7109375" bestFit="1" customWidth="1"/>
    <col min="12" max="12" width="6.28515625" hidden="1" customWidth="1"/>
    <col min="13" max="14" width="11.7109375" customWidth="1"/>
    <col min="15" max="15" width="6.140625" hidden="1" customWidth="1"/>
    <col min="16" max="16" width="10.140625" bestFit="1" customWidth="1"/>
    <col min="17" max="17" width="19.5703125" customWidth="1"/>
  </cols>
  <sheetData>
    <row r="1" spans="1:16" ht="45" x14ac:dyDescent="0.25">
      <c r="A1" t="s">
        <v>34</v>
      </c>
      <c r="B1" s="97" t="s">
        <v>99</v>
      </c>
      <c r="C1" s="97" t="s">
        <v>100</v>
      </c>
      <c r="D1" s="97" t="s">
        <v>101</v>
      </c>
      <c r="E1" s="97" t="s">
        <v>104</v>
      </c>
      <c r="F1" s="97" t="s">
        <v>105</v>
      </c>
      <c r="G1" s="97" t="s">
        <v>106</v>
      </c>
      <c r="H1" s="97" t="s">
        <v>107</v>
      </c>
      <c r="I1" s="97" t="s">
        <v>108</v>
      </c>
      <c r="J1" s="97" t="s">
        <v>91</v>
      </c>
      <c r="K1" t="s">
        <v>92</v>
      </c>
      <c r="L1" t="s">
        <v>66</v>
      </c>
      <c r="M1" s="97" t="s">
        <v>109</v>
      </c>
      <c r="N1" s="97" t="s">
        <v>110</v>
      </c>
      <c r="O1" t="s">
        <v>65</v>
      </c>
      <c r="P1" t="s">
        <v>68</v>
      </c>
    </row>
    <row r="2" spans="1:16" x14ac:dyDescent="0.25">
      <c r="A2" s="18"/>
      <c r="B2" s="23" t="s">
        <v>16</v>
      </c>
      <c r="C2" s="23" t="s">
        <v>16</v>
      </c>
      <c r="D2" s="23" t="s">
        <v>16</v>
      </c>
      <c r="E2" s="23" t="s">
        <v>16</v>
      </c>
      <c r="F2" s="23" t="s">
        <v>16</v>
      </c>
      <c r="G2" s="23" t="s">
        <v>17</v>
      </c>
      <c r="H2" s="23" t="s">
        <v>17</v>
      </c>
      <c r="I2" s="23" t="s">
        <v>17</v>
      </c>
      <c r="J2" s="53" t="s">
        <v>17</v>
      </c>
      <c r="K2" s="53" t="s">
        <v>17</v>
      </c>
      <c r="L2" s="53" t="s">
        <v>16</v>
      </c>
      <c r="M2" s="53" t="s">
        <v>16</v>
      </c>
      <c r="N2" s="53" t="s">
        <v>16</v>
      </c>
      <c r="O2" s="53" t="s">
        <v>16</v>
      </c>
      <c r="P2" s="53" t="s">
        <v>17</v>
      </c>
    </row>
    <row r="3" spans="1:16" x14ac:dyDescent="0.25">
      <c r="A3" s="43">
        <v>46023</v>
      </c>
      <c r="B3" s="122"/>
      <c r="C3" s="122"/>
      <c r="D3" s="162">
        <v>1.4999999999999999E-2</v>
      </c>
      <c r="E3" s="94">
        <v>0.05</v>
      </c>
      <c r="F3" s="94">
        <v>2.7E-2</v>
      </c>
      <c r="G3" s="92">
        <v>2490</v>
      </c>
      <c r="H3" s="23">
        <v>7100</v>
      </c>
      <c r="I3" s="92">
        <v>4644</v>
      </c>
      <c r="J3" s="92">
        <v>90000</v>
      </c>
      <c r="K3">
        <v>30000</v>
      </c>
      <c r="L3" s="122"/>
      <c r="M3" s="55">
        <v>0.92</v>
      </c>
      <c r="N3" s="55">
        <v>0.87</v>
      </c>
      <c r="O3" s="122"/>
      <c r="P3" s="93">
        <v>66</v>
      </c>
    </row>
    <row r="4" spans="1:16" x14ac:dyDescent="0.25">
      <c r="A4" s="43">
        <v>46054</v>
      </c>
      <c r="B4" s="122"/>
      <c r="C4" s="122"/>
      <c r="D4" s="162">
        <v>1.4999999999999999E-2</v>
      </c>
      <c r="E4" s="94">
        <v>0.05</v>
      </c>
      <c r="F4" s="94">
        <v>2.5999999999999999E-2</v>
      </c>
      <c r="G4" s="92">
        <v>2490</v>
      </c>
      <c r="H4" s="23">
        <v>7100</v>
      </c>
      <c r="I4" s="92">
        <v>4472</v>
      </c>
      <c r="J4" s="92">
        <v>90000</v>
      </c>
      <c r="K4">
        <v>30000</v>
      </c>
      <c r="L4" s="122"/>
      <c r="M4" s="55">
        <v>0.92</v>
      </c>
      <c r="N4" s="55">
        <v>0.88</v>
      </c>
      <c r="O4" s="122"/>
      <c r="P4" s="93">
        <v>66</v>
      </c>
    </row>
    <row r="5" spans="1:16" x14ac:dyDescent="0.25">
      <c r="A5" s="43">
        <v>46082</v>
      </c>
      <c r="B5" s="122"/>
      <c r="C5" s="122"/>
      <c r="D5" s="162">
        <v>1.4999999999999999E-2</v>
      </c>
      <c r="E5" s="94">
        <v>4.4999999999999998E-2</v>
      </c>
      <c r="F5" s="94">
        <v>2.5000000000000001E-2</v>
      </c>
      <c r="G5" s="92">
        <v>2490</v>
      </c>
      <c r="H5" s="23">
        <v>6390</v>
      </c>
      <c r="I5" s="92">
        <v>4300</v>
      </c>
      <c r="J5" s="92">
        <v>75000</v>
      </c>
      <c r="K5">
        <v>25000</v>
      </c>
      <c r="L5" s="122"/>
      <c r="M5" s="55">
        <v>0.92</v>
      </c>
      <c r="N5" s="55">
        <v>0.89</v>
      </c>
      <c r="O5" s="122"/>
      <c r="P5" s="93">
        <v>66</v>
      </c>
    </row>
    <row r="6" spans="1:16" x14ac:dyDescent="0.25">
      <c r="A6" s="43">
        <v>46113</v>
      </c>
      <c r="B6" s="122"/>
      <c r="C6" s="122"/>
      <c r="D6" s="162">
        <v>1.4999999999999999E-2</v>
      </c>
      <c r="E6" s="94">
        <v>4.4999999999999998E-2</v>
      </c>
      <c r="F6" s="94">
        <v>2.5000000000000001E-2</v>
      </c>
      <c r="G6" s="92">
        <v>2490</v>
      </c>
      <c r="H6" s="23">
        <v>6390</v>
      </c>
      <c r="I6" s="92">
        <v>4300</v>
      </c>
      <c r="J6" s="92">
        <v>75000</v>
      </c>
      <c r="K6">
        <v>25000</v>
      </c>
      <c r="L6" s="122"/>
      <c r="M6" s="55">
        <v>0.93</v>
      </c>
      <c r="N6" s="55">
        <v>0.9</v>
      </c>
      <c r="O6" s="122"/>
      <c r="P6" s="93">
        <v>66</v>
      </c>
    </row>
    <row r="7" spans="1:16" x14ac:dyDescent="0.25">
      <c r="A7" s="43">
        <v>46143</v>
      </c>
      <c r="B7" s="122"/>
      <c r="C7" s="122"/>
      <c r="D7" s="163">
        <v>1.4500000000000001E-2</v>
      </c>
      <c r="E7" s="94">
        <v>4.4999999999999998E-2</v>
      </c>
      <c r="F7" s="94">
        <v>2.4E-2</v>
      </c>
      <c r="G7" s="92">
        <v>2407</v>
      </c>
      <c r="H7" s="23">
        <v>6390</v>
      </c>
      <c r="I7" s="92">
        <v>4128</v>
      </c>
      <c r="J7" s="92">
        <v>75000</v>
      </c>
      <c r="K7">
        <v>25000</v>
      </c>
      <c r="L7" s="122"/>
      <c r="M7" s="55">
        <v>0.93</v>
      </c>
      <c r="N7" s="55">
        <v>0.91</v>
      </c>
      <c r="O7" s="122"/>
      <c r="P7" s="93">
        <v>66</v>
      </c>
    </row>
    <row r="8" spans="1:16" x14ac:dyDescent="0.25">
      <c r="A8" s="43">
        <v>46174</v>
      </c>
      <c r="B8" s="122"/>
      <c r="C8" s="122"/>
      <c r="D8" s="163">
        <v>1.4500000000000001E-2</v>
      </c>
      <c r="E8" s="94">
        <v>4.4999999999999998E-2</v>
      </c>
      <c r="F8" s="94">
        <v>2.4E-2</v>
      </c>
      <c r="G8" s="92">
        <v>2407</v>
      </c>
      <c r="H8" s="23">
        <v>6390</v>
      </c>
      <c r="I8" s="92">
        <v>4128</v>
      </c>
      <c r="J8" s="92">
        <v>75000</v>
      </c>
      <c r="K8">
        <v>25000</v>
      </c>
      <c r="L8" s="122"/>
      <c r="M8" s="55">
        <v>0.93</v>
      </c>
      <c r="N8" s="55">
        <v>0.91</v>
      </c>
      <c r="O8" s="122"/>
      <c r="P8" s="93">
        <v>66</v>
      </c>
    </row>
    <row r="9" spans="1:16" x14ac:dyDescent="0.25">
      <c r="A9" s="43">
        <v>46204</v>
      </c>
      <c r="B9" s="122"/>
      <c r="C9" s="122"/>
      <c r="D9" s="163">
        <v>1.4500000000000001E-2</v>
      </c>
      <c r="E9" s="94">
        <v>0.04</v>
      </c>
      <c r="F9" s="94">
        <v>2.3E-2</v>
      </c>
      <c r="G9" s="92">
        <v>2407</v>
      </c>
      <c r="H9" s="23">
        <v>5680</v>
      </c>
      <c r="I9" s="92">
        <v>3956</v>
      </c>
      <c r="J9" s="92">
        <v>60000</v>
      </c>
      <c r="K9">
        <v>20000</v>
      </c>
      <c r="L9" s="122"/>
      <c r="M9" s="55">
        <v>0.94</v>
      </c>
      <c r="N9" s="55">
        <v>0.92</v>
      </c>
      <c r="O9" s="122"/>
      <c r="P9" s="93">
        <v>66</v>
      </c>
    </row>
    <row r="10" spans="1:16" x14ac:dyDescent="0.25">
      <c r="A10" s="43">
        <v>46235</v>
      </c>
      <c r="B10" s="122"/>
      <c r="C10" s="122"/>
      <c r="D10" s="163">
        <v>1.4500000000000001E-2</v>
      </c>
      <c r="E10" s="94">
        <v>0.04</v>
      </c>
      <c r="F10" s="94">
        <v>2.3E-2</v>
      </c>
      <c r="G10" s="92">
        <v>2407</v>
      </c>
      <c r="H10" s="23">
        <v>5680</v>
      </c>
      <c r="I10" s="92">
        <v>3956</v>
      </c>
      <c r="J10" s="92">
        <v>60000</v>
      </c>
      <c r="K10">
        <v>20000</v>
      </c>
      <c r="L10" s="122"/>
      <c r="M10" s="55">
        <v>0.94</v>
      </c>
      <c r="N10" s="55">
        <v>0.93</v>
      </c>
      <c r="O10" s="122"/>
      <c r="P10" s="93">
        <v>66</v>
      </c>
    </row>
    <row r="11" spans="1:16" x14ac:dyDescent="0.25">
      <c r="A11" s="43">
        <v>46266</v>
      </c>
      <c r="B11" s="122"/>
      <c r="C11" s="122"/>
      <c r="D11" s="163">
        <v>1.4E-2</v>
      </c>
      <c r="E11" s="94">
        <v>0.04</v>
      </c>
      <c r="F11" s="94">
        <v>2.1999999999999999E-2</v>
      </c>
      <c r="G11" s="92">
        <v>2324</v>
      </c>
      <c r="H11" s="23">
        <v>5680</v>
      </c>
      <c r="I11" s="92">
        <v>3784</v>
      </c>
      <c r="J11" s="92">
        <v>75000</v>
      </c>
      <c r="K11">
        <v>25000</v>
      </c>
      <c r="L11" s="122"/>
      <c r="M11" s="55">
        <v>0.94</v>
      </c>
      <c r="N11" s="55">
        <v>0.92</v>
      </c>
      <c r="O11" s="122"/>
      <c r="P11" s="93">
        <v>66</v>
      </c>
    </row>
    <row r="12" spans="1:16" x14ac:dyDescent="0.25">
      <c r="A12" s="43">
        <v>46296</v>
      </c>
      <c r="B12" s="122"/>
      <c r="C12" s="122"/>
      <c r="D12" s="163">
        <v>1.4E-2</v>
      </c>
      <c r="E12" s="94">
        <v>3.5000000000000003E-2</v>
      </c>
      <c r="F12" s="94">
        <v>2.1999999999999999E-2</v>
      </c>
      <c r="G12" s="92">
        <v>2324</v>
      </c>
      <c r="H12" s="23">
        <v>4970</v>
      </c>
      <c r="I12" s="92">
        <v>3784</v>
      </c>
      <c r="J12" s="92">
        <v>90000</v>
      </c>
      <c r="K12">
        <v>30000</v>
      </c>
      <c r="L12" s="122"/>
      <c r="M12" s="55">
        <v>0.95</v>
      </c>
      <c r="N12" s="55">
        <v>0.88</v>
      </c>
      <c r="O12" s="122"/>
      <c r="P12" s="93">
        <v>66</v>
      </c>
    </row>
    <row r="13" spans="1:16" x14ac:dyDescent="0.25">
      <c r="A13" s="43">
        <v>46327</v>
      </c>
      <c r="B13" s="122"/>
      <c r="C13" s="122"/>
      <c r="D13" s="163">
        <v>1.4E-2</v>
      </c>
      <c r="E13" s="94">
        <v>3.5000000000000003E-2</v>
      </c>
      <c r="F13" s="94">
        <v>2.1000000000000001E-2</v>
      </c>
      <c r="G13" s="92">
        <v>2324</v>
      </c>
      <c r="H13" s="23">
        <v>4970</v>
      </c>
      <c r="I13" s="92">
        <v>3612</v>
      </c>
      <c r="J13" s="92">
        <v>75000</v>
      </c>
      <c r="K13">
        <v>25000</v>
      </c>
      <c r="L13" s="122"/>
      <c r="M13" s="55">
        <v>0.95</v>
      </c>
      <c r="N13" s="55">
        <v>0.89</v>
      </c>
      <c r="O13" s="122"/>
      <c r="P13" s="93">
        <v>66</v>
      </c>
    </row>
    <row r="14" spans="1:16" x14ac:dyDescent="0.25">
      <c r="A14" s="43">
        <v>46357</v>
      </c>
      <c r="B14" s="122"/>
      <c r="C14" s="122"/>
      <c r="D14" s="163">
        <v>1.4E-2</v>
      </c>
      <c r="E14" s="94">
        <v>3.5000000000000003E-2</v>
      </c>
      <c r="F14" s="94">
        <v>2.1000000000000001E-2</v>
      </c>
      <c r="G14" s="92">
        <v>2324</v>
      </c>
      <c r="H14" s="23">
        <v>4970</v>
      </c>
      <c r="I14" s="92">
        <v>3612</v>
      </c>
      <c r="J14" s="92">
        <v>60000</v>
      </c>
      <c r="K14">
        <v>20000</v>
      </c>
      <c r="L14" s="122"/>
      <c r="M14" s="55">
        <v>0.95</v>
      </c>
      <c r="N14" s="55">
        <v>0.9</v>
      </c>
      <c r="O14" s="122"/>
      <c r="P14" s="93">
        <v>66</v>
      </c>
    </row>
    <row r="15" spans="1:16" x14ac:dyDescent="0.25">
      <c r="N15" s="123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workbookViewId="0">
      <selection activeCell="A7" sqref="A7"/>
    </sheetView>
  </sheetViews>
  <sheetFormatPr defaultRowHeight="15" x14ac:dyDescent="0.25"/>
  <cols>
    <col min="1" max="1" width="18.5703125" bestFit="1" customWidth="1"/>
    <col min="2" max="2" width="13.28515625" bestFit="1" customWidth="1"/>
    <col min="3" max="3" width="13.28515625" customWidth="1"/>
    <col min="4" max="4" width="14.7109375" bestFit="1" customWidth="1"/>
    <col min="5" max="5" width="17.140625" bestFit="1" customWidth="1"/>
    <col min="6" max="6" width="16.28515625" bestFit="1" customWidth="1"/>
    <col min="7" max="7" width="18.28515625" bestFit="1" customWidth="1"/>
    <col min="8" max="8" width="20.28515625" bestFit="1" customWidth="1"/>
    <col min="9" max="9" width="21.85546875" bestFit="1" customWidth="1"/>
    <col min="10" max="10" width="76.28515625" bestFit="1" customWidth="1"/>
  </cols>
  <sheetData>
    <row r="1" spans="1:9" ht="60" x14ac:dyDescent="0.25">
      <c r="A1" t="s">
        <v>34</v>
      </c>
      <c r="B1" s="97" t="s">
        <v>120</v>
      </c>
      <c r="C1" s="97" t="s">
        <v>121</v>
      </c>
      <c r="D1" t="s">
        <v>39</v>
      </c>
      <c r="E1" t="s">
        <v>94</v>
      </c>
      <c r="F1" t="s">
        <v>40</v>
      </c>
      <c r="G1" t="s">
        <v>41</v>
      </c>
      <c r="H1" t="s">
        <v>42</v>
      </c>
      <c r="I1" t="s">
        <v>81</v>
      </c>
    </row>
    <row r="2" spans="1:9" x14ac:dyDescent="0.25">
      <c r="A2" s="18"/>
      <c r="B2" s="19" t="s">
        <v>16</v>
      </c>
      <c r="C2" s="19" t="s">
        <v>16</v>
      </c>
      <c r="D2" s="19" t="s">
        <v>12</v>
      </c>
      <c r="E2" s="19"/>
      <c r="F2" s="19" t="s">
        <v>12</v>
      </c>
      <c r="G2" s="19" t="s">
        <v>12</v>
      </c>
      <c r="H2" s="19" t="s">
        <v>16</v>
      </c>
      <c r="I2" s="19" t="s">
        <v>16</v>
      </c>
    </row>
    <row r="3" spans="1:9" x14ac:dyDescent="0.25">
      <c r="A3" s="43">
        <v>46023</v>
      </c>
      <c r="B3" s="112">
        <v>7.0000000000000001E-3</v>
      </c>
      <c r="C3" s="112">
        <v>3.5000000000000003E-2</v>
      </c>
      <c r="D3" s="54">
        <v>294</v>
      </c>
      <c r="E3" s="54"/>
      <c r="F3" s="92">
        <v>127</v>
      </c>
      <c r="G3" s="54">
        <v>30</v>
      </c>
      <c r="H3" s="111">
        <v>2.1000000000000001E-2</v>
      </c>
      <c r="I3" s="111">
        <v>2.5000000000000001E-2</v>
      </c>
    </row>
    <row r="4" spans="1:9" x14ac:dyDescent="0.25">
      <c r="A4" s="43">
        <v>46054</v>
      </c>
      <c r="B4" s="112">
        <v>6.0000000000000001E-3</v>
      </c>
      <c r="C4" s="112">
        <v>3.3000000000000002E-2</v>
      </c>
      <c r="D4" s="54">
        <v>300</v>
      </c>
      <c r="E4" s="54"/>
      <c r="F4" s="92">
        <v>126</v>
      </c>
      <c r="G4" s="54">
        <v>31</v>
      </c>
      <c r="H4" s="111">
        <v>3.9E-2</v>
      </c>
      <c r="I4" s="111">
        <v>0.03</v>
      </c>
    </row>
    <row r="5" spans="1:9" x14ac:dyDescent="0.25">
      <c r="A5" s="43">
        <v>46082</v>
      </c>
      <c r="B5" s="112">
        <v>4.0000000000000001E-3</v>
      </c>
      <c r="C5" s="112">
        <v>0.03</v>
      </c>
      <c r="D5" s="54">
        <v>325</v>
      </c>
      <c r="E5" s="54"/>
      <c r="F5" s="92">
        <v>125</v>
      </c>
      <c r="G5" s="54">
        <v>30</v>
      </c>
      <c r="H5" s="111">
        <v>4.2999999999999997E-2</v>
      </c>
      <c r="I5" s="111">
        <v>4.2999999999999997E-2</v>
      </c>
    </row>
    <row r="6" spans="1:9" x14ac:dyDescent="0.25">
      <c r="A6" s="43">
        <v>46113</v>
      </c>
      <c r="B6" s="112">
        <v>3.8E-3</v>
      </c>
      <c r="C6" s="112">
        <v>3.15E-2</v>
      </c>
      <c r="D6" s="54">
        <v>265</v>
      </c>
      <c r="E6" s="54"/>
      <c r="F6" s="92">
        <v>113</v>
      </c>
      <c r="G6" s="54">
        <v>27.67</v>
      </c>
      <c r="H6" s="111">
        <v>3.4000000000000002E-2</v>
      </c>
      <c r="I6" s="111">
        <v>4.5999999999999999E-2</v>
      </c>
    </row>
    <row r="7" spans="1:9" x14ac:dyDescent="0.25">
      <c r="A7" s="43">
        <v>46143</v>
      </c>
      <c r="B7" s="112"/>
      <c r="C7" s="112"/>
      <c r="D7" s="54"/>
      <c r="E7" s="50"/>
      <c r="F7" s="92"/>
      <c r="G7" s="54"/>
      <c r="H7" s="111"/>
      <c r="I7" s="111"/>
    </row>
    <row r="8" spans="1:9" x14ac:dyDescent="0.25">
      <c r="A8" s="43">
        <v>46174</v>
      </c>
      <c r="B8" s="112"/>
      <c r="C8" s="112"/>
      <c r="D8" s="54"/>
      <c r="E8" s="50"/>
      <c r="F8" s="92"/>
      <c r="G8" s="54"/>
      <c r="H8" s="111"/>
      <c r="I8" s="111"/>
    </row>
    <row r="9" spans="1:9" x14ac:dyDescent="0.25">
      <c r="A9" s="43">
        <v>46204</v>
      </c>
      <c r="B9" s="112"/>
      <c r="C9" s="112"/>
      <c r="D9" s="59"/>
      <c r="E9" s="59"/>
      <c r="F9" s="50"/>
      <c r="G9" s="50"/>
      <c r="H9" s="111"/>
      <c r="I9" s="111"/>
    </row>
    <row r="10" spans="1:9" x14ac:dyDescent="0.25">
      <c r="A10" s="43">
        <v>46235</v>
      </c>
      <c r="B10" s="112"/>
      <c r="C10" s="112"/>
      <c r="D10" s="59"/>
      <c r="E10" s="59"/>
      <c r="F10" s="50"/>
      <c r="G10" s="50"/>
      <c r="H10" s="111"/>
      <c r="I10" s="111"/>
    </row>
    <row r="11" spans="1:9" x14ac:dyDescent="0.25">
      <c r="A11" s="43">
        <v>46266</v>
      </c>
      <c r="B11" s="112"/>
      <c r="C11" s="112"/>
      <c r="D11" s="59"/>
      <c r="E11" s="59"/>
      <c r="F11" s="50"/>
      <c r="G11" s="50"/>
      <c r="H11" s="111"/>
      <c r="I11" s="111"/>
    </row>
    <row r="12" spans="1:9" x14ac:dyDescent="0.25">
      <c r="A12" s="43">
        <v>46296</v>
      </c>
      <c r="B12" s="112"/>
      <c r="C12" s="112"/>
      <c r="D12" s="59"/>
      <c r="E12" s="59"/>
      <c r="F12" s="50"/>
      <c r="G12" s="50"/>
      <c r="H12" s="111"/>
      <c r="I12" s="111"/>
    </row>
    <row r="13" spans="1:9" x14ac:dyDescent="0.25">
      <c r="A13" s="43">
        <v>46327</v>
      </c>
      <c r="B13" s="112"/>
      <c r="C13" s="112"/>
      <c r="D13" s="59"/>
      <c r="E13" s="59"/>
      <c r="F13" s="50"/>
      <c r="G13" s="50"/>
      <c r="H13" s="111"/>
      <c r="I13" s="111"/>
    </row>
    <row r="14" spans="1:9" x14ac:dyDescent="0.25">
      <c r="A14" s="43">
        <v>46357</v>
      </c>
      <c r="B14" s="112"/>
      <c r="C14" s="112"/>
      <c r="D14" s="59"/>
      <c r="E14" s="59"/>
      <c r="F14" s="59"/>
      <c r="G14" s="59"/>
      <c r="H14" s="111"/>
      <c r="I14" s="111"/>
    </row>
    <row r="18" spans="11:14" x14ac:dyDescent="0.25">
      <c r="K18">
        <v>97960</v>
      </c>
      <c r="L18">
        <v>100290</v>
      </c>
      <c r="M18">
        <v>120750</v>
      </c>
      <c r="N18">
        <v>85671</v>
      </c>
    </row>
    <row r="19" spans="11:14" x14ac:dyDescent="0.25">
      <c r="K19">
        <v>38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activeCell="D25" sqref="D25"/>
    </sheetView>
  </sheetViews>
  <sheetFormatPr defaultRowHeight="15" x14ac:dyDescent="0.25"/>
  <cols>
    <col min="1" max="1" width="18.5703125" bestFit="1" customWidth="1"/>
    <col min="2" max="2" width="14.42578125" bestFit="1" customWidth="1"/>
    <col min="3" max="3" width="14.42578125" customWidth="1"/>
    <col min="4" max="4" width="17.28515625" customWidth="1"/>
    <col min="5" max="8" width="19.7109375" customWidth="1"/>
    <col min="9" max="9" width="76.28515625" bestFit="1" customWidth="1"/>
  </cols>
  <sheetData>
    <row r="1" spans="1:8" ht="60" x14ac:dyDescent="0.25">
      <c r="A1" t="s">
        <v>34</v>
      </c>
      <c r="B1" s="97" t="s">
        <v>120</v>
      </c>
      <c r="C1" s="97" t="s">
        <v>121</v>
      </c>
      <c r="D1" s="104" t="s">
        <v>83</v>
      </c>
      <c r="E1" s="104" t="s">
        <v>84</v>
      </c>
      <c r="F1" s="104" t="s">
        <v>85</v>
      </c>
      <c r="G1" s="104" t="s">
        <v>86</v>
      </c>
      <c r="H1" s="104" t="s">
        <v>87</v>
      </c>
    </row>
    <row r="2" spans="1:8" x14ac:dyDescent="0.25">
      <c r="A2" s="18"/>
      <c r="B2" s="19" t="s">
        <v>16</v>
      </c>
      <c r="C2" s="19"/>
      <c r="D2" t="s">
        <v>12</v>
      </c>
      <c r="E2" t="s">
        <v>12</v>
      </c>
      <c r="F2" t="s">
        <v>12</v>
      </c>
      <c r="G2" t="s">
        <v>16</v>
      </c>
      <c r="H2" t="s">
        <v>16</v>
      </c>
    </row>
    <row r="3" spans="1:8" x14ac:dyDescent="0.25">
      <c r="A3" s="43">
        <v>46023</v>
      </c>
      <c r="B3" s="64">
        <v>0.04</v>
      </c>
      <c r="C3" s="64">
        <v>0.02</v>
      </c>
      <c r="D3" s="23">
        <v>286</v>
      </c>
      <c r="E3" s="23">
        <v>133</v>
      </c>
      <c r="F3" s="53">
        <v>34</v>
      </c>
      <c r="G3" s="74">
        <v>2E-3</v>
      </c>
      <c r="H3" s="64">
        <v>0.04</v>
      </c>
    </row>
    <row r="4" spans="1:8" x14ac:dyDescent="0.25">
      <c r="A4" s="43">
        <v>46054</v>
      </c>
      <c r="B4" s="64">
        <v>0.04</v>
      </c>
      <c r="C4" s="64">
        <v>0.02</v>
      </c>
      <c r="D4" s="23">
        <v>317</v>
      </c>
      <c r="E4" s="23">
        <v>136</v>
      </c>
      <c r="F4" s="53">
        <v>34</v>
      </c>
      <c r="G4" s="74">
        <v>2E-3</v>
      </c>
      <c r="H4" s="64">
        <v>0.04</v>
      </c>
    </row>
    <row r="5" spans="1:8" x14ac:dyDescent="0.25">
      <c r="A5" s="43">
        <v>46082</v>
      </c>
      <c r="B5" s="64">
        <v>0.04</v>
      </c>
      <c r="C5" s="64">
        <v>0.02</v>
      </c>
      <c r="D5" s="23">
        <v>317</v>
      </c>
      <c r="E5" s="23">
        <v>136</v>
      </c>
      <c r="F5" s="53">
        <v>34</v>
      </c>
      <c r="G5" s="74">
        <v>2E-3</v>
      </c>
      <c r="H5" s="64">
        <v>0.04</v>
      </c>
    </row>
    <row r="6" spans="1:8" x14ac:dyDescent="0.25">
      <c r="A6" s="43">
        <v>46113</v>
      </c>
      <c r="B6" s="64">
        <v>0.04</v>
      </c>
      <c r="C6" s="64">
        <v>0.02</v>
      </c>
      <c r="D6" s="23">
        <v>258</v>
      </c>
      <c r="E6" s="23">
        <v>127</v>
      </c>
      <c r="F6" s="53">
        <v>34</v>
      </c>
      <c r="G6" s="74">
        <v>2E-3</v>
      </c>
      <c r="H6" s="64">
        <v>0.04</v>
      </c>
    </row>
    <row r="7" spans="1:8" x14ac:dyDescent="0.25">
      <c r="A7" s="43">
        <v>46143</v>
      </c>
      <c r="B7" s="64">
        <v>0.04</v>
      </c>
      <c r="C7" s="64">
        <v>0.02</v>
      </c>
      <c r="D7" s="23">
        <v>258</v>
      </c>
      <c r="E7" s="23">
        <v>127</v>
      </c>
      <c r="F7" s="53">
        <v>34</v>
      </c>
      <c r="G7" s="74">
        <v>2E-3</v>
      </c>
      <c r="H7" s="64">
        <v>0.04</v>
      </c>
    </row>
    <row r="8" spans="1:8" x14ac:dyDescent="0.25">
      <c r="A8" s="43">
        <v>46174</v>
      </c>
      <c r="B8" s="64">
        <v>0.04</v>
      </c>
      <c r="C8" s="64">
        <v>0.02</v>
      </c>
      <c r="D8" s="23">
        <v>258</v>
      </c>
      <c r="E8" s="23">
        <v>127</v>
      </c>
      <c r="F8" s="53">
        <v>34</v>
      </c>
      <c r="G8" s="74">
        <v>2E-3</v>
      </c>
      <c r="H8" s="64">
        <v>0.04</v>
      </c>
    </row>
    <row r="9" spans="1:8" x14ac:dyDescent="0.25">
      <c r="A9" s="43">
        <v>46204</v>
      </c>
      <c r="B9" s="64">
        <v>0.04</v>
      </c>
      <c r="C9" s="64">
        <v>0.02</v>
      </c>
      <c r="D9" s="23">
        <v>258</v>
      </c>
      <c r="E9" s="23">
        <v>127</v>
      </c>
      <c r="F9" s="53">
        <v>34</v>
      </c>
      <c r="G9" s="74">
        <v>2E-3</v>
      </c>
      <c r="H9" s="64">
        <v>0.04</v>
      </c>
    </row>
    <row r="10" spans="1:8" x14ac:dyDescent="0.25">
      <c r="A10" s="43">
        <v>46235</v>
      </c>
      <c r="B10" s="64">
        <v>0.04</v>
      </c>
      <c r="C10" s="64">
        <v>0.02</v>
      </c>
      <c r="D10" s="23">
        <v>258</v>
      </c>
      <c r="E10" s="23">
        <v>127</v>
      </c>
      <c r="F10" s="53">
        <v>34</v>
      </c>
      <c r="G10" s="74">
        <v>2E-3</v>
      </c>
      <c r="H10" s="64">
        <v>0.04</v>
      </c>
    </row>
    <row r="11" spans="1:8" x14ac:dyDescent="0.25">
      <c r="A11" s="43">
        <v>46266</v>
      </c>
      <c r="B11" s="64">
        <v>0.04</v>
      </c>
      <c r="C11" s="64">
        <v>0.02</v>
      </c>
      <c r="D11" s="23">
        <v>295</v>
      </c>
      <c r="E11" s="23">
        <v>133</v>
      </c>
      <c r="F11" s="53">
        <v>34</v>
      </c>
      <c r="G11" s="74">
        <v>2E-3</v>
      </c>
      <c r="H11" s="64">
        <v>0.04</v>
      </c>
    </row>
    <row r="12" spans="1:8" x14ac:dyDescent="0.25">
      <c r="A12" s="43">
        <v>46296</v>
      </c>
      <c r="B12" s="64">
        <v>0.04</v>
      </c>
      <c r="C12" s="64">
        <v>0.02</v>
      </c>
      <c r="D12" s="23">
        <v>295</v>
      </c>
      <c r="E12" s="23">
        <v>133</v>
      </c>
      <c r="F12" s="53">
        <v>34</v>
      </c>
      <c r="G12" s="74">
        <v>2E-3</v>
      </c>
      <c r="H12" s="64">
        <v>0.04</v>
      </c>
    </row>
    <row r="13" spans="1:8" x14ac:dyDescent="0.25">
      <c r="A13" s="43">
        <v>46327</v>
      </c>
      <c r="B13" s="64">
        <v>0.04</v>
      </c>
      <c r="C13" s="64">
        <v>0.02</v>
      </c>
      <c r="D13" s="23">
        <v>343</v>
      </c>
      <c r="E13" s="23">
        <v>142</v>
      </c>
      <c r="F13" s="53">
        <v>34</v>
      </c>
      <c r="G13" s="74">
        <v>2E-3</v>
      </c>
      <c r="H13" s="64">
        <v>0.04</v>
      </c>
    </row>
    <row r="14" spans="1:8" x14ac:dyDescent="0.25">
      <c r="A14" s="43">
        <v>46357</v>
      </c>
      <c r="B14" s="64">
        <v>0.04</v>
      </c>
      <c r="C14" s="64">
        <v>0.02</v>
      </c>
      <c r="D14" s="23">
        <v>343</v>
      </c>
      <c r="E14" s="23">
        <v>142</v>
      </c>
      <c r="F14" s="53">
        <v>34</v>
      </c>
      <c r="G14" s="74">
        <v>2E-3</v>
      </c>
      <c r="H14" s="64">
        <v>0.04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>
      <selection activeCell="F21" sqref="F21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21.28515625" bestFit="1" customWidth="1"/>
    <col min="4" max="4" width="18.7109375" bestFit="1" customWidth="1"/>
    <col min="5" max="7" width="17.7109375" bestFit="1" customWidth="1"/>
    <col min="8" max="8" width="15" bestFit="1" customWidth="1"/>
    <col min="9" max="9" width="12" bestFit="1" customWidth="1"/>
  </cols>
  <sheetData>
    <row r="1" spans="1:9" x14ac:dyDescent="0.25">
      <c r="A1" t="s">
        <v>34</v>
      </c>
      <c r="B1" t="s">
        <v>43</v>
      </c>
      <c r="C1" t="s">
        <v>44</v>
      </c>
      <c r="D1" t="s">
        <v>45</v>
      </c>
      <c r="E1" t="s">
        <v>117</v>
      </c>
      <c r="F1" t="s">
        <v>118</v>
      </c>
      <c r="G1" t="s">
        <v>119</v>
      </c>
      <c r="H1" t="s">
        <v>69</v>
      </c>
      <c r="I1" t="s">
        <v>18</v>
      </c>
    </row>
    <row r="2" spans="1:9" x14ac:dyDescent="0.25">
      <c r="A2" s="18"/>
      <c r="B2" s="19" t="s">
        <v>16</v>
      </c>
      <c r="C2" s="19" t="s">
        <v>16</v>
      </c>
      <c r="D2" s="19" t="s">
        <v>16</v>
      </c>
      <c r="E2" s="19" t="s">
        <v>16</v>
      </c>
      <c r="F2" s="19" t="s">
        <v>16</v>
      </c>
      <c r="G2" s="19" t="s">
        <v>16</v>
      </c>
      <c r="H2" t="s">
        <v>70</v>
      </c>
      <c r="I2" t="s">
        <v>71</v>
      </c>
    </row>
    <row r="3" spans="1:9" x14ac:dyDescent="0.25">
      <c r="A3" s="43">
        <v>46023</v>
      </c>
      <c r="B3" s="112">
        <v>0.878</v>
      </c>
      <c r="C3" s="111">
        <v>0.85399999999999998</v>
      </c>
      <c r="D3" s="111">
        <v>1</v>
      </c>
      <c r="E3" s="111">
        <v>0.86399999999999999</v>
      </c>
      <c r="F3" s="111">
        <v>0.83299999999999996</v>
      </c>
      <c r="G3" s="111">
        <v>0.85</v>
      </c>
      <c r="H3" s="23">
        <v>1854</v>
      </c>
      <c r="I3" s="55">
        <v>0.52</v>
      </c>
    </row>
    <row r="4" spans="1:9" x14ac:dyDescent="0.25">
      <c r="A4" s="43">
        <v>46054</v>
      </c>
      <c r="B4" s="112">
        <v>0.92100000000000004</v>
      </c>
      <c r="C4" s="111">
        <v>0.84599999999999997</v>
      </c>
      <c r="D4" s="111">
        <v>1.014</v>
      </c>
      <c r="E4" s="111">
        <v>0.89700000000000002</v>
      </c>
      <c r="F4" s="111">
        <v>0.83499999999999996</v>
      </c>
      <c r="G4" s="111">
        <v>0.85099999999999998</v>
      </c>
      <c r="H4" s="23">
        <v>4841</v>
      </c>
      <c r="I4" s="55">
        <v>0.56000000000000005</v>
      </c>
    </row>
    <row r="5" spans="1:9" x14ac:dyDescent="0.25">
      <c r="A5" s="43">
        <v>46082</v>
      </c>
      <c r="B5" s="112">
        <v>0.91800000000000004</v>
      </c>
      <c r="C5" s="111">
        <v>0.86099999999999999</v>
      </c>
      <c r="D5" s="111">
        <v>1.0129999999999999</v>
      </c>
      <c r="E5" s="111">
        <v>0.90200000000000002</v>
      </c>
      <c r="F5" s="111">
        <v>0.84399999999999997</v>
      </c>
      <c r="G5" s="111">
        <v>0.85299999999999998</v>
      </c>
      <c r="H5" s="23">
        <v>3412</v>
      </c>
      <c r="I5" s="55">
        <v>0.56999999999999995</v>
      </c>
    </row>
    <row r="6" spans="1:9" x14ac:dyDescent="0.25">
      <c r="A6" s="43">
        <v>46113</v>
      </c>
      <c r="B6" s="112"/>
      <c r="C6" s="111"/>
      <c r="D6" s="111"/>
      <c r="E6" s="111"/>
      <c r="F6" s="111"/>
      <c r="G6" s="111"/>
      <c r="H6" s="23"/>
      <c r="I6" s="55"/>
    </row>
    <row r="7" spans="1:9" x14ac:dyDescent="0.25">
      <c r="A7" s="43">
        <v>46143</v>
      </c>
      <c r="B7" s="112"/>
      <c r="C7" s="111"/>
      <c r="D7" s="111"/>
      <c r="E7" s="111"/>
      <c r="F7" s="111"/>
      <c r="G7" s="111"/>
      <c r="H7" s="23"/>
      <c r="I7" s="55"/>
    </row>
    <row r="8" spans="1:9" x14ac:dyDescent="0.25">
      <c r="A8" s="43">
        <v>46174</v>
      </c>
      <c r="B8" s="112"/>
      <c r="C8" s="111"/>
      <c r="D8" s="111"/>
      <c r="E8" s="111"/>
      <c r="F8" s="111"/>
      <c r="G8" s="111"/>
      <c r="H8" s="23"/>
      <c r="I8" s="55"/>
    </row>
    <row r="9" spans="1:9" x14ac:dyDescent="0.25">
      <c r="A9" s="43">
        <v>46204</v>
      </c>
      <c r="B9" s="112"/>
      <c r="C9" s="111"/>
      <c r="D9" s="111"/>
      <c r="E9" s="111"/>
      <c r="F9" s="111"/>
      <c r="G9" s="111"/>
      <c r="H9" s="23"/>
      <c r="I9" s="55"/>
    </row>
    <row r="10" spans="1:9" x14ac:dyDescent="0.25">
      <c r="A10" s="43">
        <v>46235</v>
      </c>
      <c r="B10" s="112"/>
      <c r="C10" s="111"/>
      <c r="D10" s="111"/>
      <c r="E10" s="111"/>
      <c r="F10" s="111"/>
      <c r="G10" s="111"/>
      <c r="H10" s="23"/>
      <c r="I10" s="55"/>
    </row>
    <row r="11" spans="1:9" x14ac:dyDescent="0.25">
      <c r="A11" s="43">
        <v>46266</v>
      </c>
      <c r="B11" s="60"/>
      <c r="C11" s="114"/>
      <c r="D11" s="114"/>
      <c r="E11" s="67"/>
      <c r="F11" s="67"/>
      <c r="G11" s="67"/>
      <c r="H11" s="53"/>
      <c r="I11" s="53"/>
    </row>
    <row r="12" spans="1:9" x14ac:dyDescent="0.25">
      <c r="A12" s="43">
        <v>46296</v>
      </c>
      <c r="B12" s="60"/>
      <c r="C12" s="114"/>
      <c r="D12" s="114"/>
      <c r="E12" s="67"/>
      <c r="F12" s="67"/>
      <c r="G12" s="67"/>
      <c r="H12" s="53"/>
      <c r="I12" s="53"/>
    </row>
    <row r="13" spans="1:9" x14ac:dyDescent="0.25">
      <c r="A13" s="43">
        <v>46327</v>
      </c>
      <c r="B13" s="60"/>
      <c r="C13" s="114"/>
      <c r="D13" s="114"/>
      <c r="E13" s="67"/>
      <c r="F13" s="67"/>
      <c r="G13" s="67"/>
      <c r="H13" s="53"/>
      <c r="I13" s="53"/>
    </row>
    <row r="14" spans="1:9" x14ac:dyDescent="0.25">
      <c r="A14" s="43">
        <v>46357</v>
      </c>
      <c r="B14" s="60"/>
      <c r="C14" s="114"/>
      <c r="D14" s="114"/>
      <c r="E14" s="67"/>
      <c r="F14" s="67"/>
      <c r="G14" s="67"/>
      <c r="H14" s="53"/>
      <c r="I14" s="53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"/>
  <sheetViews>
    <sheetView workbookViewId="0">
      <selection activeCell="F21" sqref="F21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21.28515625" bestFit="1" customWidth="1"/>
    <col min="4" max="4" width="18.7109375" bestFit="1" customWidth="1"/>
    <col min="5" max="7" width="17.7109375" bestFit="1" customWidth="1"/>
    <col min="8" max="8" width="15" bestFit="1" customWidth="1"/>
    <col min="9" max="9" width="12" bestFit="1" customWidth="1"/>
  </cols>
  <sheetData>
    <row r="1" spans="1:9" x14ac:dyDescent="0.25">
      <c r="A1" t="s">
        <v>34</v>
      </c>
      <c r="B1" t="s">
        <v>43</v>
      </c>
      <c r="C1" t="s">
        <v>44</v>
      </c>
      <c r="D1" t="s">
        <v>45</v>
      </c>
      <c r="E1" t="s">
        <v>117</v>
      </c>
      <c r="F1" t="s">
        <v>118</v>
      </c>
      <c r="G1" t="s">
        <v>119</v>
      </c>
      <c r="H1" t="s">
        <v>69</v>
      </c>
      <c r="I1" t="s">
        <v>18</v>
      </c>
    </row>
    <row r="2" spans="1:9" x14ac:dyDescent="0.25">
      <c r="A2" s="18"/>
      <c r="B2" s="19" t="s">
        <v>16</v>
      </c>
      <c r="C2" s="19" t="s">
        <v>16</v>
      </c>
      <c r="D2" s="19" t="s">
        <v>16</v>
      </c>
      <c r="E2" s="19" t="s">
        <v>16</v>
      </c>
      <c r="F2" s="19" t="s">
        <v>16</v>
      </c>
      <c r="G2" s="19" t="s">
        <v>16</v>
      </c>
      <c r="H2" t="s">
        <v>70</v>
      </c>
      <c r="I2" t="s">
        <v>71</v>
      </c>
    </row>
    <row r="3" spans="1:9" x14ac:dyDescent="0.25">
      <c r="A3" s="43">
        <v>46023</v>
      </c>
      <c r="B3" s="73">
        <v>1</v>
      </c>
      <c r="C3" s="55">
        <v>0.91600000000000004</v>
      </c>
      <c r="D3" s="74">
        <v>1</v>
      </c>
      <c r="E3" s="55">
        <v>0.85</v>
      </c>
      <c r="F3" s="55">
        <v>0.8</v>
      </c>
      <c r="G3" s="23">
        <v>0.82</v>
      </c>
      <c r="H3" s="64">
        <v>0</v>
      </c>
      <c r="I3" s="55">
        <v>0.56999999999999995</v>
      </c>
    </row>
    <row r="4" spans="1:9" x14ac:dyDescent="0.25">
      <c r="A4" s="43">
        <v>46054</v>
      </c>
      <c r="B4" s="73">
        <v>1</v>
      </c>
      <c r="C4" s="55">
        <v>0.89300000000000002</v>
      </c>
      <c r="D4" s="74">
        <v>1.002</v>
      </c>
      <c r="E4" s="55">
        <v>0.85</v>
      </c>
      <c r="F4" s="55">
        <v>0.8</v>
      </c>
      <c r="G4" s="23">
        <v>0.82</v>
      </c>
      <c r="H4" s="64">
        <v>0</v>
      </c>
      <c r="I4" s="55">
        <v>0.56999999999999995</v>
      </c>
    </row>
    <row r="5" spans="1:9" x14ac:dyDescent="0.25">
      <c r="A5" s="43">
        <v>46082</v>
      </c>
      <c r="B5" s="73">
        <v>1</v>
      </c>
      <c r="C5" s="55">
        <v>0.84299999999999997</v>
      </c>
      <c r="D5" s="74">
        <v>1.002</v>
      </c>
      <c r="E5" s="55">
        <v>0.85</v>
      </c>
      <c r="F5" s="55">
        <v>0.8</v>
      </c>
      <c r="G5" s="23">
        <v>0.82</v>
      </c>
      <c r="H5" s="64">
        <v>0</v>
      </c>
      <c r="I5" s="55">
        <v>0.56999999999999995</v>
      </c>
    </row>
    <row r="6" spans="1:9" x14ac:dyDescent="0.25">
      <c r="A6" s="43">
        <v>46113</v>
      </c>
      <c r="B6" s="73">
        <v>1</v>
      </c>
      <c r="C6" s="55">
        <v>0.92600000000000005</v>
      </c>
      <c r="D6" s="74">
        <v>1.002</v>
      </c>
      <c r="E6" s="55">
        <v>0.85</v>
      </c>
      <c r="F6" s="55">
        <v>0.81</v>
      </c>
      <c r="G6" s="23">
        <v>0.83</v>
      </c>
      <c r="H6" s="64">
        <v>0</v>
      </c>
      <c r="I6" s="55">
        <v>0.56999999999999995</v>
      </c>
    </row>
    <row r="7" spans="1:9" x14ac:dyDescent="0.25">
      <c r="A7" s="43">
        <v>46143</v>
      </c>
      <c r="B7" s="73">
        <v>1</v>
      </c>
      <c r="C7" s="55">
        <v>0.877</v>
      </c>
      <c r="D7" s="74">
        <v>1.002</v>
      </c>
      <c r="E7" s="55">
        <v>0.85</v>
      </c>
      <c r="F7" s="55">
        <v>0.81</v>
      </c>
      <c r="G7" s="23">
        <v>0.83</v>
      </c>
      <c r="H7" s="64">
        <v>0</v>
      </c>
      <c r="I7" s="55">
        <v>0.56999999999999995</v>
      </c>
    </row>
    <row r="8" spans="1:9" x14ac:dyDescent="0.25">
      <c r="A8" s="43">
        <v>46174</v>
      </c>
      <c r="B8" s="73">
        <v>1</v>
      </c>
      <c r="C8" s="55">
        <v>0.94299999999999995</v>
      </c>
      <c r="D8" s="74">
        <v>1.002</v>
      </c>
      <c r="E8" s="55">
        <v>0.85</v>
      </c>
      <c r="F8" s="55">
        <v>0.81</v>
      </c>
      <c r="G8" s="23">
        <v>0.83</v>
      </c>
      <c r="H8" s="64">
        <v>0</v>
      </c>
      <c r="I8" s="55">
        <v>0.56999999999999995</v>
      </c>
    </row>
    <row r="9" spans="1:9" x14ac:dyDescent="0.25">
      <c r="A9" s="43">
        <v>46204</v>
      </c>
      <c r="B9" s="73">
        <v>1</v>
      </c>
      <c r="C9" s="55">
        <v>0.90900000000000003</v>
      </c>
      <c r="D9" s="74">
        <v>1.002</v>
      </c>
      <c r="E9" s="55">
        <v>0.85</v>
      </c>
      <c r="F9" s="55">
        <v>0.82</v>
      </c>
      <c r="G9" s="23">
        <v>0.83</v>
      </c>
      <c r="H9" s="64">
        <v>0</v>
      </c>
      <c r="I9" s="55">
        <v>0.56999999999999995</v>
      </c>
    </row>
    <row r="10" spans="1:9" x14ac:dyDescent="0.25">
      <c r="A10" s="43">
        <v>46235</v>
      </c>
      <c r="B10" s="73">
        <v>1</v>
      </c>
      <c r="C10" s="55">
        <v>0.94799999999999995</v>
      </c>
      <c r="D10" s="74">
        <v>1.0249999999999999</v>
      </c>
      <c r="E10" s="55">
        <v>0.85</v>
      </c>
      <c r="F10" s="55">
        <v>0.82</v>
      </c>
      <c r="G10" s="23">
        <v>0.83</v>
      </c>
      <c r="H10" s="64">
        <v>0</v>
      </c>
      <c r="I10" s="55">
        <v>0.56999999999999995</v>
      </c>
    </row>
    <row r="11" spans="1:9" x14ac:dyDescent="0.25">
      <c r="A11" s="43">
        <v>46266</v>
      </c>
      <c r="B11" s="73">
        <v>1</v>
      </c>
      <c r="C11" s="55">
        <v>0.872</v>
      </c>
      <c r="D11" s="74">
        <v>1.0249999999999999</v>
      </c>
      <c r="E11" s="55">
        <v>0.85</v>
      </c>
      <c r="F11" s="55">
        <v>0.82</v>
      </c>
      <c r="G11" s="23">
        <v>0.83</v>
      </c>
      <c r="H11" s="64">
        <v>0</v>
      </c>
      <c r="I11" s="55">
        <v>0.56999999999999995</v>
      </c>
    </row>
    <row r="12" spans="1:9" x14ac:dyDescent="0.25">
      <c r="A12" s="43">
        <v>46296</v>
      </c>
      <c r="B12" s="73">
        <v>1</v>
      </c>
      <c r="C12" s="55">
        <v>0.91</v>
      </c>
      <c r="D12" s="74">
        <v>1.0249999999999999</v>
      </c>
      <c r="E12" s="55">
        <v>0.85</v>
      </c>
      <c r="F12" s="55">
        <v>0.82</v>
      </c>
      <c r="G12" s="23">
        <v>0.83</v>
      </c>
      <c r="H12" s="64">
        <v>0</v>
      </c>
      <c r="I12" s="55">
        <v>0.56999999999999995</v>
      </c>
    </row>
    <row r="13" spans="1:9" x14ac:dyDescent="0.25">
      <c r="A13" s="43">
        <v>46327</v>
      </c>
      <c r="B13" s="73">
        <v>1</v>
      </c>
      <c r="C13" s="55">
        <v>0.91800000000000004</v>
      </c>
      <c r="D13" s="74">
        <v>1.04</v>
      </c>
      <c r="E13" s="55">
        <v>0.85</v>
      </c>
      <c r="F13" s="55">
        <v>0.82</v>
      </c>
      <c r="G13" s="23">
        <v>0.83</v>
      </c>
      <c r="H13" s="64">
        <v>0</v>
      </c>
      <c r="I13" s="55">
        <v>0.56999999999999995</v>
      </c>
    </row>
    <row r="14" spans="1:9" x14ac:dyDescent="0.25">
      <c r="A14" s="43">
        <v>46357</v>
      </c>
      <c r="B14" s="73">
        <v>1</v>
      </c>
      <c r="C14" s="55">
        <v>0.93799999999999994</v>
      </c>
      <c r="D14" s="74">
        <v>1.04</v>
      </c>
      <c r="E14" s="55">
        <v>0.85</v>
      </c>
      <c r="F14" s="55">
        <v>0.82</v>
      </c>
      <c r="G14" s="23">
        <v>0.83</v>
      </c>
      <c r="H14" s="64">
        <v>0</v>
      </c>
      <c r="I14" s="55">
        <v>0.56999999999999995</v>
      </c>
    </row>
    <row r="17" spans="1:12" x14ac:dyDescent="0.25">
      <c r="A17">
        <v>1</v>
      </c>
      <c r="B17">
        <v>1.002</v>
      </c>
      <c r="C17">
        <v>1.002</v>
      </c>
      <c r="D17">
        <v>1.002</v>
      </c>
      <c r="E17">
        <v>1.002</v>
      </c>
      <c r="F17">
        <v>1.002</v>
      </c>
      <c r="G17">
        <v>1.002</v>
      </c>
      <c r="H17">
        <v>1.0249999999999999</v>
      </c>
      <c r="I17">
        <v>1.0249999999999999</v>
      </c>
      <c r="J17">
        <v>1.0249999999999999</v>
      </c>
      <c r="K17">
        <v>1.04</v>
      </c>
      <c r="L17">
        <v>1.04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F21" sqref="F21"/>
    </sheetView>
  </sheetViews>
  <sheetFormatPr defaultRowHeight="15" x14ac:dyDescent="0.25"/>
  <cols>
    <col min="1" max="1" width="18.5703125" bestFit="1" customWidth="1"/>
    <col min="2" max="2" width="24.85546875" hidden="1" customWidth="1"/>
    <col min="3" max="3" width="21.85546875" hidden="1" customWidth="1"/>
    <col min="4" max="4" width="14.28515625" bestFit="1" customWidth="1"/>
    <col min="5" max="5" width="14.5703125" bestFit="1" customWidth="1"/>
    <col min="6" max="6" width="27.28515625" bestFit="1" customWidth="1"/>
    <col min="7" max="7" width="35.85546875" hidden="1" customWidth="1"/>
  </cols>
  <sheetData>
    <row r="1" spans="1:7" x14ac:dyDescent="0.25">
      <c r="A1" t="s">
        <v>34</v>
      </c>
      <c r="B1" t="s">
        <v>46</v>
      </c>
      <c r="C1" t="s">
        <v>47</v>
      </c>
      <c r="D1" t="s">
        <v>72</v>
      </c>
      <c r="E1" t="s">
        <v>48</v>
      </c>
      <c r="F1" t="s">
        <v>58</v>
      </c>
      <c r="G1" t="s">
        <v>59</v>
      </c>
    </row>
    <row r="2" spans="1:7" x14ac:dyDescent="0.25">
      <c r="A2" s="18"/>
      <c r="B2" s="19" t="s">
        <v>12</v>
      </c>
      <c r="C2" s="19" t="s">
        <v>12</v>
      </c>
      <c r="D2" s="19" t="s">
        <v>16</v>
      </c>
      <c r="E2" s="19" t="s">
        <v>54</v>
      </c>
      <c r="F2" s="23" t="s">
        <v>16</v>
      </c>
      <c r="G2" s="23" t="s">
        <v>16</v>
      </c>
    </row>
    <row r="3" spans="1:7" x14ac:dyDescent="0.25">
      <c r="A3" s="43">
        <v>46023</v>
      </c>
      <c r="B3" s="129"/>
      <c r="C3" s="130"/>
      <c r="D3" s="111">
        <v>0.25</v>
      </c>
      <c r="E3" s="93">
        <v>37.799999999999997</v>
      </c>
      <c r="F3" s="116">
        <v>0.11</v>
      </c>
      <c r="G3" s="116"/>
    </row>
    <row r="4" spans="1:7" x14ac:dyDescent="0.25">
      <c r="A4" s="43">
        <v>46054</v>
      </c>
      <c r="B4" s="129"/>
      <c r="C4" s="130"/>
      <c r="D4" s="111">
        <v>0.71</v>
      </c>
      <c r="E4" s="93">
        <v>39.6</v>
      </c>
      <c r="F4" s="116">
        <v>0.03</v>
      </c>
      <c r="G4" s="116"/>
    </row>
    <row r="5" spans="1:7" x14ac:dyDescent="0.25">
      <c r="A5" s="43">
        <v>46082</v>
      </c>
      <c r="B5" s="129"/>
      <c r="C5" s="130"/>
      <c r="D5" s="111">
        <v>0.77200000000000002</v>
      </c>
      <c r="E5" s="93">
        <v>38</v>
      </c>
      <c r="F5" s="116">
        <v>0.03</v>
      </c>
      <c r="G5" s="116"/>
    </row>
    <row r="6" spans="1:7" x14ac:dyDescent="0.25">
      <c r="A6" s="43">
        <v>46113</v>
      </c>
      <c r="B6" s="129"/>
      <c r="C6" s="130"/>
      <c r="D6" s="111"/>
      <c r="E6" s="93"/>
      <c r="F6" s="116"/>
      <c r="G6" s="116"/>
    </row>
    <row r="7" spans="1:7" x14ac:dyDescent="0.25">
      <c r="A7" s="43">
        <v>46143</v>
      </c>
      <c r="B7" s="129"/>
      <c r="C7" s="130"/>
      <c r="D7" s="111"/>
      <c r="E7" s="93"/>
      <c r="F7" s="116"/>
      <c r="G7" s="116"/>
    </row>
    <row r="8" spans="1:7" x14ac:dyDescent="0.25">
      <c r="A8" s="43">
        <v>46174</v>
      </c>
      <c r="B8" s="129"/>
      <c r="C8" s="130"/>
      <c r="D8" s="111"/>
      <c r="E8" s="93"/>
      <c r="F8" s="116"/>
      <c r="G8" s="116"/>
    </row>
    <row r="9" spans="1:7" x14ac:dyDescent="0.25">
      <c r="A9" s="43">
        <v>46204</v>
      </c>
      <c r="B9" s="131"/>
      <c r="C9" s="132"/>
      <c r="D9" s="115"/>
      <c r="E9" s="65"/>
      <c r="F9" s="117"/>
      <c r="G9" s="117"/>
    </row>
    <row r="10" spans="1:7" x14ac:dyDescent="0.25">
      <c r="A10" s="43">
        <v>46235</v>
      </c>
      <c r="B10" s="133"/>
      <c r="C10" s="132"/>
      <c r="D10" s="115"/>
      <c r="E10" s="65"/>
      <c r="F10" s="117"/>
      <c r="G10" s="117"/>
    </row>
    <row r="11" spans="1:7" x14ac:dyDescent="0.25">
      <c r="A11" s="43">
        <v>46266</v>
      </c>
      <c r="B11" s="133"/>
      <c r="C11" s="134"/>
      <c r="D11" s="115"/>
      <c r="E11" s="65"/>
      <c r="F11" s="117"/>
      <c r="G11" s="117"/>
    </row>
    <row r="12" spans="1:7" x14ac:dyDescent="0.25">
      <c r="A12" s="43">
        <v>46296</v>
      </c>
      <c r="B12" s="133"/>
      <c r="C12" s="134"/>
      <c r="D12" s="115"/>
      <c r="E12" s="65"/>
      <c r="F12" s="117"/>
      <c r="G12" s="117"/>
    </row>
    <row r="13" spans="1:7" x14ac:dyDescent="0.25">
      <c r="A13" s="43">
        <v>46327</v>
      </c>
      <c r="B13" s="133"/>
      <c r="C13" s="134"/>
      <c r="D13" s="115"/>
      <c r="E13" s="65"/>
      <c r="F13" s="117"/>
      <c r="G13" s="117"/>
    </row>
    <row r="14" spans="1:7" x14ac:dyDescent="0.25">
      <c r="A14" s="43">
        <v>46357</v>
      </c>
      <c r="B14" s="134"/>
      <c r="C14" s="134"/>
      <c r="D14" s="115"/>
      <c r="E14" s="65"/>
      <c r="F14" s="117"/>
      <c r="G14" s="11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workbookViewId="0">
      <selection activeCell="F21" sqref="F21"/>
    </sheetView>
  </sheetViews>
  <sheetFormatPr defaultRowHeight="15" x14ac:dyDescent="0.25"/>
  <cols>
    <col min="1" max="1" width="18.5703125" bestFit="1" customWidth="1"/>
    <col min="2" max="2" width="24.85546875" hidden="1" customWidth="1"/>
    <col min="3" max="3" width="21.85546875" hidden="1" customWidth="1"/>
    <col min="4" max="4" width="14.28515625" bestFit="1" customWidth="1"/>
    <col min="5" max="5" width="24" bestFit="1" customWidth="1"/>
    <col min="6" max="6" width="28.28515625" bestFit="1" customWidth="1"/>
    <col min="7" max="7" width="30.5703125" hidden="1" customWidth="1"/>
  </cols>
  <sheetData>
    <row r="1" spans="1:7" x14ac:dyDescent="0.25">
      <c r="A1" t="s">
        <v>34</v>
      </c>
      <c r="B1" t="s">
        <v>46</v>
      </c>
      <c r="C1" t="s">
        <v>47</v>
      </c>
      <c r="D1" t="s">
        <v>72</v>
      </c>
      <c r="E1" t="s">
        <v>32</v>
      </c>
      <c r="F1" t="s">
        <v>56</v>
      </c>
      <c r="G1" t="s">
        <v>57</v>
      </c>
    </row>
    <row r="2" spans="1:7" x14ac:dyDescent="0.25">
      <c r="A2" s="18"/>
      <c r="B2" s="19" t="s">
        <v>12</v>
      </c>
      <c r="C2" s="19" t="s">
        <v>12</v>
      </c>
      <c r="D2" s="19" t="s">
        <v>16</v>
      </c>
      <c r="E2" s="19" t="s">
        <v>54</v>
      </c>
      <c r="F2" s="19" t="s">
        <v>16</v>
      </c>
      <c r="G2" s="19" t="s">
        <v>16</v>
      </c>
    </row>
    <row r="3" spans="1:7" x14ac:dyDescent="0.25">
      <c r="A3" s="43">
        <v>46023</v>
      </c>
      <c r="B3" s="130"/>
      <c r="C3" s="130"/>
      <c r="D3" s="64">
        <v>0.85</v>
      </c>
      <c r="E3" s="73">
        <v>38.9</v>
      </c>
      <c r="F3" s="64">
        <v>0.04</v>
      </c>
      <c r="G3" s="137"/>
    </row>
    <row r="4" spans="1:7" x14ac:dyDescent="0.25">
      <c r="A4" s="43">
        <v>46054</v>
      </c>
      <c r="B4" s="130"/>
      <c r="C4" s="130"/>
      <c r="D4" s="64">
        <v>0.85</v>
      </c>
      <c r="E4" s="73">
        <v>40.5</v>
      </c>
      <c r="F4" s="64">
        <v>0.04</v>
      </c>
      <c r="G4" s="137"/>
    </row>
    <row r="5" spans="1:7" x14ac:dyDescent="0.25">
      <c r="A5" s="43">
        <v>46082</v>
      </c>
      <c r="B5" s="130"/>
      <c r="C5" s="130"/>
      <c r="D5" s="64">
        <v>0.85</v>
      </c>
      <c r="E5" s="73">
        <v>42.29</v>
      </c>
      <c r="F5" s="64">
        <v>0.04</v>
      </c>
      <c r="G5" s="137"/>
    </row>
    <row r="6" spans="1:7" x14ac:dyDescent="0.25">
      <c r="A6" s="43">
        <v>46113</v>
      </c>
      <c r="B6" s="130"/>
      <c r="C6" s="130"/>
      <c r="D6" s="64">
        <v>0.85</v>
      </c>
      <c r="E6" s="73">
        <v>39.15</v>
      </c>
      <c r="F6" s="64">
        <v>0.04</v>
      </c>
      <c r="G6" s="137"/>
    </row>
    <row r="7" spans="1:7" x14ac:dyDescent="0.25">
      <c r="A7" s="43">
        <v>46143</v>
      </c>
      <c r="B7" s="130"/>
      <c r="C7" s="130"/>
      <c r="D7" s="64">
        <v>0.85</v>
      </c>
      <c r="E7" s="73">
        <v>38.479999999999997</v>
      </c>
      <c r="F7" s="64">
        <v>0.04</v>
      </c>
      <c r="G7" s="137"/>
    </row>
    <row r="8" spans="1:7" x14ac:dyDescent="0.25">
      <c r="A8" s="43">
        <v>46174</v>
      </c>
      <c r="B8" s="130"/>
      <c r="C8" s="130"/>
      <c r="D8" s="64">
        <v>0.85</v>
      </c>
      <c r="E8" s="73">
        <v>39.51</v>
      </c>
      <c r="F8" s="64">
        <v>0.04</v>
      </c>
      <c r="G8" s="137"/>
    </row>
    <row r="9" spans="1:7" x14ac:dyDescent="0.25">
      <c r="A9" s="43">
        <v>46204</v>
      </c>
      <c r="B9" s="130"/>
      <c r="C9" s="130"/>
      <c r="D9" s="64">
        <v>0.85</v>
      </c>
      <c r="E9" s="73">
        <v>39.86</v>
      </c>
      <c r="F9" s="64">
        <v>0.04</v>
      </c>
      <c r="G9" s="137"/>
    </row>
    <row r="10" spans="1:7" x14ac:dyDescent="0.25">
      <c r="A10" s="43">
        <v>46235</v>
      </c>
      <c r="B10" s="130"/>
      <c r="C10" s="130"/>
      <c r="D10" s="64">
        <v>0.85</v>
      </c>
      <c r="E10" s="73">
        <v>38.200000000000003</v>
      </c>
      <c r="F10" s="64">
        <v>0.04</v>
      </c>
      <c r="G10" s="137"/>
    </row>
    <row r="11" spans="1:7" x14ac:dyDescent="0.25">
      <c r="A11" s="43">
        <v>46266</v>
      </c>
      <c r="B11" s="130"/>
      <c r="C11" s="130"/>
      <c r="D11" s="64">
        <v>0.85</v>
      </c>
      <c r="E11" s="73">
        <v>39.21</v>
      </c>
      <c r="F11" s="64">
        <v>0.04</v>
      </c>
      <c r="G11" s="137"/>
    </row>
    <row r="12" spans="1:7" x14ac:dyDescent="0.25">
      <c r="A12" s="43">
        <v>46296</v>
      </c>
      <c r="B12" s="130"/>
      <c r="C12" s="130"/>
      <c r="D12" s="64">
        <v>0.85</v>
      </c>
      <c r="E12" s="73">
        <v>35.57</v>
      </c>
      <c r="F12" s="64">
        <v>0.04</v>
      </c>
      <c r="G12" s="137"/>
    </row>
    <row r="13" spans="1:7" x14ac:dyDescent="0.25">
      <c r="A13" s="43">
        <v>46327</v>
      </c>
      <c r="B13" s="130"/>
      <c r="C13" s="130"/>
      <c r="D13" s="64">
        <v>0.85</v>
      </c>
      <c r="E13" s="73">
        <v>34.75</v>
      </c>
      <c r="F13" s="64">
        <v>0.04</v>
      </c>
      <c r="G13" s="137"/>
    </row>
    <row r="14" spans="1:7" x14ac:dyDescent="0.25">
      <c r="A14" s="43">
        <v>46357</v>
      </c>
      <c r="B14" s="130"/>
      <c r="C14" s="130"/>
      <c r="D14" s="64">
        <v>0.85</v>
      </c>
      <c r="E14" s="73">
        <v>33.46</v>
      </c>
      <c r="F14" s="64">
        <v>0.04</v>
      </c>
      <c r="G14" s="137"/>
    </row>
    <row r="15" spans="1:7" x14ac:dyDescent="0.25">
      <c r="F15" s="21"/>
      <c r="G15" s="21"/>
    </row>
    <row r="16" spans="1:7" x14ac:dyDescent="0.25">
      <c r="E16" s="135">
        <v>38.9</v>
      </c>
    </row>
    <row r="17" spans="5:5" x14ac:dyDescent="0.25">
      <c r="E17" s="136">
        <v>40.5</v>
      </c>
    </row>
    <row r="18" spans="5:5" x14ac:dyDescent="0.25">
      <c r="E18" s="136">
        <v>42.29</v>
      </c>
    </row>
    <row r="19" spans="5:5" x14ac:dyDescent="0.25">
      <c r="E19" s="136">
        <v>39.15</v>
      </c>
    </row>
    <row r="20" spans="5:5" x14ac:dyDescent="0.25">
      <c r="E20" s="136">
        <v>38.479999999999997</v>
      </c>
    </row>
    <row r="21" spans="5:5" x14ac:dyDescent="0.25">
      <c r="E21" s="136">
        <v>39.51</v>
      </c>
    </row>
    <row r="22" spans="5:5" x14ac:dyDescent="0.25">
      <c r="E22" s="136">
        <v>39.86</v>
      </c>
    </row>
    <row r="23" spans="5:5" x14ac:dyDescent="0.25">
      <c r="E23" s="136">
        <v>38.200000000000003</v>
      </c>
    </row>
    <row r="24" spans="5:5" x14ac:dyDescent="0.25">
      <c r="E24" s="136">
        <v>39.21</v>
      </c>
    </row>
    <row r="25" spans="5:5" x14ac:dyDescent="0.25">
      <c r="E25" s="136">
        <v>35.57</v>
      </c>
    </row>
    <row r="26" spans="5:5" x14ac:dyDescent="0.25">
      <c r="E26" s="136">
        <v>34.75</v>
      </c>
    </row>
    <row r="27" spans="5:5" x14ac:dyDescent="0.25">
      <c r="E27" s="136">
        <v>33.46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2CDD9F6A8B6D469F56A357C80629F4" ma:contentTypeVersion="16" ma:contentTypeDescription="Create a new document." ma:contentTypeScope="" ma:versionID="83773ff9e1fe618431389f4f1dcd1186">
  <xsd:schema xmlns:xsd="http://www.w3.org/2001/XMLSchema" xmlns:xs="http://www.w3.org/2001/XMLSchema" xmlns:p="http://schemas.microsoft.com/office/2006/metadata/properties" xmlns:ns2="2141f1bf-03d2-47c7-8af2-5743f99fbe8b" xmlns:ns3="fa05d206-45b9-45ea-a9c6-e9d5f97ca385" targetNamespace="http://schemas.microsoft.com/office/2006/metadata/properties" ma:root="true" ma:fieldsID="ddfc48b02ece6ffc9f82c1f630341fef" ns2:_="" ns3:_="">
    <xsd:import namespace="2141f1bf-03d2-47c7-8af2-5743f99fbe8b"/>
    <xsd:import namespace="fa05d206-45b9-45ea-a9c6-e9d5f97ca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1f1bf-03d2-47c7-8af2-5743f99fb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ff384d-8d87-412f-a084-949fff9a30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5d206-45b9-45ea-a9c6-e9d5f97ca38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ba38d58-ccde-4d53-b4db-a074ee501a14}" ma:internalName="TaxCatchAll" ma:showField="CatchAllData" ma:web="fa05d206-45b9-45ea-a9c6-e9d5f97ca3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a05d206-45b9-45ea-a9c6-e9d5f97ca385">
      <UserInfo>
        <DisplayName/>
        <AccountId xsi:nil="true"/>
        <AccountType/>
      </UserInfo>
    </SharedWithUsers>
    <lcf76f155ced4ddcb4097134ff3c332f xmlns="2141f1bf-03d2-47c7-8af2-5743f99fbe8b">
      <Terms xmlns="http://schemas.microsoft.com/office/infopath/2007/PartnerControls"/>
    </lcf76f155ced4ddcb4097134ff3c332f>
    <TaxCatchAll xmlns="fa05d206-45b9-45ea-a9c6-e9d5f97ca385" xsi:nil="true"/>
  </documentManagement>
</p:properties>
</file>

<file path=customXml/itemProps1.xml><?xml version="1.0" encoding="utf-8"?>
<ds:datastoreItem xmlns:ds="http://schemas.openxmlformats.org/officeDocument/2006/customXml" ds:itemID="{6B4B598C-E11C-47D5-B420-0738A6DAA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CCC59C-61A9-44E9-B0FD-8B200F0CF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41f1bf-03d2-47c7-8af2-5743f99fbe8b"/>
    <ds:schemaRef ds:uri="fa05d206-45b9-45ea-a9c6-e9d5f97ca3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03D5B8-E4D3-44E9-AFE0-8419C32541BF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141f1bf-03d2-47c7-8af2-5743f99fbe8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a05d206-45b9-45ea-a9c6-e9d5f97ca38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Monthly Scorecard Haier</vt:lpstr>
      <vt:lpstr>EEH&amp;S</vt:lpstr>
      <vt:lpstr>EEH&amp;S tgt</vt:lpstr>
      <vt:lpstr>Customer</vt:lpstr>
      <vt:lpstr>Customer tgt</vt:lpstr>
      <vt:lpstr>People</vt:lpstr>
      <vt:lpstr>People tgt</vt:lpstr>
      <vt:lpstr>Production</vt:lpstr>
      <vt:lpstr>Production tgt</vt:lpstr>
      <vt:lpstr>Supply Chain</vt:lpstr>
      <vt:lpstr>Supply Chain tgt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Fabio Galli</dc:creator>
  <cp:lastModifiedBy>Ersen Karaoğlan</cp:lastModifiedBy>
  <dcterms:created xsi:type="dcterms:W3CDTF">2020-06-15T05:44:56Z</dcterms:created>
  <dcterms:modified xsi:type="dcterms:W3CDTF">2026-05-04T13:05:40Z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0x010100692CDD9F6A8B6D469F56A357C80629F4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